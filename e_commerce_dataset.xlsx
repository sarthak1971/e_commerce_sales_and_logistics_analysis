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pgrad\Excel\Project\E-Commerce\"/>
    </mc:Choice>
  </mc:AlternateContent>
  <xr:revisionPtr revIDLastSave="0" documentId="13_ncr:1_{2BBC75B0-97C4-450D-B10F-ED2B1F6C1682}" xr6:coauthVersionLast="47" xr6:coauthVersionMax="47" xr10:uidLastSave="{00000000-0000-0000-0000-000000000000}"/>
  <bookViews>
    <workbookView xWindow="-108" yWindow="-108" windowWidth="23256" windowHeight="12456" firstSheet="4" activeTab="9" xr2:uid="{5A1F4DB3-085A-4057-8469-88A12DA09C28}"/>
  </bookViews>
  <sheets>
    <sheet name="Cleaned Data" sheetId="2" r:id="rId1"/>
    <sheet name="Data Understanding" sheetId="1" r:id="rId2"/>
    <sheet name="Descriptive Statistics" sheetId="3" r:id="rId3"/>
    <sheet name="Pivot Table Analysis" sheetId="4" r:id="rId4"/>
    <sheet name="What -if Analysis" sheetId="6" r:id="rId5"/>
    <sheet name="Scenario Summary" sheetId="16" r:id="rId6"/>
    <sheet name="Data Visualization " sheetId="5" r:id="rId7"/>
    <sheet name="Forecast" sheetId="10" r:id="rId8"/>
    <sheet name="Dashboard " sheetId="8" r:id="rId9"/>
    <sheet name="Insights" sheetId="9" r:id="rId10"/>
  </sheets>
  <definedNames>
    <definedName name="ExternalData_1" localSheetId="0" hidden="1">'Cleaned Data'!$A$1:$Q$4298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6" l="1"/>
  <c r="D35" i="6"/>
  <c r="D36" i="6"/>
  <c r="D33" i="6"/>
  <c r="D32" i="6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G16" i="8"/>
  <c r="G14" i="8"/>
  <c r="G13" i="8"/>
  <c r="G12" i="8"/>
  <c r="G11" i="8"/>
  <c r="D14" i="6"/>
  <c r="M39" i="2"/>
  <c r="M1455" i="2"/>
  <c r="M49" i="2"/>
  <c r="M16" i="2"/>
  <c r="M652" i="2"/>
  <c r="M18" i="2"/>
  <c r="M19" i="2"/>
  <c r="M144" i="2"/>
  <c r="M1218" i="2"/>
  <c r="M290" i="2"/>
  <c r="M295" i="2"/>
  <c r="M1890" i="2"/>
  <c r="M1011" i="2"/>
  <c r="M324" i="2"/>
  <c r="M528" i="2"/>
  <c r="M330" i="2"/>
  <c r="M1033" i="2"/>
  <c r="M202" i="2"/>
  <c r="M1063" i="2"/>
  <c r="M576" i="2"/>
  <c r="M96" i="2"/>
  <c r="M847" i="2"/>
  <c r="M879" i="2"/>
  <c r="M429" i="2"/>
  <c r="M53" i="2"/>
  <c r="M1879" i="2"/>
  <c r="M1880" i="2"/>
  <c r="M293" i="2"/>
  <c r="M1546" i="2"/>
  <c r="M1240" i="2"/>
  <c r="M1557" i="2"/>
  <c r="M165" i="2"/>
  <c r="M731" i="2"/>
  <c r="M307" i="2"/>
  <c r="M1309" i="2"/>
  <c r="M1323" i="2"/>
  <c r="M200" i="2"/>
  <c r="M28" i="2"/>
  <c r="M201" i="2"/>
  <c r="M346" i="2"/>
  <c r="M578" i="2"/>
  <c r="M1385" i="2"/>
  <c r="M222" i="2"/>
  <c r="M31" i="2"/>
  <c r="M844" i="2"/>
  <c r="M855" i="2"/>
  <c r="M427" i="2"/>
  <c r="M1788" i="2"/>
  <c r="M1479" i="2"/>
  <c r="M658" i="2"/>
  <c r="M1497" i="2"/>
  <c r="M453" i="2"/>
  <c r="M684" i="2"/>
  <c r="M286" i="2"/>
  <c r="M477" i="2"/>
  <c r="M706" i="2"/>
  <c r="M1235" i="2"/>
  <c r="M71" i="2"/>
  <c r="M1902" i="2"/>
  <c r="M507" i="2"/>
  <c r="M1920" i="2"/>
  <c r="M1003" i="2"/>
  <c r="M531" i="2"/>
  <c r="M574" i="2"/>
  <c r="M818" i="2"/>
  <c r="M1070" i="2"/>
  <c r="M2010" i="2"/>
  <c r="M1116" i="2"/>
  <c r="M412" i="2"/>
  <c r="M677" i="2"/>
  <c r="M1826" i="2"/>
  <c r="M452" i="2"/>
  <c r="M461" i="2"/>
  <c r="M1217" i="2"/>
  <c r="M475" i="2"/>
  <c r="M484" i="2"/>
  <c r="M1270" i="2"/>
  <c r="M510" i="2"/>
  <c r="M513" i="2"/>
  <c r="M774" i="2"/>
  <c r="M1024" i="2"/>
  <c r="M1965" i="2"/>
  <c r="M1675" i="2"/>
  <c r="M2919" i="2"/>
  <c r="M2013" i="2"/>
  <c r="M615" i="2"/>
  <c r="M1430" i="2"/>
  <c r="M1431" i="2"/>
  <c r="M1130" i="2"/>
  <c r="M1142" i="2"/>
  <c r="M1803" i="2"/>
  <c r="M1809" i="2"/>
  <c r="M675" i="2"/>
  <c r="M952" i="2"/>
  <c r="M1549" i="2"/>
  <c r="M1907" i="2"/>
  <c r="M1582" i="2"/>
  <c r="M1605" i="2"/>
  <c r="M1023" i="2"/>
  <c r="M1625" i="2"/>
  <c r="M791" i="2"/>
  <c r="M1348" i="2"/>
  <c r="M1979" i="2"/>
  <c r="M819" i="2"/>
  <c r="M2000" i="2"/>
  <c r="M2647" i="2"/>
  <c r="M2029" i="2"/>
  <c r="M861" i="2"/>
  <c r="M867" i="2"/>
  <c r="M908" i="2"/>
  <c r="M1796" i="2"/>
  <c r="M3050" i="2"/>
  <c r="M957" i="2"/>
  <c r="M1227" i="2"/>
  <c r="M3082" i="2"/>
  <c r="M2804" i="2"/>
  <c r="M2534" i="2"/>
  <c r="M2245" i="2"/>
  <c r="M1941" i="2"/>
  <c r="M1040" i="2"/>
  <c r="M1652" i="2"/>
  <c r="M1345" i="2"/>
  <c r="M3174" i="2"/>
  <c r="M3189" i="2"/>
  <c r="M2613" i="2"/>
  <c r="M1365" i="2"/>
  <c r="M2934" i="2"/>
  <c r="M2025" i="2"/>
  <c r="M2027" i="2"/>
  <c r="M1395" i="2"/>
  <c r="M2348" i="2"/>
  <c r="M2357" i="2"/>
  <c r="M1112" i="2"/>
  <c r="M2373" i="2"/>
  <c r="M1122" i="2"/>
  <c r="M2988" i="2"/>
  <c r="M2718" i="2"/>
  <c r="M1165" i="2"/>
  <c r="M2738" i="2"/>
  <c r="M2457" i="2"/>
  <c r="M1200" i="2"/>
  <c r="M2157" i="2"/>
  <c r="M2767" i="2"/>
  <c r="M2159" i="2"/>
  <c r="M3055" i="2"/>
  <c r="M1883" i="2"/>
  <c r="M726" i="2"/>
  <c r="M998" i="2"/>
  <c r="M2244" i="2"/>
  <c r="M1610" i="2"/>
  <c r="M1306" i="2"/>
  <c r="M1632" i="2"/>
  <c r="M790" i="2"/>
  <c r="M1650" i="2"/>
  <c r="M1041" i="2"/>
  <c r="M1336" i="2"/>
  <c r="M1662" i="2"/>
  <c r="M1991" i="2"/>
  <c r="M1688" i="2"/>
  <c r="M1692" i="2"/>
  <c r="M1375" i="2"/>
  <c r="M1384" i="2"/>
  <c r="M3717" i="2"/>
  <c r="M858" i="2"/>
  <c r="M1417" i="2"/>
  <c r="M1426" i="2"/>
  <c r="M874" i="2"/>
  <c r="M2401" i="2"/>
  <c r="M3011" i="2"/>
  <c r="M951" i="2"/>
  <c r="M3081" i="2"/>
  <c r="M2188" i="2"/>
  <c r="M1604" i="2"/>
  <c r="M1943" i="2"/>
  <c r="M1946" i="2"/>
  <c r="M1950" i="2"/>
  <c r="M1691" i="2"/>
  <c r="M2634" i="2"/>
  <c r="M2652" i="2"/>
  <c r="M2670" i="2"/>
  <c r="M2053" i="2"/>
  <c r="M2387" i="2"/>
  <c r="M2700" i="2"/>
  <c r="M1771" i="2"/>
  <c r="M2414" i="2"/>
  <c r="M2721" i="2"/>
  <c r="M3006" i="2"/>
  <c r="M1795" i="2"/>
  <c r="M1804" i="2"/>
  <c r="M3955" i="2"/>
  <c r="M2465" i="2"/>
  <c r="M3798" i="2"/>
  <c r="M1215" i="2"/>
  <c r="M3823" i="2"/>
  <c r="M2514" i="2"/>
  <c r="M3375" i="2"/>
  <c r="M1936" i="2"/>
  <c r="M2553" i="2"/>
  <c r="M3676" i="2"/>
  <c r="M2587" i="2"/>
  <c r="M3681" i="2"/>
  <c r="M2918" i="2"/>
  <c r="M3473" i="2"/>
  <c r="M3699" i="2"/>
  <c r="M3909" i="2"/>
  <c r="M3915" i="2"/>
  <c r="M2036" i="2"/>
  <c r="M2693" i="2"/>
  <c r="M3273" i="2"/>
  <c r="M3000" i="2"/>
  <c r="M3012" i="2"/>
  <c r="M2133" i="2"/>
  <c r="M3963" i="2"/>
  <c r="M2160" i="2"/>
  <c r="M3078" i="2"/>
  <c r="M2196" i="2"/>
  <c r="M3353" i="2"/>
  <c r="M3103" i="2"/>
  <c r="M3366" i="2"/>
  <c r="M1595" i="2"/>
  <c r="M2254" i="2"/>
  <c r="M2872" i="2"/>
  <c r="M2274" i="2"/>
  <c r="M3884" i="2"/>
  <c r="M4033" i="2"/>
  <c r="M1677" i="2"/>
  <c r="M2929" i="2"/>
  <c r="M2334" i="2"/>
  <c r="M2345" i="2"/>
  <c r="M2669" i="2"/>
  <c r="M2366" i="2"/>
  <c r="M3745" i="2"/>
  <c r="M2074" i="2"/>
  <c r="M3749" i="2"/>
  <c r="M4241" i="2"/>
  <c r="M2697" i="2"/>
  <c r="M3757" i="2"/>
  <c r="M2710" i="2"/>
  <c r="M4180" i="2"/>
  <c r="M3543" i="2"/>
  <c r="M3017" i="2"/>
  <c r="M3778" i="2"/>
  <c r="M3027" i="2"/>
  <c r="M3317" i="2"/>
  <c r="M2445" i="2"/>
  <c r="M1825" i="2"/>
  <c r="M3576" i="2"/>
  <c r="M3086" i="2"/>
  <c r="M2812" i="2"/>
  <c r="M2825" i="2"/>
  <c r="M2539" i="2"/>
  <c r="M3134" i="2"/>
  <c r="M3396" i="2"/>
  <c r="M4008" i="2"/>
  <c r="M2561" i="2"/>
  <c r="M3860" i="2"/>
  <c r="M4224" i="2"/>
  <c r="M3697" i="2"/>
  <c r="M4166" i="2"/>
  <c r="M2049" i="2"/>
  <c r="M2672" i="2"/>
  <c r="M2673" i="2"/>
  <c r="M4177" i="2"/>
  <c r="M4178" i="2"/>
  <c r="M2769" i="2"/>
  <c r="M2787" i="2"/>
  <c r="M3364" i="2"/>
  <c r="M4123" i="2"/>
  <c r="M3385" i="2"/>
  <c r="M4001" i="2"/>
  <c r="M3639" i="2"/>
  <c r="M3874" i="2"/>
  <c r="M3883" i="2"/>
  <c r="M4150" i="2"/>
  <c r="M3898" i="2"/>
  <c r="M2927" i="2"/>
  <c r="M3910" i="2"/>
  <c r="M3489" i="2"/>
  <c r="M3733" i="2"/>
  <c r="M3241" i="2"/>
  <c r="M3284" i="2"/>
  <c r="M2447" i="2"/>
  <c r="M3795" i="2"/>
  <c r="M3057" i="2"/>
  <c r="M4295" i="2"/>
  <c r="M3085" i="2"/>
  <c r="M3825" i="2"/>
  <c r="M3351" i="2"/>
  <c r="M3837" i="2"/>
  <c r="M3990" i="2"/>
  <c r="M3145" i="2"/>
  <c r="M3891" i="2"/>
  <c r="M4036" i="2"/>
  <c r="M4222" i="2"/>
  <c r="M3896" i="2"/>
  <c r="M4046" i="2"/>
  <c r="M3705" i="2"/>
  <c r="M3913" i="2"/>
  <c r="M3502" i="2"/>
  <c r="M3721" i="2"/>
  <c r="M4067" i="2"/>
  <c r="M3934" i="2"/>
  <c r="M4292" i="2"/>
  <c r="M2706" i="2"/>
  <c r="M4085" i="2"/>
  <c r="M3283" i="2"/>
  <c r="M3288" i="2"/>
  <c r="M4192" i="2"/>
  <c r="M3046" i="2"/>
  <c r="M3579" i="2"/>
  <c r="M3598" i="2"/>
  <c r="M4253" i="2"/>
  <c r="M4258" i="2"/>
  <c r="M4003" i="2"/>
  <c r="M3641" i="2"/>
  <c r="M3642" i="2"/>
  <c r="M3399" i="2"/>
  <c r="M3652" i="2"/>
  <c r="M4265" i="2"/>
  <c r="M3689" i="2"/>
  <c r="M3701" i="2"/>
  <c r="M4228" i="2"/>
  <c r="M3484" i="2"/>
  <c r="M450" i="2"/>
  <c r="M555" i="2"/>
  <c r="M570" i="2"/>
  <c r="M666" i="2"/>
  <c r="M1613" i="2"/>
  <c r="M1435" i="2"/>
  <c r="M990" i="2"/>
  <c r="M1922" i="2"/>
  <c r="M2689" i="2"/>
  <c r="M2471" i="2"/>
  <c r="M4120" i="2"/>
  <c r="M2850" i="2"/>
  <c r="M4163" i="2"/>
  <c r="M600" i="2"/>
  <c r="M604" i="2"/>
  <c r="M32" i="2"/>
  <c r="M13" i="2"/>
  <c r="M111" i="2"/>
  <c r="M620" i="2"/>
  <c r="M403" i="2"/>
  <c r="M407" i="2"/>
  <c r="M243" i="2"/>
  <c r="M1766" i="2"/>
  <c r="M1450" i="2"/>
  <c r="M2093" i="2"/>
  <c r="M46" i="2"/>
  <c r="M48" i="2"/>
  <c r="M2" i="2"/>
  <c r="M899" i="2"/>
  <c r="M903" i="2"/>
  <c r="M433" i="2"/>
  <c r="M906" i="2"/>
  <c r="M256" i="2"/>
  <c r="M444" i="2"/>
  <c r="M56" i="2"/>
  <c r="M57" i="2"/>
  <c r="M462" i="2"/>
  <c r="M143" i="2"/>
  <c r="M60" i="2"/>
  <c r="M5" i="2"/>
  <c r="M696" i="2"/>
  <c r="M697" i="2"/>
  <c r="M62" i="2"/>
  <c r="M7" i="2"/>
  <c r="M722" i="2"/>
  <c r="M164" i="2"/>
  <c r="M1899" i="2"/>
  <c r="M1576" i="2"/>
  <c r="M747" i="2"/>
  <c r="M1589" i="2"/>
  <c r="M1594" i="2"/>
  <c r="M1000" i="2"/>
  <c r="M316" i="2"/>
  <c r="M318" i="2"/>
  <c r="M81" i="2"/>
  <c r="M185" i="2"/>
  <c r="M326" i="2"/>
  <c r="M536" i="2"/>
  <c r="M1628" i="2"/>
  <c r="M1032" i="2"/>
  <c r="M1036" i="2"/>
  <c r="M796" i="2"/>
  <c r="M548" i="2"/>
  <c r="M85" i="2"/>
  <c r="M341" i="2"/>
  <c r="M88" i="2"/>
  <c r="M90" i="2"/>
  <c r="M211" i="2"/>
  <c r="M29" i="2"/>
  <c r="M573" i="2"/>
  <c r="M1370" i="2"/>
  <c r="M1079" i="2"/>
  <c r="M94" i="2"/>
  <c r="M1084" i="2"/>
  <c r="M95" i="2"/>
  <c r="M219" i="2"/>
  <c r="M371" i="2"/>
  <c r="M1091" i="2"/>
  <c r="M97" i="2"/>
  <c r="M843" i="2"/>
  <c r="M101" i="2"/>
  <c r="M103" i="2"/>
  <c r="M226" i="2"/>
  <c r="M2044" i="2"/>
  <c r="M397" i="2"/>
  <c r="M2374" i="2"/>
  <c r="M2067" i="2"/>
  <c r="M113" i="2"/>
  <c r="M876" i="2"/>
  <c r="M1137" i="2"/>
  <c r="M116" i="2"/>
  <c r="M44" i="2"/>
  <c r="M246" i="2"/>
  <c r="M119" i="2"/>
  <c r="M1772" i="2"/>
  <c r="M1148" i="2"/>
  <c r="M1778" i="2"/>
  <c r="M649" i="2"/>
  <c r="M1473" i="2"/>
  <c r="M436" i="2"/>
  <c r="M130" i="2"/>
  <c r="M672" i="2"/>
  <c r="M928" i="2"/>
  <c r="M132" i="2"/>
  <c r="M1828" i="2"/>
  <c r="M138" i="2"/>
  <c r="M274" i="2"/>
  <c r="M1508" i="2"/>
  <c r="M464" i="2"/>
  <c r="M466" i="2"/>
  <c r="M1207" i="2"/>
  <c r="M2164" i="2"/>
  <c r="M2166" i="2"/>
  <c r="M149" i="2"/>
  <c r="M63" i="2"/>
  <c r="M1223" i="2"/>
  <c r="M155" i="2"/>
  <c r="M714" i="2"/>
  <c r="M1547" i="2"/>
  <c r="M975" i="2"/>
  <c r="M730" i="2"/>
  <c r="M162" i="2"/>
  <c r="M737" i="2"/>
  <c r="M1571" i="2"/>
  <c r="M1909" i="2"/>
  <c r="M171" i="2"/>
  <c r="M505" i="2"/>
  <c r="M752" i="2"/>
  <c r="M1265" i="2"/>
  <c r="M23" i="2"/>
  <c r="M761" i="2"/>
  <c r="M1282" i="2"/>
  <c r="M767" i="2"/>
  <c r="M1007" i="2"/>
  <c r="M521" i="2"/>
  <c r="M777" i="2"/>
  <c r="M1017" i="2"/>
  <c r="M1299" i="2"/>
  <c r="M1617" i="2"/>
  <c r="M534" i="2"/>
  <c r="M1303" i="2"/>
  <c r="M191" i="2"/>
  <c r="M195" i="2"/>
  <c r="M1321" i="2"/>
  <c r="M199" i="2"/>
  <c r="M1329" i="2"/>
  <c r="M1050" i="2"/>
  <c r="M1051" i="2"/>
  <c r="M1975" i="2"/>
  <c r="M1057" i="2"/>
  <c r="M1983" i="2"/>
  <c r="M1062" i="2"/>
  <c r="M214" i="2"/>
  <c r="M2004" i="2"/>
  <c r="M93" i="2"/>
  <c r="M1071" i="2"/>
  <c r="M1090" i="2"/>
  <c r="M832" i="2"/>
  <c r="M220" i="2"/>
  <c r="M30" i="2"/>
  <c r="M835" i="2"/>
  <c r="M221" i="2"/>
  <c r="M1095" i="2"/>
  <c r="M1718" i="2"/>
  <c r="M1404" i="2"/>
  <c r="M605" i="2"/>
  <c r="M232" i="2"/>
  <c r="M1420" i="2"/>
  <c r="M399" i="2"/>
  <c r="M234" i="2"/>
  <c r="M408" i="2"/>
  <c r="M41" i="2"/>
  <c r="M414" i="2"/>
  <c r="M424" i="2"/>
  <c r="M1145" i="2"/>
  <c r="M249" i="2"/>
  <c r="M1151" i="2"/>
  <c r="M1458" i="2"/>
  <c r="M896" i="2"/>
  <c r="M434" i="2"/>
  <c r="M127" i="2"/>
  <c r="M257" i="2"/>
  <c r="M261" i="2"/>
  <c r="M267" i="2"/>
  <c r="M669" i="2"/>
  <c r="M671" i="2"/>
  <c r="M2138" i="2"/>
  <c r="M448" i="2"/>
  <c r="M678" i="2"/>
  <c r="M938" i="2"/>
  <c r="M2151" i="2"/>
  <c r="M692" i="2"/>
  <c r="M1520" i="2"/>
  <c r="M472" i="2"/>
  <c r="M1219" i="2"/>
  <c r="M1524" i="2"/>
  <c r="M283" i="2"/>
  <c r="M700" i="2"/>
  <c r="M285" i="2"/>
  <c r="M701" i="2"/>
  <c r="M958" i="2"/>
  <c r="M702" i="2"/>
  <c r="M962" i="2"/>
  <c r="M152" i="2"/>
  <c r="M289" i="2"/>
  <c r="M970" i="2"/>
  <c r="M488" i="2"/>
  <c r="M157" i="2"/>
  <c r="M2508" i="2"/>
  <c r="M978" i="2"/>
  <c r="M298" i="2"/>
  <c r="M299" i="2"/>
  <c r="M302" i="2"/>
  <c r="M304" i="2"/>
  <c r="M751" i="2"/>
  <c r="M753" i="2"/>
  <c r="M755" i="2"/>
  <c r="M308" i="2"/>
  <c r="M759" i="2"/>
  <c r="M1276" i="2"/>
  <c r="M1002" i="2"/>
  <c r="M2241" i="2"/>
  <c r="M312" i="2"/>
  <c r="M770" i="2"/>
  <c r="M520" i="2"/>
  <c r="M525" i="2"/>
  <c r="M1026" i="2"/>
  <c r="M1630" i="2"/>
  <c r="M542" i="2"/>
  <c r="M342" i="2"/>
  <c r="M1968" i="2"/>
  <c r="M561" i="2"/>
  <c r="M565" i="2"/>
  <c r="M1056" i="2"/>
  <c r="M355" i="2"/>
  <c r="M817" i="2"/>
  <c r="M358" i="2"/>
  <c r="M1068" i="2"/>
  <c r="M823" i="2"/>
  <c r="M581" i="2"/>
  <c r="M364" i="2"/>
  <c r="M586" i="2"/>
  <c r="M368" i="2"/>
  <c r="M590" i="2"/>
  <c r="M370" i="2"/>
  <c r="M375" i="2"/>
  <c r="M1094" i="2"/>
  <c r="M376" i="2"/>
  <c r="M1719" i="2"/>
  <c r="M1401" i="2"/>
  <c r="M1729" i="2"/>
  <c r="M2046" i="2"/>
  <c r="M1411" i="2"/>
  <c r="M1414" i="2"/>
  <c r="M614" i="2"/>
  <c r="M396" i="2"/>
  <c r="M405" i="2"/>
  <c r="M1434" i="2"/>
  <c r="M1133" i="2"/>
  <c r="M415" i="2"/>
  <c r="M1763" i="2"/>
  <c r="M1140" i="2"/>
  <c r="M1777" i="2"/>
  <c r="M1149" i="2"/>
  <c r="M1150" i="2"/>
  <c r="M1457" i="2"/>
  <c r="M1159" i="2"/>
  <c r="M1472" i="2"/>
  <c r="M437" i="2"/>
  <c r="M927" i="2"/>
  <c r="M445" i="2"/>
  <c r="M930" i="2"/>
  <c r="M454" i="2"/>
  <c r="M683" i="2"/>
  <c r="M943" i="2"/>
  <c r="M1857" i="2"/>
  <c r="M473" i="2"/>
  <c r="M954" i="2"/>
  <c r="M2172" i="2"/>
  <c r="M288" i="2"/>
  <c r="M2488" i="2"/>
  <c r="M2182" i="2"/>
  <c r="M1875" i="2"/>
  <c r="M966" i="2"/>
  <c r="M969" i="2"/>
  <c r="M160" i="2"/>
  <c r="M1579" i="2"/>
  <c r="M1267" i="2"/>
  <c r="M514" i="2"/>
  <c r="M1928" i="2"/>
  <c r="M1600" i="2"/>
  <c r="M1603" i="2"/>
  <c r="M2858" i="2"/>
  <c r="M1297" i="2"/>
  <c r="M1018" i="2"/>
  <c r="M1618" i="2"/>
  <c r="M3150" i="2"/>
  <c r="M193" i="2"/>
  <c r="M801" i="2"/>
  <c r="M1330" i="2"/>
  <c r="M1657" i="2"/>
  <c r="M1967" i="2"/>
  <c r="M553" i="2"/>
  <c r="M2299" i="2"/>
  <c r="M207" i="2"/>
  <c r="M809" i="2"/>
  <c r="M1354" i="2"/>
  <c r="M1058" i="2"/>
  <c r="M2602" i="2"/>
  <c r="M2615" i="2"/>
  <c r="M841" i="2"/>
  <c r="M1100" i="2"/>
  <c r="M2361" i="2"/>
  <c r="M608" i="2"/>
  <c r="M2051" i="2"/>
  <c r="M1737" i="2"/>
  <c r="M1115" i="2"/>
  <c r="M1741" i="2"/>
  <c r="M2676" i="2"/>
  <c r="M2684" i="2"/>
  <c r="M1429" i="2"/>
  <c r="M410" i="2"/>
  <c r="M622" i="2"/>
  <c r="M242" i="2"/>
  <c r="M2385" i="2"/>
  <c r="M631" i="2"/>
  <c r="M881" i="2"/>
  <c r="M1770" i="2"/>
  <c r="M1143" i="2"/>
  <c r="M886" i="2"/>
  <c r="M641" i="2"/>
  <c r="M905" i="2"/>
  <c r="M659" i="2"/>
  <c r="M263" i="2"/>
  <c r="M2429" i="2"/>
  <c r="M2136" i="2"/>
  <c r="M2150" i="2"/>
  <c r="M1841" i="2"/>
  <c r="M3072" i="2"/>
  <c r="M1531" i="2"/>
  <c r="M710" i="2"/>
  <c r="M483" i="2"/>
  <c r="M2799" i="2"/>
  <c r="M971" i="2"/>
  <c r="M973" i="2"/>
  <c r="M2193" i="2"/>
  <c r="M1559" i="2"/>
  <c r="M734" i="2"/>
  <c r="M1897" i="2"/>
  <c r="M2212" i="2"/>
  <c r="M2218" i="2"/>
  <c r="M1585" i="2"/>
  <c r="M994" i="2"/>
  <c r="M2837" i="2"/>
  <c r="M2533" i="2"/>
  <c r="M762" i="2"/>
  <c r="M1279" i="2"/>
  <c r="M2237" i="2"/>
  <c r="M1930" i="2"/>
  <c r="M769" i="2"/>
  <c r="M771" i="2"/>
  <c r="M1013" i="2"/>
  <c r="M775" i="2"/>
  <c r="M2559" i="2"/>
  <c r="M1301" i="2"/>
  <c r="M783" i="2"/>
  <c r="M786" i="2"/>
  <c r="M2571" i="2"/>
  <c r="M800" i="2"/>
  <c r="M803" i="2"/>
  <c r="M1333" i="2"/>
  <c r="M1340" i="2"/>
  <c r="M344" i="2"/>
  <c r="M560" i="2"/>
  <c r="M1055" i="2"/>
  <c r="M1981" i="2"/>
  <c r="M1984" i="2"/>
  <c r="M353" i="2"/>
  <c r="M1360" i="2"/>
  <c r="M1064" i="2"/>
  <c r="M1074" i="2"/>
  <c r="M1702" i="2"/>
  <c r="M839" i="2"/>
  <c r="M2349" i="2"/>
  <c r="M3228" i="2"/>
  <c r="M601" i="2"/>
  <c r="M854" i="2"/>
  <c r="M860" i="2"/>
  <c r="M1739" i="2"/>
  <c r="M2367" i="2"/>
  <c r="M1419" i="2"/>
  <c r="M1421" i="2"/>
  <c r="M2375" i="2"/>
  <c r="M2380" i="2"/>
  <c r="M2688" i="2"/>
  <c r="M1756" i="2"/>
  <c r="M1132" i="2"/>
  <c r="M1762" i="2"/>
  <c r="M1443" i="2"/>
  <c r="M1765" i="2"/>
  <c r="M3278" i="2"/>
  <c r="M2986" i="2"/>
  <c r="M1160" i="2"/>
  <c r="M1786" i="2"/>
  <c r="M1169" i="2"/>
  <c r="M1176" i="2"/>
  <c r="M921" i="2"/>
  <c r="M2131" i="2"/>
  <c r="M923" i="2"/>
  <c r="M1811" i="2"/>
  <c r="M2437" i="2"/>
  <c r="M2438" i="2"/>
  <c r="M2744" i="2"/>
  <c r="M2443" i="2"/>
  <c r="M1824" i="2"/>
  <c r="M2458" i="2"/>
  <c r="M1835" i="2"/>
  <c r="M1196" i="2"/>
  <c r="M1509" i="2"/>
  <c r="M691" i="2"/>
  <c r="M1513" i="2"/>
  <c r="M1847" i="2"/>
  <c r="M1532" i="2"/>
  <c r="M1876" i="2"/>
  <c r="M2796" i="2"/>
  <c r="M1239" i="2"/>
  <c r="M3345" i="2"/>
  <c r="M2198" i="2"/>
  <c r="M1562" i="2"/>
  <c r="M2205" i="2"/>
  <c r="M2221" i="2"/>
  <c r="M1925" i="2"/>
  <c r="M2239" i="2"/>
  <c r="M1932" i="2"/>
  <c r="M1292" i="2"/>
  <c r="M1296" i="2"/>
  <c r="M2259" i="2"/>
  <c r="M1944" i="2"/>
  <c r="M1021" i="2"/>
  <c r="M2564" i="2"/>
  <c r="M2892" i="2"/>
  <c r="M3168" i="2"/>
  <c r="M1341" i="2"/>
  <c r="M1343" i="2"/>
  <c r="M1344" i="2"/>
  <c r="M1659" i="2"/>
  <c r="M1977" i="2"/>
  <c r="M1978" i="2"/>
  <c r="M3175" i="2"/>
  <c r="M1672" i="2"/>
  <c r="M2611" i="2"/>
  <c r="M583" i="2"/>
  <c r="M2924" i="2"/>
  <c r="M1699" i="2"/>
  <c r="M2008" i="2"/>
  <c r="M1380" i="2"/>
  <c r="M846" i="2"/>
  <c r="M1102" i="2"/>
  <c r="M1724" i="2"/>
  <c r="M3234" i="2"/>
  <c r="M2955" i="2"/>
  <c r="M3252" i="2"/>
  <c r="M2687" i="2"/>
  <c r="M1128" i="2"/>
  <c r="M1433" i="2"/>
  <c r="M1445" i="2"/>
  <c r="M1141" i="2"/>
  <c r="M885" i="2"/>
  <c r="M2095" i="2"/>
  <c r="M2404" i="2"/>
  <c r="M1463" i="2"/>
  <c r="M657" i="2"/>
  <c r="M2129" i="2"/>
  <c r="M661" i="2"/>
  <c r="M922" i="2"/>
  <c r="M1484" i="2"/>
  <c r="M1489" i="2"/>
  <c r="M2435" i="2"/>
  <c r="M2460" i="2"/>
  <c r="M1852" i="2"/>
  <c r="M1854" i="2"/>
  <c r="M1856" i="2"/>
  <c r="M2480" i="2"/>
  <c r="M2174" i="2"/>
  <c r="M3074" i="2"/>
  <c r="M1867" i="2"/>
  <c r="M707" i="2"/>
  <c r="M964" i="2"/>
  <c r="M2187" i="2"/>
  <c r="M2802" i="2"/>
  <c r="M2199" i="2"/>
  <c r="M1898" i="2"/>
  <c r="M3612" i="2"/>
  <c r="M1251" i="2"/>
  <c r="M1588" i="2"/>
  <c r="M2542" i="2"/>
  <c r="M1004" i="2"/>
  <c r="M2550" i="2"/>
  <c r="M3138" i="2"/>
  <c r="M1294" i="2"/>
  <c r="M1016" i="2"/>
  <c r="M1942" i="2"/>
  <c r="M2260" i="2"/>
  <c r="M784" i="2"/>
  <c r="M1310" i="2"/>
  <c r="M1952" i="2"/>
  <c r="M2567" i="2"/>
  <c r="M1955" i="2"/>
  <c r="M3420" i="2"/>
  <c r="M1653" i="2"/>
  <c r="M805" i="2"/>
  <c r="M2900" i="2"/>
  <c r="M1346" i="2"/>
  <c r="M1349" i="2"/>
  <c r="M1356" i="2"/>
  <c r="M2917" i="2"/>
  <c r="M2612" i="2"/>
  <c r="M1693" i="2"/>
  <c r="M3467" i="2"/>
  <c r="M2330" i="2"/>
  <c r="M2937" i="2"/>
  <c r="M2339" i="2"/>
  <c r="M3498" i="2"/>
  <c r="M1711" i="2"/>
  <c r="M2941" i="2"/>
  <c r="M3506" i="2"/>
  <c r="M2353" i="2"/>
  <c r="M1107" i="2"/>
  <c r="M2663" i="2"/>
  <c r="M3734" i="2"/>
  <c r="M3247" i="2"/>
  <c r="M2371" i="2"/>
  <c r="M1432" i="2"/>
  <c r="M2388" i="2"/>
  <c r="M2089" i="2"/>
  <c r="M3269" i="2"/>
  <c r="M2091" i="2"/>
  <c r="M2101" i="2"/>
  <c r="M2103" i="2"/>
  <c r="M1464" i="2"/>
  <c r="M3769" i="2"/>
  <c r="M2431" i="2"/>
  <c r="M2433" i="2"/>
  <c r="M1812" i="2"/>
  <c r="M2436" i="2"/>
  <c r="M3030" i="2"/>
  <c r="M3035" i="2"/>
  <c r="M1822" i="2"/>
  <c r="M1498" i="2"/>
  <c r="M2753" i="2"/>
  <c r="M2758" i="2"/>
  <c r="M1510" i="2"/>
  <c r="M1515" i="2"/>
  <c r="M1210" i="2"/>
  <c r="M955" i="2"/>
  <c r="M967" i="2"/>
  <c r="M1539" i="2"/>
  <c r="M3818" i="2"/>
  <c r="M2792" i="2"/>
  <c r="M1550" i="2"/>
  <c r="M1891" i="2"/>
  <c r="M1243" i="2"/>
  <c r="M1587" i="2"/>
  <c r="M2835" i="2"/>
  <c r="M1592" i="2"/>
  <c r="M2232" i="2"/>
  <c r="M2233" i="2"/>
  <c r="M3132" i="2"/>
  <c r="M1933" i="2"/>
  <c r="M1935" i="2"/>
  <c r="M1608" i="2"/>
  <c r="M2555" i="2"/>
  <c r="M2864" i="2"/>
  <c r="M1948" i="2"/>
  <c r="M2269" i="2"/>
  <c r="M1029" i="2"/>
  <c r="M1631" i="2"/>
  <c r="M1638" i="2"/>
  <c r="M2884" i="2"/>
  <c r="M1644" i="2"/>
  <c r="M2888" i="2"/>
  <c r="M2890" i="2"/>
  <c r="M1969" i="2"/>
  <c r="M1658" i="2"/>
  <c r="M3173" i="2"/>
  <c r="M3445" i="2"/>
  <c r="M2902" i="2"/>
  <c r="M2303" i="2"/>
  <c r="M1667" i="2"/>
  <c r="M1670" i="2"/>
  <c r="M3468" i="2"/>
  <c r="M3470" i="2"/>
  <c r="M1082" i="2"/>
  <c r="M2926" i="2"/>
  <c r="M1703" i="2"/>
  <c r="M2935" i="2"/>
  <c r="M2021" i="2"/>
  <c r="M2024" i="2"/>
  <c r="M1397" i="2"/>
  <c r="M2660" i="2"/>
  <c r="M1723" i="2"/>
  <c r="M1725" i="2"/>
  <c r="M1738" i="2"/>
  <c r="M3244" i="2"/>
  <c r="M2960" i="2"/>
  <c r="M2681" i="2"/>
  <c r="M2692" i="2"/>
  <c r="M3938" i="2"/>
  <c r="M1152" i="2"/>
  <c r="M2714" i="2"/>
  <c r="M1781" i="2"/>
  <c r="M2405" i="2"/>
  <c r="M2716" i="2"/>
  <c r="M2412" i="2"/>
  <c r="M2114" i="2"/>
  <c r="M2118" i="2"/>
  <c r="M3004" i="2"/>
  <c r="M2420" i="2"/>
  <c r="M1174" i="2"/>
  <c r="M3019" i="2"/>
  <c r="M2134" i="2"/>
  <c r="M3304" i="2"/>
  <c r="M1810" i="2"/>
  <c r="M3311" i="2"/>
  <c r="M1813" i="2"/>
  <c r="M2441" i="2"/>
  <c r="M3036" i="2"/>
  <c r="M2752" i="2"/>
  <c r="M1830" i="2"/>
  <c r="M3048" i="2"/>
  <c r="M1844" i="2"/>
  <c r="M2155" i="2"/>
  <c r="M2467" i="2"/>
  <c r="M3583" i="2"/>
  <c r="M2474" i="2"/>
  <c r="M2771" i="2"/>
  <c r="M2177" i="2"/>
  <c r="M1869" i="2"/>
  <c r="M3597" i="2"/>
  <c r="M2791" i="2"/>
  <c r="M3088" i="2"/>
  <c r="M1889" i="2"/>
  <c r="M2809" i="2"/>
  <c r="M3357" i="2"/>
  <c r="M3102" i="2"/>
  <c r="M2209" i="2"/>
  <c r="M2829" i="2"/>
  <c r="M3370" i="2"/>
  <c r="M2227" i="2"/>
  <c r="M2541" i="2"/>
  <c r="M3128" i="2"/>
  <c r="M2247" i="2"/>
  <c r="M2250" i="2"/>
  <c r="M1607" i="2"/>
  <c r="M2556" i="2"/>
  <c r="M1293" i="2"/>
  <c r="M2257" i="2"/>
  <c r="M3144" i="2"/>
  <c r="M2568" i="2"/>
  <c r="M2578" i="2"/>
  <c r="M1655" i="2"/>
  <c r="M3435" i="2"/>
  <c r="M2298" i="2"/>
  <c r="M3171" i="2"/>
  <c r="M2899" i="2"/>
  <c r="M4034" i="2"/>
  <c r="M3683" i="2"/>
  <c r="M3180" i="2"/>
  <c r="M1993" i="2"/>
  <c r="M3192" i="2"/>
  <c r="M1998" i="2"/>
  <c r="M2315" i="2"/>
  <c r="M2920" i="2"/>
  <c r="M3200" i="2"/>
  <c r="M2332" i="2"/>
  <c r="M2635" i="2"/>
  <c r="M3215" i="2"/>
  <c r="M2639" i="2"/>
  <c r="M2644" i="2"/>
  <c r="M2938" i="2"/>
  <c r="M2034" i="2"/>
  <c r="M2038" i="2"/>
  <c r="M2355" i="2"/>
  <c r="M2363" i="2"/>
  <c r="M2679" i="2"/>
  <c r="M2062" i="2"/>
  <c r="M2071" i="2"/>
  <c r="M1442" i="2"/>
  <c r="M2696" i="2"/>
  <c r="M3272" i="2"/>
  <c r="M2981" i="2"/>
  <c r="M2712" i="2"/>
  <c r="M1462" i="2"/>
  <c r="M3286" i="2"/>
  <c r="M2725" i="2"/>
  <c r="M3291" i="2"/>
  <c r="M3013" i="2"/>
  <c r="M2427" i="2"/>
  <c r="M3785" i="2"/>
  <c r="M2736" i="2"/>
  <c r="M3316" i="2"/>
  <c r="M3323" i="2"/>
  <c r="M2455" i="2"/>
  <c r="M2149" i="2"/>
  <c r="M2462" i="2"/>
  <c r="M3578" i="2"/>
  <c r="M2476" i="2"/>
  <c r="M3335" i="2"/>
  <c r="M3805" i="2"/>
  <c r="M2486" i="2"/>
  <c r="M1866" i="2"/>
  <c r="M3599" i="2"/>
  <c r="M2795" i="2"/>
  <c r="M2500" i="2"/>
  <c r="M2510" i="2"/>
  <c r="M2208" i="2"/>
  <c r="M1570" i="2"/>
  <c r="M3369" i="2"/>
  <c r="M3118" i="2"/>
  <c r="M2839" i="2"/>
  <c r="M2229" i="2"/>
  <c r="M3846" i="2"/>
  <c r="M4131" i="2"/>
  <c r="M3637" i="2"/>
  <c r="M3646" i="2"/>
  <c r="M3410" i="2"/>
  <c r="M2875" i="2"/>
  <c r="M2270" i="2"/>
  <c r="M3425" i="2"/>
  <c r="M2280" i="2"/>
  <c r="M4029" i="2"/>
  <c r="M2302" i="2"/>
  <c r="M3176" i="2"/>
  <c r="M3453" i="2"/>
  <c r="M2309" i="2"/>
  <c r="M3456" i="2"/>
  <c r="M2603" i="2"/>
  <c r="M2318" i="2"/>
  <c r="M2319" i="2"/>
  <c r="M2323" i="2"/>
  <c r="M3695" i="2"/>
  <c r="M3477" i="2"/>
  <c r="M3482" i="2"/>
  <c r="M2336" i="2"/>
  <c r="M2026" i="2"/>
  <c r="M2648" i="2"/>
  <c r="M3718" i="2"/>
  <c r="M2358" i="2"/>
  <c r="M2961" i="2"/>
  <c r="M3254" i="2"/>
  <c r="M2394" i="2"/>
  <c r="M3274" i="2"/>
  <c r="M3766" i="2"/>
  <c r="M2992" i="2"/>
  <c r="M2409" i="2"/>
  <c r="M2122" i="2"/>
  <c r="M2416" i="2"/>
  <c r="M2426" i="2"/>
  <c r="M3777" i="2"/>
  <c r="M2739" i="2"/>
  <c r="M2449" i="2"/>
  <c r="M3325" i="2"/>
  <c r="M2459" i="2"/>
  <c r="M3573" i="2"/>
  <c r="M1839" i="2"/>
  <c r="M3577" i="2"/>
  <c r="M2759" i="2"/>
  <c r="M2472" i="2"/>
  <c r="M3586" i="2"/>
  <c r="M3338" i="2"/>
  <c r="M2777" i="2"/>
  <c r="M3593" i="2"/>
  <c r="M4111" i="2"/>
  <c r="M4199" i="2"/>
  <c r="M3602" i="2"/>
  <c r="M3822" i="2"/>
  <c r="M3350" i="2"/>
  <c r="M3610" i="2"/>
  <c r="M3828" i="2"/>
  <c r="M3616" i="2"/>
  <c r="M2525" i="2"/>
  <c r="M2531" i="2"/>
  <c r="M3992" i="2"/>
  <c r="M4126" i="2"/>
  <c r="M4005" i="2"/>
  <c r="M4012" i="2"/>
  <c r="M3406" i="2"/>
  <c r="M3416" i="2"/>
  <c r="M3423" i="2"/>
  <c r="M2577" i="2"/>
  <c r="M4148" i="2"/>
  <c r="M3170" i="2"/>
  <c r="M3677" i="2"/>
  <c r="M2590" i="2"/>
  <c r="M3455" i="2"/>
  <c r="M2607" i="2"/>
  <c r="M3900" i="2"/>
  <c r="M3474" i="2"/>
  <c r="M3480" i="2"/>
  <c r="M3703" i="2"/>
  <c r="M2631" i="2"/>
  <c r="M3704" i="2"/>
  <c r="M3492" i="2"/>
  <c r="M3712" i="2"/>
  <c r="M3724" i="2"/>
  <c r="M3226" i="2"/>
  <c r="M3732" i="2"/>
  <c r="M2675" i="2"/>
  <c r="M3927" i="2"/>
  <c r="M3517" i="2"/>
  <c r="M4172" i="2"/>
  <c r="M4079" i="2"/>
  <c r="M3752" i="2"/>
  <c r="M4080" i="2"/>
  <c r="M3754" i="2"/>
  <c r="M3529" i="2"/>
  <c r="M3939" i="2"/>
  <c r="M3016" i="2"/>
  <c r="M2729" i="2"/>
  <c r="M3313" i="2"/>
  <c r="M3314" i="2"/>
  <c r="M2451" i="2"/>
  <c r="M4194" i="2"/>
  <c r="M2154" i="2"/>
  <c r="M3333" i="2"/>
  <c r="M3585" i="2"/>
  <c r="M2776" i="2"/>
  <c r="M3815" i="2"/>
  <c r="M3977" i="2"/>
  <c r="M2496" i="2"/>
  <c r="M3978" i="2"/>
  <c r="M2503" i="2"/>
  <c r="M3091" i="2"/>
  <c r="M3095" i="2"/>
  <c r="M3099" i="2"/>
  <c r="M3356" i="2"/>
  <c r="M4118" i="2"/>
  <c r="M3358" i="2"/>
  <c r="M4254" i="2"/>
  <c r="M3987" i="2"/>
  <c r="M2226" i="2"/>
  <c r="M2840" i="2"/>
  <c r="M3626" i="2"/>
  <c r="M2854" i="2"/>
  <c r="M4210" i="2"/>
  <c r="M3643" i="2"/>
  <c r="M3644" i="2"/>
  <c r="M2866" i="2"/>
  <c r="M3650" i="2"/>
  <c r="M3404" i="2"/>
  <c r="M4011" i="2"/>
  <c r="M3422" i="2"/>
  <c r="M2882" i="2"/>
  <c r="M3157" i="2"/>
  <c r="M3429" i="2"/>
  <c r="M4217" i="2"/>
  <c r="M4147" i="2"/>
  <c r="M3443" i="2"/>
  <c r="M3889" i="2"/>
  <c r="M3186" i="2"/>
  <c r="M3457" i="2"/>
  <c r="M4156" i="2"/>
  <c r="M3895" i="2"/>
  <c r="M4225" i="2"/>
  <c r="M3465" i="2"/>
  <c r="M3204" i="2"/>
  <c r="M3469" i="2"/>
  <c r="M3902" i="2"/>
  <c r="M3472" i="2"/>
  <c r="M3476" i="2"/>
  <c r="M4165" i="2"/>
  <c r="M3707" i="2"/>
  <c r="M4272" i="2"/>
  <c r="M3216" i="2"/>
  <c r="M4059" i="2"/>
  <c r="M4237" i="2"/>
  <c r="M3925" i="2"/>
  <c r="M4068" i="2"/>
  <c r="M3242" i="2"/>
  <c r="M3520" i="2"/>
  <c r="M3526" i="2"/>
  <c r="M3271" i="2"/>
  <c r="M4277" i="2"/>
  <c r="M3537" i="2"/>
  <c r="M3765" i="2"/>
  <c r="M3767" i="2"/>
  <c r="M2719" i="2"/>
  <c r="M4186" i="2"/>
  <c r="M3005" i="2"/>
  <c r="M3547" i="2"/>
  <c r="M3297" i="2"/>
  <c r="M3018" i="2"/>
  <c r="M3299" i="2"/>
  <c r="M3306" i="2"/>
  <c r="M3954" i="2"/>
  <c r="M3031" i="2"/>
  <c r="M3033" i="2"/>
  <c r="M3034" i="2"/>
  <c r="M3560" i="2"/>
  <c r="M4191" i="2"/>
  <c r="M4106" i="2"/>
  <c r="M3051" i="2"/>
  <c r="M3056" i="2"/>
  <c r="M3060" i="2"/>
  <c r="M3066" i="2"/>
  <c r="M4108" i="2"/>
  <c r="M3970" i="2"/>
  <c r="M3808" i="2"/>
  <c r="M4114" i="2"/>
  <c r="M3342" i="2"/>
  <c r="M4204" i="2"/>
  <c r="M3835" i="2"/>
  <c r="M4206" i="2"/>
  <c r="M2529" i="2"/>
  <c r="M4208" i="2"/>
  <c r="M3844" i="2"/>
  <c r="M2849" i="2"/>
  <c r="M4130" i="2"/>
  <c r="M2545" i="2"/>
  <c r="M3633" i="2"/>
  <c r="M3634" i="2"/>
  <c r="M4134" i="2"/>
  <c r="M3647" i="2"/>
  <c r="M4262" i="2"/>
  <c r="M4216" i="2"/>
  <c r="M4016" i="2"/>
  <c r="M3152" i="2"/>
  <c r="M4145" i="2"/>
  <c r="M4023" i="2"/>
  <c r="M3432" i="2"/>
  <c r="M3675" i="2"/>
  <c r="M4030" i="2"/>
  <c r="M3888" i="2"/>
  <c r="M4151" i="2"/>
  <c r="M4268" i="2"/>
  <c r="M4035" i="2"/>
  <c r="M4221" i="2"/>
  <c r="M4037" i="2"/>
  <c r="M4038" i="2"/>
  <c r="M4041" i="2"/>
  <c r="M3897" i="2"/>
  <c r="M3202" i="2"/>
  <c r="M4049" i="2"/>
  <c r="M4052" i="2"/>
  <c r="M4227" i="2"/>
  <c r="M2928" i="2"/>
  <c r="M4057" i="2"/>
  <c r="M4058" i="2"/>
  <c r="M3219" i="2"/>
  <c r="M4167" i="2"/>
  <c r="M3919" i="2"/>
  <c r="M3920" i="2"/>
  <c r="M4168" i="2"/>
  <c r="M3922" i="2"/>
  <c r="M3730" i="2"/>
  <c r="M4276" i="2"/>
  <c r="M3524" i="2"/>
  <c r="M2695" i="2"/>
  <c r="M3268" i="2"/>
  <c r="M3940" i="2"/>
  <c r="M4278" i="2"/>
  <c r="M3947" i="2"/>
  <c r="M4190" i="2"/>
  <c r="M3312" i="2"/>
  <c r="M3791" i="2"/>
  <c r="M4249" i="2"/>
  <c r="M3571" i="2"/>
  <c r="M4104" i="2"/>
  <c r="M4107" i="2"/>
  <c r="M4280" i="2"/>
  <c r="M3073" i="2"/>
  <c r="M2800" i="2"/>
  <c r="M3348" i="2"/>
  <c r="M4117" i="2"/>
  <c r="M3101" i="2"/>
  <c r="M3834" i="2"/>
  <c r="M3838" i="2"/>
  <c r="M3840" i="2"/>
  <c r="M4255" i="2"/>
  <c r="M3996" i="2"/>
  <c r="M3851" i="2"/>
  <c r="M4209" i="2"/>
  <c r="M3390" i="2"/>
  <c r="M4283" i="2"/>
  <c r="M4212" i="2"/>
  <c r="M4009" i="2"/>
  <c r="M4284" i="2"/>
  <c r="M3411" i="2"/>
  <c r="M3656" i="2"/>
  <c r="M4143" i="2"/>
  <c r="M4020" i="2"/>
  <c r="M3880" i="2"/>
  <c r="M2895" i="2"/>
  <c r="M4220" i="2"/>
  <c r="M4152" i="2"/>
  <c r="M4286" i="2"/>
  <c r="M3181" i="2"/>
  <c r="M4039" i="2"/>
  <c r="M3454" i="2"/>
  <c r="M4153" i="2"/>
  <c r="M3458" i="2"/>
  <c r="M4287" i="2"/>
  <c r="M3193" i="2"/>
  <c r="M4297" i="2"/>
  <c r="M3899" i="2"/>
  <c r="M2923" i="2"/>
  <c r="M4048" i="2"/>
  <c r="M3903" i="2"/>
  <c r="M4162" i="2"/>
  <c r="M868" i="2"/>
  <c r="M4" i="2"/>
  <c r="M278" i="2"/>
  <c r="M145" i="2"/>
  <c r="M610" i="2"/>
  <c r="M438" i="2"/>
  <c r="M357" i="2"/>
  <c r="M281" i="2"/>
  <c r="M695" i="2"/>
  <c r="M2146" i="2"/>
  <c r="M1005" i="2"/>
  <c r="M2043" i="2"/>
  <c r="M911" i="2"/>
  <c r="M926" i="2"/>
  <c r="M463" i="2"/>
  <c r="M1359" i="2"/>
  <c r="M3738" i="2"/>
  <c r="M1853" i="2"/>
  <c r="M1731" i="2"/>
  <c r="M3245" i="2"/>
  <c r="M4072" i="2"/>
  <c r="M2147" i="2"/>
  <c r="M3384" i="2"/>
  <c r="M1700" i="2"/>
  <c r="M2701" i="2"/>
  <c r="M3430" i="2"/>
  <c r="M2911" i="2"/>
  <c r="M3720" i="2"/>
  <c r="M3744" i="2"/>
  <c r="M4091" i="2"/>
  <c r="M3985" i="2"/>
  <c r="M2686" i="2"/>
  <c r="M4256" i="2"/>
  <c r="M4045" i="2"/>
  <c r="M602" i="2"/>
  <c r="M228" i="2"/>
  <c r="M33" i="2"/>
  <c r="M1114" i="2"/>
  <c r="M34" i="2"/>
  <c r="M389" i="2"/>
  <c r="M390" i="2"/>
  <c r="M110" i="2"/>
  <c r="M233" i="2"/>
  <c r="M1428" i="2"/>
  <c r="M37" i="2"/>
  <c r="M409" i="2"/>
  <c r="M240" i="2"/>
  <c r="M624" i="2"/>
  <c r="M45" i="2"/>
  <c r="M632" i="2"/>
  <c r="M47" i="2"/>
  <c r="M891" i="2"/>
  <c r="M121" i="2"/>
  <c r="M1158" i="2"/>
  <c r="M1469" i="2"/>
  <c r="M254" i="2"/>
  <c r="M914" i="2"/>
  <c r="M655" i="2"/>
  <c r="M258" i="2"/>
  <c r="M917" i="2"/>
  <c r="M131" i="2"/>
  <c r="M1818" i="2"/>
  <c r="M54" i="2"/>
  <c r="M3" i="2"/>
  <c r="M271" i="2"/>
  <c r="M55" i="2"/>
  <c r="M458" i="2"/>
  <c r="M6" i="2"/>
  <c r="M148" i="2"/>
  <c r="M61" i="2"/>
  <c r="M150" i="2"/>
  <c r="M476" i="2"/>
  <c r="M959" i="2"/>
  <c r="M65" i="2"/>
  <c r="M963" i="2"/>
  <c r="M704" i="2"/>
  <c r="M965" i="2"/>
  <c r="M8" i="2"/>
  <c r="M9" i="2"/>
  <c r="M154" i="2"/>
  <c r="M1884" i="2"/>
  <c r="M296" i="2"/>
  <c r="M1548" i="2"/>
  <c r="M733" i="2"/>
  <c r="M297" i="2"/>
  <c r="M70" i="2"/>
  <c r="M740" i="2"/>
  <c r="M1569" i="2"/>
  <c r="M72" i="2"/>
  <c r="M500" i="2"/>
  <c r="M989" i="2"/>
  <c r="M309" i="2"/>
  <c r="M77" i="2"/>
  <c r="M1919" i="2"/>
  <c r="M80" i="2"/>
  <c r="M516" i="2"/>
  <c r="M1015" i="2"/>
  <c r="M323" i="2"/>
  <c r="M529" i="2"/>
  <c r="M190" i="2"/>
  <c r="M27" i="2"/>
  <c r="M1308" i="2"/>
  <c r="M84" i="2"/>
  <c r="M1627" i="2"/>
  <c r="M1640" i="2"/>
  <c r="M10" i="2"/>
  <c r="M339" i="2"/>
  <c r="M802" i="2"/>
  <c r="M203" i="2"/>
  <c r="M345" i="2"/>
  <c r="M87" i="2"/>
  <c r="M812" i="2"/>
  <c r="M572" i="2"/>
  <c r="M212" i="2"/>
  <c r="M1361" i="2"/>
  <c r="M11" i="2"/>
  <c r="M1682" i="2"/>
  <c r="M579" i="2"/>
  <c r="M822" i="2"/>
  <c r="M215" i="2"/>
  <c r="M580" i="2"/>
  <c r="M1689" i="2"/>
  <c r="M1369" i="2"/>
  <c r="M1083" i="2"/>
  <c r="M2009" i="2"/>
  <c r="M829" i="2"/>
  <c r="M1706" i="2"/>
  <c r="M372" i="2"/>
  <c r="M595" i="2"/>
  <c r="M223" i="2"/>
  <c r="M377" i="2"/>
  <c r="M598" i="2"/>
  <c r="M850" i="2"/>
  <c r="M388" i="2"/>
  <c r="M392" i="2"/>
  <c r="M109" i="2"/>
  <c r="M1121" i="2"/>
  <c r="M235" i="2"/>
  <c r="M402" i="2"/>
  <c r="M14" i="2"/>
  <c r="M241" i="2"/>
  <c r="M627" i="2"/>
  <c r="M418" i="2"/>
  <c r="M247" i="2"/>
  <c r="M1773" i="2"/>
  <c r="M1774" i="2"/>
  <c r="M120" i="2"/>
  <c r="M1153" i="2"/>
  <c r="M2110" i="2"/>
  <c r="M122" i="2"/>
  <c r="M904" i="2"/>
  <c r="M52" i="2"/>
  <c r="M1474" i="2"/>
  <c r="M916" i="2"/>
  <c r="M920" i="2"/>
  <c r="M1178" i="2"/>
  <c r="M269" i="2"/>
  <c r="M1180" i="2"/>
  <c r="M674" i="2"/>
  <c r="M931" i="2"/>
  <c r="M449" i="2"/>
  <c r="M682" i="2"/>
  <c r="M142" i="2"/>
  <c r="M689" i="2"/>
  <c r="M1206" i="2"/>
  <c r="M2473" i="2"/>
  <c r="M481" i="2"/>
  <c r="M482" i="2"/>
  <c r="M1229" i="2"/>
  <c r="M712" i="2"/>
  <c r="M156" i="2"/>
  <c r="M716" i="2"/>
  <c r="M487" i="2"/>
  <c r="M728" i="2"/>
  <c r="M491" i="2"/>
  <c r="M166" i="2"/>
  <c r="M167" i="2"/>
  <c r="M742" i="2"/>
  <c r="M502" i="2"/>
  <c r="M170" i="2"/>
  <c r="M303" i="2"/>
  <c r="M993" i="2"/>
  <c r="M509" i="2"/>
  <c r="M311" i="2"/>
  <c r="M765" i="2"/>
  <c r="M176" i="2"/>
  <c r="M518" i="2"/>
  <c r="M177" i="2"/>
  <c r="M1006" i="2"/>
  <c r="M319" i="2"/>
  <c r="M1939" i="2"/>
  <c r="M25" i="2"/>
  <c r="M187" i="2"/>
  <c r="M188" i="2"/>
  <c r="M532" i="2"/>
  <c r="M1020" i="2"/>
  <c r="M785" i="2"/>
  <c r="M537" i="2"/>
  <c r="M194" i="2"/>
  <c r="M792" i="2"/>
  <c r="M196" i="2"/>
  <c r="M197" i="2"/>
  <c r="M338" i="2"/>
  <c r="M86" i="2"/>
  <c r="M2293" i="2"/>
  <c r="M347" i="2"/>
  <c r="M349" i="2"/>
  <c r="M208" i="2"/>
  <c r="M350" i="2"/>
  <c r="M567" i="2"/>
  <c r="M352" i="2"/>
  <c r="M89" i="2"/>
  <c r="M1362" i="2"/>
  <c r="M1363" i="2"/>
  <c r="M587" i="2"/>
  <c r="M1088" i="2"/>
  <c r="M1390" i="2"/>
  <c r="M1391" i="2"/>
  <c r="M1707" i="2"/>
  <c r="M2023" i="2"/>
  <c r="M98" i="2"/>
  <c r="M1099" i="2"/>
  <c r="M849" i="2"/>
  <c r="M1722" i="2"/>
  <c r="M1108" i="2"/>
  <c r="M227" i="2"/>
  <c r="M1726" i="2"/>
  <c r="M857" i="2"/>
  <c r="M391" i="2"/>
  <c r="M869" i="2"/>
  <c r="M1127" i="2"/>
  <c r="M238" i="2"/>
  <c r="M2075" i="2"/>
  <c r="M642" i="2"/>
  <c r="M892" i="2"/>
  <c r="M1146" i="2"/>
  <c r="M251" i="2"/>
  <c r="M648" i="2"/>
  <c r="M259" i="2"/>
  <c r="M2128" i="2"/>
  <c r="M1806" i="2"/>
  <c r="M443" i="2"/>
  <c r="M1490" i="2"/>
  <c r="M446" i="2"/>
  <c r="M1493" i="2"/>
  <c r="M933" i="2"/>
  <c r="M946" i="2"/>
  <c r="M59" i="2"/>
  <c r="M469" i="2"/>
  <c r="M1850" i="2"/>
  <c r="M693" i="2"/>
  <c r="M1518" i="2"/>
  <c r="M284" i="2"/>
  <c r="M2479" i="2"/>
  <c r="M287" i="2"/>
  <c r="M703" i="2"/>
  <c r="M709" i="2"/>
  <c r="M1233" i="2"/>
  <c r="M715" i="2"/>
  <c r="M719" i="2"/>
  <c r="M721" i="2"/>
  <c r="M489" i="2"/>
  <c r="M490" i="2"/>
  <c r="M2201" i="2"/>
  <c r="M2202" i="2"/>
  <c r="M736" i="2"/>
  <c r="M739" i="2"/>
  <c r="M1262" i="2"/>
  <c r="M1264" i="2"/>
  <c r="M1274" i="2"/>
  <c r="M757" i="2"/>
  <c r="M517" i="2"/>
  <c r="M1606" i="2"/>
  <c r="M524" i="2"/>
  <c r="M1291" i="2"/>
  <c r="M327" i="2"/>
  <c r="M1028" i="2"/>
  <c r="M333" i="2"/>
  <c r="M1034" i="2"/>
  <c r="M1635" i="2"/>
  <c r="M1957" i="2"/>
  <c r="M794" i="2"/>
  <c r="M336" i="2"/>
  <c r="M549" i="2"/>
  <c r="M550" i="2"/>
  <c r="M1334" i="2"/>
  <c r="M343" i="2"/>
  <c r="M1339" i="2"/>
  <c r="M806" i="2"/>
  <c r="M1044" i="2"/>
  <c r="M204" i="2"/>
  <c r="M815" i="2"/>
  <c r="M816" i="2"/>
  <c r="M360" i="2"/>
  <c r="M1366" i="2"/>
  <c r="M218" i="2"/>
  <c r="M1383" i="2"/>
  <c r="M831" i="2"/>
  <c r="M1709" i="2"/>
  <c r="M1710" i="2"/>
  <c r="M1394" i="2"/>
  <c r="M379" i="2"/>
  <c r="M848" i="2"/>
  <c r="M1106" i="2"/>
  <c r="M853" i="2"/>
  <c r="M105" i="2"/>
  <c r="M1412" i="2"/>
  <c r="M2671" i="2"/>
  <c r="M393" i="2"/>
  <c r="M112" i="2"/>
  <c r="M1752" i="2"/>
  <c r="M1131" i="2"/>
  <c r="M413" i="2"/>
  <c r="M877" i="2"/>
  <c r="M1759" i="2"/>
  <c r="M1139" i="2"/>
  <c r="M422" i="2"/>
  <c r="M2090" i="2"/>
  <c r="M1454" i="2"/>
  <c r="M1147" i="2"/>
  <c r="M432" i="2"/>
  <c r="M650" i="2"/>
  <c r="M1477" i="2"/>
  <c r="M126" i="2"/>
  <c r="M656" i="2"/>
  <c r="M668" i="2"/>
  <c r="M1488" i="2"/>
  <c r="M929" i="2"/>
  <c r="M1188" i="2"/>
  <c r="M457" i="2"/>
  <c r="M1505" i="2"/>
  <c r="M688" i="2"/>
  <c r="M950" i="2"/>
  <c r="M694" i="2"/>
  <c r="M147" i="2"/>
  <c r="M2483" i="2"/>
  <c r="M478" i="2"/>
  <c r="M2176" i="2"/>
  <c r="M2491" i="2"/>
  <c r="M1236" i="2"/>
  <c r="M974" i="2"/>
  <c r="M1556" i="2"/>
  <c r="M2200" i="2"/>
  <c r="M1896" i="2"/>
  <c r="M738" i="2"/>
  <c r="M1901" i="2"/>
  <c r="M2517" i="2"/>
  <c r="M2522" i="2"/>
  <c r="M1263" i="2"/>
  <c r="M1266" i="2"/>
  <c r="M995" i="2"/>
  <c r="M1271" i="2"/>
  <c r="M511" i="2"/>
  <c r="M512" i="2"/>
  <c r="M758" i="2"/>
  <c r="M999" i="2"/>
  <c r="M1284" i="2"/>
  <c r="M1931" i="2"/>
  <c r="M519" i="2"/>
  <c r="M2248" i="2"/>
  <c r="M1012" i="2"/>
  <c r="M2861" i="2"/>
  <c r="M1611" i="2"/>
  <c r="M1615" i="2"/>
  <c r="M530" i="2"/>
  <c r="M1022" i="2"/>
  <c r="M1025" i="2"/>
  <c r="M539" i="2"/>
  <c r="M1027" i="2"/>
  <c r="M2273" i="2"/>
  <c r="M335" i="2"/>
  <c r="M1319" i="2"/>
  <c r="M798" i="2"/>
  <c r="M2283" i="2"/>
  <c r="M552" i="2"/>
  <c r="M1043" i="2"/>
  <c r="M1338" i="2"/>
  <c r="M808" i="2"/>
  <c r="M1047" i="2"/>
  <c r="M206" i="2"/>
  <c r="M1974" i="2"/>
  <c r="M1054" i="2"/>
  <c r="M1668" i="2"/>
  <c r="M568" i="2"/>
  <c r="M571" i="2"/>
  <c r="M356" i="2"/>
  <c r="M1060" i="2"/>
  <c r="M824" i="2"/>
  <c r="M217" i="2"/>
  <c r="M593" i="2"/>
  <c r="M2020" i="2"/>
  <c r="M1392" i="2"/>
  <c r="M1093" i="2"/>
  <c r="M1713" i="2"/>
  <c r="M842" i="2"/>
  <c r="M1396" i="2"/>
  <c r="M2037" i="2"/>
  <c r="M603" i="2"/>
  <c r="M862" i="2"/>
  <c r="M2056" i="2"/>
  <c r="M617" i="2"/>
  <c r="M1751" i="2"/>
  <c r="M621" i="2"/>
  <c r="M1138" i="2"/>
  <c r="M630" i="2"/>
  <c r="M1444" i="2"/>
  <c r="M634" i="2"/>
  <c r="M888" i="2"/>
  <c r="M2096" i="2"/>
  <c r="M890" i="2"/>
  <c r="M639" i="2"/>
  <c r="M640" i="2"/>
  <c r="M2708" i="2"/>
  <c r="M895" i="2"/>
  <c r="M1163" i="2"/>
  <c r="M2120" i="2"/>
  <c r="M651" i="2"/>
  <c r="M1792" i="2"/>
  <c r="M2124" i="2"/>
  <c r="M912" i="2"/>
  <c r="M2126" i="2"/>
  <c r="M1173" i="2"/>
  <c r="M660" i="2"/>
  <c r="M447" i="2"/>
  <c r="M1495" i="2"/>
  <c r="M1185" i="2"/>
  <c r="M679" i="2"/>
  <c r="M1194" i="2"/>
  <c r="M1502" i="2"/>
  <c r="M947" i="2"/>
  <c r="M1512" i="2"/>
  <c r="M2468" i="2"/>
  <c r="M1209" i="2"/>
  <c r="M1211" i="2"/>
  <c r="M1522" i="2"/>
  <c r="M2163" i="2"/>
  <c r="M3063" i="2"/>
  <c r="M1527" i="2"/>
  <c r="M2169" i="2"/>
  <c r="M1231" i="2"/>
  <c r="M1543" i="2"/>
  <c r="M723" i="2"/>
  <c r="M2505" i="2"/>
  <c r="M2195" i="2"/>
  <c r="M1252" i="2"/>
  <c r="M981" i="2"/>
  <c r="M1254" i="2"/>
  <c r="M1578" i="2"/>
  <c r="M2215" i="2"/>
  <c r="M1272" i="2"/>
  <c r="M310" i="2"/>
  <c r="M1599" i="2"/>
  <c r="M1014" i="2"/>
  <c r="M322" i="2"/>
  <c r="M779" i="2"/>
  <c r="M2265" i="2"/>
  <c r="M1629" i="2"/>
  <c r="M1954" i="2"/>
  <c r="M789" i="2"/>
  <c r="M1039" i="2"/>
  <c r="M1959" i="2"/>
  <c r="M2282" i="2"/>
  <c r="M2284" i="2"/>
  <c r="M2296" i="2"/>
  <c r="M557" i="2"/>
  <c r="M1661" i="2"/>
  <c r="M1663" i="2"/>
  <c r="M2306" i="2"/>
  <c r="M1674" i="2"/>
  <c r="M3185" i="2"/>
  <c r="M1681" i="2"/>
  <c r="M820" i="2"/>
  <c r="M2317" i="2"/>
  <c r="M1364" i="2"/>
  <c r="M2321" i="2"/>
  <c r="M2006" i="2"/>
  <c r="M2011" i="2"/>
  <c r="M1085" i="2"/>
  <c r="M2329" i="2"/>
  <c r="M828" i="2"/>
  <c r="M840" i="2"/>
  <c r="M1096" i="2"/>
  <c r="M2656" i="2"/>
  <c r="M1402" i="2"/>
  <c r="M1105" i="2"/>
  <c r="M1405" i="2"/>
  <c r="M851" i="2"/>
  <c r="M2661" i="2"/>
  <c r="M852" i="2"/>
  <c r="M2664" i="2"/>
  <c r="M384" i="2"/>
  <c r="M1730" i="2"/>
  <c r="M1733" i="2"/>
  <c r="M2047" i="2"/>
  <c r="M2682" i="2"/>
  <c r="M1423" i="2"/>
  <c r="M1427" i="2"/>
  <c r="M401" i="2"/>
  <c r="M1748" i="2"/>
  <c r="M1750" i="2"/>
  <c r="M883" i="2"/>
  <c r="M421" i="2"/>
  <c r="M1448" i="2"/>
  <c r="M887" i="2"/>
  <c r="M2098" i="2"/>
  <c r="M1775" i="2"/>
  <c r="M3280" i="2"/>
  <c r="M1460" i="2"/>
  <c r="M2108" i="2"/>
  <c r="M2411" i="2"/>
  <c r="M1164" i="2"/>
  <c r="M1167" i="2"/>
  <c r="M1475" i="2"/>
  <c r="M2419" i="2"/>
  <c r="M1798" i="2"/>
  <c r="M1482" i="2"/>
  <c r="M2132" i="2"/>
  <c r="M924" i="2"/>
  <c r="M1808" i="2"/>
  <c r="M2434" i="2"/>
  <c r="M2444" i="2"/>
  <c r="M1494" i="2"/>
  <c r="M2141" i="2"/>
  <c r="M1190" i="2"/>
  <c r="M944" i="2"/>
  <c r="M1843" i="2"/>
  <c r="M948" i="2"/>
  <c r="M468" i="2"/>
  <c r="M1516" i="2"/>
  <c r="M1521" i="2"/>
  <c r="M1216" i="2"/>
  <c r="M960" i="2"/>
  <c r="M3076" i="2"/>
  <c r="M1225" i="2"/>
  <c r="M2489" i="2"/>
  <c r="M713" i="2"/>
  <c r="M1886" i="2"/>
  <c r="M1553" i="2"/>
  <c r="M732" i="2"/>
  <c r="M1900" i="2"/>
  <c r="M1257" i="2"/>
  <c r="M1259" i="2"/>
  <c r="M986" i="2"/>
  <c r="M504" i="2"/>
  <c r="M508" i="2"/>
  <c r="M2832" i="2"/>
  <c r="M2844" i="2"/>
  <c r="M1278" i="2"/>
  <c r="M1596" i="2"/>
  <c r="M2235" i="2"/>
  <c r="M1927" i="2"/>
  <c r="M1280" i="2"/>
  <c r="M2552" i="2"/>
  <c r="M1315" i="2"/>
  <c r="M1634" i="2"/>
  <c r="M1639" i="2"/>
  <c r="M1962" i="2"/>
  <c r="M804" i="2"/>
  <c r="M2586" i="2"/>
  <c r="M1049" i="2"/>
  <c r="M558" i="2"/>
  <c r="M1982" i="2"/>
  <c r="M3187" i="2"/>
  <c r="M1685" i="2"/>
  <c r="M1697" i="2"/>
  <c r="M2017" i="2"/>
  <c r="M1098" i="2"/>
  <c r="M2344" i="2"/>
  <c r="M2031" i="2"/>
  <c r="M1103" i="2"/>
  <c r="M2354" i="2"/>
  <c r="M2949" i="2"/>
  <c r="M2360" i="2"/>
  <c r="M1735" i="2"/>
  <c r="M2362" i="2"/>
  <c r="M2055" i="2"/>
  <c r="M2081" i="2"/>
  <c r="M2085" i="2"/>
  <c r="M2395" i="2"/>
  <c r="M1144" i="2"/>
  <c r="M2982" i="2"/>
  <c r="M1466" i="2"/>
  <c r="M1787" i="2"/>
  <c r="M910" i="2"/>
  <c r="M2422" i="2"/>
  <c r="M2730" i="2"/>
  <c r="M2130" i="2"/>
  <c r="M3026" i="2"/>
  <c r="M1182" i="2"/>
  <c r="M1183" i="2"/>
  <c r="M2742" i="2"/>
  <c r="M1821" i="2"/>
  <c r="M3566" i="2"/>
  <c r="M1195" i="2"/>
  <c r="M1202" i="2"/>
  <c r="M686" i="2"/>
  <c r="M2153" i="2"/>
  <c r="M1851" i="2"/>
  <c r="M2161" i="2"/>
  <c r="M699" i="2"/>
  <c r="M2167" i="2"/>
  <c r="M2185" i="2"/>
  <c r="M2190" i="2"/>
  <c r="M972" i="2"/>
  <c r="M1551" i="2"/>
  <c r="M1554" i="2"/>
  <c r="M1887" i="2"/>
  <c r="M1560" i="2"/>
  <c r="M979" i="2"/>
  <c r="M2210" i="2"/>
  <c r="M2217" i="2"/>
  <c r="M2822" i="2"/>
  <c r="M2528" i="2"/>
  <c r="M1591" i="2"/>
  <c r="M2231" i="2"/>
  <c r="M1598" i="2"/>
  <c r="M1283" i="2"/>
  <c r="M2856" i="2"/>
  <c r="M1937" i="2"/>
  <c r="M1609" i="2"/>
  <c r="M1302" i="2"/>
  <c r="M1305" i="2"/>
  <c r="M3153" i="2"/>
  <c r="M1335" i="2"/>
  <c r="M2300" i="2"/>
  <c r="M3442" i="2"/>
  <c r="M810" i="2"/>
  <c r="M2305" i="2"/>
  <c r="M1669" i="2"/>
  <c r="M1989" i="2"/>
  <c r="M1355" i="2"/>
  <c r="M2599" i="2"/>
  <c r="M2312" i="2"/>
  <c r="M1371" i="2"/>
  <c r="M2622" i="2"/>
  <c r="M2327" i="2"/>
  <c r="M2632" i="2"/>
  <c r="M2930" i="2"/>
  <c r="M1388" i="2"/>
  <c r="M3212" i="2"/>
  <c r="M2933" i="2"/>
  <c r="M3214" i="2"/>
  <c r="M2337" i="2"/>
  <c r="M2936" i="2"/>
  <c r="M2940" i="2"/>
  <c r="M2343" i="2"/>
  <c r="M1715" i="2"/>
  <c r="M3221" i="2"/>
  <c r="M3504" i="2"/>
  <c r="M2655" i="2"/>
  <c r="M1403" i="2"/>
  <c r="M1728" i="2"/>
  <c r="M3233" i="2"/>
  <c r="M2951" i="2"/>
  <c r="M2952" i="2"/>
  <c r="M1418" i="2"/>
  <c r="M1424" i="2"/>
  <c r="M3256" i="2"/>
  <c r="M3519" i="2"/>
  <c r="M1754" i="2"/>
  <c r="M1134" i="2"/>
  <c r="M1135" i="2"/>
  <c r="M2389" i="2"/>
  <c r="M1449" i="2"/>
  <c r="M2398" i="2"/>
  <c r="M2399" i="2"/>
  <c r="M2107" i="2"/>
  <c r="M2407" i="2"/>
  <c r="M1465" i="2"/>
  <c r="M2113" i="2"/>
  <c r="M2421" i="2"/>
  <c r="M3557" i="2"/>
  <c r="M2741" i="2"/>
  <c r="M1491" i="2"/>
  <c r="M1496" i="2"/>
  <c r="M3792" i="2"/>
  <c r="M3042" i="2"/>
  <c r="M2145" i="2"/>
  <c r="M1504" i="2"/>
  <c r="M1506" i="2"/>
  <c r="M2760" i="2"/>
  <c r="M2763" i="2"/>
  <c r="M1514" i="2"/>
  <c r="M2768" i="2"/>
  <c r="M3334" i="2"/>
  <c r="M2162" i="2"/>
  <c r="M1860" i="2"/>
  <c r="M2173" i="2"/>
  <c r="M1874" i="2"/>
  <c r="M1537" i="2"/>
  <c r="M2494" i="2"/>
  <c r="M2790" i="2"/>
  <c r="M2189" i="2"/>
  <c r="M1541" i="2"/>
  <c r="M1885" i="2"/>
  <c r="M3347" i="2"/>
  <c r="M2194" i="2"/>
  <c r="M1247" i="2"/>
  <c r="M1563" i="2"/>
  <c r="M1568" i="2"/>
  <c r="M3836" i="2"/>
  <c r="M1574" i="2"/>
  <c r="M2219" i="2"/>
  <c r="M2523" i="2"/>
  <c r="M2524" i="2"/>
  <c r="M3114" i="2"/>
  <c r="M2827" i="2"/>
  <c r="M1916" i="2"/>
  <c r="M2841" i="2"/>
  <c r="M2842" i="2"/>
  <c r="M1923" i="2"/>
  <c r="M2857" i="2"/>
  <c r="M2253" i="2"/>
  <c r="M3391" i="2"/>
  <c r="M1938" i="2"/>
  <c r="M3402" i="2"/>
  <c r="M1620" i="2"/>
  <c r="M3415" i="2"/>
  <c r="M2271" i="2"/>
  <c r="M3659" i="2"/>
  <c r="M1961" i="2"/>
  <c r="M1647" i="2"/>
  <c r="M1651" i="2"/>
  <c r="M2294" i="2"/>
  <c r="M2584" i="2"/>
  <c r="M2304" i="2"/>
  <c r="M2904" i="2"/>
  <c r="M2593" i="2"/>
  <c r="M3452" i="2"/>
  <c r="M2307" i="2"/>
  <c r="M3460" i="2"/>
  <c r="M2616" i="2"/>
  <c r="M3198" i="2"/>
  <c r="M1701" i="2"/>
  <c r="M1386" i="2"/>
  <c r="M3911" i="2"/>
  <c r="M2342" i="2"/>
  <c r="M3222" i="2"/>
  <c r="M2658" i="2"/>
  <c r="M3921" i="2"/>
  <c r="M3729" i="2"/>
  <c r="M1732" i="2"/>
  <c r="M3926" i="2"/>
  <c r="M2959" i="2"/>
  <c r="M2965" i="2"/>
  <c r="M1746" i="2"/>
  <c r="M1749" i="2"/>
  <c r="M3932" i="2"/>
  <c r="M1761" i="2"/>
  <c r="M2698" i="2"/>
  <c r="M1769" i="2"/>
  <c r="M2390" i="2"/>
  <c r="M2392" i="2"/>
  <c r="M2396" i="2"/>
  <c r="M2707" i="2"/>
  <c r="M1776" i="2"/>
  <c r="M2402" i="2"/>
  <c r="M1782" i="2"/>
  <c r="M2994" i="2"/>
  <c r="M2999" i="2"/>
  <c r="M2415" i="2"/>
  <c r="M1799" i="2"/>
  <c r="M3300" i="2"/>
  <c r="M1805" i="2"/>
  <c r="M3950" i="2"/>
  <c r="M4096" i="2"/>
  <c r="M2740" i="2"/>
  <c r="M3318" i="2"/>
  <c r="M1823" i="2"/>
  <c r="M2750" i="2"/>
  <c r="M3040" i="2"/>
  <c r="M3052" i="2"/>
  <c r="M1848" i="2"/>
  <c r="M1849" i="2"/>
  <c r="M3584" i="2"/>
  <c r="M3800" i="2"/>
  <c r="M1858" i="2"/>
  <c r="M1525" i="2"/>
  <c r="M2168" i="2"/>
  <c r="M1862" i="2"/>
  <c r="M2170" i="2"/>
  <c r="M3806" i="2"/>
  <c r="M4112" i="2"/>
  <c r="M1870" i="2"/>
  <c r="M2784" i="2"/>
  <c r="M3975" i="2"/>
  <c r="M2788" i="2"/>
  <c r="M3816" i="2"/>
  <c r="M3084" i="2"/>
  <c r="M1888" i="2"/>
  <c r="M3096" i="2"/>
  <c r="M1245" i="2"/>
  <c r="M2512" i="2"/>
  <c r="M1904" i="2"/>
  <c r="M2817" i="2"/>
  <c r="M3361" i="2"/>
  <c r="M2820" i="2"/>
  <c r="M2823" i="2"/>
  <c r="M3991" i="2"/>
  <c r="M2536" i="2"/>
  <c r="M3854" i="2"/>
  <c r="M1940" i="2"/>
  <c r="M3141" i="2"/>
  <c r="M3645" i="2"/>
  <c r="M2867" i="2"/>
  <c r="M2263" i="2"/>
  <c r="M2264" i="2"/>
  <c r="M2871" i="2"/>
  <c r="M2267" i="2"/>
  <c r="M2572" i="2"/>
  <c r="M3876" i="2"/>
  <c r="M1649" i="2"/>
  <c r="M1328" i="2"/>
  <c r="M4021" i="2"/>
  <c r="M1332" i="2"/>
  <c r="M2297" i="2"/>
  <c r="M3438" i="2"/>
  <c r="M2897" i="2"/>
  <c r="M1972" i="2"/>
  <c r="M3679" i="2"/>
  <c r="M3446" i="2"/>
  <c r="M3685" i="2"/>
  <c r="M2604" i="2"/>
  <c r="M1367" i="2"/>
  <c r="M1372" i="2"/>
  <c r="M1374" i="2"/>
  <c r="M3203" i="2"/>
  <c r="M3471" i="2"/>
  <c r="M2624" i="2"/>
  <c r="M2019" i="2"/>
  <c r="M4064" i="2"/>
  <c r="M2035" i="2"/>
  <c r="M2351" i="2"/>
  <c r="M2040" i="2"/>
  <c r="M4066" i="2"/>
  <c r="M3237" i="2"/>
  <c r="M2057" i="2"/>
  <c r="M3249" i="2"/>
  <c r="M2968" i="2"/>
  <c r="M2066" i="2"/>
  <c r="M2069" i="2"/>
  <c r="M2970" i="2"/>
  <c r="M2974" i="2"/>
  <c r="M2694" i="2"/>
  <c r="M2094" i="2"/>
  <c r="M2983" i="2"/>
  <c r="M2985" i="2"/>
  <c r="M3279" i="2"/>
  <c r="M3945" i="2"/>
  <c r="M3290" i="2"/>
  <c r="M2127" i="2"/>
  <c r="M3301" i="2"/>
  <c r="M3952" i="2"/>
  <c r="M3559" i="2"/>
  <c r="M1492" i="2"/>
  <c r="M3563" i="2"/>
  <c r="M2454" i="2"/>
  <c r="M3041" i="2"/>
  <c r="M3572" i="2"/>
  <c r="M2756" i="2"/>
  <c r="M2152" i="2"/>
  <c r="M3969" i="2"/>
  <c r="M2183" i="2"/>
  <c r="M3813" i="2"/>
  <c r="M3079" i="2"/>
  <c r="M2495" i="2"/>
  <c r="M2801" i="2"/>
  <c r="M2504" i="2"/>
  <c r="M3605" i="2"/>
  <c r="M3087" i="2"/>
  <c r="M3090" i="2"/>
  <c r="M3352" i="2"/>
  <c r="M1558" i="2"/>
  <c r="M1564" i="2"/>
  <c r="M1566" i="2"/>
  <c r="M3105" i="2"/>
  <c r="M3617" i="2"/>
  <c r="M3986" i="2"/>
  <c r="M3621" i="2"/>
  <c r="M3127" i="2"/>
  <c r="M3387" i="2"/>
  <c r="M1601" i="2"/>
  <c r="M4132" i="2"/>
  <c r="M2256" i="2"/>
  <c r="M2258" i="2"/>
  <c r="M2868" i="2"/>
  <c r="M2266" i="2"/>
  <c r="M3654" i="2"/>
  <c r="M2877" i="2"/>
  <c r="M3158" i="2"/>
  <c r="M2279" i="2"/>
  <c r="M2286" i="2"/>
  <c r="M2290" i="2"/>
  <c r="M2292" i="2"/>
  <c r="M3165" i="2"/>
  <c r="M3433" i="2"/>
  <c r="M2585" i="2"/>
  <c r="M3439" i="2"/>
  <c r="M3172" i="2"/>
  <c r="M3179" i="2"/>
  <c r="M2311" i="2"/>
  <c r="M2314" i="2"/>
  <c r="M2320" i="2"/>
  <c r="M3199" i="2"/>
  <c r="M3466" i="2"/>
  <c r="M4051" i="2"/>
  <c r="M3478" i="2"/>
  <c r="M2041" i="2"/>
  <c r="M2954" i="2"/>
  <c r="M2956" i="2"/>
  <c r="M3741" i="2"/>
  <c r="M3511" i="2"/>
  <c r="M3742" i="2"/>
  <c r="M3513" i="2"/>
  <c r="M2063" i="2"/>
  <c r="M2966" i="2"/>
  <c r="M2967" i="2"/>
  <c r="M2685" i="2"/>
  <c r="M4171" i="2"/>
  <c r="M2068" i="2"/>
  <c r="M3746" i="2"/>
  <c r="M3259" i="2"/>
  <c r="M3522" i="2"/>
  <c r="M3523" i="2"/>
  <c r="M4240" i="2"/>
  <c r="M3264" i="2"/>
  <c r="M3528" i="2"/>
  <c r="M3755" i="2"/>
  <c r="M2713" i="2"/>
  <c r="M3764" i="2"/>
  <c r="M2991" i="2"/>
  <c r="M4088" i="2"/>
  <c r="M3542" i="2"/>
  <c r="M3770" i="2"/>
  <c r="M2413" i="2"/>
  <c r="M3946" i="2"/>
  <c r="M3546" i="2"/>
  <c r="M3292" i="2"/>
  <c r="M3548" i="2"/>
  <c r="M3549" i="2"/>
  <c r="M2425" i="2"/>
  <c r="M1800" i="2"/>
  <c r="M3307" i="2"/>
  <c r="M2432" i="2"/>
  <c r="M4098" i="2"/>
  <c r="M3319" i="2"/>
  <c r="M3322" i="2"/>
  <c r="M3328" i="2"/>
  <c r="M2469" i="2"/>
  <c r="M3582" i="2"/>
  <c r="M1855" i="2"/>
  <c r="M3801" i="2"/>
  <c r="M3061" i="2"/>
  <c r="M2478" i="2"/>
  <c r="M3068" i="2"/>
  <c r="M2785" i="2"/>
  <c r="M2786" i="2"/>
  <c r="M3340" i="2"/>
  <c r="M1881" i="2"/>
  <c r="M3980" i="2"/>
  <c r="M2507" i="2"/>
  <c r="M3824" i="2"/>
  <c r="M3607" i="2"/>
  <c r="M2806" i="2"/>
  <c r="M2810" i="2"/>
  <c r="M2206" i="2"/>
  <c r="M2213" i="2"/>
  <c r="M3614" i="2"/>
  <c r="M3618" i="2"/>
  <c r="M4121" i="2"/>
  <c r="M2228" i="2"/>
  <c r="M4129" i="2"/>
  <c r="M3381" i="2"/>
  <c r="M3623" i="2"/>
  <c r="M2544" i="2"/>
  <c r="M2852" i="2"/>
  <c r="M2863" i="2"/>
  <c r="M4013" i="2"/>
  <c r="M2566" i="2"/>
  <c r="M3865" i="2"/>
  <c r="M2879" i="2"/>
  <c r="M1960" i="2"/>
  <c r="M4019" i="2"/>
  <c r="M3664" i="2"/>
  <c r="M3668" i="2"/>
  <c r="M4022" i="2"/>
  <c r="M3670" i="2"/>
  <c r="M3431" i="2"/>
  <c r="M2580" i="2"/>
  <c r="M2581" i="2"/>
  <c r="M2891" i="2"/>
  <c r="M3671" i="2"/>
  <c r="M2591" i="2"/>
  <c r="M3684" i="2"/>
  <c r="M2596" i="2"/>
  <c r="M4223" i="2"/>
  <c r="M2627" i="2"/>
  <c r="M3483" i="2"/>
  <c r="M4164" i="2"/>
  <c r="M3711" i="2"/>
  <c r="M3917" i="2"/>
  <c r="M3229" i="2"/>
  <c r="M3508" i="2"/>
  <c r="M3924" i="2"/>
  <c r="M3735" i="2"/>
  <c r="M2678" i="2"/>
  <c r="M2680" i="2"/>
  <c r="M3260" i="2"/>
  <c r="M2972" i="2"/>
  <c r="M2973" i="2"/>
  <c r="M4081" i="2"/>
  <c r="M2976" i="2"/>
  <c r="M2979" i="2"/>
  <c r="M3760" i="2"/>
  <c r="M3761" i="2"/>
  <c r="M3942" i="2"/>
  <c r="M2711" i="2"/>
  <c r="M3281" i="2"/>
  <c r="M4182" i="2"/>
  <c r="M2993" i="2"/>
  <c r="M3541" i="2"/>
  <c r="M2417" i="2"/>
  <c r="M2728" i="2"/>
  <c r="M3296" i="2"/>
  <c r="M3298" i="2"/>
  <c r="M3025" i="2"/>
  <c r="M3788" i="2"/>
  <c r="M3038" i="2"/>
  <c r="M4193" i="2"/>
  <c r="M2751" i="2"/>
  <c r="M3793" i="2"/>
  <c r="M2764" i="2"/>
  <c r="M2498" i="2"/>
  <c r="M3609" i="2"/>
  <c r="M3831" i="2"/>
  <c r="M3611" i="2"/>
  <c r="M2815" i="2"/>
  <c r="M2527" i="2"/>
  <c r="M2836" i="2"/>
  <c r="M2535" i="2"/>
  <c r="M2537" i="2"/>
  <c r="M3383" i="2"/>
  <c r="M3998" i="2"/>
  <c r="M2860" i="2"/>
  <c r="M3856" i="2"/>
  <c r="M3651" i="2"/>
  <c r="M3862" i="2"/>
  <c r="M3653" i="2"/>
  <c r="M3867" i="2"/>
  <c r="M3868" i="2"/>
  <c r="M3869" i="2"/>
  <c r="M2883" i="2"/>
  <c r="M3665" i="2"/>
  <c r="M3161" i="2"/>
  <c r="M3877" i="2"/>
  <c r="M3881" i="2"/>
  <c r="M2903" i="2"/>
  <c r="M2905" i="2"/>
  <c r="M2308" i="2"/>
  <c r="M2910" i="2"/>
  <c r="M3892" i="2"/>
  <c r="M2916" i="2"/>
  <c r="M4042" i="2"/>
  <c r="M2606" i="2"/>
  <c r="M3190" i="2"/>
  <c r="M3205" i="2"/>
  <c r="M4050" i="2"/>
  <c r="M3906" i="2"/>
  <c r="M3908" i="2"/>
  <c r="M4230" i="2"/>
  <c r="M3490" i="2"/>
  <c r="M2943" i="2"/>
  <c r="M4235" i="2"/>
  <c r="M4065" i="2"/>
  <c r="M3227" i="2"/>
  <c r="M2946" i="2"/>
  <c r="M4073" i="2"/>
  <c r="M3928" i="2"/>
  <c r="M3514" i="2"/>
  <c r="M4076" i="2"/>
  <c r="M4077" i="2"/>
  <c r="M3518" i="2"/>
  <c r="M4239" i="2"/>
  <c r="M3258" i="2"/>
  <c r="M4175" i="2"/>
  <c r="M3748" i="2"/>
  <c r="M2690" i="2"/>
  <c r="M4179" i="2"/>
  <c r="M3539" i="2"/>
  <c r="M2408" i="2"/>
  <c r="M2996" i="2"/>
  <c r="M4184" i="2"/>
  <c r="M3772" i="2"/>
  <c r="M3007" i="2"/>
  <c r="M4245" i="2"/>
  <c r="M3554" i="2"/>
  <c r="M3555" i="2"/>
  <c r="M3556" i="2"/>
  <c r="M3308" i="2"/>
  <c r="M4247" i="2"/>
  <c r="M4248" i="2"/>
  <c r="M3956" i="2"/>
  <c r="M3957" i="2"/>
  <c r="M3039" i="2"/>
  <c r="M3569" i="2"/>
  <c r="M3794" i="2"/>
  <c r="M3962" i="2"/>
  <c r="M3802" i="2"/>
  <c r="M3587" i="2"/>
  <c r="M3062" i="2"/>
  <c r="M4197" i="2"/>
  <c r="M3591" i="2"/>
  <c r="M3075" i="2"/>
  <c r="M2490" i="2"/>
  <c r="M3809" i="2"/>
  <c r="M3812" i="2"/>
  <c r="M3814" i="2"/>
  <c r="M3821" i="2"/>
  <c r="M4202" i="2"/>
  <c r="M3083" i="2"/>
  <c r="M3089" i="2"/>
  <c r="M4116" i="2"/>
  <c r="M3826" i="2"/>
  <c r="M3827" i="2"/>
  <c r="M3983" i="2"/>
  <c r="M3111" i="2"/>
  <c r="M3113" i="2"/>
  <c r="M3368" i="2"/>
  <c r="M4122" i="2"/>
  <c r="M3843" i="2"/>
  <c r="M4125" i="2"/>
  <c r="M3378" i="2"/>
  <c r="M4257" i="2"/>
  <c r="M3130" i="2"/>
  <c r="M3389" i="2"/>
  <c r="M4133" i="2"/>
  <c r="M4136" i="2"/>
  <c r="M3397" i="2"/>
  <c r="M3147" i="2"/>
  <c r="M4261" i="2"/>
  <c r="M4137" i="2"/>
  <c r="M4264" i="2"/>
  <c r="M3154" i="2"/>
  <c r="M3661" i="2"/>
  <c r="M3159" i="2"/>
  <c r="M4267" i="2"/>
  <c r="M3448" i="2"/>
  <c r="M2912" i="2"/>
  <c r="M4043" i="2"/>
  <c r="M3191" i="2"/>
  <c r="M3690" i="2"/>
  <c r="M3691" i="2"/>
  <c r="M4157" i="2"/>
  <c r="M4158" i="2"/>
  <c r="M3696" i="2"/>
  <c r="M3208" i="2"/>
  <c r="M4056" i="2"/>
  <c r="M3714" i="2"/>
  <c r="M4060" i="2"/>
  <c r="M4061" i="2"/>
  <c r="M4063" i="2"/>
  <c r="M4291" i="2"/>
  <c r="M2948" i="2"/>
  <c r="M3731" i="2"/>
  <c r="M2958" i="2"/>
  <c r="M4074" i="2"/>
  <c r="M4075" i="2"/>
  <c r="M3248" i="2"/>
  <c r="M3929" i="2"/>
  <c r="M3250" i="2"/>
  <c r="M3515" i="2"/>
  <c r="M3257" i="2"/>
  <c r="M3261" i="2"/>
  <c r="M3750" i="2"/>
  <c r="M3758" i="2"/>
  <c r="M3275" i="2"/>
  <c r="M3536" i="2"/>
  <c r="M3763" i="2"/>
  <c r="M4242" i="2"/>
  <c r="M2990" i="2"/>
  <c r="M4185" i="2"/>
  <c r="M4293" i="2"/>
  <c r="M3774" i="2"/>
  <c r="M3552" i="2"/>
  <c r="M3294" i="2"/>
  <c r="M4093" i="2"/>
  <c r="M3295" i="2"/>
  <c r="M4188" i="2"/>
  <c r="M3780" i="2"/>
  <c r="M3786" i="2"/>
  <c r="M3023" i="2"/>
  <c r="M4246" i="2"/>
  <c r="M2737" i="2"/>
  <c r="M3951" i="2"/>
  <c r="M4101" i="2"/>
  <c r="M3568" i="2"/>
  <c r="M4195" i="2"/>
  <c r="M4196" i="2"/>
  <c r="M3329" i="2"/>
  <c r="M3330" i="2"/>
  <c r="M2761" i="2"/>
  <c r="M3332" i="2"/>
  <c r="M3053" i="2"/>
  <c r="M4279" i="2"/>
  <c r="M3804" i="2"/>
  <c r="M3807" i="2"/>
  <c r="M4252" i="2"/>
  <c r="M4200" i="2"/>
  <c r="M4201" i="2"/>
  <c r="M3346" i="2"/>
  <c r="M2805" i="2"/>
  <c r="M3354" i="2"/>
  <c r="M3830" i="2"/>
  <c r="M3833" i="2"/>
  <c r="M3359" i="2"/>
  <c r="M3984" i="2"/>
  <c r="M3988" i="2"/>
  <c r="M4124" i="2"/>
  <c r="M3993" i="2"/>
  <c r="M4127" i="2"/>
  <c r="M3995" i="2"/>
  <c r="M3380" i="2"/>
  <c r="M3849" i="2"/>
  <c r="M3997" i="2"/>
  <c r="M4006" i="2"/>
  <c r="M4214" i="2"/>
  <c r="M3861" i="2"/>
  <c r="M4138" i="2"/>
  <c r="M4014" i="2"/>
  <c r="M3407" i="2"/>
  <c r="M2873" i="2"/>
  <c r="M3666" i="2"/>
  <c r="M4266" i="2"/>
  <c r="M4285" i="2"/>
  <c r="M3885" i="2"/>
  <c r="M2901" i="2"/>
  <c r="M4032" i="2"/>
  <c r="M3449" i="2"/>
  <c r="M4269" i="2"/>
  <c r="M3901" i="2"/>
  <c r="M4288" i="2"/>
  <c r="M3700" i="2"/>
  <c r="M3485" i="2"/>
  <c r="M3487" i="2"/>
  <c r="M4055" i="2"/>
  <c r="M4231" i="2"/>
  <c r="M2942" i="2"/>
  <c r="M4236" i="2"/>
  <c r="M3726" i="2"/>
  <c r="M239" i="2"/>
  <c r="M486" i="2"/>
  <c r="M173" i="2"/>
  <c r="M181" i="2"/>
  <c r="M623" i="2"/>
  <c r="M664" i="2"/>
  <c r="M1177" i="2"/>
  <c r="M1837" i="2"/>
  <c r="M1249" i="2"/>
  <c r="M1842" i="2"/>
  <c r="M1575" i="2"/>
  <c r="M2214" i="2"/>
  <c r="M2573" i="2"/>
  <c r="M1092" i="2"/>
  <c r="M2464" i="2"/>
  <c r="M2240" i="2"/>
  <c r="M2563" i="2"/>
  <c r="M1544" i="2"/>
  <c r="M1816" i="2"/>
  <c r="M2050" i="2"/>
  <c r="M2119" i="2"/>
  <c r="M3009" i="2"/>
  <c r="M2755" i="2"/>
  <c r="M3044" i="2"/>
  <c r="M3882" i="2"/>
  <c r="M2782" i="2"/>
  <c r="M3702" i="2"/>
  <c r="M3727" i="2"/>
  <c r="M3941" i="2"/>
  <c r="M3971" i="2"/>
  <c r="M3426" i="2"/>
  <c r="M3672" i="2"/>
  <c r="M4181" i="2"/>
  <c r="M4273" i="2"/>
  <c r="M104" i="2"/>
  <c r="M35" i="2"/>
  <c r="M108" i="2"/>
  <c r="M40" i="2"/>
  <c r="M114" i="2"/>
  <c r="M43" i="2"/>
  <c r="M423" i="2"/>
  <c r="M637" i="2"/>
  <c r="M51" i="2"/>
  <c r="M253" i="2"/>
  <c r="M1470" i="2"/>
  <c r="M662" i="2"/>
  <c r="M133" i="2"/>
  <c r="M136" i="2"/>
  <c r="M937" i="2"/>
  <c r="M275" i="2"/>
  <c r="M942" i="2"/>
  <c r="M471" i="2"/>
  <c r="M292" i="2"/>
  <c r="M68" i="2"/>
  <c r="M729" i="2"/>
  <c r="M163" i="2"/>
  <c r="M69" i="2"/>
  <c r="M495" i="2"/>
  <c r="M497" i="2"/>
  <c r="M745" i="2"/>
  <c r="M74" i="2"/>
  <c r="M503" i="2"/>
  <c r="M1583" i="2"/>
  <c r="M1584" i="2"/>
  <c r="M776" i="2"/>
  <c r="M325" i="2"/>
  <c r="M83" i="2"/>
  <c r="M541" i="2"/>
  <c r="M198" i="2"/>
  <c r="M563" i="2"/>
  <c r="M210" i="2"/>
  <c r="M1992" i="2"/>
  <c r="M213" i="2"/>
  <c r="M91" i="2"/>
  <c r="M2313" i="2"/>
  <c r="M830" i="2"/>
  <c r="M99" i="2"/>
  <c r="M381" i="2"/>
  <c r="M599" i="2"/>
  <c r="M12" i="2"/>
  <c r="M398" i="2"/>
  <c r="M36" i="2"/>
  <c r="M870" i="2"/>
  <c r="M38" i="2"/>
  <c r="M115" i="2"/>
  <c r="M1758" i="2"/>
  <c r="M628" i="2"/>
  <c r="M1767" i="2"/>
  <c r="M633" i="2"/>
  <c r="M643" i="2"/>
  <c r="M1780" i="2"/>
  <c r="M1794" i="2"/>
  <c r="M124" i="2"/>
  <c r="M1175" i="2"/>
  <c r="M441" i="2"/>
  <c r="M932" i="2"/>
  <c r="M270" i="2"/>
  <c r="M272" i="2"/>
  <c r="M940" i="2"/>
  <c r="M279" i="2"/>
  <c r="M1526" i="2"/>
  <c r="M1533" i="2"/>
  <c r="M485" i="2"/>
  <c r="M976" i="2"/>
  <c r="M991" i="2"/>
  <c r="M306" i="2"/>
  <c r="M754" i="2"/>
  <c r="M1273" i="2"/>
  <c r="M1917" i="2"/>
  <c r="M175" i="2"/>
  <c r="M178" i="2"/>
  <c r="M313" i="2"/>
  <c r="M184" i="2"/>
  <c r="M186" i="2"/>
  <c r="M328" i="2"/>
  <c r="M26" i="2"/>
  <c r="M192" i="2"/>
  <c r="M340" i="2"/>
  <c r="M1052" i="2"/>
  <c r="M814" i="2"/>
  <c r="M1059" i="2"/>
  <c r="M1357" i="2"/>
  <c r="M362" i="2"/>
  <c r="M367" i="2"/>
  <c r="M592" i="2"/>
  <c r="M833" i="2"/>
  <c r="M380" i="2"/>
  <c r="M864" i="2"/>
  <c r="M245" i="2"/>
  <c r="M248" i="2"/>
  <c r="M1157" i="2"/>
  <c r="M645" i="2"/>
  <c r="M252" i="2"/>
  <c r="M1467" i="2"/>
  <c r="M255" i="2"/>
  <c r="M915" i="2"/>
  <c r="M1171" i="2"/>
  <c r="M1483" i="2"/>
  <c r="M440" i="2"/>
  <c r="M1486" i="2"/>
  <c r="M670" i="2"/>
  <c r="M680" i="2"/>
  <c r="M2142" i="2"/>
  <c r="M2144" i="2"/>
  <c r="M460" i="2"/>
  <c r="M1201" i="2"/>
  <c r="M949" i="2"/>
  <c r="M280" i="2"/>
  <c r="M698" i="2"/>
  <c r="M1861" i="2"/>
  <c r="M291" i="2"/>
  <c r="M1234" i="2"/>
  <c r="M720" i="2"/>
  <c r="M1552" i="2"/>
  <c r="M300" i="2"/>
  <c r="M988" i="2"/>
  <c r="M2234" i="2"/>
  <c r="M315" i="2"/>
  <c r="M772" i="2"/>
  <c r="M1295" i="2"/>
  <c r="M1300" i="2"/>
  <c r="M329" i="2"/>
  <c r="M1312" i="2"/>
  <c r="M1314" i="2"/>
  <c r="M545" i="2"/>
  <c r="M1322" i="2"/>
  <c r="M797" i="2"/>
  <c r="M1325" i="2"/>
  <c r="M348" i="2"/>
  <c r="M351" i="2"/>
  <c r="M1358" i="2"/>
  <c r="M575" i="2"/>
  <c r="M1687" i="2"/>
  <c r="M365" i="2"/>
  <c r="M1376" i="2"/>
  <c r="M2326" i="2"/>
  <c r="M1712" i="2"/>
  <c r="M382" i="2"/>
  <c r="M1406" i="2"/>
  <c r="M859" i="2"/>
  <c r="M1415" i="2"/>
  <c r="M394" i="2"/>
  <c r="M1125" i="2"/>
  <c r="M404" i="2"/>
  <c r="M1154" i="2"/>
  <c r="M1784" i="2"/>
  <c r="M654" i="2"/>
  <c r="M919" i="2"/>
  <c r="M442" i="2"/>
  <c r="M1814" i="2"/>
  <c r="M1184" i="2"/>
  <c r="M934" i="2"/>
  <c r="M1191" i="2"/>
  <c r="M1840" i="2"/>
  <c r="M2466" i="2"/>
  <c r="M1220" i="2"/>
  <c r="M480" i="2"/>
  <c r="M159" i="2"/>
  <c r="M496" i="2"/>
  <c r="M3117" i="2"/>
  <c r="M1593" i="2"/>
  <c r="M778" i="2"/>
  <c r="M331" i="2"/>
  <c r="M1624" i="2"/>
  <c r="M1626" i="2"/>
  <c r="M1038" i="2"/>
  <c r="M1645" i="2"/>
  <c r="M1326" i="2"/>
  <c r="M551" i="2"/>
  <c r="M1331" i="2"/>
  <c r="M1966" i="2"/>
  <c r="M564" i="2"/>
  <c r="M1053" i="2"/>
  <c r="M1999" i="2"/>
  <c r="M1686" i="2"/>
  <c r="M1073" i="2"/>
  <c r="M584" i="2"/>
  <c r="M1076" i="2"/>
  <c r="M825" i="2"/>
  <c r="M588" i="2"/>
  <c r="M2015" i="2"/>
  <c r="M1704" i="2"/>
  <c r="M856" i="2"/>
  <c r="M1119" i="2"/>
  <c r="M2065" i="2"/>
  <c r="M2076" i="2"/>
  <c r="M420" i="2"/>
  <c r="M644" i="2"/>
  <c r="M1793" i="2"/>
  <c r="M909" i="2"/>
  <c r="M1166" i="2"/>
  <c r="M2428" i="2"/>
  <c r="M665" i="2"/>
  <c r="M676" i="2"/>
  <c r="M276" i="2"/>
  <c r="M1197" i="2"/>
  <c r="M2461" i="2"/>
  <c r="M277" i="2"/>
  <c r="M1198" i="2"/>
  <c r="M685" i="2"/>
  <c r="M968" i="2"/>
  <c r="M1877" i="2"/>
  <c r="M2502" i="2"/>
  <c r="M1894" i="2"/>
  <c r="M1248" i="2"/>
  <c r="M1572" i="2"/>
  <c r="M1260" i="2"/>
  <c r="M1261" i="2"/>
  <c r="M1914" i="2"/>
  <c r="M2225" i="2"/>
  <c r="M1918" i="2"/>
  <c r="M763" i="2"/>
  <c r="M2251" i="2"/>
  <c r="M321" i="2"/>
  <c r="M1945" i="2"/>
  <c r="M1311" i="2"/>
  <c r="M1622" i="2"/>
  <c r="M1031" i="2"/>
  <c r="M334" i="2"/>
  <c r="M1636" i="2"/>
  <c r="M1637" i="2"/>
  <c r="M1324" i="2"/>
  <c r="M1347" i="2"/>
  <c r="M811" i="2"/>
  <c r="M1673" i="2"/>
  <c r="M1678" i="2"/>
  <c r="M2614" i="2"/>
  <c r="M1077" i="2"/>
  <c r="M827" i="2"/>
  <c r="M1379" i="2"/>
  <c r="M1087" i="2"/>
  <c r="M2945" i="2"/>
  <c r="M1124" i="2"/>
  <c r="M1755" i="2"/>
  <c r="M2077" i="2"/>
  <c r="M884" i="2"/>
  <c r="M2391" i="2"/>
  <c r="M2704" i="2"/>
  <c r="M898" i="2"/>
  <c r="M2112" i="2"/>
  <c r="M901" i="2"/>
  <c r="M913" i="2"/>
  <c r="M2734" i="2"/>
  <c r="M3021" i="2"/>
  <c r="M2430" i="2"/>
  <c r="M673" i="2"/>
  <c r="M1829" i="2"/>
  <c r="M1507" i="2"/>
  <c r="M1208" i="2"/>
  <c r="M2178" i="2"/>
  <c r="M2192" i="2"/>
  <c r="M977" i="2"/>
  <c r="M982" i="2"/>
  <c r="M987" i="2"/>
  <c r="M2220" i="2"/>
  <c r="M1915" i="2"/>
  <c r="M2230" i="2"/>
  <c r="M2236" i="2"/>
  <c r="M2543" i="2"/>
  <c r="M2851" i="2"/>
  <c r="M3135" i="2"/>
  <c r="M526" i="2"/>
  <c r="M2262" i="2"/>
  <c r="M1621" i="2"/>
  <c r="M2570" i="2"/>
  <c r="M1646" i="2"/>
  <c r="M1656" i="2"/>
  <c r="M1976" i="2"/>
  <c r="M1350" i="2"/>
  <c r="M1680" i="2"/>
  <c r="M1997" i="2"/>
  <c r="M2005" i="2"/>
  <c r="M1698" i="2"/>
  <c r="M2625" i="2"/>
  <c r="M2628" i="2"/>
  <c r="M1400" i="2"/>
  <c r="M1407" i="2"/>
  <c r="M2665" i="2"/>
  <c r="M3232" i="2"/>
  <c r="M3238" i="2"/>
  <c r="M1118" i="2"/>
  <c r="M1740" i="2"/>
  <c r="M863" i="2"/>
  <c r="M2382" i="2"/>
  <c r="M1136" i="2"/>
  <c r="M625" i="2"/>
  <c r="M1760" i="2"/>
  <c r="M2079" i="2"/>
  <c r="M3265" i="2"/>
  <c r="M1155" i="2"/>
  <c r="M647" i="2"/>
  <c r="M2117" i="2"/>
  <c r="M1789" i="2"/>
  <c r="M1801" i="2"/>
  <c r="M1802" i="2"/>
  <c r="M3024" i="2"/>
  <c r="M1820" i="2"/>
  <c r="M681" i="2"/>
  <c r="M2452" i="2"/>
  <c r="M2749" i="2"/>
  <c r="M1838" i="2"/>
  <c r="M2765" i="2"/>
  <c r="M1511" i="2"/>
  <c r="M3064" i="2"/>
  <c r="M1872" i="2"/>
  <c r="M2186" i="2"/>
  <c r="M3608" i="2"/>
  <c r="M1250" i="2"/>
  <c r="M2207" i="2"/>
  <c r="M2516" i="2"/>
  <c r="M2518" i="2"/>
  <c r="M1910" i="2"/>
  <c r="M1281" i="2"/>
  <c r="M3405" i="2"/>
  <c r="M2870" i="2"/>
  <c r="M1313" i="2"/>
  <c r="M1320" i="2"/>
  <c r="M1971" i="2"/>
  <c r="M1994" i="2"/>
  <c r="M2609" i="2"/>
  <c r="M1684" i="2"/>
  <c r="M1694" i="2"/>
  <c r="M1696" i="2"/>
  <c r="M1381" i="2"/>
  <c r="M1705" i="2"/>
  <c r="M2932" i="2"/>
  <c r="M2637" i="2"/>
  <c r="M2641" i="2"/>
  <c r="M2939" i="2"/>
  <c r="M1097" i="2"/>
  <c r="M2651" i="2"/>
  <c r="M1399" i="2"/>
  <c r="M1109" i="2"/>
  <c r="M1111" i="2"/>
  <c r="M3231" i="2"/>
  <c r="M3235" i="2"/>
  <c r="M2953" i="2"/>
  <c r="M3740" i="2"/>
  <c r="M1753" i="2"/>
  <c r="M2078" i="2"/>
  <c r="M2386" i="2"/>
  <c r="M2097" i="2"/>
  <c r="M1452" i="2"/>
  <c r="M2099" i="2"/>
  <c r="M3538" i="2"/>
  <c r="M2104" i="2"/>
  <c r="M2105" i="2"/>
  <c r="M900" i="2"/>
  <c r="M2723" i="2"/>
  <c r="M2735" i="2"/>
  <c r="M1485" i="2"/>
  <c r="M1501" i="2"/>
  <c r="M1832" i="2"/>
  <c r="M3045" i="2"/>
  <c r="M1204" i="2"/>
  <c r="M2770" i="2"/>
  <c r="M3337" i="2"/>
  <c r="M2481" i="2"/>
  <c r="M1864" i="2"/>
  <c r="M2803" i="2"/>
  <c r="M2808" i="2"/>
  <c r="M1567" i="2"/>
  <c r="M984" i="2"/>
  <c r="M1258" i="2"/>
  <c r="M2521" i="2"/>
  <c r="M3109" i="2"/>
  <c r="M1586" i="2"/>
  <c r="M2824" i="2"/>
  <c r="M2223" i="2"/>
  <c r="M2831" i="2"/>
  <c r="M2843" i="2"/>
  <c r="M1597" i="2"/>
  <c r="M3388" i="2"/>
  <c r="M2853" i="2"/>
  <c r="M2243" i="2"/>
  <c r="M1614" i="2"/>
  <c r="M2560" i="2"/>
  <c r="M2562" i="2"/>
  <c r="M3148" i="2"/>
  <c r="M2876" i="2"/>
  <c r="M1633" i="2"/>
  <c r="M2272" i="2"/>
  <c r="M4024" i="2"/>
  <c r="M2291" i="2"/>
  <c r="M2324" i="2"/>
  <c r="M2621" i="2"/>
  <c r="M2333" i="2"/>
  <c r="M2018" i="2"/>
  <c r="M2638" i="2"/>
  <c r="M1708" i="2"/>
  <c r="M1101" i="2"/>
  <c r="M1104" i="2"/>
  <c r="M2666" i="2"/>
  <c r="M2668" i="2"/>
  <c r="M2052" i="2"/>
  <c r="M2369" i="2"/>
  <c r="M2059" i="2"/>
  <c r="M2064" i="2"/>
  <c r="M2378" i="2"/>
  <c r="M2080" i="2"/>
  <c r="M2100" i="2"/>
  <c r="M3768" i="2"/>
  <c r="M2410" i="2"/>
  <c r="M2720" i="2"/>
  <c r="M2722" i="2"/>
  <c r="M3022" i="2"/>
  <c r="M3565" i="2"/>
  <c r="M2487" i="2"/>
  <c r="M2783" i="2"/>
  <c r="M3600" i="2"/>
  <c r="M2509" i="2"/>
  <c r="M1242" i="2"/>
  <c r="M3098" i="2"/>
  <c r="M3100" i="2"/>
  <c r="M2814" i="2"/>
  <c r="M1905" i="2"/>
  <c r="M1906" i="2"/>
  <c r="M2530" i="2"/>
  <c r="M2532" i="2"/>
  <c r="M2246" i="2"/>
  <c r="M2249" i="2"/>
  <c r="M2252" i="2"/>
  <c r="M3140" i="2"/>
  <c r="M2557" i="2"/>
  <c r="M2878" i="2"/>
  <c r="M1958" i="2"/>
  <c r="M2569" i="2"/>
  <c r="M2887" i="2"/>
  <c r="M2289" i="2"/>
  <c r="M3436" i="2"/>
  <c r="M1970" i="2"/>
  <c r="M3890" i="2"/>
  <c r="M2906" i="2"/>
  <c r="M3188" i="2"/>
  <c r="M2003" i="2"/>
  <c r="M3694" i="2"/>
  <c r="M1378" i="2"/>
  <c r="M2629" i="2"/>
  <c r="M1721" i="2"/>
  <c r="M3512" i="2"/>
  <c r="M2372" i="2"/>
  <c r="M3743" i="2"/>
  <c r="M3935" i="2"/>
  <c r="M2088" i="2"/>
  <c r="M3532" i="2"/>
  <c r="M2709" i="2"/>
  <c r="M1779" i="2"/>
  <c r="M2106" i="2"/>
  <c r="M3285" i="2"/>
  <c r="M2424" i="2"/>
  <c r="M2137" i="2"/>
  <c r="M3071" i="2"/>
  <c r="M2180" i="2"/>
  <c r="M2181" i="2"/>
  <c r="M2191" i="2"/>
  <c r="M3349" i="2"/>
  <c r="M3839" i="2"/>
  <c r="M3106" i="2"/>
  <c r="M3107" i="2"/>
  <c r="M3122" i="2"/>
  <c r="M3628" i="2"/>
  <c r="M3131" i="2"/>
  <c r="M3137" i="2"/>
  <c r="M2859" i="2"/>
  <c r="M3649" i="2"/>
  <c r="M1947" i="2"/>
  <c r="M2268" i="2"/>
  <c r="M2880" i="2"/>
  <c r="M1964" i="2"/>
  <c r="M3669" i="2"/>
  <c r="M2889" i="2"/>
  <c r="M2582" i="2"/>
  <c r="M2301" i="2"/>
  <c r="M3450" i="2"/>
  <c r="M2909" i="2"/>
  <c r="M2914" i="2"/>
  <c r="M2618" i="2"/>
  <c r="M3209" i="2"/>
  <c r="M3706" i="2"/>
  <c r="M4232" i="2"/>
  <c r="M3495" i="2"/>
  <c r="M3499" i="2"/>
  <c r="M2352" i="2"/>
  <c r="M1736" i="2"/>
  <c r="M4069" i="2"/>
  <c r="M3251" i="2"/>
  <c r="M3933" i="2"/>
  <c r="M3527" i="2"/>
  <c r="M3530" i="2"/>
  <c r="M2998" i="2"/>
  <c r="M3001" i="2"/>
  <c r="M3544" i="2"/>
  <c r="M3008" i="2"/>
  <c r="M3545" i="2"/>
  <c r="M3776" i="2"/>
  <c r="M1819" i="2"/>
  <c r="M2442" i="2"/>
  <c r="M2766" i="2"/>
  <c r="M3580" i="2"/>
  <c r="M2165" i="2"/>
  <c r="M2778" i="2"/>
  <c r="M2780" i="2"/>
  <c r="M3341" i="2"/>
  <c r="M2793" i="2"/>
  <c r="M2798" i="2"/>
  <c r="M2501" i="2"/>
  <c r="M3979" i="2"/>
  <c r="M4119" i="2"/>
  <c r="M3362" i="2"/>
  <c r="M3363" i="2"/>
  <c r="M1913" i="2"/>
  <c r="M3850" i="2"/>
  <c r="M3126" i="2"/>
  <c r="M3640" i="2"/>
  <c r="M3403" i="2"/>
  <c r="M3409" i="2"/>
  <c r="M4144" i="2"/>
  <c r="M3875" i="2"/>
  <c r="M3177" i="2"/>
  <c r="M2595" i="2"/>
  <c r="M3687" i="2"/>
  <c r="M4155" i="2"/>
  <c r="M3698" i="2"/>
  <c r="M4159" i="2"/>
  <c r="M3481" i="2"/>
  <c r="M3486" i="2"/>
  <c r="M2347" i="2"/>
  <c r="M2947" i="2"/>
  <c r="M3923" i="2"/>
  <c r="M2054" i="2"/>
  <c r="M3246" i="2"/>
  <c r="M3253" i="2"/>
  <c r="M3267" i="2"/>
  <c r="M3775" i="2"/>
  <c r="M3948" i="2"/>
  <c r="M4097" i="2"/>
  <c r="M2754" i="2"/>
  <c r="M3796" i="2"/>
  <c r="M2158" i="2"/>
  <c r="M3967" i="2"/>
  <c r="M2774" i="2"/>
  <c r="M3972" i="2"/>
  <c r="M2179" i="2"/>
  <c r="M3981" i="2"/>
  <c r="M2515" i="2"/>
  <c r="M2830" i="2"/>
  <c r="M2838" i="2"/>
  <c r="M3379" i="2"/>
  <c r="M3632" i="2"/>
  <c r="M3635" i="2"/>
  <c r="M4010" i="2"/>
  <c r="M2869" i="2"/>
  <c r="M3418" i="2"/>
  <c r="M4018" i="2"/>
  <c r="M3870" i="2"/>
  <c r="M4146" i="2"/>
  <c r="M3673" i="2"/>
  <c r="M3167" i="2"/>
  <c r="M3441" i="2"/>
  <c r="M2907" i="2"/>
  <c r="M2913" i="2"/>
  <c r="M2310" i="2"/>
  <c r="M4161" i="2"/>
  <c r="M3907" i="2"/>
  <c r="M4053" i="2"/>
  <c r="M3491" i="2"/>
  <c r="M2341" i="2"/>
  <c r="M3500" i="2"/>
  <c r="M4234" i="2"/>
  <c r="M3223" i="2"/>
  <c r="M3931" i="2"/>
  <c r="M4078" i="2"/>
  <c r="M2971" i="2"/>
  <c r="M2980" i="2"/>
  <c r="M4087" i="2"/>
  <c r="M3540" i="2"/>
  <c r="M4243" i="2"/>
  <c r="M3003" i="2"/>
  <c r="M3287" i="2"/>
  <c r="M2731" i="2"/>
  <c r="M4094" i="2"/>
  <c r="M2439" i="2"/>
  <c r="M2745" i="2"/>
  <c r="M3799" i="2"/>
  <c r="M3059" i="2"/>
  <c r="M3070" i="2"/>
  <c r="M4109" i="2"/>
  <c r="M3080" i="2"/>
  <c r="M2497" i="2"/>
  <c r="M4203" i="2"/>
  <c r="M3841" i="2"/>
  <c r="M3619" i="2"/>
  <c r="M3119" i="2"/>
  <c r="M3853" i="2"/>
  <c r="M4260" i="2"/>
  <c r="M4135" i="2"/>
  <c r="M4007" i="2"/>
  <c r="M4213" i="2"/>
  <c r="M4263" i="2"/>
  <c r="M3408" i="2"/>
  <c r="M3151" i="2"/>
  <c r="M3871" i="2"/>
  <c r="M4025" i="2"/>
  <c r="M2893" i="2"/>
  <c r="M3894" i="2"/>
  <c r="M3462" i="2"/>
  <c r="M3475" i="2"/>
  <c r="M2633" i="2"/>
  <c r="M4054" i="2"/>
  <c r="M3488" i="2"/>
  <c r="M4290" i="2"/>
  <c r="M3916" i="2"/>
  <c r="M3230" i="2"/>
  <c r="M4238" i="2"/>
  <c r="M3736" i="2"/>
  <c r="M3521" i="2"/>
  <c r="M4082" i="2"/>
  <c r="M3943" i="2"/>
  <c r="M3302" i="2"/>
  <c r="M3784" i="2"/>
  <c r="M4189" i="2"/>
  <c r="M3309" i="2"/>
  <c r="M3562" i="2"/>
  <c r="M3564" i="2"/>
  <c r="M4294" i="2"/>
  <c r="M3575" i="2"/>
  <c r="M4250" i="2"/>
  <c r="M3964" i="2"/>
  <c r="M3966" i="2"/>
  <c r="M4113" i="2"/>
  <c r="M3810" i="2"/>
  <c r="M3817" i="2"/>
  <c r="M3365" i="2"/>
  <c r="M4207" i="2"/>
  <c r="M3371" i="2"/>
  <c r="M3376" i="2"/>
  <c r="M3386" i="2"/>
  <c r="M4000" i="2"/>
  <c r="M4282" i="2"/>
  <c r="M3394" i="2"/>
  <c r="M4211" i="2"/>
  <c r="M3859" i="2"/>
  <c r="M4015" i="2"/>
  <c r="M3886" i="2"/>
  <c r="M3451" i="2"/>
  <c r="M4160" i="2"/>
  <c r="M4270" i="2"/>
  <c r="M3710" i="2"/>
  <c r="M3713" i="2"/>
  <c r="M4289" i="2"/>
  <c r="M4233" i="2"/>
  <c r="M4274" i="2"/>
  <c r="M82" i="2"/>
  <c r="M498" i="2"/>
  <c r="M183" i="2"/>
  <c r="M363" i="2"/>
  <c r="M2977" i="2"/>
  <c r="M451" i="2"/>
  <c r="M455" i="2"/>
  <c r="M2328" i="2"/>
  <c r="M2650" i="2"/>
  <c r="M882" i="2"/>
  <c r="M2016" i="2"/>
  <c r="M2083" i="2"/>
  <c r="M3501" i="2"/>
  <c r="M3581" i="2"/>
  <c r="M4141" i="2"/>
  <c r="M3496" i="2"/>
  <c r="M236" i="2"/>
  <c r="M42" i="2"/>
  <c r="M50" i="2"/>
  <c r="M1785" i="2"/>
  <c r="M431" i="2"/>
  <c r="M1179" i="2"/>
  <c r="M137" i="2"/>
  <c r="M141" i="2"/>
  <c r="M64" i="2"/>
  <c r="M294" i="2"/>
  <c r="M725" i="2"/>
  <c r="M1244" i="2"/>
  <c r="M168" i="2"/>
  <c r="M501" i="2"/>
  <c r="M744" i="2"/>
  <c r="M169" i="2"/>
  <c r="M73" i="2"/>
  <c r="M78" i="2"/>
  <c r="M79" i="2"/>
  <c r="M320" i="2"/>
  <c r="M535" i="2"/>
  <c r="M1317" i="2"/>
  <c r="M1037" i="2"/>
  <c r="M337" i="2"/>
  <c r="M569" i="2"/>
  <c r="M837" i="2"/>
  <c r="M594" i="2"/>
  <c r="M100" i="2"/>
  <c r="M229" i="2"/>
  <c r="M616" i="2"/>
  <c r="M400" i="2"/>
  <c r="M875" i="2"/>
  <c r="M419" i="2"/>
  <c r="M1459" i="2"/>
  <c r="M17" i="2"/>
  <c r="M907" i="2"/>
  <c r="M435" i="2"/>
  <c r="M125" i="2"/>
  <c r="M128" i="2"/>
  <c r="M260" i="2"/>
  <c r="M129" i="2"/>
  <c r="M262" i="2"/>
  <c r="M264" i="2"/>
  <c r="M1817" i="2"/>
  <c r="M936" i="2"/>
  <c r="M139" i="2"/>
  <c r="M470" i="2"/>
  <c r="M282" i="2"/>
  <c r="M953" i="2"/>
  <c r="M1221" i="2"/>
  <c r="M474" i="2"/>
  <c r="M153" i="2"/>
  <c r="M727" i="2"/>
  <c r="M161" i="2"/>
  <c r="M493" i="2"/>
  <c r="M499" i="2"/>
  <c r="M172" i="2"/>
  <c r="M1275" i="2"/>
  <c r="M773" i="2"/>
  <c r="M781" i="2"/>
  <c r="M189" i="2"/>
  <c r="M787" i="2"/>
  <c r="M1648" i="2"/>
  <c r="M799" i="2"/>
  <c r="M1046" i="2"/>
  <c r="M1664" i="2"/>
  <c r="M209" i="2"/>
  <c r="M1353" i="2"/>
  <c r="M1065" i="2"/>
  <c r="M821" i="2"/>
  <c r="M589" i="2"/>
  <c r="M1389" i="2"/>
  <c r="M225" i="2"/>
  <c r="M1436" i="2"/>
  <c r="M244" i="2"/>
  <c r="M897" i="2"/>
  <c r="M428" i="2"/>
  <c r="M1168" i="2"/>
  <c r="M1181" i="2"/>
  <c r="M1186" i="2"/>
  <c r="M273" i="2"/>
  <c r="M1503" i="2"/>
  <c r="M459" i="2"/>
  <c r="M2148" i="2"/>
  <c r="M1535" i="2"/>
  <c r="M1237" i="2"/>
  <c r="M983" i="2"/>
  <c r="M1256" i="2"/>
  <c r="M1580" i="2"/>
  <c r="M1908" i="2"/>
  <c r="M515" i="2"/>
  <c r="M1286" i="2"/>
  <c r="M1616" i="2"/>
  <c r="M2261" i="2"/>
  <c r="M1619" i="2"/>
  <c r="M538" i="2"/>
  <c r="M2287" i="2"/>
  <c r="M807" i="2"/>
  <c r="M1342" i="2"/>
  <c r="M1665" i="2"/>
  <c r="M585" i="2"/>
  <c r="M2356" i="2"/>
  <c r="M607" i="2"/>
  <c r="M386" i="2"/>
  <c r="M106" i="2"/>
  <c r="M395" i="2"/>
  <c r="M1126" i="2"/>
  <c r="M872" i="2"/>
  <c r="M2087" i="2"/>
  <c r="M635" i="2"/>
  <c r="M889" i="2"/>
  <c r="M425" i="2"/>
  <c r="M893" i="2"/>
  <c r="M2125" i="2"/>
  <c r="M1189" i="2"/>
  <c r="M687" i="2"/>
  <c r="M1517" i="2"/>
  <c r="M146" i="2"/>
  <c r="M1222" i="2"/>
  <c r="M479" i="2"/>
  <c r="M2204" i="2"/>
  <c r="M985" i="2"/>
  <c r="M506" i="2"/>
  <c r="M1277" i="2"/>
  <c r="M180" i="2"/>
  <c r="M533" i="2"/>
  <c r="M540" i="2"/>
  <c r="M2886" i="2"/>
  <c r="M1337" i="2"/>
  <c r="M554" i="2"/>
  <c r="M354" i="2"/>
  <c r="M1988" i="2"/>
  <c r="M2002" i="2"/>
  <c r="M838" i="2"/>
  <c r="M2032" i="2"/>
  <c r="M1409" i="2"/>
  <c r="M606" i="2"/>
  <c r="M1734" i="2"/>
  <c r="M609" i="2"/>
  <c r="M1120" i="2"/>
  <c r="M618" i="2"/>
  <c r="M426" i="2"/>
  <c r="M1161" i="2"/>
  <c r="M653" i="2"/>
  <c r="M1487" i="2"/>
  <c r="M1228" i="2"/>
  <c r="M1545" i="2"/>
  <c r="M2211" i="2"/>
  <c r="M749" i="2"/>
  <c r="M1268" i="2"/>
  <c r="M1590" i="2"/>
  <c r="M760" i="2"/>
  <c r="M1009" i="2"/>
  <c r="M2565" i="2"/>
  <c r="M793" i="2"/>
  <c r="M795" i="2"/>
  <c r="M813" i="2"/>
  <c r="M1671" i="2"/>
  <c r="M1351" i="2"/>
  <c r="M3201" i="2"/>
  <c r="M826" i="2"/>
  <c r="M3207" i="2"/>
  <c r="M596" i="2"/>
  <c r="M1717" i="2"/>
  <c r="M2350" i="2"/>
  <c r="M1727" i="2"/>
  <c r="M1416" i="2"/>
  <c r="M2674" i="2"/>
  <c r="M1744" i="2"/>
  <c r="M865" i="2"/>
  <c r="M2964" i="2"/>
  <c r="M873" i="2"/>
  <c r="M878" i="2"/>
  <c r="M1768" i="2"/>
  <c r="M1451" i="2"/>
  <c r="M1453" i="2"/>
  <c r="M1156" i="2"/>
  <c r="M2995" i="2"/>
  <c r="M2727" i="2"/>
  <c r="M1481" i="2"/>
  <c r="M1170" i="2"/>
  <c r="M925" i="2"/>
  <c r="M2743" i="2"/>
  <c r="M2140" i="2"/>
  <c r="M1192" i="2"/>
  <c r="M939" i="2"/>
  <c r="M1863" i="2"/>
  <c r="M2493" i="2"/>
  <c r="M1882" i="2"/>
  <c r="M3092" i="2"/>
  <c r="M1555" i="2"/>
  <c r="M1893" i="2"/>
  <c r="M1246" i="2"/>
  <c r="M1565" i="2"/>
  <c r="M2818" i="2"/>
  <c r="M1911" i="2"/>
  <c r="M2846" i="2"/>
  <c r="M1926" i="2"/>
  <c r="M1287" i="2"/>
  <c r="M1288" i="2"/>
  <c r="M1010" i="2"/>
  <c r="M2551" i="2"/>
  <c r="M1048" i="2"/>
  <c r="M1980" i="2"/>
  <c r="M1985" i="2"/>
  <c r="M2597" i="2"/>
  <c r="M2012" i="2"/>
  <c r="M2335" i="2"/>
  <c r="M2022" i="2"/>
  <c r="M1393" i="2"/>
  <c r="M2028" i="2"/>
  <c r="M1110" i="2"/>
  <c r="M1742" i="2"/>
  <c r="M636" i="2"/>
  <c r="M2397" i="2"/>
  <c r="M2400" i="2"/>
  <c r="M3282" i="2"/>
  <c r="M2111" i="2"/>
  <c r="M2123" i="2"/>
  <c r="M3558" i="2"/>
  <c r="M2448" i="2"/>
  <c r="M1499" i="2"/>
  <c r="M3327" i="2"/>
  <c r="M1205" i="2"/>
  <c r="M2485" i="2"/>
  <c r="M2794" i="2"/>
  <c r="M3093" i="2"/>
  <c r="M2203" i="2"/>
  <c r="M2811" i="2"/>
  <c r="M1577" i="2"/>
  <c r="M2238" i="2"/>
  <c r="M2547" i="2"/>
  <c r="M1934" i="2"/>
  <c r="M3143" i="2"/>
  <c r="M3146" i="2"/>
  <c r="M1307" i="2"/>
  <c r="M1951" i="2"/>
  <c r="M2276" i="2"/>
  <c r="M2894" i="2"/>
  <c r="M2295" i="2"/>
  <c r="M2588" i="2"/>
  <c r="M1986" i="2"/>
  <c r="M1996" i="2"/>
  <c r="M3459" i="2"/>
  <c r="M3688" i="2"/>
  <c r="M1683" i="2"/>
  <c r="M3195" i="2"/>
  <c r="M2645" i="2"/>
  <c r="M2944" i="2"/>
  <c r="M2048" i="2"/>
  <c r="M1745" i="2"/>
  <c r="M1757" i="2"/>
  <c r="M2084" i="2"/>
  <c r="M2086" i="2"/>
  <c r="M1764" i="2"/>
  <c r="M1446" i="2"/>
  <c r="M1447" i="2"/>
  <c r="M2703" i="2"/>
  <c r="M3535" i="2"/>
  <c r="M2987" i="2"/>
  <c r="M1456" i="2"/>
  <c r="M1783" i="2"/>
  <c r="M3002" i="2"/>
  <c r="M2121" i="2"/>
  <c r="M1471" i="2"/>
  <c r="M2453" i="2"/>
  <c r="M2470" i="2"/>
  <c r="M2772" i="2"/>
  <c r="M2775" i="2"/>
  <c r="M1529" i="2"/>
  <c r="M1530" i="2"/>
  <c r="M2506" i="2"/>
  <c r="M1255" i="2"/>
  <c r="M3112" i="2"/>
  <c r="M2834" i="2"/>
  <c r="M1001" i="2"/>
  <c r="M3133" i="2"/>
  <c r="M3638" i="2"/>
  <c r="M3155" i="2"/>
  <c r="M3156" i="2"/>
  <c r="M3162" i="2"/>
  <c r="M3166" i="2"/>
  <c r="M3182" i="2"/>
  <c r="M1990" i="2"/>
  <c r="M3194" i="2"/>
  <c r="M1078" i="2"/>
  <c r="M2957" i="2"/>
  <c r="M2379" i="2"/>
  <c r="M3262" i="2"/>
  <c r="M1790" i="2"/>
  <c r="M2143" i="2"/>
  <c r="M2456" i="2"/>
  <c r="M2773" i="2"/>
  <c r="M3344" i="2"/>
  <c r="M2511" i="2"/>
  <c r="M2807" i="2"/>
  <c r="M1912" i="2"/>
  <c r="M2845" i="2"/>
  <c r="M3121" i="2"/>
  <c r="M3123" i="2"/>
  <c r="M2255" i="2"/>
  <c r="M1318" i="2"/>
  <c r="M3421" i="2"/>
  <c r="M3164" i="2"/>
  <c r="M1973" i="2"/>
  <c r="M3444" i="2"/>
  <c r="M3447" i="2"/>
  <c r="M2592" i="2"/>
  <c r="M2598" i="2"/>
  <c r="M1690" i="2"/>
  <c r="M2325" i="2"/>
  <c r="M2338" i="2"/>
  <c r="M2640" i="2"/>
  <c r="M3503" i="2"/>
  <c r="M1398" i="2"/>
  <c r="M3723" i="2"/>
  <c r="M2039" i="2"/>
  <c r="M2042" i="2"/>
  <c r="M2045" i="2"/>
  <c r="M2359" i="2"/>
  <c r="M3739" i="2"/>
  <c r="M2384" i="2"/>
  <c r="M2073" i="2"/>
  <c r="M3266" i="2"/>
  <c r="M2984" i="2"/>
  <c r="M3014" i="2"/>
  <c r="M3790" i="2"/>
  <c r="M1833" i="2"/>
  <c r="M3049" i="2"/>
  <c r="M3336" i="2"/>
  <c r="M3589" i="2"/>
  <c r="M2789" i="2"/>
  <c r="M2499" i="2"/>
  <c r="M3372" i="2"/>
  <c r="M3120" i="2"/>
  <c r="M3848" i="2"/>
  <c r="M1921" i="2"/>
  <c r="M3624" i="2"/>
  <c r="M3393" i="2"/>
  <c r="M1949" i="2"/>
  <c r="M3864" i="2"/>
  <c r="M3419" i="2"/>
  <c r="M2275" i="2"/>
  <c r="M2277" i="2"/>
  <c r="M3428" i="2"/>
  <c r="M2921" i="2"/>
  <c r="M2922" i="2"/>
  <c r="M3479" i="2"/>
  <c r="M3218" i="2"/>
  <c r="M2646" i="2"/>
  <c r="M2649" i="2"/>
  <c r="M2950" i="2"/>
  <c r="M3510" i="2"/>
  <c r="M2364" i="2"/>
  <c r="M3937" i="2"/>
  <c r="M2102" i="2"/>
  <c r="M1791" i="2"/>
  <c r="M3028" i="2"/>
  <c r="M3310" i="2"/>
  <c r="M2446" i="2"/>
  <c r="M3574" i="2"/>
  <c r="M1845" i="2"/>
  <c r="M3596" i="2"/>
  <c r="M2826" i="2"/>
  <c r="M3374" i="2"/>
  <c r="M3124" i="2"/>
  <c r="M3382" i="2"/>
  <c r="M3139" i="2"/>
  <c r="M2862" i="2"/>
  <c r="M3395" i="2"/>
  <c r="M3149" i="2"/>
  <c r="M3658" i="2"/>
  <c r="M2619" i="2"/>
  <c r="M4226" i="2"/>
  <c r="M3905" i="2"/>
  <c r="M2662" i="2"/>
  <c r="M2677" i="2"/>
  <c r="M3534" i="2"/>
  <c r="M3762" i="2"/>
  <c r="M4086" i="2"/>
  <c r="M4244" i="2"/>
  <c r="M2726" i="2"/>
  <c r="M3020" i="2"/>
  <c r="M3953" i="2"/>
  <c r="M3315" i="2"/>
  <c r="M3561" i="2"/>
  <c r="M3961" i="2"/>
  <c r="M4103" i="2"/>
  <c r="M3058" i="2"/>
  <c r="M3976" i="2"/>
  <c r="M3811" i="2"/>
  <c r="M3601" i="2"/>
  <c r="M3355" i="2"/>
  <c r="M3620" i="2"/>
  <c r="M3845" i="2"/>
  <c r="M3847" i="2"/>
  <c r="M2847" i="2"/>
  <c r="M3136" i="2"/>
  <c r="M3648" i="2"/>
  <c r="M3872" i="2"/>
  <c r="M3667" i="2"/>
  <c r="M2579" i="2"/>
  <c r="M3434" i="2"/>
  <c r="M3196" i="2"/>
  <c r="M3206" i="2"/>
  <c r="M2636" i="2"/>
  <c r="M3709" i="2"/>
  <c r="M3213" i="2"/>
  <c r="M3494" i="2"/>
  <c r="M3737" i="2"/>
  <c r="M2962" i="2"/>
  <c r="M4176" i="2"/>
  <c r="M3751" i="2"/>
  <c r="M2989" i="2"/>
  <c r="M4089" i="2"/>
  <c r="M3949" i="2"/>
  <c r="M3783" i="2"/>
  <c r="M4099" i="2"/>
  <c r="M3958" i="2"/>
  <c r="M4105" i="2"/>
  <c r="M3047" i="2"/>
  <c r="M3974" i="2"/>
  <c r="M3595" i="2"/>
  <c r="M3339" i="2"/>
  <c r="M3606" i="2"/>
  <c r="M4205" i="2"/>
  <c r="M3989" i="2"/>
  <c r="M3116" i="2"/>
  <c r="M3863" i="2"/>
  <c r="M4296" i="2"/>
  <c r="M3662" i="2"/>
  <c r="M3163" i="2"/>
  <c r="M4031" i="2"/>
  <c r="M3680" i="2"/>
  <c r="M3686" i="2"/>
  <c r="M3225" i="2"/>
  <c r="M3236" i="2"/>
  <c r="M4170" i="2"/>
  <c r="M4071" i="2"/>
  <c r="M3930" i="2"/>
  <c r="M4173" i="2"/>
  <c r="M4174" i="2"/>
  <c r="M2691" i="2"/>
  <c r="M3525" i="2"/>
  <c r="M3753" i="2"/>
  <c r="M2705" i="2"/>
  <c r="M2724" i="2"/>
  <c r="M3959" i="2"/>
  <c r="M4298" i="2"/>
  <c r="M4198" i="2"/>
  <c r="M3592" i="2"/>
  <c r="M3973" i="2"/>
  <c r="M4115" i="2"/>
  <c r="M4281" i="2"/>
  <c r="M3615" i="2"/>
  <c r="M3994" i="2"/>
  <c r="M3622" i="2"/>
  <c r="M4002" i="2"/>
  <c r="M3855" i="2"/>
  <c r="M4140" i="2"/>
  <c r="M3655" i="2"/>
  <c r="M4142" i="2"/>
  <c r="M4149" i="2"/>
  <c r="M4028" i="2"/>
  <c r="M4040" i="2"/>
  <c r="M3693" i="2"/>
  <c r="M4047" i="2"/>
  <c r="M4229" i="2"/>
  <c r="M3914" i="2"/>
  <c r="M332" i="2"/>
  <c r="M2540" i="2"/>
  <c r="M1316" i="2"/>
  <c r="M2477" i="2"/>
  <c r="M1643" i="2"/>
  <c r="M3842" i="2"/>
  <c r="M2620" i="2"/>
  <c r="M3270" i="2"/>
  <c r="M4102" i="2"/>
  <c r="M385" i="2"/>
  <c r="M107" i="2"/>
  <c r="M411" i="2"/>
  <c r="M15" i="2"/>
  <c r="M417" i="2"/>
  <c r="M638" i="2"/>
  <c r="M894" i="2"/>
  <c r="M918" i="2"/>
  <c r="M439" i="2"/>
  <c r="M663" i="2"/>
  <c r="M266" i="2"/>
  <c r="M268" i="2"/>
  <c r="M58" i="2"/>
  <c r="M22" i="2"/>
  <c r="M67" i="2"/>
  <c r="M492" i="2"/>
  <c r="M746" i="2"/>
  <c r="M174" i="2"/>
  <c r="M24" i="2"/>
  <c r="M768" i="2"/>
  <c r="M522" i="2"/>
  <c r="M1045" i="2"/>
  <c r="M359" i="2"/>
  <c r="M1066" i="2"/>
  <c r="M1067" i="2"/>
  <c r="M361" i="2"/>
  <c r="M1072" i="2"/>
  <c r="M1086" i="2"/>
  <c r="M591" i="2"/>
  <c r="M383" i="2"/>
  <c r="M230" i="2"/>
  <c r="M880" i="2"/>
  <c r="M1439" i="2"/>
  <c r="M118" i="2"/>
  <c r="M2403" i="2"/>
  <c r="M123" i="2"/>
  <c r="M2115" i="2"/>
  <c r="M134" i="2"/>
  <c r="M135" i="2"/>
  <c r="M1199" i="2"/>
  <c r="M21" i="2"/>
  <c r="M151" i="2"/>
  <c r="M1534" i="2"/>
  <c r="M705" i="2"/>
  <c r="M66" i="2"/>
  <c r="M708" i="2"/>
  <c r="M158" i="2"/>
  <c r="M735" i="2"/>
  <c r="M748" i="2"/>
  <c r="M992" i="2"/>
  <c r="M305" i="2"/>
  <c r="M75" i="2"/>
  <c r="M764" i="2"/>
  <c r="M766" i="2"/>
  <c r="M179" i="2"/>
  <c r="M317" i="2"/>
  <c r="M182" i="2"/>
  <c r="M782" i="2"/>
  <c r="M1956" i="2"/>
  <c r="M205" i="2"/>
  <c r="M562" i="2"/>
  <c r="M92" i="2"/>
  <c r="M216" i="2"/>
  <c r="M834" i="2"/>
  <c r="M836" i="2"/>
  <c r="M373" i="2"/>
  <c r="M224" i="2"/>
  <c r="M2030" i="2"/>
  <c r="M378" i="2"/>
  <c r="M597" i="2"/>
  <c r="M102" i="2"/>
  <c r="M1113" i="2"/>
  <c r="M611" i="2"/>
  <c r="M612" i="2"/>
  <c r="M231" i="2"/>
  <c r="M866" i="2"/>
  <c r="M619" i="2"/>
  <c r="M626" i="2"/>
  <c r="M2082" i="2"/>
  <c r="M2109" i="2"/>
  <c r="M430" i="2"/>
  <c r="M902" i="2"/>
  <c r="M2116" i="2"/>
  <c r="M265" i="2"/>
  <c r="M1187" i="2"/>
  <c r="M941" i="2"/>
  <c r="M945" i="2"/>
  <c r="M465" i="2"/>
  <c r="M690" i="2"/>
  <c r="M1523" i="2"/>
  <c r="M1232" i="2"/>
  <c r="M1542" i="2"/>
  <c r="M718" i="2"/>
  <c r="M741" i="2"/>
  <c r="M750" i="2"/>
  <c r="M1285" i="2"/>
  <c r="M314" i="2"/>
  <c r="M1019" i="2"/>
  <c r="M1642" i="2"/>
  <c r="M544" i="2"/>
  <c r="M547" i="2"/>
  <c r="M1666" i="2"/>
  <c r="M2316" i="2"/>
  <c r="M582" i="2"/>
  <c r="M1075" i="2"/>
  <c r="M366" i="2"/>
  <c r="M2007" i="2"/>
  <c r="M1089" i="2"/>
  <c r="M374" i="2"/>
  <c r="M845" i="2"/>
  <c r="M613" i="2"/>
  <c r="M871" i="2"/>
  <c r="M406" i="2"/>
  <c r="M1129" i="2"/>
  <c r="M416" i="2"/>
  <c r="M1440" i="2"/>
  <c r="M117" i="2"/>
  <c r="M1476" i="2"/>
  <c r="M667" i="2"/>
  <c r="M140" i="2"/>
  <c r="M1203" i="2"/>
  <c r="M961" i="2"/>
  <c r="M1540" i="2"/>
  <c r="M1561" i="2"/>
  <c r="M494" i="2"/>
  <c r="M301" i="2"/>
  <c r="M743" i="2"/>
  <c r="M2216" i="2"/>
  <c r="M2828" i="2"/>
  <c r="M756" i="2"/>
  <c r="M1290" i="2"/>
  <c r="M2554" i="2"/>
  <c r="M527" i="2"/>
  <c r="M1304" i="2"/>
  <c r="M1623" i="2"/>
  <c r="M1030" i="2"/>
  <c r="M788" i="2"/>
  <c r="M1035" i="2"/>
  <c r="M2885" i="2"/>
  <c r="M1042" i="2"/>
  <c r="M559" i="2"/>
  <c r="M1061" i="2"/>
  <c r="M1995" i="2"/>
  <c r="M1679" i="2"/>
  <c r="M1069" i="2"/>
  <c r="M1368" i="2"/>
  <c r="M1720" i="2"/>
  <c r="M387" i="2"/>
  <c r="M1117" i="2"/>
  <c r="M1422" i="2"/>
  <c r="M1425" i="2"/>
  <c r="M1747" i="2"/>
  <c r="M237" i="2"/>
  <c r="M1437" i="2"/>
  <c r="M629" i="2"/>
  <c r="M2699" i="2"/>
  <c r="M250" i="2"/>
  <c r="M1461" i="2"/>
  <c r="M646" i="2"/>
  <c r="M1468" i="2"/>
  <c r="M1162" i="2"/>
  <c r="M1480" i="2"/>
  <c r="M2423" i="2"/>
  <c r="M1807" i="2"/>
  <c r="M456" i="2"/>
  <c r="M467" i="2"/>
  <c r="M2156" i="2"/>
  <c r="M2475" i="2"/>
  <c r="M1859" i="2"/>
  <c r="M3065" i="2"/>
  <c r="M2175" i="2"/>
  <c r="M1538" i="2"/>
  <c r="M711" i="2"/>
  <c r="M2797" i="2"/>
  <c r="M724" i="2"/>
  <c r="M2197" i="2"/>
  <c r="M1241" i="2"/>
  <c r="M3097" i="2"/>
  <c r="M1895" i="2"/>
  <c r="M980" i="2"/>
  <c r="M1924" i="2"/>
  <c r="M1929" i="2"/>
  <c r="M1289" i="2"/>
  <c r="M523" i="2"/>
  <c r="M1641" i="2"/>
  <c r="M546" i="2"/>
  <c r="M1327" i="2"/>
  <c r="M2285" i="2"/>
  <c r="M556" i="2"/>
  <c r="M566" i="2"/>
  <c r="M577" i="2"/>
  <c r="M1373" i="2"/>
  <c r="M1377" i="2"/>
  <c r="M1081" i="2"/>
  <c r="M2033" i="2"/>
  <c r="M1410" i="2"/>
  <c r="M1413" i="2"/>
  <c r="M1743" i="2"/>
  <c r="M2060" i="2"/>
  <c r="M2370" i="2"/>
  <c r="M1123" i="2"/>
  <c r="M2381" i="2"/>
  <c r="M2070" i="2"/>
  <c r="M2393" i="2"/>
  <c r="M2997" i="2"/>
  <c r="M1172" i="2"/>
  <c r="M1815" i="2"/>
  <c r="M935" i="2"/>
  <c r="M1831" i="2"/>
  <c r="M1836" i="2"/>
  <c r="M1846" i="2"/>
  <c r="M1212" i="2"/>
  <c r="M1213" i="2"/>
  <c r="M956" i="2"/>
  <c r="M2482" i="2"/>
  <c r="M1226" i="2"/>
  <c r="M717" i="2"/>
  <c r="M1581" i="2"/>
  <c r="M2224" i="2"/>
  <c r="M997" i="2"/>
  <c r="M2855" i="2"/>
  <c r="M1008" i="2"/>
  <c r="M1612" i="2"/>
  <c r="M543" i="2"/>
  <c r="M2278" i="2"/>
  <c r="M2281" i="2"/>
  <c r="M2589" i="2"/>
  <c r="M3183" i="2"/>
  <c r="M2014" i="2"/>
  <c r="M3217" i="2"/>
  <c r="M1714" i="2"/>
  <c r="M2061" i="2"/>
  <c r="M1438" i="2"/>
  <c r="M2715" i="2"/>
  <c r="M2440" i="2"/>
  <c r="M2747" i="2"/>
  <c r="M2450" i="2"/>
  <c r="M3324" i="2"/>
  <c r="M1193" i="2"/>
  <c r="M1834" i="2"/>
  <c r="M2463" i="2"/>
  <c r="M3331" i="2"/>
  <c r="M1214" i="2"/>
  <c r="M1536" i="2"/>
  <c r="M1230" i="2"/>
  <c r="M1238" i="2"/>
  <c r="M1253" i="2"/>
  <c r="M3367" i="2"/>
  <c r="M1269" i="2"/>
  <c r="M996" i="2"/>
  <c r="M2548" i="2"/>
  <c r="M2558" i="2"/>
  <c r="M780" i="2"/>
  <c r="M2575" i="2"/>
  <c r="M1963" i="2"/>
  <c r="M1654" i="2"/>
  <c r="M3437" i="2"/>
  <c r="M3678" i="2"/>
  <c r="M1660" i="2"/>
  <c r="M1352" i="2"/>
  <c r="M2600" i="2"/>
  <c r="M1676" i="2"/>
  <c r="M2608" i="2"/>
  <c r="M2610" i="2"/>
  <c r="M1382" i="2"/>
  <c r="M3211" i="2"/>
  <c r="M1387" i="2"/>
  <c r="M3497" i="2"/>
  <c r="M3719" i="2"/>
  <c r="M2654" i="2"/>
  <c r="M2667" i="2"/>
  <c r="M2368" i="2"/>
  <c r="M2383" i="2"/>
  <c r="M2072" i="2"/>
  <c r="M2978" i="2"/>
  <c r="M1478" i="2"/>
  <c r="M2418" i="2"/>
  <c r="M3567" i="2"/>
  <c r="M1519" i="2"/>
  <c r="M2484" i="2"/>
  <c r="M1224" i="2"/>
  <c r="M1871" i="2"/>
  <c r="M1892" i="2"/>
  <c r="M1903" i="2"/>
  <c r="M1573" i="2"/>
  <c r="M2821" i="2"/>
  <c r="M2526" i="2"/>
  <c r="M1602" i="2"/>
  <c r="M2549" i="2"/>
  <c r="M3160" i="2"/>
  <c r="M2896" i="2"/>
  <c r="M2601" i="2"/>
  <c r="M4044" i="2"/>
  <c r="M1695" i="2"/>
  <c r="M1080" i="2"/>
  <c r="M2630" i="2"/>
  <c r="M3493" i="2"/>
  <c r="M1716" i="2"/>
  <c r="M2346" i="2"/>
  <c r="M2653" i="2"/>
  <c r="M2365" i="2"/>
  <c r="M2406" i="2"/>
  <c r="M3010" i="2"/>
  <c r="M2733" i="2"/>
  <c r="M2135" i="2"/>
  <c r="M1827" i="2"/>
  <c r="M3043" i="2"/>
  <c r="M3570" i="2"/>
  <c r="M1865" i="2"/>
  <c r="M1868" i="2"/>
  <c r="M1873" i="2"/>
  <c r="M2513" i="2"/>
  <c r="M2819" i="2"/>
  <c r="M2538" i="2"/>
  <c r="M2242" i="2"/>
  <c r="M1298" i="2"/>
  <c r="M1953" i="2"/>
  <c r="M3660" i="2"/>
  <c r="M3424" i="2"/>
  <c r="M3663" i="2"/>
  <c r="M2288" i="2"/>
  <c r="M1987" i="2"/>
  <c r="M2915" i="2"/>
  <c r="M3461" i="2"/>
  <c r="M2322" i="2"/>
  <c r="M2623" i="2"/>
  <c r="M3708" i="2"/>
  <c r="M2642" i="2"/>
  <c r="M2340" i="2"/>
  <c r="M3728" i="2"/>
  <c r="M1408" i="2"/>
  <c r="M2058" i="2"/>
  <c r="M1441" i="2"/>
  <c r="M2092" i="2"/>
  <c r="M3276" i="2"/>
  <c r="M3779" i="2"/>
  <c r="M3032" i="2"/>
  <c r="M2139" i="2"/>
  <c r="M3326" i="2"/>
  <c r="M2762" i="2"/>
  <c r="M1528" i="2"/>
  <c r="M2171" i="2"/>
  <c r="M3077" i="2"/>
  <c r="M3594" i="2"/>
  <c r="M2492" i="2"/>
  <c r="M2184" i="2"/>
  <c r="M2813" i="2"/>
  <c r="M2816" i="2"/>
  <c r="M3104" i="2"/>
  <c r="M3613" i="2"/>
  <c r="M2222" i="2"/>
  <c r="M3115" i="2"/>
  <c r="M2848" i="2"/>
  <c r="M3999" i="2"/>
  <c r="M3627" i="2"/>
  <c r="M2546" i="2"/>
  <c r="M3852" i="2"/>
  <c r="M3412" i="2"/>
  <c r="M3866" i="2"/>
  <c r="M2881" i="2"/>
  <c r="M3427" i="2"/>
  <c r="M2574" i="2"/>
  <c r="M2576" i="2"/>
  <c r="M3440" i="2"/>
  <c r="M3178" i="2"/>
  <c r="M2605" i="2"/>
  <c r="M2001" i="2"/>
  <c r="M3463" i="2"/>
  <c r="M2617" i="2"/>
  <c r="M3197" i="2"/>
  <c r="M2626" i="2"/>
  <c r="M2331" i="2"/>
  <c r="M3912" i="2"/>
  <c r="M3220" i="2"/>
  <c r="M3224" i="2"/>
  <c r="M2657" i="2"/>
  <c r="M2659" i="2"/>
  <c r="M4169" i="2"/>
  <c r="M3516" i="2"/>
  <c r="M2376" i="2"/>
  <c r="M2969" i="2"/>
  <c r="M2975" i="2"/>
  <c r="M3756" i="2"/>
  <c r="M3771" i="2"/>
  <c r="M3289" i="2"/>
  <c r="M1797" i="2"/>
  <c r="M4187" i="2"/>
  <c r="M2732" i="2"/>
  <c r="M3782" i="2"/>
  <c r="M3029" i="2"/>
  <c r="M3787" i="2"/>
  <c r="M3789" i="2"/>
  <c r="M2746" i="2"/>
  <c r="M2748" i="2"/>
  <c r="M3321" i="2"/>
  <c r="M3054" i="2"/>
  <c r="M3968" i="2"/>
  <c r="M3590" i="2"/>
  <c r="M2779" i="2"/>
  <c r="M3982" i="2"/>
  <c r="M2519" i="2"/>
  <c r="M2520" i="2"/>
  <c r="M3108" i="2"/>
  <c r="M2833" i="2"/>
  <c r="M3373" i="2"/>
  <c r="M3125" i="2"/>
  <c r="M3625" i="2"/>
  <c r="M3129" i="2"/>
  <c r="M3142" i="2"/>
  <c r="M3400" i="2"/>
  <c r="M4139" i="2"/>
  <c r="M2583" i="2"/>
  <c r="M2898" i="2"/>
  <c r="M3887" i="2"/>
  <c r="M3682" i="2"/>
  <c r="M2594" i="2"/>
  <c r="M2925" i="2"/>
  <c r="M2643" i="2"/>
  <c r="M3509" i="2"/>
  <c r="M3239" i="2"/>
  <c r="M2377" i="2"/>
  <c r="M3747" i="2"/>
  <c r="M2702" i="2"/>
  <c r="M3531" i="2"/>
  <c r="M3277" i="2"/>
  <c r="M3293" i="2"/>
  <c r="M3550" i="2"/>
  <c r="M3553" i="2"/>
  <c r="M4095" i="2"/>
  <c r="M3305" i="2"/>
  <c r="M3588" i="2"/>
  <c r="M3819" i="2"/>
  <c r="M3820" i="2"/>
  <c r="M3829" i="2"/>
  <c r="M3832" i="2"/>
  <c r="M3377" i="2"/>
  <c r="M2865" i="2"/>
  <c r="M2874" i="2"/>
  <c r="M3879" i="2"/>
  <c r="M4218" i="2"/>
  <c r="M3169" i="2"/>
  <c r="M2908" i="2"/>
  <c r="M3184" i="2"/>
  <c r="M3464" i="2"/>
  <c r="M3692" i="2"/>
  <c r="M3210" i="2"/>
  <c r="M2931" i="2"/>
  <c r="M3918" i="2"/>
  <c r="M3722" i="2"/>
  <c r="M3725" i="2"/>
  <c r="M3240" i="2"/>
  <c r="M4070" i="2"/>
  <c r="M3243" i="2"/>
  <c r="M2963" i="2"/>
  <c r="M2683" i="2"/>
  <c r="M3255" i="2"/>
  <c r="M3263" i="2"/>
  <c r="M4084" i="2"/>
  <c r="M3944" i="2"/>
  <c r="M2717" i="2"/>
  <c r="M3551" i="2"/>
  <c r="M3015" i="2"/>
  <c r="M3960" i="2"/>
  <c r="M2757" i="2"/>
  <c r="M3797" i="2"/>
  <c r="M4251" i="2"/>
  <c r="M3067" i="2"/>
  <c r="M3803" i="2"/>
  <c r="M3069" i="2"/>
  <c r="M3343" i="2"/>
  <c r="M3603" i="2"/>
  <c r="M3094" i="2"/>
  <c r="M3360" i="2"/>
  <c r="M3630" i="2"/>
  <c r="M3392" i="2"/>
  <c r="M3636" i="2"/>
  <c r="M4004" i="2"/>
  <c r="M3857" i="2"/>
  <c r="M3858" i="2"/>
  <c r="M4017" i="2"/>
  <c r="M3413" i="2"/>
  <c r="M3414" i="2"/>
  <c r="M3657" i="2"/>
  <c r="M3873" i="2"/>
  <c r="M3674" i="2"/>
  <c r="M3893" i="2"/>
  <c r="M4154" i="2"/>
  <c r="M3904" i="2"/>
  <c r="M3715" i="2"/>
  <c r="M3716" i="2"/>
  <c r="M4062" i="2"/>
  <c r="M3505" i="2"/>
  <c r="M4275" i="2"/>
  <c r="M3936" i="2"/>
  <c r="M3533" i="2"/>
  <c r="M3759" i="2"/>
  <c r="M4183" i="2"/>
  <c r="M4090" i="2"/>
  <c r="M3773" i="2"/>
  <c r="M4092" i="2"/>
  <c r="M3781" i="2"/>
  <c r="M3303" i="2"/>
  <c r="M4100" i="2"/>
  <c r="M3320" i="2"/>
  <c r="M3965" i="2"/>
  <c r="M4110" i="2"/>
  <c r="M3604" i="2"/>
  <c r="M3110" i="2"/>
  <c r="M4128" i="2"/>
  <c r="M3629" i="2"/>
  <c r="M3631" i="2"/>
  <c r="M4259" i="2"/>
  <c r="M3398" i="2"/>
  <c r="M3401" i="2"/>
  <c r="M4215" i="2"/>
  <c r="M3417" i="2"/>
  <c r="M3878" i="2"/>
  <c r="M4026" i="2"/>
  <c r="M4219" i="2"/>
  <c r="M4271" i="2"/>
  <c r="M3507" i="2"/>
  <c r="M1500" i="2"/>
  <c r="M76" i="2"/>
  <c r="M20" i="2"/>
  <c r="M369" i="2"/>
  <c r="M2781" i="2"/>
  <c r="M1878" i="2"/>
  <c r="M3037" i="2"/>
  <c r="M4027" i="2"/>
  <c r="M4083" i="2"/>
  <c r="F18" i="3"/>
  <c r="G18" i="3"/>
  <c r="H18" i="3"/>
  <c r="F17" i="3"/>
  <c r="G17" i="3"/>
  <c r="H17" i="3"/>
  <c r="F16" i="3"/>
  <c r="G16" i="3"/>
  <c r="H16" i="3"/>
  <c r="F15" i="3"/>
  <c r="G15" i="3"/>
  <c r="H15" i="3"/>
  <c r="F14" i="3"/>
  <c r="G14" i="3"/>
  <c r="H14" i="3"/>
  <c r="F13" i="3"/>
  <c r="G13" i="3"/>
  <c r="H13" i="3"/>
  <c r="F12" i="3"/>
  <c r="G12" i="3"/>
  <c r="H12" i="3"/>
  <c r="F11" i="3"/>
  <c r="G11" i="3"/>
  <c r="H11" i="3"/>
  <c r="C14" i="10"/>
  <c r="C15" i="10"/>
  <c r="C16" i="10"/>
  <c r="C17" i="10"/>
  <c r="C18" i="10"/>
  <c r="C19" i="10"/>
  <c r="G15" i="8" l="1"/>
  <c r="G10" i="8"/>
  <c r="E14" i="3"/>
  <c r="E15" i="3"/>
  <c r="E11" i="3"/>
  <c r="E16" i="3"/>
  <c r="E17" i="3"/>
  <c r="E18" i="3"/>
  <c r="E12" i="3"/>
  <c r="E13" i="3"/>
  <c r="E19" i="10"/>
  <c r="E15" i="10"/>
  <c r="D19" i="10"/>
  <c r="D15" i="10"/>
  <c r="E14" i="10"/>
  <c r="E18" i="10"/>
  <c r="D18" i="10"/>
  <c r="D14" i="10"/>
  <c r="E17" i="10"/>
  <c r="D16" i="10"/>
  <c r="D17" i="10"/>
  <c r="E16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6E453-B099-4B3E-853C-26988FDC29A3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<sst xmlns="http://schemas.openxmlformats.org/spreadsheetml/2006/main" count="34513" uniqueCount="98">
  <si>
    <t>order_id</t>
  </si>
  <si>
    <t>Product_category_cleaned</t>
  </si>
  <si>
    <t>origin_city</t>
  </si>
  <si>
    <t>destination_city.1</t>
  </si>
  <si>
    <t>destination_state</t>
  </si>
  <si>
    <t>logistics_provider_name</t>
  </si>
  <si>
    <t>final_delivery_status</t>
  </si>
  <si>
    <t>Payment Mode</t>
  </si>
  <si>
    <t>Sources</t>
  </si>
  <si>
    <t>dispatch_date</t>
  </si>
  <si>
    <t>actual_delivery_date</t>
  </si>
  <si>
    <t>promised_delivery_date</t>
  </si>
  <si>
    <t>transit_storage_cost</t>
  </si>
  <si>
    <t>shipping_cost</t>
  </si>
  <si>
    <t>Session_length</t>
  </si>
  <si>
    <t>Gaming Console</t>
  </si>
  <si>
    <t>Delhi</t>
  </si>
  <si>
    <t>Mumbai</t>
  </si>
  <si>
    <t xml:space="preserve"> MH</t>
  </si>
  <si>
    <t>FastWheels Ltd</t>
  </si>
  <si>
    <t>Delivered</t>
  </si>
  <si>
    <t>Debit Card</t>
  </si>
  <si>
    <t>App</t>
  </si>
  <si>
    <t>Bangalore</t>
  </si>
  <si>
    <t>Chennai</t>
  </si>
  <si>
    <t xml:space="preserve"> TN</t>
  </si>
  <si>
    <t>Website</t>
  </si>
  <si>
    <t xml:space="preserve"> DL</t>
  </si>
  <si>
    <t xml:space="preserve"> KA</t>
  </si>
  <si>
    <t>Ship2Home  delivery</t>
  </si>
  <si>
    <t>Credit Card</t>
  </si>
  <si>
    <t>Ship2Home Logistics Unit</t>
  </si>
  <si>
    <t>Kolkata</t>
  </si>
  <si>
    <t xml:space="preserve"> WB</t>
  </si>
  <si>
    <t>Cash On Delivery</t>
  </si>
  <si>
    <t/>
  </si>
  <si>
    <t>Returned</t>
  </si>
  <si>
    <t>Laptop</t>
  </si>
  <si>
    <t>Mobile</t>
  </si>
  <si>
    <t>PC</t>
  </si>
  <si>
    <t>Tablet</t>
  </si>
  <si>
    <t>TV</t>
  </si>
  <si>
    <t>Metrics</t>
  </si>
  <si>
    <t>Median</t>
  </si>
  <si>
    <t xml:space="preserve">Average </t>
  </si>
  <si>
    <t xml:space="preserve">Minimum </t>
  </si>
  <si>
    <t>Maximum</t>
  </si>
  <si>
    <t>St.Dev</t>
  </si>
  <si>
    <t>Variane</t>
  </si>
  <si>
    <t>Count</t>
  </si>
  <si>
    <t>Skewness</t>
  </si>
  <si>
    <t>Delivery Days</t>
  </si>
  <si>
    <t>Grand Total</t>
  </si>
  <si>
    <t>Count of order_id</t>
  </si>
  <si>
    <t>Average of shipping_cost</t>
  </si>
  <si>
    <t>Average of Delivery Days</t>
  </si>
  <si>
    <t>Product Category</t>
  </si>
  <si>
    <t>Logistics Provider</t>
  </si>
  <si>
    <t>Average of transit_storage_cost</t>
  </si>
  <si>
    <t>Destination City</t>
  </si>
  <si>
    <t>Average of Session_length</t>
  </si>
  <si>
    <t>#NA</t>
  </si>
  <si>
    <t>Forecast(shipping_cost)</t>
  </si>
  <si>
    <t>Lower Confidence Bound(shipping_cost)</t>
  </si>
  <si>
    <t>Upper Confidence Bound(shipping_cost)</t>
  </si>
  <si>
    <t xml:space="preserve">Shipping Cost Increase % </t>
  </si>
  <si>
    <t>Shipping Cost</t>
  </si>
  <si>
    <t>Average Delivery Days</t>
  </si>
  <si>
    <t>Average Session Length</t>
  </si>
  <si>
    <t>KPI's</t>
  </si>
  <si>
    <t>Values</t>
  </si>
  <si>
    <t>Average Shipping Cost</t>
  </si>
  <si>
    <t xml:space="preserve">Average Transit Cost </t>
  </si>
  <si>
    <t xml:space="preserve">Highest Shipping Cost </t>
  </si>
  <si>
    <t>Max Shipping Days</t>
  </si>
  <si>
    <t xml:space="preserve">Highest Transit Cost </t>
  </si>
  <si>
    <t>Average Transit Cost</t>
  </si>
  <si>
    <t>Average Session length</t>
  </si>
  <si>
    <t>Highest Transit Cost</t>
  </si>
  <si>
    <t>Highest Shipping Cost</t>
  </si>
  <si>
    <t>Transit Storage Cost</t>
  </si>
  <si>
    <t>Storage Reduction</t>
  </si>
  <si>
    <t>Helper_transit</t>
  </si>
  <si>
    <t>$D$21</t>
  </si>
  <si>
    <t>$D$20</t>
  </si>
  <si>
    <t>Optimized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</si>
  <si>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</si>
  <si>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</si>
  <si>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</si>
  <si>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</si>
  <si>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</si>
  <si>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</si>
  <si>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</si>
  <si>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Sarthak Somani on 08-01-2026
Modified by Sarthak Somani on 08-01-2026</t>
  </si>
  <si>
    <t>Improved Session Length</t>
  </si>
  <si>
    <t>Target Delivery Days</t>
  </si>
  <si>
    <t>Delivery Impact Factor</t>
  </si>
  <si>
    <t>Improved Transit Storage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</si>
</sst>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9" fontId="0" fillId="0" borderId="1" xfId="0" applyNumberFormat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2" borderId="10" xfId="0" applyFont="1" applyFill="1" applyBorder="1"/>
    <xf numFmtId="2" fontId="2" fillId="2" borderId="11" xfId="0" applyNumberFormat="1" applyFont="1" applyFill="1" applyBorder="1"/>
    <xf numFmtId="1" fontId="2" fillId="2" borderId="11" xfId="0" applyNumberFormat="1" applyFont="1" applyFill="1" applyBorder="1"/>
    <xf numFmtId="0" fontId="2" fillId="2" borderId="12" xfId="0" applyFont="1" applyFill="1" applyBorder="1"/>
    <xf numFmtId="1" fontId="2" fillId="2" borderId="13" xfId="0" applyNumberFormat="1" applyFont="1" applyFill="1" applyBorder="1"/>
    <xf numFmtId="9" fontId="0" fillId="0" borderId="0" xfId="0" applyNumberFormat="1"/>
    <xf numFmtId="0" fontId="0" fillId="0" borderId="0" xfId="0" applyFill="1" applyBorder="1" applyAlignment="1"/>
    <xf numFmtId="9" fontId="0" fillId="0" borderId="0" xfId="0" applyNumberFormat="1" applyFill="1" applyBorder="1" applyAlignment="1"/>
    <xf numFmtId="0" fontId="0" fillId="0" borderId="15" xfId="0" applyFill="1" applyBorder="1" applyAlignment="1"/>
    <xf numFmtId="0" fontId="4" fillId="3" borderId="16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0" fillId="0" borderId="17" xfId="0" applyFill="1" applyBorder="1" applyAlignment="1"/>
    <xf numFmtId="0" fontId="5" fillId="4" borderId="0" xfId="0" applyFont="1" applyFill="1" applyBorder="1" applyAlignment="1">
      <alignment horizontal="left"/>
    </xf>
    <xf numFmtId="0" fontId="6" fillId="4" borderId="17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right"/>
    </xf>
    <xf numFmtId="0" fontId="7" fillId="3" borderId="16" xfId="0" applyFont="1" applyFill="1" applyBorder="1" applyAlignment="1">
      <alignment horizontal="right"/>
    </xf>
    <xf numFmtId="9" fontId="0" fillId="5" borderId="0" xfId="0" applyNumberFormat="1" applyFill="1" applyBorder="1" applyAlignment="1"/>
    <xf numFmtId="0" fontId="8" fillId="0" borderId="0" xfId="0" applyFont="1" applyFill="1" applyBorder="1" applyAlignment="1">
      <alignment vertical="top" wrapText="1"/>
    </xf>
    <xf numFmtId="0" fontId="0" fillId="0" borderId="1" xfId="0" applyNumberFormat="1" applyBorder="1"/>
    <xf numFmtId="0" fontId="3" fillId="0" borderId="0" xfId="0" applyFont="1"/>
    <xf numFmtId="164" fontId="0" fillId="0" borderId="1" xfId="0" applyNumberFormat="1" applyBorder="1"/>
    <xf numFmtId="2" fontId="0" fillId="0" borderId="1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16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</a:t>
            </a:r>
            <a:r>
              <a:rPr lang="en-IN"/>
              <a:t>Shipping</a:t>
            </a:r>
            <a:r>
              <a:rPr lang="en-IN" baseline="0"/>
              <a:t> Cost based on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Analysis'!$B$10:$B$16</c:f>
              <c:strCache>
                <c:ptCount val="6"/>
                <c:pt idx="0">
                  <c:v>Gaming Console</c:v>
                </c:pt>
                <c:pt idx="1">
                  <c:v>Laptop</c:v>
                </c:pt>
                <c:pt idx="2">
                  <c:v>Mobile</c:v>
                </c:pt>
                <c:pt idx="3">
                  <c:v>PC</c:v>
                </c:pt>
                <c:pt idx="4">
                  <c:v>Tablet</c:v>
                </c:pt>
                <c:pt idx="5">
                  <c:v>TV</c:v>
                </c:pt>
              </c:strCache>
            </c:strRef>
          </c:cat>
          <c:val>
            <c:numRef>
              <c:f>'Pivot Table Analysis'!$C$10:$C$16</c:f>
              <c:numCache>
                <c:formatCode>General</c:formatCode>
                <c:ptCount val="6"/>
                <c:pt idx="0">
                  <c:v>113.61377245508982</c:v>
                </c:pt>
                <c:pt idx="1">
                  <c:v>113.00874635568513</c:v>
                </c:pt>
                <c:pt idx="2">
                  <c:v>112.97993579454254</c:v>
                </c:pt>
                <c:pt idx="3">
                  <c:v>113.8026706231454</c:v>
                </c:pt>
                <c:pt idx="4">
                  <c:v>113.64016736401673</c:v>
                </c:pt>
                <c:pt idx="5">
                  <c:v>113.36105860113422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42-4A8C-A115-0B6B13EBF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8072175"/>
        <c:axId val="1628079663"/>
      </c:barChart>
      <c:catAx>
        <c:axId val="162807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9663"/>
        <c:crosses val="autoZero"/>
        <c:auto val="1"/>
        <c:lblAlgn val="ctr"/>
        <c:lblOffset val="100"/>
        <c:noMultiLvlLbl val="0"/>
      </c:catAx>
      <c:valAx>
        <c:axId val="162807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7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Analysis'!$B$26:$B$29</c:f>
              <c:strCache>
                <c:ptCount val="3"/>
                <c:pt idx="0">
                  <c:v>FastWheels Ltd</c:v>
                </c:pt>
                <c:pt idx="1">
                  <c:v>Ship2Home  delivery</c:v>
                </c:pt>
                <c:pt idx="2">
                  <c:v>Ship2Home Logistics Unit</c:v>
                </c:pt>
              </c:strCache>
            </c:strRef>
          </c:cat>
          <c:val>
            <c:numRef>
              <c:f>'Pivot Table Analysis'!$C$26:$C$29</c:f>
              <c:numCache>
                <c:formatCode>0.00</c:formatCode>
                <c:ptCount val="3"/>
                <c:pt idx="0">
                  <c:v>4.0352880124545925</c:v>
                </c:pt>
                <c:pt idx="1">
                  <c:v>5.0809555408095557</c:v>
                </c:pt>
                <c:pt idx="2">
                  <c:v>4.9690026954177897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D-413F-BA8A-CE6E5986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8094639"/>
        <c:axId val="1628113775"/>
      </c:barChart>
      <c:catAx>
        <c:axId val="1628094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775"/>
        <c:crosses val="autoZero"/>
        <c:auto val="1"/>
        <c:lblAlgn val="ctr"/>
        <c:lblOffset val="100"/>
        <c:noMultiLvlLbl val="0"/>
      </c:catAx>
      <c:valAx>
        <c:axId val="162811377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0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Quantity based on Prodcut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Analysis'!$F$9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Analysis'!$E$10:$E$16</c:f>
              <c:strCache>
                <c:ptCount val="6"/>
                <c:pt idx="0">
                  <c:v>Gaming Console</c:v>
                </c:pt>
                <c:pt idx="1">
                  <c:v>Laptop</c:v>
                </c:pt>
                <c:pt idx="2">
                  <c:v>Mobile</c:v>
                </c:pt>
                <c:pt idx="3">
                  <c:v>PC</c:v>
                </c:pt>
                <c:pt idx="4">
                  <c:v>Tablet</c:v>
                </c:pt>
                <c:pt idx="5">
                  <c:v>TV</c:v>
                </c:pt>
              </c:strCache>
            </c:strRef>
          </c:cat>
          <c:val>
            <c:numRef>
              <c:f>'Pivot Table Analysis'!$F$10:$F$16</c:f>
              <c:numCache>
                <c:formatCode>General</c:formatCode>
                <c:ptCount val="6"/>
                <c:pt idx="0">
                  <c:v>334</c:v>
                </c:pt>
                <c:pt idx="1">
                  <c:v>1029</c:v>
                </c:pt>
                <c:pt idx="2">
                  <c:v>1246</c:v>
                </c:pt>
                <c:pt idx="3">
                  <c:v>674</c:v>
                </c:pt>
                <c:pt idx="4">
                  <c:v>478</c:v>
                </c:pt>
                <c:pt idx="5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A-4B89-9D06-17443D9D3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6193727"/>
        <c:axId val="506216191"/>
      </c:barChart>
      <c:catAx>
        <c:axId val="50619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16191"/>
        <c:crosses val="autoZero"/>
        <c:auto val="1"/>
        <c:lblAlgn val="ctr"/>
        <c:lblOffset val="100"/>
        <c:noMultiLvlLbl val="0"/>
      </c:catAx>
      <c:valAx>
        <c:axId val="50621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19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Analysis!PivotTable7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Analysis'!$F$25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Analysis'!$E$26:$E$29</c:f>
              <c:strCache>
                <c:ptCount val="3"/>
                <c:pt idx="0">
                  <c:v>FastWheels Ltd</c:v>
                </c:pt>
                <c:pt idx="1">
                  <c:v>Ship2Home  delivery</c:v>
                </c:pt>
                <c:pt idx="2">
                  <c:v>Ship2Home Logistics Unit</c:v>
                </c:pt>
              </c:strCache>
            </c:strRef>
          </c:cat>
          <c:val>
            <c:numRef>
              <c:f>'Pivot Table Analysis'!$F$26:$F$29</c:f>
              <c:numCache>
                <c:formatCode>General</c:formatCode>
                <c:ptCount val="3"/>
                <c:pt idx="0">
                  <c:v>1927</c:v>
                </c:pt>
                <c:pt idx="1">
                  <c:v>1507</c:v>
                </c:pt>
                <c:pt idx="2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A-4EBC-8D57-163AEFF4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5038351"/>
        <c:axId val="995040431"/>
      </c:barChart>
      <c:catAx>
        <c:axId val="99503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40431"/>
        <c:crosses val="autoZero"/>
        <c:auto val="1"/>
        <c:lblAlgn val="ctr"/>
        <c:lblOffset val="100"/>
        <c:noMultiLvlLbl val="0"/>
      </c:catAx>
      <c:valAx>
        <c:axId val="99504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3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Analysis!PivotTable3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Analysis'!$C$39:$C$40</c:f>
              <c:strCache>
                <c:ptCount val="1"/>
                <c:pt idx="0">
                  <c:v>Cash On Delivery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Analysis'!$B$41:$B$43</c:f>
              <c:strCache>
                <c:ptCount val="2"/>
                <c:pt idx="0">
                  <c:v>App</c:v>
                </c:pt>
                <c:pt idx="1">
                  <c:v>Website</c:v>
                </c:pt>
              </c:strCache>
            </c:strRef>
          </c:cat>
          <c:val>
            <c:numRef>
              <c:f>'Pivot Table Analysis'!$C$41:$C$43</c:f>
              <c:numCache>
                <c:formatCode>General</c:formatCode>
                <c:ptCount val="2"/>
                <c:pt idx="0">
                  <c:v>197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2-4B38-A65D-40CCFC3181AC}"/>
            </c:ext>
          </c:extLst>
        </c:ser>
        <c:ser>
          <c:idx val="1"/>
          <c:order val="1"/>
          <c:tx>
            <c:strRef>
              <c:f>'Pivot Table Analysis'!$D$39:$D$40</c:f>
              <c:strCache>
                <c:ptCount val="1"/>
                <c:pt idx="0">
                  <c:v>Credit Card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Analysis'!$B$41:$B$43</c:f>
              <c:strCache>
                <c:ptCount val="2"/>
                <c:pt idx="0">
                  <c:v>App</c:v>
                </c:pt>
                <c:pt idx="1">
                  <c:v>Website</c:v>
                </c:pt>
              </c:strCache>
            </c:strRef>
          </c:cat>
          <c:val>
            <c:numRef>
              <c:f>'Pivot Table Analysis'!$D$41:$D$43</c:f>
              <c:numCache>
                <c:formatCode>General</c:formatCode>
                <c:ptCount val="2"/>
                <c:pt idx="0">
                  <c:v>1228</c:v>
                </c:pt>
                <c:pt idx="1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2-4B38-A65D-40CCFC3181AC}"/>
            </c:ext>
          </c:extLst>
        </c:ser>
        <c:ser>
          <c:idx val="2"/>
          <c:order val="2"/>
          <c:tx>
            <c:strRef>
              <c:f>'Pivot Table Analysis'!$E$39:$E$40</c:f>
              <c:strCache>
                <c:ptCount val="1"/>
                <c:pt idx="0">
                  <c:v>Debit Card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Analysis'!$B$41:$B$43</c:f>
              <c:strCache>
                <c:ptCount val="2"/>
                <c:pt idx="0">
                  <c:v>App</c:v>
                </c:pt>
                <c:pt idx="1">
                  <c:v>Website</c:v>
                </c:pt>
              </c:strCache>
            </c:strRef>
          </c:cat>
          <c:val>
            <c:numRef>
              <c:f>'Pivot Table Analysis'!$E$41:$E$43</c:f>
              <c:numCache>
                <c:formatCode>General</c:formatCode>
                <c:ptCount val="2"/>
                <c:pt idx="0">
                  <c:v>1441</c:v>
                </c:pt>
                <c:pt idx="1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2-4B38-A65D-40CCFC318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8230784"/>
        <c:axId val="418217056"/>
      </c:barChart>
      <c:catAx>
        <c:axId val="4182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17056"/>
        <c:crosses val="autoZero"/>
        <c:auto val="1"/>
        <c:lblAlgn val="ctr"/>
        <c:lblOffset val="100"/>
        <c:noMultiLvlLbl val="0"/>
      </c:catAx>
      <c:valAx>
        <c:axId val="41821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Analysis!PivotTable4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Analysis'!$C$52</c:f>
              <c:strCache>
                <c:ptCount val="1"/>
                <c:pt idx="0">
                  <c:v>Average of shipping_cost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Analysis'!$B$53:$B$58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'Pivot Table Analysis'!$C$53:$C$58</c:f>
              <c:numCache>
                <c:formatCode>General</c:formatCode>
                <c:ptCount val="5"/>
                <c:pt idx="0">
                  <c:v>119.04357298474946</c:v>
                </c:pt>
                <c:pt idx="1">
                  <c:v>119.73239436619718</c:v>
                </c:pt>
                <c:pt idx="2">
                  <c:v>118.97124304267162</c:v>
                </c:pt>
                <c:pt idx="3">
                  <c:v>104.58947368421053</c:v>
                </c:pt>
                <c:pt idx="4">
                  <c:v>104.53287197231833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F-4FFC-91E2-A273DEF4353D}"/>
            </c:ext>
          </c:extLst>
        </c:ser>
        <c:ser>
          <c:idx val="1"/>
          <c:order val="1"/>
          <c:tx>
            <c:strRef>
              <c:f>'Pivot Table Analysis'!$D$52</c:f>
              <c:strCache>
                <c:ptCount val="1"/>
                <c:pt idx="0">
                  <c:v>Average of transit_storage_cost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Analysis'!$B$53:$B$58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'Pivot Table Analysis'!$D$53:$D$58</c:f>
              <c:numCache>
                <c:formatCode>General</c:formatCode>
                <c:ptCount val="5"/>
                <c:pt idx="0">
                  <c:v>82.617647058823536</c:v>
                </c:pt>
                <c:pt idx="1">
                  <c:v>63.74647887323944</c:v>
                </c:pt>
                <c:pt idx="2">
                  <c:v>94.584415584415581</c:v>
                </c:pt>
                <c:pt idx="3">
                  <c:v>98.982456140350877</c:v>
                </c:pt>
                <c:pt idx="4">
                  <c:v>90.31487889273356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F-4FFC-91E2-A273DEF43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18222464"/>
        <c:axId val="418231616"/>
      </c:barChart>
      <c:catAx>
        <c:axId val="41822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31616"/>
        <c:crosses val="autoZero"/>
        <c:auto val="1"/>
        <c:lblAlgn val="ctr"/>
        <c:lblOffset val="100"/>
        <c:noMultiLvlLbl val="0"/>
      </c:catAx>
      <c:valAx>
        <c:axId val="41823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2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Analysis!PivotTable8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Analysis'!$C$66</c:f>
              <c:strCache>
                <c:ptCount val="1"/>
                <c:pt idx="0">
                  <c:v>Count of order_id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 Analysis'!$B$67:$B$79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f>'Pivot Table Analysis'!$C$67:$C$79</c:f>
              <c:numCache>
                <c:formatCode>General</c:formatCode>
                <c:ptCount val="12"/>
                <c:pt idx="0">
                  <c:v>165</c:v>
                </c:pt>
                <c:pt idx="1">
                  <c:v>148</c:v>
                </c:pt>
                <c:pt idx="2">
                  <c:v>746</c:v>
                </c:pt>
                <c:pt idx="3">
                  <c:v>513</c:v>
                </c:pt>
                <c:pt idx="4">
                  <c:v>585</c:v>
                </c:pt>
                <c:pt idx="5">
                  <c:v>613</c:v>
                </c:pt>
                <c:pt idx="6">
                  <c:v>563</c:v>
                </c:pt>
                <c:pt idx="7">
                  <c:v>420</c:v>
                </c:pt>
                <c:pt idx="8">
                  <c:v>232</c:v>
                </c:pt>
                <c:pt idx="9">
                  <c:v>202</c:v>
                </c:pt>
                <c:pt idx="10">
                  <c:v>85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4-4EFD-9867-F2C4EF824B65}"/>
            </c:ext>
          </c:extLst>
        </c:ser>
        <c:ser>
          <c:idx val="1"/>
          <c:order val="1"/>
          <c:tx>
            <c:strRef>
              <c:f>'Pivot Table Analysis'!$D$66</c:f>
              <c:strCache>
                <c:ptCount val="1"/>
                <c:pt idx="0">
                  <c:v>Average of Session_length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 Analysis'!$B$67:$B$79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f>'Pivot Table Analysis'!$D$67:$D$79</c:f>
              <c:numCache>
                <c:formatCode>General</c:formatCode>
                <c:ptCount val="12"/>
                <c:pt idx="0">
                  <c:v>2076.2795331794091</c:v>
                </c:pt>
                <c:pt idx="1">
                  <c:v>1828.3905179055782</c:v>
                </c:pt>
                <c:pt idx="2">
                  <c:v>1958.1725099359076</c:v>
                </c:pt>
                <c:pt idx="3">
                  <c:v>1970.9795714414167</c:v>
                </c:pt>
                <c:pt idx="4">
                  <c:v>2017.1097088019026</c:v>
                </c:pt>
                <c:pt idx="5">
                  <c:v>2040.8703602870416</c:v>
                </c:pt>
                <c:pt idx="6">
                  <c:v>1981.6907009324502</c:v>
                </c:pt>
                <c:pt idx="7">
                  <c:v>1996.2255460657761</c:v>
                </c:pt>
                <c:pt idx="8">
                  <c:v>2018.6250650598713</c:v>
                </c:pt>
                <c:pt idx="9">
                  <c:v>1962.2606475076618</c:v>
                </c:pt>
                <c:pt idx="10">
                  <c:v>1893.9335570518206</c:v>
                </c:pt>
                <c:pt idx="11">
                  <c:v>2173.2960503414652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4-4EFD-9867-F2C4EF824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43680"/>
        <c:axId val="418250336"/>
      </c:lineChart>
      <c:catAx>
        <c:axId val="41824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50336"/>
        <c:crosses val="autoZero"/>
        <c:auto val="1"/>
        <c:lblAlgn val="ctr"/>
        <c:lblOffset val="100"/>
        <c:noMultiLvlLbl val="0"/>
      </c:catAx>
      <c:valAx>
        <c:axId val="418250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4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[e_commerce_dataset.xlsx]Pivot Table Analysis!PivotTable9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Volume based on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Analysis'!$G$52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2E-4080-AEBD-D0365817E4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2E-4080-AEBD-D0365817E4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2E-4080-AEBD-D0365817E4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2E-4080-AEBD-D0365817E4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2E-4080-AEBD-D0365817E4C2}"/>
              </c:ext>
            </c:extLst>
          </c:dPt>
          <c:cat>
            <c:strRef>
              <c:f>'Pivot Table Analysis'!$F$53:$F$58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'Pivot Table Analysis'!$G$53:$G$58</c:f>
              <c:numCache>
                <c:formatCode>General</c:formatCode>
                <c:ptCount val="5"/>
                <c:pt idx="0">
                  <c:v>918</c:v>
                </c:pt>
                <c:pt idx="1">
                  <c:v>568</c:v>
                </c:pt>
                <c:pt idx="2">
                  <c:v>1078</c:v>
                </c:pt>
                <c:pt idx="3">
                  <c:v>570</c:v>
                </c:pt>
                <c:pt idx="4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2E-4080-AEBD-D0365817E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shipping_cost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Forecast!$B$2:$B$19</c:f>
              <c:numCache>
                <c:formatCode>General</c:formatCode>
                <c:ptCount val="18"/>
                <c:pt idx="0">
                  <c:v>114.16969696969697</c:v>
                </c:pt>
                <c:pt idx="1">
                  <c:v>118.70945945945945</c:v>
                </c:pt>
                <c:pt idx="2">
                  <c:v>110.45551128818062</c:v>
                </c:pt>
                <c:pt idx="3">
                  <c:v>113.02144249512671</c:v>
                </c:pt>
                <c:pt idx="4">
                  <c:v>113.05128205128206</c:v>
                </c:pt>
                <c:pt idx="5">
                  <c:v>113.12561174551387</c:v>
                </c:pt>
                <c:pt idx="6">
                  <c:v>113.80639431616341</c:v>
                </c:pt>
                <c:pt idx="7">
                  <c:v>114.38095238095238</c:v>
                </c:pt>
                <c:pt idx="8">
                  <c:v>113.81034482758621</c:v>
                </c:pt>
                <c:pt idx="9">
                  <c:v>114.53465346534654</c:v>
                </c:pt>
                <c:pt idx="10">
                  <c:v>118.7764705882353</c:v>
                </c:pt>
                <c:pt idx="11">
                  <c:v>113.94444444444444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E4-4F9B-8D2E-74D8C2698D3F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Forecast(shipping_cost)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Forecast!$C$2:$C$19</c:f>
              <c:numCache>
                <c:formatCode>General</c:formatCode>
                <c:ptCount val="18"/>
                <c:pt idx="11">
                  <c:v>113.94444444444444</c:v>
                </c:pt>
                <c:pt idx="12">
                  <c:v>115.63368961507173</c:v>
                </c:pt>
                <c:pt idx="13">
                  <c:v>117.99768190235959</c:v>
                </c:pt>
                <c:pt idx="14">
                  <c:v>113.96907999171465</c:v>
                </c:pt>
                <c:pt idx="15">
                  <c:v>116.15789150227852</c:v>
                </c:pt>
                <c:pt idx="16">
                  <c:v>118.52188378956639</c:v>
                </c:pt>
                <c:pt idx="17">
                  <c:v>114.49328187892144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E4-4F9B-8D2E-74D8C2698D3F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Bound(shipping_cost)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Forecast!$D$2:$D$19</c:f>
              <c:numCache>
                <c:formatCode>General</c:formatCode>
                <c:ptCount val="18"/>
                <c:pt idx="11" formatCode="0.00">
                  <c:v>113.94444444444444</c:v>
                </c:pt>
                <c:pt idx="12" formatCode="0.00">
                  <c:v>112.07778551897309</c:v>
                </c:pt>
                <c:pt idx="13" formatCode="0.00">
                  <c:v>114.41321592564006</c:v>
                </c:pt>
                <c:pt idx="14" formatCode="0.00">
                  <c:v>110.35583172019724</c:v>
                </c:pt>
                <c:pt idx="15" formatCode="0.00">
                  <c:v>112.51519273032105</c:v>
                </c:pt>
                <c:pt idx="16" formatCode="0.00">
                  <c:v>114.84997071668224</c:v>
                </c:pt>
                <c:pt idx="17" formatCode="0.00">
                  <c:v>110.79193927266448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E4-4F9B-8D2E-74D8C2698D3F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Bound(shipping_cost)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Forecast!$A$2:$A$19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Forecast!$E$2:$E$19</c:f>
              <c:numCache>
                <c:formatCode>General</c:formatCode>
                <c:ptCount val="18"/>
                <c:pt idx="11" formatCode="0.00">
                  <c:v>113.94444444444444</c:v>
                </c:pt>
                <c:pt idx="12" formatCode="0.00">
                  <c:v>119.18959371117037</c:v>
                </c:pt>
                <c:pt idx="13" formatCode="0.00">
                  <c:v>121.58214787907912</c:v>
                </c:pt>
                <c:pt idx="14" formatCode="0.00">
                  <c:v>117.58232826323206</c:v>
                </c:pt>
                <c:pt idx="15" formatCode="0.00">
                  <c:v>119.80059027423599</c:v>
                </c:pt>
                <c:pt idx="16" formatCode="0.00">
                  <c:v>122.19379686245054</c:v>
                </c:pt>
                <c:pt idx="17" formatCode="0.00">
                  <c:v>118.19462448517839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E4-4F9B-8D2E-74D8C2698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35200"/>
        <c:axId val="418317312"/>
      </c:lineChart>
      <c:catAx>
        <c:axId val="41833520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17312"/>
        <c:crosses val="autoZero"/>
        <c:auto val="1"/>
        <c:lblAlgn val="ctr"/>
        <c:lblOffset val="100"/>
        <c:noMultiLvlLbl val="0"/>
      </c:catAx>
      <c:valAx>
        <c:axId val="4183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33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</xdr:row>
      <xdr:rowOff>121920</xdr:rowOff>
    </xdr:from>
    <xdr:to>
      <xdr:col>6</xdr:col>
      <xdr:colOff>228600</xdr:colOff>
      <xdr:row>13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2A19C8D-A6AA-4ECD-A314-BA15739A443C}"/>
            </a:ext>
          </a:extLst>
        </xdr:cNvPr>
        <xdr:cNvSpPr/>
      </xdr:nvSpPr>
      <xdr:spPr>
        <a:xfrm>
          <a:off x="579120" y="304800"/>
          <a:ext cx="3307080" cy="220218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Available Product Categories</a:t>
          </a:r>
        </a:p>
        <a:p>
          <a:pPr algn="ctr"/>
          <a:endParaRPr lang="en-IN" sz="1800" b="1"/>
        </a:p>
        <a:p>
          <a:pPr algn="l"/>
          <a:r>
            <a:rPr lang="en-IN" sz="1400" b="0"/>
            <a:t>1.Gaming</a:t>
          </a:r>
          <a:r>
            <a:rPr lang="en-IN" sz="1400" b="0" baseline="0"/>
            <a:t> Console</a:t>
          </a:r>
        </a:p>
        <a:p>
          <a:pPr algn="l"/>
          <a:r>
            <a:rPr lang="en-IN" sz="1400" b="0" baseline="0"/>
            <a:t>2. Laptop</a:t>
          </a:r>
        </a:p>
        <a:p>
          <a:pPr algn="l"/>
          <a:r>
            <a:rPr lang="en-IN" sz="1400" b="0" baseline="0"/>
            <a:t>3. Tablet </a:t>
          </a:r>
        </a:p>
        <a:p>
          <a:pPr algn="l"/>
          <a:r>
            <a:rPr lang="en-IN" sz="1400" b="0" baseline="0"/>
            <a:t>4. Mobile</a:t>
          </a:r>
        </a:p>
        <a:p>
          <a:pPr algn="l"/>
          <a:r>
            <a:rPr lang="en-IN" sz="1400" b="0" baseline="0"/>
            <a:t>5. Pc </a:t>
          </a:r>
        </a:p>
        <a:p>
          <a:pPr algn="l"/>
          <a:r>
            <a:rPr lang="en-IN" sz="1400" b="0" baseline="0"/>
            <a:t>6. Tv</a:t>
          </a:r>
          <a:endParaRPr lang="en-IN" sz="1400" b="0"/>
        </a:p>
      </xdr:txBody>
    </xdr:sp>
    <xdr:clientData/>
  </xdr:twoCellAnchor>
  <xdr:twoCellAnchor>
    <xdr:from>
      <xdr:col>8</xdr:col>
      <xdr:colOff>297180</xdr:colOff>
      <xdr:row>1</xdr:row>
      <xdr:rowOff>129540</xdr:rowOff>
    </xdr:from>
    <xdr:to>
      <xdr:col>13</xdr:col>
      <xdr:colOff>129540</xdr:colOff>
      <xdr:row>8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5ED92C0-B603-479B-AB3A-167509466874}"/>
            </a:ext>
          </a:extLst>
        </xdr:cNvPr>
        <xdr:cNvSpPr/>
      </xdr:nvSpPr>
      <xdr:spPr>
        <a:xfrm>
          <a:off x="5173980" y="312420"/>
          <a:ext cx="2880360" cy="12268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Origin City</a:t>
          </a:r>
        </a:p>
        <a:p>
          <a:pPr algn="ctr"/>
          <a:endParaRPr lang="en-IN" sz="1800" b="1"/>
        </a:p>
        <a:p>
          <a:pPr algn="l"/>
          <a:r>
            <a:rPr lang="en-IN" sz="1400" b="0"/>
            <a:t>1.Bangalore</a:t>
          </a:r>
          <a:endParaRPr lang="en-IN" sz="1400" b="0" baseline="0"/>
        </a:p>
        <a:p>
          <a:pPr algn="l"/>
          <a:r>
            <a:rPr lang="en-IN" sz="1400" b="0" baseline="0"/>
            <a:t>2. Delhi</a:t>
          </a:r>
        </a:p>
      </xdr:txBody>
    </xdr:sp>
    <xdr:clientData/>
  </xdr:twoCellAnchor>
  <xdr:twoCellAnchor>
    <xdr:from>
      <xdr:col>8</xdr:col>
      <xdr:colOff>114300</xdr:colOff>
      <xdr:row>16</xdr:row>
      <xdr:rowOff>175260</xdr:rowOff>
    </xdr:from>
    <xdr:to>
      <xdr:col>13</xdr:col>
      <xdr:colOff>304800</xdr:colOff>
      <xdr:row>28</xdr:row>
      <xdr:rowOff>45720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8C700CD-F5B0-4C75-BF9E-78209A0AFFD8}"/>
            </a:ext>
          </a:extLst>
        </xdr:cNvPr>
        <xdr:cNvSpPr/>
      </xdr:nvSpPr>
      <xdr:spPr>
        <a:xfrm>
          <a:off x="4991100" y="3101340"/>
          <a:ext cx="3238500" cy="20650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Destination</a:t>
          </a:r>
          <a:r>
            <a:rPr lang="en-IN" sz="1800" b="1" baseline="0"/>
            <a:t> City</a:t>
          </a:r>
          <a:endParaRPr lang="en-IN" sz="1800" b="1"/>
        </a:p>
        <a:p>
          <a:pPr algn="ctr"/>
          <a:endParaRPr lang="en-IN" sz="1800" b="1"/>
        </a:p>
        <a:p>
          <a:pPr algn="l"/>
          <a:r>
            <a:rPr lang="en-IN" sz="1400" b="0"/>
            <a:t>1.Bangalore</a:t>
          </a:r>
          <a:endParaRPr lang="en-IN" sz="1400" b="0" baseline="0"/>
        </a:p>
        <a:p>
          <a:pPr algn="l"/>
          <a:r>
            <a:rPr lang="en-IN" sz="1400" b="0" baseline="0"/>
            <a:t>2. Chennai</a:t>
          </a:r>
        </a:p>
        <a:p>
          <a:pPr algn="l"/>
          <a:r>
            <a:rPr lang="en-IN" sz="1400" b="0" baseline="0"/>
            <a:t>3. Delhi</a:t>
          </a:r>
        </a:p>
        <a:p>
          <a:pPr algn="l"/>
          <a:r>
            <a:rPr lang="en-IN" sz="1400" b="0" baseline="0"/>
            <a:t>4. Kolkata</a:t>
          </a:r>
        </a:p>
        <a:p>
          <a:pPr algn="l"/>
          <a:r>
            <a:rPr lang="en-IN" sz="1400" b="0" baseline="0"/>
            <a:t>5. Mumbai</a:t>
          </a:r>
        </a:p>
      </xdr:txBody>
    </xdr:sp>
    <xdr:clientData/>
  </xdr:twoCellAnchor>
  <xdr:twoCellAnchor>
    <xdr:from>
      <xdr:col>1</xdr:col>
      <xdr:colOff>38100</xdr:colOff>
      <xdr:row>16</xdr:row>
      <xdr:rowOff>137160</xdr:rowOff>
    </xdr:from>
    <xdr:to>
      <xdr:col>6</xdr:col>
      <xdr:colOff>228600</xdr:colOff>
      <xdr:row>28</xdr:row>
      <xdr:rowOff>7620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9C4A4D6-562C-4883-A064-6242F6B4EB95}"/>
            </a:ext>
          </a:extLst>
        </xdr:cNvPr>
        <xdr:cNvSpPr/>
      </xdr:nvSpPr>
      <xdr:spPr>
        <a:xfrm>
          <a:off x="647700" y="3063240"/>
          <a:ext cx="3238500" cy="20650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Destination State/ Union Territory</a:t>
          </a:r>
        </a:p>
        <a:p>
          <a:pPr algn="ctr"/>
          <a:endParaRPr lang="en-IN" sz="1800" b="0"/>
        </a:p>
        <a:p>
          <a:pPr algn="l"/>
          <a:r>
            <a:rPr lang="en-IN" sz="1400" b="0"/>
            <a:t>1.Delhi</a:t>
          </a:r>
          <a:endParaRPr lang="en-IN" sz="1400" b="0" baseline="0"/>
        </a:p>
        <a:p>
          <a:pPr algn="l"/>
          <a:r>
            <a:rPr lang="en-IN" sz="1400" b="0" baseline="0"/>
            <a:t>2. Maharashtra</a:t>
          </a:r>
        </a:p>
        <a:p>
          <a:pPr algn="l"/>
          <a:r>
            <a:rPr lang="en-IN" sz="1400" b="0" baseline="0"/>
            <a:t>3. Karnataka</a:t>
          </a:r>
        </a:p>
        <a:p>
          <a:pPr algn="l"/>
          <a:r>
            <a:rPr lang="en-IN" sz="1400" b="0" baseline="0"/>
            <a:t>4. West Bengal</a:t>
          </a:r>
        </a:p>
        <a:p>
          <a:pPr algn="l"/>
          <a:r>
            <a:rPr lang="en-IN" sz="1400" b="0" baseline="0"/>
            <a:t>5. Tamil Nadu</a:t>
          </a:r>
        </a:p>
        <a:p>
          <a:pPr algn="l"/>
          <a:r>
            <a:rPr lang="en-IN" sz="1400" b="1" baseline="0"/>
            <a:t>6. Tv</a:t>
          </a:r>
          <a:endParaRPr lang="en-IN" sz="1400" b="1"/>
        </a:p>
      </xdr:txBody>
    </xdr:sp>
    <xdr:clientData/>
  </xdr:twoCellAnchor>
  <xdr:twoCellAnchor>
    <xdr:from>
      <xdr:col>15</xdr:col>
      <xdr:colOff>373380</xdr:colOff>
      <xdr:row>1</xdr:row>
      <xdr:rowOff>91440</xdr:rowOff>
    </xdr:from>
    <xdr:to>
      <xdr:col>20</xdr:col>
      <xdr:colOff>563880</xdr:colOff>
      <xdr:row>12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167D546-34C7-4574-BBCD-EBEE4732C0E6}"/>
            </a:ext>
          </a:extLst>
        </xdr:cNvPr>
        <xdr:cNvSpPr/>
      </xdr:nvSpPr>
      <xdr:spPr>
        <a:xfrm>
          <a:off x="9517380" y="274320"/>
          <a:ext cx="3238500" cy="20650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Logistics Provider Name</a:t>
          </a:r>
        </a:p>
        <a:p>
          <a:pPr algn="ctr"/>
          <a:endParaRPr lang="en-IN" sz="1800" b="1"/>
        </a:p>
        <a:p>
          <a:pPr algn="l"/>
          <a:r>
            <a:rPr lang="en-IN" sz="1400" b="0"/>
            <a:t>1.Fast</a:t>
          </a:r>
          <a:r>
            <a:rPr lang="en-IN" sz="1400" b="0" baseline="0"/>
            <a:t> Wheels Ltd.</a:t>
          </a:r>
        </a:p>
        <a:p>
          <a:pPr algn="l"/>
          <a:r>
            <a:rPr lang="en-IN" sz="1400" b="0" baseline="0"/>
            <a:t>2. Ship2Home Delivery</a:t>
          </a:r>
        </a:p>
        <a:p>
          <a:pPr algn="l"/>
          <a:r>
            <a:rPr lang="en-IN" sz="1400" b="0" baseline="0"/>
            <a:t>3. Ship2Home Logistics Unit </a:t>
          </a:r>
        </a:p>
      </xdr:txBody>
    </xdr:sp>
    <xdr:clientData/>
  </xdr:twoCellAnchor>
  <xdr:twoCellAnchor>
    <xdr:from>
      <xdr:col>15</xdr:col>
      <xdr:colOff>365760</xdr:colOff>
      <xdr:row>14</xdr:row>
      <xdr:rowOff>91440</xdr:rowOff>
    </xdr:from>
    <xdr:to>
      <xdr:col>20</xdr:col>
      <xdr:colOff>556260</xdr:colOff>
      <xdr:row>25</xdr:row>
      <xdr:rowOff>144780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A17F0F5-F61F-46FF-8C42-0D292A7D34EC}"/>
            </a:ext>
          </a:extLst>
        </xdr:cNvPr>
        <xdr:cNvSpPr/>
      </xdr:nvSpPr>
      <xdr:spPr>
        <a:xfrm>
          <a:off x="9509760" y="2651760"/>
          <a:ext cx="3238500" cy="206502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Payment Mode</a:t>
          </a:r>
        </a:p>
        <a:p>
          <a:pPr algn="ctr"/>
          <a:endParaRPr lang="en-IN" sz="1800" b="1"/>
        </a:p>
        <a:p>
          <a:pPr algn="l"/>
          <a:r>
            <a:rPr lang="en-IN" sz="1400" b="0"/>
            <a:t>1.Cash</a:t>
          </a:r>
          <a:r>
            <a:rPr lang="en-IN" sz="1400" b="0" baseline="0"/>
            <a:t> on Delivery </a:t>
          </a:r>
        </a:p>
        <a:p>
          <a:pPr algn="l"/>
          <a:r>
            <a:rPr lang="en-IN" sz="1400" b="0" baseline="0"/>
            <a:t>2. Credit Card</a:t>
          </a:r>
        </a:p>
        <a:p>
          <a:pPr algn="l"/>
          <a:r>
            <a:rPr lang="en-IN" sz="1400" b="0" baseline="0"/>
            <a:t>3. Debit Card</a:t>
          </a:r>
        </a:p>
      </xdr:txBody>
    </xdr:sp>
    <xdr:clientData/>
  </xdr:twoCellAnchor>
  <xdr:twoCellAnchor>
    <xdr:from>
      <xdr:col>8</xdr:col>
      <xdr:colOff>335280</xdr:colOff>
      <xdr:row>9</xdr:row>
      <xdr:rowOff>76200</xdr:rowOff>
    </xdr:from>
    <xdr:to>
      <xdr:col>13</xdr:col>
      <xdr:colOff>76200</xdr:colOff>
      <xdr:row>16</xdr:row>
      <xdr:rowOff>83820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4208097-0D68-43DA-9E71-875F7487F69B}"/>
            </a:ext>
          </a:extLst>
        </xdr:cNvPr>
        <xdr:cNvSpPr/>
      </xdr:nvSpPr>
      <xdr:spPr>
        <a:xfrm>
          <a:off x="5212080" y="1722120"/>
          <a:ext cx="2788920" cy="128778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Sources</a:t>
          </a:r>
        </a:p>
        <a:p>
          <a:pPr algn="ctr"/>
          <a:endParaRPr lang="en-IN" sz="1800" b="1"/>
        </a:p>
        <a:p>
          <a:pPr algn="l"/>
          <a:r>
            <a:rPr lang="en-IN" sz="1400" b="0"/>
            <a:t>1.App</a:t>
          </a:r>
          <a:endParaRPr lang="en-IN" sz="1400" b="0" baseline="0"/>
        </a:p>
        <a:p>
          <a:pPr algn="l"/>
          <a:r>
            <a:rPr lang="en-IN" sz="1400" b="0" baseline="0"/>
            <a:t>2. Website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167640</xdr:rowOff>
    </xdr:from>
    <xdr:to>
      <xdr:col>13</xdr:col>
      <xdr:colOff>99060</xdr:colOff>
      <xdr:row>4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7FC6743-F8F8-48A9-ACDA-E5E0455C6879}"/>
            </a:ext>
          </a:extLst>
        </xdr:cNvPr>
        <xdr:cNvSpPr/>
      </xdr:nvSpPr>
      <xdr:spPr>
        <a:xfrm>
          <a:off x="2514600" y="167640"/>
          <a:ext cx="7338060" cy="59436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Descriptive</a:t>
          </a:r>
          <a:r>
            <a:rPr lang="en-IN" sz="3600" b="1" baseline="0"/>
            <a:t> Statistics</a:t>
          </a:r>
          <a:endParaRPr lang="en-IN" sz="3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4</xdr:row>
      <xdr:rowOff>60960</xdr:rowOff>
    </xdr:from>
    <xdr:to>
      <xdr:col>4</xdr:col>
      <xdr:colOff>571500</xdr:colOff>
      <xdr:row>7</xdr:row>
      <xdr:rowOff>53340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4E22526-A115-4F77-AA82-A1DA9487B942}"/>
            </a:ext>
          </a:extLst>
        </xdr:cNvPr>
        <xdr:cNvSpPr/>
      </xdr:nvSpPr>
      <xdr:spPr>
        <a:xfrm>
          <a:off x="640080" y="792480"/>
          <a:ext cx="3413760" cy="5410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Product &amp; Sales Performance</a:t>
          </a:r>
          <a:endParaRPr lang="en-IN" sz="2000" b="1"/>
        </a:p>
      </xdr:txBody>
    </xdr:sp>
    <xdr:clientData/>
  </xdr:twoCellAnchor>
  <xdr:twoCellAnchor>
    <xdr:from>
      <xdr:col>0</xdr:col>
      <xdr:colOff>586740</xdr:colOff>
      <xdr:row>17</xdr:row>
      <xdr:rowOff>175260</xdr:rowOff>
    </xdr:from>
    <xdr:to>
      <xdr:col>5</xdr:col>
      <xdr:colOff>373380</xdr:colOff>
      <xdr:row>20</xdr:row>
      <xdr:rowOff>167640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BD01858-2D6B-4E2E-89BD-21DEC80BE21B}"/>
            </a:ext>
          </a:extLst>
        </xdr:cNvPr>
        <xdr:cNvSpPr/>
      </xdr:nvSpPr>
      <xdr:spPr>
        <a:xfrm>
          <a:off x="586740" y="3284220"/>
          <a:ext cx="3939540" cy="5410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Logistics Provider Efficiency</a:t>
          </a:r>
          <a:endParaRPr lang="en-IN" sz="2000" b="1"/>
        </a:p>
      </xdr:txBody>
    </xdr:sp>
    <xdr:clientData/>
  </xdr:twoCellAnchor>
  <xdr:twoCellAnchor>
    <xdr:from>
      <xdr:col>1</xdr:col>
      <xdr:colOff>22860</xdr:colOff>
      <xdr:row>32</xdr:row>
      <xdr:rowOff>106680</xdr:rowOff>
    </xdr:from>
    <xdr:to>
      <xdr:col>6</xdr:col>
      <xdr:colOff>441960</xdr:colOff>
      <xdr:row>35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709548E-D39A-4BF2-9693-4BA0EA12CE03}"/>
            </a:ext>
          </a:extLst>
        </xdr:cNvPr>
        <xdr:cNvSpPr/>
      </xdr:nvSpPr>
      <xdr:spPr>
        <a:xfrm>
          <a:off x="632460" y="5958840"/>
          <a:ext cx="4701540" cy="5410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Payment Mode Preference by Source</a:t>
          </a:r>
          <a:endParaRPr lang="en-IN" sz="2000" b="1"/>
        </a:p>
      </xdr:txBody>
    </xdr:sp>
    <xdr:clientData/>
  </xdr:twoCellAnchor>
  <xdr:twoCellAnchor>
    <xdr:from>
      <xdr:col>1</xdr:col>
      <xdr:colOff>15240</xdr:colOff>
      <xdr:row>44</xdr:row>
      <xdr:rowOff>160020</xdr:rowOff>
    </xdr:from>
    <xdr:to>
      <xdr:col>5</xdr:col>
      <xdr:colOff>708660</xdr:colOff>
      <xdr:row>47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4F44AC5-4023-44D9-96A8-A10ED76182EF}"/>
            </a:ext>
          </a:extLst>
        </xdr:cNvPr>
        <xdr:cNvSpPr/>
      </xdr:nvSpPr>
      <xdr:spPr>
        <a:xfrm>
          <a:off x="624840" y="8206740"/>
          <a:ext cx="4236720" cy="5410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Regional Shipping Cost Analysis</a:t>
          </a:r>
          <a:endParaRPr lang="en-IN" sz="2000" b="1"/>
        </a:p>
      </xdr:txBody>
    </xdr:sp>
    <xdr:clientData/>
  </xdr:twoCellAnchor>
  <xdr:twoCellAnchor>
    <xdr:from>
      <xdr:col>0</xdr:col>
      <xdr:colOff>586740</xdr:colOff>
      <xdr:row>60</xdr:row>
      <xdr:rowOff>76200</xdr:rowOff>
    </xdr:from>
    <xdr:to>
      <xdr:col>5</xdr:col>
      <xdr:colOff>670560</xdr:colOff>
      <xdr:row>63</xdr:row>
      <xdr:rowOff>68580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07FCF9B-75A4-4282-8629-71046FE5B464}"/>
            </a:ext>
          </a:extLst>
        </xdr:cNvPr>
        <xdr:cNvSpPr/>
      </xdr:nvSpPr>
      <xdr:spPr>
        <a:xfrm>
          <a:off x="586740" y="11049000"/>
          <a:ext cx="6812280" cy="5410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Customer Engagement vs Delivery Performance</a:t>
          </a:r>
          <a:endParaRPr lang="en-IN" sz="2000" b="1"/>
        </a:p>
      </xdr:txBody>
    </xdr:sp>
    <xdr:clientData/>
  </xdr:twoCellAnchor>
  <xdr:twoCellAnchor>
    <xdr:from>
      <xdr:col>3</xdr:col>
      <xdr:colOff>1028700</xdr:colOff>
      <xdr:row>0</xdr:row>
      <xdr:rowOff>106680</xdr:rowOff>
    </xdr:from>
    <xdr:to>
      <xdr:col>8</xdr:col>
      <xdr:colOff>144780</xdr:colOff>
      <xdr:row>3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BDF8736-0620-41B0-945C-B8AA1DCB0C36}"/>
            </a:ext>
          </a:extLst>
        </xdr:cNvPr>
        <xdr:cNvSpPr/>
      </xdr:nvSpPr>
      <xdr:spPr>
        <a:xfrm>
          <a:off x="4236720" y="106680"/>
          <a:ext cx="7132320" cy="59436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Descriptive</a:t>
          </a:r>
          <a:r>
            <a:rPr lang="en-IN" sz="3600" b="1" baseline="0"/>
            <a:t> Statistics</a:t>
          </a:r>
          <a:endParaRPr lang="en-IN" sz="36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0</xdr:row>
      <xdr:rowOff>91440</xdr:rowOff>
    </xdr:from>
    <xdr:to>
      <xdr:col>2</xdr:col>
      <xdr:colOff>1295400</xdr:colOff>
      <xdr:row>6</xdr:row>
      <xdr:rowOff>106680</xdr:rowOff>
    </xdr:to>
    <xdr:pic>
      <xdr:nvPicPr>
        <xdr:cNvPr id="2" name="Graphic 1" descr="Questions with solid fill">
          <a:extLst>
            <a:ext uri="{FF2B5EF4-FFF2-40B4-BE49-F238E27FC236}">
              <a16:creationId xmlns:a16="http://schemas.microsoft.com/office/drawing/2014/main" id="{D265CB26-F077-4291-85DB-5EC49C78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2080" y="91440"/>
          <a:ext cx="1112520" cy="1112520"/>
        </a:xfrm>
        <a:prstGeom prst="rect">
          <a:avLst/>
        </a:prstGeom>
      </xdr:spPr>
    </xdr:pic>
    <xdr:clientData/>
  </xdr:twoCellAnchor>
  <xdr:twoCellAnchor>
    <xdr:from>
      <xdr:col>4</xdr:col>
      <xdr:colOff>243840</xdr:colOff>
      <xdr:row>1</xdr:row>
      <xdr:rowOff>175260</xdr:rowOff>
    </xdr:from>
    <xdr:to>
      <xdr:col>15</xdr:col>
      <xdr:colOff>190500</xdr:colOff>
      <xdr:row>5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914AD10-DDCE-48B7-AB59-0ACBEDBA0C30}"/>
            </a:ext>
          </a:extLst>
        </xdr:cNvPr>
        <xdr:cNvSpPr/>
      </xdr:nvSpPr>
      <xdr:spPr>
        <a:xfrm>
          <a:off x="2682240" y="358140"/>
          <a:ext cx="6652260" cy="59436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What-If</a:t>
          </a:r>
          <a:r>
            <a:rPr lang="en-IN" sz="3600" b="1" baseline="0"/>
            <a:t> Analysis</a:t>
          </a:r>
          <a:endParaRPr lang="en-IN" sz="3600" b="1"/>
        </a:p>
      </xdr:txBody>
    </xdr:sp>
    <xdr:clientData/>
  </xdr:twoCellAnchor>
  <xdr:twoCellAnchor>
    <xdr:from>
      <xdr:col>1</xdr:col>
      <xdr:colOff>541020</xdr:colOff>
      <xdr:row>8</xdr:row>
      <xdr:rowOff>38100</xdr:rowOff>
    </xdr:from>
    <xdr:to>
      <xdr:col>6</xdr:col>
      <xdr:colOff>411480</xdr:colOff>
      <xdr:row>10</xdr:row>
      <xdr:rowOff>167640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1A9C85-61C2-40EF-99CE-A5B94109A57B}"/>
            </a:ext>
          </a:extLst>
        </xdr:cNvPr>
        <xdr:cNvSpPr/>
      </xdr:nvSpPr>
      <xdr:spPr>
        <a:xfrm>
          <a:off x="1150620" y="1501140"/>
          <a:ext cx="4587240" cy="4953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Data</a:t>
          </a:r>
          <a:r>
            <a:rPr lang="en-IN" sz="2000" b="1" baseline="0"/>
            <a:t> Table</a:t>
          </a:r>
          <a:endParaRPr lang="en-IN" sz="2000" b="1"/>
        </a:p>
      </xdr:txBody>
    </xdr:sp>
    <xdr:clientData/>
  </xdr:twoCellAnchor>
  <xdr:twoCellAnchor>
    <xdr:from>
      <xdr:col>1</xdr:col>
      <xdr:colOff>548640</xdr:colOff>
      <xdr:row>19</xdr:row>
      <xdr:rowOff>53340</xdr:rowOff>
    </xdr:from>
    <xdr:to>
      <xdr:col>6</xdr:col>
      <xdr:colOff>419100</xdr:colOff>
      <xdr:row>22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9A88D81-0B59-436C-8A8B-76CF7F3AC044}"/>
            </a:ext>
          </a:extLst>
        </xdr:cNvPr>
        <xdr:cNvSpPr/>
      </xdr:nvSpPr>
      <xdr:spPr>
        <a:xfrm>
          <a:off x="1158240" y="3528060"/>
          <a:ext cx="4587240" cy="4953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Scenario Manager</a:t>
          </a:r>
        </a:p>
      </xdr:txBody>
    </xdr:sp>
    <xdr:clientData/>
  </xdr:twoCellAnchor>
  <xdr:twoCellAnchor>
    <xdr:from>
      <xdr:col>1</xdr:col>
      <xdr:colOff>518160</xdr:colOff>
      <xdr:row>27</xdr:row>
      <xdr:rowOff>68580</xdr:rowOff>
    </xdr:from>
    <xdr:to>
      <xdr:col>6</xdr:col>
      <xdr:colOff>388620</xdr:colOff>
      <xdr:row>30</xdr:row>
      <xdr:rowOff>15240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7657560-834B-47C9-9267-D2EC09746D6C}"/>
            </a:ext>
          </a:extLst>
        </xdr:cNvPr>
        <xdr:cNvSpPr/>
      </xdr:nvSpPr>
      <xdr:spPr>
        <a:xfrm>
          <a:off x="1127760" y="5006340"/>
          <a:ext cx="4587240" cy="4953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Goal Seek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14</xdr:col>
      <xdr:colOff>426720</xdr:colOff>
      <xdr:row>4</xdr:row>
      <xdr:rowOff>53340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0444A44-BEC8-4E9D-B29B-C8E78FC3B4CC}"/>
            </a:ext>
          </a:extLst>
        </xdr:cNvPr>
        <xdr:cNvSpPr/>
      </xdr:nvSpPr>
      <xdr:spPr>
        <a:xfrm>
          <a:off x="1828800" y="190500"/>
          <a:ext cx="7132320" cy="59436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6">
            <a:shade val="50000"/>
          </a:schemeClr>
        </a:lnRef>
        <a:fillRef idx="1001">
          <a:schemeClr val="dk2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/>
            <a:t>Data Visualization </a:t>
          </a:r>
        </a:p>
      </xdr:txBody>
    </xdr:sp>
    <xdr:clientData/>
  </xdr:twoCellAnchor>
  <xdr:twoCellAnchor>
    <xdr:from>
      <xdr:col>0</xdr:col>
      <xdr:colOff>586740</xdr:colOff>
      <xdr:row>7</xdr:row>
      <xdr:rowOff>76200</xdr:rowOff>
    </xdr:from>
    <xdr:to>
      <xdr:col>8</xdr:col>
      <xdr:colOff>281940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FAE57D-4DB3-426A-B8F1-B6CEBB0AA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8</xdr:col>
      <xdr:colOff>304800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7C1615-8F78-459F-9736-C5E76E24D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7</xdr:row>
      <xdr:rowOff>91440</xdr:rowOff>
    </xdr:from>
    <xdr:to>
      <xdr:col>17</xdr:col>
      <xdr:colOff>304800</xdr:colOff>
      <xdr:row>22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D07B8B-AE77-4126-BE8E-27369B2FB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17</xdr:col>
      <xdr:colOff>304800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2998C7-6752-49AC-B2B1-504295F69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304800</xdr:colOff>
      <xdr:row>58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4818A4-3E63-489E-8D0B-2CA2C033B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22860</xdr:colOff>
      <xdr:row>42</xdr:row>
      <xdr:rowOff>175260</xdr:rowOff>
    </xdr:from>
    <xdr:to>
      <xdr:col>17</xdr:col>
      <xdr:colOff>327660</xdr:colOff>
      <xdr:row>57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77F97D-17E0-4034-9CD4-3BC216F81A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594360</xdr:colOff>
      <xdr:row>59</xdr:row>
      <xdr:rowOff>83820</xdr:rowOff>
    </xdr:from>
    <xdr:to>
      <xdr:col>8</xdr:col>
      <xdr:colOff>289560</xdr:colOff>
      <xdr:row>74</xdr:row>
      <xdr:rowOff>83820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8AF02B-3DD1-4653-9C65-A9759FF5A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7620</xdr:colOff>
      <xdr:row>60</xdr:row>
      <xdr:rowOff>68580</xdr:rowOff>
    </xdr:from>
    <xdr:to>
      <xdr:col>17</xdr:col>
      <xdr:colOff>312420</xdr:colOff>
      <xdr:row>75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C04F77-BA69-4C4D-91CF-D5541EC84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20</xdr:row>
      <xdr:rowOff>41910</xdr:rowOff>
    </xdr:from>
    <xdr:to>
      <xdr:col>7</xdr:col>
      <xdr:colOff>390525</xdr:colOff>
      <xdr:row>40</xdr:row>
      <xdr:rowOff>51435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746C4-E0E2-4349-93D1-5CA939F21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0</xdr:row>
      <xdr:rowOff>99060</xdr:rowOff>
    </xdr:from>
    <xdr:to>
      <xdr:col>14</xdr:col>
      <xdr:colOff>289560</xdr:colOff>
      <xdr:row>6</xdr:row>
      <xdr:rowOff>68580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C8D7DEB-3AE2-4084-95DA-38C98A6D47F5}"/>
            </a:ext>
          </a:extLst>
        </xdr:cNvPr>
        <xdr:cNvSpPr/>
      </xdr:nvSpPr>
      <xdr:spPr>
        <a:xfrm>
          <a:off x="632460" y="99060"/>
          <a:ext cx="9174480" cy="1066800"/>
        </a:xfrm>
        <a:prstGeom prst="rightArrow">
          <a:avLst/>
        </a:prstGeom>
        <a:solidFill>
          <a:schemeClr val="tx2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32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KPI Analysis</a:t>
          </a:r>
        </a:p>
      </xdr:txBody>
    </xdr:sp>
    <xdr:clientData/>
  </xdr:twoCellAnchor>
  <xdr:twoCellAnchor>
    <xdr:from>
      <xdr:col>1</xdr:col>
      <xdr:colOff>152400</xdr:colOff>
      <xdr:row>11</xdr:row>
      <xdr:rowOff>22860</xdr:rowOff>
    </xdr:from>
    <xdr:to>
      <xdr:col>3</xdr:col>
      <xdr:colOff>464820</xdr:colOff>
      <xdr:row>15</xdr:row>
      <xdr:rowOff>30480</xdr:rowOff>
    </xdr:to>
    <xdr:sp macro="" textlink="$G$10">
      <xdr:nvSpPr>
        <xdr:cNvPr id="3" name="Rectangle: Rounded Corners 2">
          <a:extLst>
            <a:ext uri="{FF2B5EF4-FFF2-40B4-BE49-F238E27FC236}">
              <a16:creationId xmlns:a16="http://schemas.microsoft.com/office/drawing/2014/main" id="{B3B0FA6A-30F4-4839-88EF-475BBDC51E6D}"/>
            </a:ext>
          </a:extLst>
        </xdr:cNvPr>
        <xdr:cNvSpPr/>
      </xdr:nvSpPr>
      <xdr:spPr>
        <a:xfrm>
          <a:off x="762000" y="204978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EEBE1AA-A865-4FED-AE8A-E2F02B568760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4.57</a:t>
          </a:fld>
          <a:endParaRPr lang="en-IN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182880</xdr:colOff>
      <xdr:row>11</xdr:row>
      <xdr:rowOff>0</xdr:rowOff>
    </xdr:from>
    <xdr:to>
      <xdr:col>10</xdr:col>
      <xdr:colOff>495300</xdr:colOff>
      <xdr:row>15</xdr:row>
      <xdr:rowOff>7620</xdr:rowOff>
    </xdr:to>
    <xdr:sp macro="" textlink="$G$11">
      <xdr:nvSpPr>
        <xdr:cNvPr id="4" name="Rectangle: Rounded Corners 3">
          <a:extLst>
            <a:ext uri="{FF2B5EF4-FFF2-40B4-BE49-F238E27FC236}">
              <a16:creationId xmlns:a16="http://schemas.microsoft.com/office/drawing/2014/main" id="{A2196EDD-87BF-4E6C-AAC9-F11B1A3DCB62}"/>
            </a:ext>
          </a:extLst>
        </xdr:cNvPr>
        <xdr:cNvSpPr/>
      </xdr:nvSpPr>
      <xdr:spPr>
        <a:xfrm>
          <a:off x="6042660" y="202692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4369EA0D-E003-4467-9395-521EBD766D85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113.30</a:t>
          </a:fld>
          <a:endParaRPr lang="en-IN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167640</xdr:colOff>
      <xdr:row>19</xdr:row>
      <xdr:rowOff>0</xdr:rowOff>
    </xdr:from>
    <xdr:to>
      <xdr:col>3</xdr:col>
      <xdr:colOff>480060</xdr:colOff>
      <xdr:row>23</xdr:row>
      <xdr:rowOff>7620</xdr:rowOff>
    </xdr:to>
    <xdr:sp macro="" textlink="$G$12">
      <xdr:nvSpPr>
        <xdr:cNvPr id="5" name="Rectangle: Rounded Corners 4">
          <a:extLst>
            <a:ext uri="{FF2B5EF4-FFF2-40B4-BE49-F238E27FC236}">
              <a16:creationId xmlns:a16="http://schemas.microsoft.com/office/drawing/2014/main" id="{B49E11A3-5DB1-4B9E-BEBE-10C3B5A98BC3}"/>
            </a:ext>
          </a:extLst>
        </xdr:cNvPr>
        <xdr:cNvSpPr/>
      </xdr:nvSpPr>
      <xdr:spPr>
        <a:xfrm>
          <a:off x="777240" y="350520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9B4ED47-7B7C-4C8B-B93D-D95EDB526D24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87.29</a:t>
          </a:fld>
          <a:endParaRPr lang="en-US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175260</xdr:colOff>
      <xdr:row>19</xdr:row>
      <xdr:rowOff>22860</xdr:rowOff>
    </xdr:from>
    <xdr:to>
      <xdr:col>10</xdr:col>
      <xdr:colOff>487680</xdr:colOff>
      <xdr:row>23</xdr:row>
      <xdr:rowOff>30480</xdr:rowOff>
    </xdr:to>
    <xdr:sp macro="" textlink="$G$13">
      <xdr:nvSpPr>
        <xdr:cNvPr id="6" name="Rectangle: Rounded Corners 5">
          <a:extLst>
            <a:ext uri="{FF2B5EF4-FFF2-40B4-BE49-F238E27FC236}">
              <a16:creationId xmlns:a16="http://schemas.microsoft.com/office/drawing/2014/main" id="{28383E67-7B3E-476A-9CBF-F2B1B18E29A1}"/>
            </a:ext>
          </a:extLst>
        </xdr:cNvPr>
        <xdr:cNvSpPr/>
      </xdr:nvSpPr>
      <xdr:spPr>
        <a:xfrm>
          <a:off x="6035040" y="352806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3A4C3C63-C61C-4501-8C31-BF5599361076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1990.09</a:t>
          </a:fld>
          <a:endParaRPr lang="en-US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137160</xdr:colOff>
      <xdr:row>26</xdr:row>
      <xdr:rowOff>0</xdr:rowOff>
    </xdr:from>
    <xdr:to>
      <xdr:col>3</xdr:col>
      <xdr:colOff>449580</xdr:colOff>
      <xdr:row>30</xdr:row>
      <xdr:rowOff>7620</xdr:rowOff>
    </xdr:to>
    <xdr:sp macro="" textlink="$G$14">
      <xdr:nvSpPr>
        <xdr:cNvPr id="9" name="Rectangle: Rounded Corners 8">
          <a:extLst>
            <a:ext uri="{FF2B5EF4-FFF2-40B4-BE49-F238E27FC236}">
              <a16:creationId xmlns:a16="http://schemas.microsoft.com/office/drawing/2014/main" id="{3D18759C-55C0-4680-A433-0560DA3DA015}"/>
            </a:ext>
          </a:extLst>
        </xdr:cNvPr>
        <xdr:cNvSpPr/>
      </xdr:nvSpPr>
      <xdr:spPr>
        <a:xfrm>
          <a:off x="746760" y="478536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250BC7A8-2728-4C89-874D-6D1FFE0E878C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9999</a:t>
          </a:fld>
          <a:endParaRPr lang="en-US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144780</xdr:colOff>
      <xdr:row>25</xdr:row>
      <xdr:rowOff>167640</xdr:rowOff>
    </xdr:from>
    <xdr:to>
      <xdr:col>10</xdr:col>
      <xdr:colOff>457200</xdr:colOff>
      <xdr:row>29</xdr:row>
      <xdr:rowOff>175260</xdr:rowOff>
    </xdr:to>
    <xdr:sp macro="" textlink="$G$15">
      <xdr:nvSpPr>
        <xdr:cNvPr id="10" name="Rectangle: Rounded Corners 9">
          <a:extLst>
            <a:ext uri="{FF2B5EF4-FFF2-40B4-BE49-F238E27FC236}">
              <a16:creationId xmlns:a16="http://schemas.microsoft.com/office/drawing/2014/main" id="{1D69E828-0BEC-4F66-AD97-67CD6D726E9B}"/>
            </a:ext>
          </a:extLst>
        </xdr:cNvPr>
        <xdr:cNvSpPr/>
      </xdr:nvSpPr>
      <xdr:spPr>
        <a:xfrm>
          <a:off x="6004560" y="478536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B5BAE658-4B0E-40CB-B452-8F51616F9761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11</a:t>
          </a:fld>
          <a:endParaRPr lang="en-US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350520</xdr:colOff>
      <xdr:row>24</xdr:row>
      <xdr:rowOff>7620</xdr:rowOff>
    </xdr:from>
    <xdr:to>
      <xdr:col>6</xdr:col>
      <xdr:colOff>502920</xdr:colOff>
      <xdr:row>28</xdr:row>
      <xdr:rowOff>7620</xdr:rowOff>
    </xdr:to>
    <xdr:sp macro="" textlink="$G$16">
      <xdr:nvSpPr>
        <xdr:cNvPr id="12" name="Rectangle: Rounded Corners 11">
          <a:extLst>
            <a:ext uri="{FF2B5EF4-FFF2-40B4-BE49-F238E27FC236}">
              <a16:creationId xmlns:a16="http://schemas.microsoft.com/office/drawing/2014/main" id="{AFE479FA-0E1C-4214-A420-C6E8238216DD}"/>
            </a:ext>
          </a:extLst>
        </xdr:cNvPr>
        <xdr:cNvSpPr/>
      </xdr:nvSpPr>
      <xdr:spPr>
        <a:xfrm>
          <a:off x="3398520" y="4450080"/>
          <a:ext cx="1531620" cy="739140"/>
        </a:xfrm>
        <a:prstGeom prst="roundRect">
          <a:avLst/>
        </a:prstGeom>
        <a:ln w="285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73A227B8-8CB5-4F35-AD1A-24AF2D4969E5}" type="TxLink">
            <a:rPr lang="en-US" sz="2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130</a:t>
          </a:fld>
          <a:endParaRPr lang="en-US" sz="2800" b="0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3</xdr:row>
      <xdr:rowOff>0</xdr:rowOff>
    </xdr:from>
    <xdr:to>
      <xdr:col>19</xdr:col>
      <xdr:colOff>297180</xdr:colOff>
      <xdr:row>106</xdr:row>
      <xdr:rowOff>175260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A0B3518-C4CC-4EFE-8B53-9F8BD5928673}"/>
            </a:ext>
          </a:extLst>
        </xdr:cNvPr>
        <xdr:cNvSpPr/>
      </xdr:nvSpPr>
      <xdr:spPr>
        <a:xfrm>
          <a:off x="586740" y="548640"/>
          <a:ext cx="11292840" cy="19011900"/>
        </a:xfrm>
        <a:prstGeom prst="roundRect">
          <a:avLst/>
        </a:prstGeom>
        <a:solidFill>
          <a:srgbClr val="00206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/>
            <a:t> Key Insights from the Visualizations</a:t>
          </a:r>
        </a:p>
        <a:p>
          <a:pPr algn="ctr"/>
          <a:endParaRPr lang="en-IN" sz="2800" b="1"/>
        </a:p>
        <a:p>
          <a:r>
            <a:rPr lang="en-IN" sz="1400" b="1"/>
            <a:t>Order Volume by City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0"/>
            <a:t>Mumbai and Delhi contribute the highest order volumes, indicating strong demand.</a:t>
          </a:r>
        </a:p>
        <a:p>
          <a:r>
            <a:rPr lang="en-IN" sz="1400" b="0"/>
            <a:t>Kolkata and Chennai show comparatively lower volumes.</a:t>
          </a:r>
        </a:p>
        <a:p>
          <a:r>
            <a:rPr lang="en-IN" sz="1400" b="0"/>
            <a:t>Bangalore sits in the mid-to-high range.</a:t>
          </a:r>
        </a:p>
        <a:p>
          <a:r>
            <a:rPr lang="en-IN" sz="1400" b="0"/>
            <a:t>Implication:</a:t>
          </a:r>
        </a:p>
        <a:p>
          <a:r>
            <a:rPr lang="en-IN" sz="1400" b="0"/>
            <a:t>Metro cities are the primary revenue drivers.</a:t>
          </a:r>
        </a:p>
        <a:p>
          <a:r>
            <a:rPr lang="en-IN" sz="1400" b="0"/>
            <a:t>There is potential to increase penetration in lower-volume cities through targeted campaigns.</a:t>
          </a:r>
        </a:p>
        <a:p>
          <a:endParaRPr lang="en-IN" sz="1400" b="0"/>
        </a:p>
        <a:p>
          <a:r>
            <a:rPr lang="en-IN" sz="1400" b="1"/>
            <a:t> Delivery Days vs Order Volume &amp; Session Length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0"/>
            <a:t>As delivery days increase, order volume drops sharply.</a:t>
          </a:r>
        </a:p>
        <a:p>
          <a:r>
            <a:rPr lang="en-IN" sz="1400" b="0"/>
            <a:t>Customer session length peaks at higher delivery days, indicating customers spend more time tracking or checking delayed orders rather than purchasing.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Faster delivery is </a:t>
          </a:r>
          <a:r>
            <a:rPr lang="en-IN" sz="1400" b="1"/>
            <a:t>directly correlated with higher order volume</a:t>
          </a:r>
          <a:r>
            <a:rPr lang="en-IN" sz="1400"/>
            <a:t>.</a:t>
          </a:r>
        </a:p>
        <a:p>
          <a:r>
            <a:rPr lang="en-IN" sz="1400"/>
            <a:t>Longer session length here signals </a:t>
          </a:r>
          <a:r>
            <a:rPr lang="en-IN" sz="1400" b="1"/>
            <a:t>friction</a:t>
          </a:r>
          <a:r>
            <a:rPr lang="en-IN" sz="1400"/>
            <a:t>, not engagement.</a:t>
          </a:r>
        </a:p>
        <a:p>
          <a:endParaRPr lang="en-IN" sz="1400"/>
        </a:p>
        <a:p>
          <a:r>
            <a:rPr lang="en-IN" sz="1400" b="1"/>
            <a:t> Payment Mode Preference by Source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1"/>
            <a:t>App-based orders dominate website orders</a:t>
          </a:r>
          <a:r>
            <a:rPr lang="en-IN" sz="1400"/>
            <a:t> across all payment modes.</a:t>
          </a:r>
        </a:p>
        <a:p>
          <a:r>
            <a:rPr lang="en-IN" sz="1400" b="1"/>
            <a:t>Debit Card</a:t>
          </a:r>
          <a:r>
            <a:rPr lang="en-IN" sz="1400"/>
            <a:t> is the most used payment method, followed by </a:t>
          </a:r>
          <a:r>
            <a:rPr lang="en-IN" sz="1400" b="1"/>
            <a:t>Credit Card</a:t>
          </a:r>
          <a:r>
            <a:rPr lang="en-IN" sz="1400"/>
            <a:t>.</a:t>
          </a:r>
        </a:p>
        <a:p>
          <a:r>
            <a:rPr lang="en-IN" sz="1400" b="1"/>
            <a:t>Cash on Delivery (COD)</a:t>
          </a:r>
          <a:r>
            <a:rPr lang="en-IN" sz="1400"/>
            <a:t> usage is minimal.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App is the </a:t>
          </a:r>
          <a:r>
            <a:rPr lang="en-IN" sz="1400" b="1"/>
            <a:t>primary sales channel</a:t>
          </a:r>
          <a:r>
            <a:rPr lang="en-IN" sz="1400"/>
            <a:t>.</a:t>
          </a:r>
        </a:p>
        <a:p>
          <a:r>
            <a:rPr lang="en-IN" sz="1400"/>
            <a:t>Digital payments are well adopted, reducing COD-related risks and costs.</a:t>
          </a:r>
        </a:p>
        <a:p>
          <a:endParaRPr lang="en-IN" sz="1400"/>
        </a:p>
        <a:p>
          <a:r>
            <a:rPr lang="en-IN" sz="1400" b="1"/>
            <a:t> Shipping &amp; Transit Storage Cost by City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1"/>
            <a:t>Bangalore, Chennai, and Delhi</a:t>
          </a:r>
          <a:r>
            <a:rPr lang="en-IN" sz="1400"/>
            <a:t> have the </a:t>
          </a:r>
          <a:r>
            <a:rPr lang="en-IN" sz="1400" b="1"/>
            <a:t>highest shipping costs</a:t>
          </a:r>
          <a:r>
            <a:rPr lang="en-IN" sz="1400"/>
            <a:t>.</a:t>
          </a:r>
        </a:p>
        <a:p>
          <a:r>
            <a:rPr lang="en-IN" sz="1400" b="1"/>
            <a:t>Kolkata and Mumbai</a:t>
          </a:r>
          <a:r>
            <a:rPr lang="en-IN" sz="1400"/>
            <a:t> show relatively balanced shipping and transit storage costs.</a:t>
          </a:r>
        </a:p>
        <a:p>
          <a:r>
            <a:rPr lang="en-IN" sz="1400"/>
            <a:t>Transit storage costs are significantly high in </a:t>
          </a:r>
          <a:r>
            <a:rPr lang="en-IN" sz="1400" b="1"/>
            <a:t>Delhi and Kolkata</a:t>
          </a:r>
          <a:r>
            <a:rPr lang="en-IN" sz="1400"/>
            <a:t>, hinting at delays or warehousing inefficiencies.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Logistics optimization is needed in </a:t>
          </a:r>
          <a:r>
            <a:rPr lang="en-IN" sz="1400" b="1"/>
            <a:t>Delhi and Chennai</a:t>
          </a:r>
          <a:r>
            <a:rPr lang="en-IN" sz="1400"/>
            <a:t>.</a:t>
          </a:r>
        </a:p>
        <a:p>
          <a:r>
            <a:rPr lang="en-IN" sz="1400"/>
            <a:t>Scope for </a:t>
          </a:r>
          <a:r>
            <a:rPr lang="en-IN" sz="1400" b="1"/>
            <a:t>regional warehouses</a:t>
          </a:r>
          <a:r>
            <a:rPr lang="en-IN" sz="1400"/>
            <a:t> or better inventory planning.</a:t>
          </a:r>
        </a:p>
        <a:p>
          <a:endParaRPr lang="en-IN" sz="1400"/>
        </a:p>
        <a:p>
          <a:r>
            <a:rPr lang="en-IN" sz="1400" b="1"/>
            <a:t>Logistics Provider Performance – Delivery Days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1"/>
            <a:t>FastWheels Ltd</a:t>
          </a:r>
          <a:r>
            <a:rPr lang="en-IN" sz="1400"/>
            <a:t> delivers faster on average (~4 days).</a:t>
          </a:r>
        </a:p>
        <a:p>
          <a:r>
            <a:rPr lang="en-IN" sz="1400" b="1"/>
            <a:t>Ship2Home delivery</a:t>
          </a:r>
          <a:r>
            <a:rPr lang="en-IN" sz="1400"/>
            <a:t> and </a:t>
          </a:r>
          <a:r>
            <a:rPr lang="en-IN" sz="1400" b="1"/>
            <a:t>Ship2Home Logistics Unit</a:t>
          </a:r>
          <a:r>
            <a:rPr lang="en-IN" sz="1400"/>
            <a:t> average around </a:t>
          </a:r>
          <a:r>
            <a:rPr lang="en-IN" sz="1400" b="1"/>
            <a:t>5 days</a:t>
          </a:r>
          <a:r>
            <a:rPr lang="en-IN" sz="1400"/>
            <a:t>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FastWheels Ltd is the </a:t>
          </a:r>
          <a:r>
            <a:rPr lang="en-IN" sz="1400" b="1"/>
            <a:t>best-performing provider</a:t>
          </a:r>
          <a:r>
            <a:rPr lang="en-IN" sz="1400"/>
            <a:t> in terms of speed.</a:t>
          </a:r>
        </a:p>
        <a:p>
          <a:endParaRPr lang="en-IN" sz="1400"/>
        </a:p>
        <a:p>
          <a:r>
            <a:rPr lang="en-IN" sz="1400" b="1"/>
            <a:t> Logistics Provider – Order Volume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1"/>
            <a:t>FastWheels Ltd handles the highest order volume</a:t>
          </a:r>
          <a:r>
            <a:rPr lang="en-IN" sz="1400"/>
            <a:t>, almost double that of Ship2Home Logistics Unit.</a:t>
          </a:r>
        </a:p>
        <a:p>
          <a:r>
            <a:rPr lang="en-IN" sz="1400"/>
            <a:t>High volume + faster delivery indicates </a:t>
          </a:r>
          <a:r>
            <a:rPr lang="en-IN" sz="1400" b="1"/>
            <a:t>operational reliability</a:t>
          </a:r>
          <a:r>
            <a:rPr lang="en-IN" sz="1400"/>
            <a:t>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FastWheels Ltd is both </a:t>
          </a:r>
          <a:r>
            <a:rPr lang="en-IN" sz="1400" b="1"/>
            <a:t>scalable and efficient</a:t>
          </a:r>
          <a:r>
            <a:rPr lang="en-IN" sz="1400"/>
            <a:t>.</a:t>
          </a:r>
        </a:p>
        <a:p>
          <a:endParaRPr lang="en-IN" sz="1400"/>
        </a:p>
        <a:p>
          <a:r>
            <a:rPr lang="en-IN" sz="1400" b="1"/>
            <a:t> Average Shipping Cost by Product Category</a:t>
          </a:r>
        </a:p>
        <a:p>
          <a:r>
            <a:rPr lang="en-IN" sz="1400" b="1"/>
            <a:t>Insight:</a:t>
          </a:r>
          <a:endParaRPr lang="en-IN" sz="1400"/>
        </a:p>
        <a:p>
          <a:r>
            <a:rPr lang="en-IN" sz="1400" b="1"/>
            <a:t>PCs and Tablets</a:t>
          </a:r>
          <a:r>
            <a:rPr lang="en-IN" sz="1400"/>
            <a:t> incur the </a:t>
          </a:r>
          <a:r>
            <a:rPr lang="en-IN" sz="1400" b="1"/>
            <a:t>highest shipping costs</a:t>
          </a:r>
          <a:r>
            <a:rPr lang="en-IN" sz="1400"/>
            <a:t>.</a:t>
          </a:r>
        </a:p>
        <a:p>
          <a:r>
            <a:rPr lang="en-IN" sz="1400" b="1"/>
            <a:t>Mobile and Laptop</a:t>
          </a:r>
          <a:r>
            <a:rPr lang="en-IN" sz="1400"/>
            <a:t> categories have comparatively lower shipping costs.</a:t>
          </a:r>
        </a:p>
        <a:p>
          <a:r>
            <a:rPr lang="en-IN" sz="1400"/>
            <a:t>Cost variation across categories is present but not extreme.</a:t>
          </a:r>
        </a:p>
        <a:p>
          <a:r>
            <a:rPr lang="en-IN" sz="1400" b="1"/>
            <a:t>Implication:</a:t>
          </a:r>
          <a:endParaRPr lang="en-IN" sz="1400"/>
        </a:p>
        <a:p>
          <a:r>
            <a:rPr lang="en-IN" sz="1400"/>
            <a:t>High-value, bulky products drive logistics costs.</a:t>
          </a:r>
        </a:p>
        <a:p>
          <a:r>
            <a:rPr lang="en-IN" sz="1400"/>
            <a:t>Opportunity for </a:t>
          </a:r>
          <a:r>
            <a:rPr lang="en-IN" sz="1400" b="1"/>
            <a:t>category-specific shipping pricing</a:t>
          </a:r>
          <a:r>
            <a:rPr lang="en-IN" sz="1400"/>
            <a:t>.</a:t>
          </a:r>
        </a:p>
        <a:p>
          <a:endParaRPr lang="en-IN" sz="1400"/>
        </a:p>
        <a:p>
          <a:r>
            <a:rPr lang="en-IN" sz="1400" b="1"/>
            <a:t> Cross-Visualization Strategic Insights</a:t>
          </a:r>
        </a:p>
        <a:p>
          <a:endParaRPr lang="en-IN" sz="1400" b="1"/>
        </a:p>
        <a:p>
          <a:r>
            <a:rPr lang="en-IN" sz="1400" b="1"/>
            <a:t>Fast delivery = higher order volume</a:t>
          </a:r>
          <a:r>
            <a:rPr lang="en-IN" sz="1400"/>
            <a:t> → logistics speed is a revenue lever.</a:t>
          </a:r>
        </a:p>
        <a:p>
          <a:r>
            <a:rPr lang="en-IN" sz="1400" b="1"/>
            <a:t>App channel dominance</a:t>
          </a:r>
          <a:r>
            <a:rPr lang="en-IN" sz="1400"/>
            <a:t> → future investments should prioritize app UX and performance.</a:t>
          </a:r>
        </a:p>
        <a:p>
          <a:r>
            <a:rPr lang="en-IN" sz="1400" b="1"/>
            <a:t>Metro-city concentration</a:t>
          </a:r>
          <a:r>
            <a:rPr lang="en-IN" sz="1400"/>
            <a:t> → optimize logistics hubs in Mumbai, Delhi, Bangalore.</a:t>
          </a:r>
        </a:p>
        <a:p>
          <a:r>
            <a:rPr lang="en-IN" sz="1400" b="1"/>
            <a:t>High session length during delays</a:t>
          </a:r>
          <a:r>
            <a:rPr lang="en-IN" sz="1400"/>
            <a:t> → indicates customer dissatisfaction, not engagement.</a:t>
          </a:r>
        </a:p>
        <a:p>
          <a:endParaRPr lang="en-IN" sz="1400"/>
        </a:p>
        <a:p>
          <a:endParaRPr lang="en-IN" sz="1400"/>
        </a:p>
        <a:p>
          <a:r>
            <a:rPr lang="en-IN" sz="1400" b="1"/>
            <a:t>Recommended Actions</a:t>
          </a:r>
        </a:p>
        <a:p>
          <a:endParaRPr lang="en-IN" sz="1400" b="1"/>
        </a:p>
        <a:p>
          <a:r>
            <a:rPr lang="en-IN" sz="1400" b="1"/>
            <a:t>Prioritize FastWheels Ltd</a:t>
          </a:r>
          <a:r>
            <a:rPr lang="en-IN" sz="1400"/>
            <a:t> for high-volume and metro deliveries</a:t>
          </a:r>
        </a:p>
        <a:p>
          <a:r>
            <a:rPr lang="en-IN" sz="1400" b="1"/>
            <a:t>Reduce delivery timelines</a:t>
          </a:r>
          <a:r>
            <a:rPr lang="en-IN" sz="1400"/>
            <a:t> by optimizing routes and warehousing</a:t>
          </a:r>
        </a:p>
        <a:p>
          <a:r>
            <a:rPr lang="en-IN" sz="1400" b="1"/>
            <a:t>Strengthen app-first strategy</a:t>
          </a:r>
          <a:r>
            <a:rPr lang="en-IN" sz="1400"/>
            <a:t> with exclusive offers</a:t>
          </a:r>
        </a:p>
        <a:p>
          <a:r>
            <a:rPr lang="en-IN" sz="1400" b="1"/>
            <a:t>Optimize logistics costs</a:t>
          </a:r>
          <a:r>
            <a:rPr lang="en-IN" sz="1400"/>
            <a:t> for high-cost cities and bulky categories</a:t>
          </a:r>
        </a:p>
        <a:p>
          <a:r>
            <a:rPr lang="en-IN" sz="1400" b="1"/>
            <a:t>Monitor long session lengths as a risk indicator</a:t>
          </a:r>
          <a:r>
            <a:rPr lang="en-IN" sz="1400"/>
            <a:t>, not a success metric</a:t>
          </a:r>
        </a:p>
        <a:p>
          <a:pPr algn="l"/>
          <a:endParaRPr lang="en-IN" sz="1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thak Somani" refreshedDate="46029.925549305553" createdVersion="7" refreshedVersion="7" minRefreshableVersion="3" recordCount="4290" xr:uid="{D40B4A66-3B46-45C5-A51F-3CAF99CD17BE}">
  <cacheSource type="worksheet">
    <worksheetSource name="Table1"/>
  </cacheSource>
  <cacheFields count="16">
    <cacheField name="order_id" numFmtId="0">
      <sharedItems containsSemiMixedTypes="0" containsString="0" containsNumber="1" containsInteger="1" minValue="111" maxValue="999468"/>
    </cacheField>
    <cacheField name="Product_category_cleaned" numFmtId="0">
      <sharedItems count="6">
        <s v="Gaming Console"/>
        <s v="Laptop"/>
        <s v="Mobile"/>
        <s v="PC"/>
        <s v="Tablet"/>
        <s v="TV"/>
      </sharedItems>
    </cacheField>
    <cacheField name="origin_city" numFmtId="0">
      <sharedItems/>
    </cacheField>
    <cacheField name="destination_city.1" numFmtId="0">
      <sharedItems count="5">
        <s v="Mumbai"/>
        <s v="Chennai"/>
        <s v="Delhi"/>
        <s v="Bangalore"/>
        <s v="Kolkata"/>
      </sharedItems>
    </cacheField>
    <cacheField name="destination_state" numFmtId="0">
      <sharedItems/>
    </cacheField>
    <cacheField name="logistics_provider_name" numFmtId="0">
      <sharedItems count="4">
        <s v="FastWheels Ltd"/>
        <s v="Ship2Home  delivery"/>
        <s v="Ship2Home Logistics Unit"/>
        <s v="" u="1"/>
      </sharedItems>
    </cacheField>
    <cacheField name="final_delivery_status" numFmtId="0">
      <sharedItems count="2">
        <s v="Delivered"/>
        <s v="Returned"/>
      </sharedItems>
    </cacheField>
    <cacheField name="Payment Mode" numFmtId="0">
      <sharedItems count="3">
        <s v="Debit Card"/>
        <s v="Credit Card"/>
        <s v="Cash On Delivery"/>
      </sharedItems>
    </cacheField>
    <cacheField name="Sources" numFmtId="0">
      <sharedItems count="2">
        <s v="App"/>
        <s v="Website"/>
      </sharedItems>
    </cacheField>
    <cacheField name="dispatch_date" numFmtId="22">
      <sharedItems containsSemiMixedTypes="0" containsNonDate="0" containsDate="1" containsString="0" minDate="2019-03-01T00:03:36" maxDate="2019-03-16T00:00:00"/>
    </cacheField>
    <cacheField name="actual_delivery_date" numFmtId="22">
      <sharedItems containsSemiMixedTypes="0" containsNonDate="0" containsDate="1" containsString="0" minDate="2019-03-01T04:09:18" maxDate="2019-03-25T08:00:41"/>
    </cacheField>
    <cacheField name="promised_delivery_date" numFmtId="22">
      <sharedItems containsSemiMixedTypes="0" containsNonDate="0" containsDate="1" containsString="0" minDate="2019-03-04T00:14:26" maxDate="2019-03-21T23:55:46"/>
    </cacheField>
    <cacheField name="Delivery Days" numFmtId="0">
      <sharedItems containsSemiMixedTypes="0" containsString="0" containsNumber="1" containsInteger="1" minValue="0" maxValue="11" count="12">
        <n v="2"/>
        <n v="9"/>
        <n v="1"/>
        <n v="6"/>
        <n v="3"/>
        <n v="8"/>
        <n v="4"/>
        <n v="10"/>
        <n v="7"/>
        <n v="5"/>
        <n v="0"/>
        <n v="11"/>
      </sharedItems>
    </cacheField>
    <cacheField name="transit_storage_cost" numFmtId="0">
      <sharedItems containsSemiMixedTypes="0" containsString="0" containsNumber="1" containsInteger="1" minValue="0" maxValue="9999"/>
    </cacheField>
    <cacheField name="shipping_cost" numFmtId="0">
      <sharedItems containsSemiMixedTypes="0" containsString="0" containsNumber="1" containsInteger="1" minValue="85" maxValue="130"/>
    </cacheField>
    <cacheField name="Session_length" numFmtId="0">
      <sharedItems containsSemiMixedTypes="0" containsString="0" containsNumber="1" minValue="180.21" maxValue="3877.98251985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0">
  <r>
    <n v="647282"/>
    <x v="0"/>
    <s v="Delhi"/>
    <x v="0"/>
    <s v=" MH"/>
    <x v="0"/>
    <x v="0"/>
    <x v="0"/>
    <x v="0"/>
    <d v="2019-03-01T02:09:43"/>
    <d v="2019-03-03T02:09:43"/>
    <d v="2019-03-08T02:09:43"/>
    <x v="0"/>
    <n v="68"/>
    <n v="90"/>
    <n v="2433.7882497132041"/>
  </r>
  <r>
    <n v="341040"/>
    <x v="0"/>
    <s v="Bangalore"/>
    <x v="1"/>
    <s v=" TN"/>
    <x v="0"/>
    <x v="0"/>
    <x v="0"/>
    <x v="1"/>
    <d v="2019-03-01T03:58:37"/>
    <d v="2019-03-10T03:58:37"/>
    <d v="2019-03-05T03:58:37"/>
    <x v="1"/>
    <n v="45"/>
    <n v="129"/>
    <n v="3465"/>
  </r>
  <r>
    <n v="319164"/>
    <x v="0"/>
    <s v="Bangalore"/>
    <x v="2"/>
    <s v=" DL"/>
    <x v="0"/>
    <x v="0"/>
    <x v="0"/>
    <x v="1"/>
    <d v="2019-03-01T04:07:46"/>
    <d v="2019-03-03T04:07:46"/>
    <d v="2019-03-04T04:07:46"/>
    <x v="0"/>
    <n v="48"/>
    <n v="121"/>
    <n v="2079.81"/>
  </r>
  <r>
    <n v="657437"/>
    <x v="0"/>
    <s v="Bangalore"/>
    <x v="3"/>
    <s v=" KA"/>
    <x v="1"/>
    <x v="0"/>
    <x v="1"/>
    <x v="0"/>
    <d v="2019-03-01T04:32:09"/>
    <d v="2019-03-02T04:32:09"/>
    <d v="2019-03-04T04:32:09"/>
    <x v="2"/>
    <n v="0"/>
    <n v="126"/>
    <n v="2445.2809062113647"/>
  </r>
  <r>
    <n v="304001"/>
    <x v="0"/>
    <s v="Delhi"/>
    <x v="3"/>
    <s v=" KA"/>
    <x v="1"/>
    <x v="0"/>
    <x v="1"/>
    <x v="0"/>
    <d v="2019-03-01T05:21:32"/>
    <d v="2019-03-07T05:21:32"/>
    <d v="2019-03-05T05:21:32"/>
    <x v="3"/>
    <n v="44"/>
    <n v="129"/>
    <n v="1372.8183208121052"/>
  </r>
  <r>
    <n v="952365"/>
    <x v="0"/>
    <s v="Delhi"/>
    <x v="2"/>
    <s v=" DL"/>
    <x v="1"/>
    <x v="0"/>
    <x v="1"/>
    <x v="1"/>
    <d v="2019-03-01T07:10:10"/>
    <d v="2019-03-02T07:10:10"/>
    <d v="2019-03-08T07:10:10"/>
    <x v="2"/>
    <n v="0"/>
    <n v="129"/>
    <n v="2251.81"/>
  </r>
  <r>
    <n v="927818"/>
    <x v="0"/>
    <s v="Delhi"/>
    <x v="2"/>
    <s v=" DL"/>
    <x v="2"/>
    <x v="0"/>
    <x v="0"/>
    <x v="0"/>
    <d v="2019-03-01T07:29:40"/>
    <d v="2019-03-02T07:29:40"/>
    <d v="2019-03-08T07:29:40"/>
    <x v="2"/>
    <n v="0"/>
    <n v="122"/>
    <n v="1377.2110377252884"/>
  </r>
  <r>
    <n v="962895"/>
    <x v="0"/>
    <s v="Bangalore"/>
    <x v="0"/>
    <s v=" MH"/>
    <x v="1"/>
    <x v="0"/>
    <x v="1"/>
    <x v="1"/>
    <d v="2019-03-01T08:56:59"/>
    <d v="2019-03-04T08:56:59"/>
    <d v="2019-03-06T08:56:59"/>
    <x v="4"/>
    <n v="47"/>
    <n v="110"/>
    <n v="2031.18"/>
  </r>
  <r>
    <n v="360541"/>
    <x v="0"/>
    <s v="Bangalore"/>
    <x v="0"/>
    <s v=" MH"/>
    <x v="1"/>
    <x v="0"/>
    <x v="1"/>
    <x v="0"/>
    <d v="2019-03-01T09:26:31"/>
    <d v="2019-03-09T09:26:31"/>
    <d v="2019-03-07T09:26:31"/>
    <x v="5"/>
    <n v="38"/>
    <n v="109"/>
    <n v="2427.0499899679244"/>
  </r>
  <r>
    <n v="883618"/>
    <x v="0"/>
    <s v="Delhi"/>
    <x v="1"/>
    <s v=" TN"/>
    <x v="2"/>
    <x v="0"/>
    <x v="0"/>
    <x v="0"/>
    <d v="2019-03-01T11:07:26"/>
    <d v="2019-03-05T11:07:26"/>
    <d v="2019-03-06T11:07:26"/>
    <x v="6"/>
    <n v="28"/>
    <n v="120"/>
    <n v="3427.7021306992319"/>
  </r>
  <r>
    <n v="681634"/>
    <x v="0"/>
    <s v="Delhi"/>
    <x v="0"/>
    <s v=" MH"/>
    <x v="2"/>
    <x v="0"/>
    <x v="0"/>
    <x v="0"/>
    <d v="2019-03-01T11:26:07"/>
    <d v="2019-03-05T11:26:07"/>
    <d v="2019-03-05T11:26:07"/>
    <x v="6"/>
    <n v="43"/>
    <n v="110"/>
    <n v="1261.063167628286"/>
  </r>
  <r>
    <n v="526961"/>
    <x v="0"/>
    <s v="Delhi"/>
    <x v="3"/>
    <s v=" KA"/>
    <x v="1"/>
    <x v="0"/>
    <x v="1"/>
    <x v="0"/>
    <d v="2019-03-01T12:01:43"/>
    <d v="2019-03-11T12:01:43"/>
    <d v="2019-03-06T12:01:43"/>
    <x v="7"/>
    <n v="37"/>
    <n v="124"/>
    <n v="625.97619877023499"/>
  </r>
  <r>
    <n v="917991"/>
    <x v="0"/>
    <s v="Delhi"/>
    <x v="2"/>
    <s v=" DL"/>
    <x v="1"/>
    <x v="0"/>
    <x v="1"/>
    <x v="1"/>
    <d v="2019-03-01T15:44:26"/>
    <d v="2019-03-08T15:44:26"/>
    <d v="2019-03-04T15:44:26"/>
    <x v="8"/>
    <n v="0"/>
    <n v="125"/>
    <n v="2576.5"/>
  </r>
  <r>
    <n v="110665"/>
    <x v="0"/>
    <s v="Bangalore"/>
    <x v="4"/>
    <s v=" WB"/>
    <x v="1"/>
    <x v="0"/>
    <x v="1"/>
    <x v="0"/>
    <d v="2019-03-01T16:06:54"/>
    <d v="2019-03-05T16:06:54"/>
    <d v="2019-03-07T16:06:54"/>
    <x v="6"/>
    <n v="28"/>
    <n v="115"/>
    <n v="3537.9008434809543"/>
  </r>
  <r>
    <n v="904392"/>
    <x v="0"/>
    <s v="Delhi"/>
    <x v="3"/>
    <s v=" KA"/>
    <x v="0"/>
    <x v="0"/>
    <x v="0"/>
    <x v="1"/>
    <d v="2019-03-01T16:07:25"/>
    <d v="2019-03-06T16:07:25"/>
    <d v="2019-03-07T16:07:25"/>
    <x v="9"/>
    <n v="29"/>
    <n v="122"/>
    <n v="1517.68"/>
  </r>
  <r>
    <n v="62792"/>
    <x v="0"/>
    <s v="Delhi"/>
    <x v="4"/>
    <s v=" WB"/>
    <x v="0"/>
    <x v="0"/>
    <x v="0"/>
    <x v="0"/>
    <d v="2019-03-01T16:40:35"/>
    <d v="2019-03-05T16:40:35"/>
    <d v="2019-03-08T16:40:35"/>
    <x v="6"/>
    <n v="31"/>
    <n v="113"/>
    <n v="1100.4150216772784"/>
  </r>
  <r>
    <n v="442349"/>
    <x v="0"/>
    <s v="Bangalore"/>
    <x v="4"/>
    <s v=" WB"/>
    <x v="1"/>
    <x v="0"/>
    <x v="1"/>
    <x v="0"/>
    <d v="2019-03-01T17:26:21"/>
    <d v="2019-03-08T17:26:21"/>
    <d v="2019-03-07T17:26:21"/>
    <x v="8"/>
    <n v="42"/>
    <n v="112"/>
    <n v="3138.0246413683171"/>
  </r>
  <r>
    <n v="889018"/>
    <x v="0"/>
    <s v="Bangalore"/>
    <x v="2"/>
    <s v=" DL"/>
    <x v="2"/>
    <x v="0"/>
    <x v="0"/>
    <x v="0"/>
    <d v="2019-03-01T18:54:39"/>
    <d v="2019-03-04T18:54:39"/>
    <d v="2019-03-04T18:54:39"/>
    <x v="4"/>
    <n v="27"/>
    <n v="125"/>
    <n v="3669.1274253879737"/>
  </r>
  <r>
    <n v="963116"/>
    <x v="0"/>
    <s v="Bangalore"/>
    <x v="1"/>
    <s v=" TN"/>
    <x v="0"/>
    <x v="0"/>
    <x v="0"/>
    <x v="0"/>
    <d v="2019-03-01T20:42:41"/>
    <d v="2019-03-08T20:42:41"/>
    <d v="2019-03-08T20:42:41"/>
    <x v="8"/>
    <n v="38"/>
    <n v="121"/>
    <n v="2028.1729258484552"/>
  </r>
  <r>
    <n v="890800"/>
    <x v="0"/>
    <s v="Delhi"/>
    <x v="2"/>
    <s v=" DL"/>
    <x v="0"/>
    <x v="0"/>
    <x v="0"/>
    <x v="0"/>
    <d v="2019-03-01T20:56:10"/>
    <d v="2019-03-06T20:56:10"/>
    <d v="2019-03-04T20:56:10"/>
    <x v="9"/>
    <n v="0"/>
    <n v="122"/>
    <n v="2585.3896486453582"/>
  </r>
  <r>
    <n v="919926"/>
    <x v="0"/>
    <s v="Delhi"/>
    <x v="4"/>
    <s v=" WB"/>
    <x v="2"/>
    <x v="0"/>
    <x v="0"/>
    <x v="1"/>
    <d v="2019-03-01T22:25:37"/>
    <d v="2019-03-03T22:25:37"/>
    <d v="2019-03-06T22:25:37"/>
    <x v="0"/>
    <n v="43"/>
    <n v="105"/>
    <n v="2048.41"/>
  </r>
  <r>
    <n v="523461"/>
    <x v="0"/>
    <s v="Bangalore"/>
    <x v="1"/>
    <s v=" TN"/>
    <x v="1"/>
    <x v="0"/>
    <x v="1"/>
    <x v="1"/>
    <d v="2019-03-01T23:38:34"/>
    <d v="2019-03-07T23:38:34"/>
    <d v="2019-03-05T23:38:34"/>
    <x v="3"/>
    <n v="46"/>
    <n v="128"/>
    <n v="2977.18"/>
  </r>
  <r>
    <n v="687699"/>
    <x v="0"/>
    <s v="Bangalore"/>
    <x v="4"/>
    <s v=" WB"/>
    <x v="1"/>
    <x v="0"/>
    <x v="1"/>
    <x v="1"/>
    <d v="2019-03-02T02:45:36"/>
    <d v="2019-03-08T02:45:36"/>
    <d v="2019-03-08T02:45:36"/>
    <x v="3"/>
    <n v="30"/>
    <n v="111"/>
    <n v="926.61"/>
  </r>
  <r>
    <n v="250834"/>
    <x v="0"/>
    <s v="Bangalore"/>
    <x v="2"/>
    <s v=" DL"/>
    <x v="2"/>
    <x v="0"/>
    <x v="0"/>
    <x v="0"/>
    <d v="2019-03-02T04:26:05"/>
    <d v="2019-03-06T04:26:05"/>
    <d v="2019-03-07T04:26:05"/>
    <x v="6"/>
    <n v="35"/>
    <n v="121"/>
    <n v="2963.8320714332226"/>
  </r>
  <r>
    <n v="564851"/>
    <x v="0"/>
    <s v="Bangalore"/>
    <x v="3"/>
    <s v=" KA"/>
    <x v="1"/>
    <x v="0"/>
    <x v="2"/>
    <x v="0"/>
    <d v="2019-03-02T07:06:34"/>
    <d v="2019-03-03T07:06:34"/>
    <d v="2019-03-07T07:06:34"/>
    <x v="2"/>
    <n v="0"/>
    <n v="120"/>
    <n v="2577.8344254189965"/>
  </r>
  <r>
    <n v="934055"/>
    <x v="0"/>
    <s v="Bangalore"/>
    <x v="2"/>
    <s v=" DL"/>
    <x v="1"/>
    <x v="0"/>
    <x v="1"/>
    <x v="0"/>
    <d v="2019-03-02T11:05:36"/>
    <d v="2019-03-11T11:05:36"/>
    <d v="2019-03-05T11:05:36"/>
    <x v="1"/>
    <n v="40"/>
    <n v="121"/>
    <n v="1279.0124019298853"/>
  </r>
  <r>
    <n v="286987"/>
    <x v="0"/>
    <s v="Bangalore"/>
    <x v="2"/>
    <s v=" DL"/>
    <x v="1"/>
    <x v="0"/>
    <x v="1"/>
    <x v="0"/>
    <d v="2019-03-02T11:17:54"/>
    <d v="2019-03-11T11:17:54"/>
    <d v="2019-03-07T11:17:54"/>
    <x v="1"/>
    <n v="33"/>
    <n v="122"/>
    <n v="2095.3867295586683"/>
  </r>
  <r>
    <n v="563054"/>
    <x v="0"/>
    <s v="Delhi"/>
    <x v="2"/>
    <s v=" DL"/>
    <x v="0"/>
    <x v="0"/>
    <x v="0"/>
    <x v="0"/>
    <d v="2019-03-02T11:23:26"/>
    <d v="2019-03-05T11:23:26"/>
    <d v="2019-03-05T11:23:26"/>
    <x v="4"/>
    <n v="0"/>
    <n v="101"/>
    <n v="1847.045741634372"/>
  </r>
  <r>
    <n v="725317"/>
    <x v="0"/>
    <s v="Delhi"/>
    <x v="0"/>
    <s v=" MH"/>
    <x v="1"/>
    <x v="0"/>
    <x v="1"/>
    <x v="0"/>
    <d v="2019-03-02T11:30:44"/>
    <d v="2019-03-10T11:30:44"/>
    <d v="2019-03-06T11:30:44"/>
    <x v="5"/>
    <n v="29"/>
    <n v="109"/>
    <n v="527.27671361054831"/>
  </r>
  <r>
    <n v="571672"/>
    <x v="0"/>
    <s v="Bangalore"/>
    <x v="4"/>
    <s v=" WB"/>
    <x v="0"/>
    <x v="0"/>
    <x v="0"/>
    <x v="0"/>
    <d v="2019-03-02T11:42:55"/>
    <d v="2019-03-09T11:42:55"/>
    <d v="2019-03-08T11:42:55"/>
    <x v="8"/>
    <n v="46"/>
    <n v="112"/>
    <n v="2686.6345647921894"/>
  </r>
  <r>
    <n v="168258"/>
    <x v="0"/>
    <s v="Bangalore"/>
    <x v="0"/>
    <s v=" MH"/>
    <x v="2"/>
    <x v="0"/>
    <x v="0"/>
    <x v="1"/>
    <d v="2019-03-02T12:05:46"/>
    <d v="2019-03-10T12:05:46"/>
    <d v="2019-03-06T12:05:46"/>
    <x v="5"/>
    <n v="28"/>
    <n v="106"/>
    <n v="2305.42"/>
  </r>
  <r>
    <n v="260810"/>
    <x v="0"/>
    <s v="Delhi"/>
    <x v="0"/>
    <s v=" MH"/>
    <x v="0"/>
    <x v="0"/>
    <x v="0"/>
    <x v="0"/>
    <d v="2019-03-02T12:11:06"/>
    <d v="2019-03-04T12:11:06"/>
    <d v="2019-03-07T12:11:06"/>
    <x v="0"/>
    <n v="71"/>
    <n v="92"/>
    <n v="2600.7327444370308"/>
  </r>
  <r>
    <n v="364152"/>
    <x v="0"/>
    <s v="Bangalore"/>
    <x v="0"/>
    <s v=" MH"/>
    <x v="0"/>
    <x v="0"/>
    <x v="0"/>
    <x v="1"/>
    <d v="2019-03-02T12:12:04"/>
    <d v="2019-03-07T12:12:04"/>
    <d v="2019-03-07T12:12:04"/>
    <x v="9"/>
    <n v="81"/>
    <n v="93"/>
    <n v="2863.31"/>
  </r>
  <r>
    <n v="188819"/>
    <x v="0"/>
    <s v="Bangalore"/>
    <x v="1"/>
    <s v=" TN"/>
    <x v="1"/>
    <x v="0"/>
    <x v="1"/>
    <x v="0"/>
    <d v="2019-03-02T13:56:24"/>
    <d v="2019-03-05T13:56:24"/>
    <d v="2019-03-07T13:56:24"/>
    <x v="4"/>
    <n v="45"/>
    <n v="126"/>
    <n v="900.14558103927357"/>
  </r>
  <r>
    <n v="624794"/>
    <x v="0"/>
    <s v="Delhi"/>
    <x v="0"/>
    <s v=" MH"/>
    <x v="2"/>
    <x v="0"/>
    <x v="0"/>
    <x v="0"/>
    <d v="2019-03-02T17:04:16"/>
    <d v="2019-03-09T17:04:16"/>
    <d v="2019-03-07T17:04:16"/>
    <x v="8"/>
    <n v="45"/>
    <n v="107"/>
    <n v="2196.3113185081174"/>
  </r>
  <r>
    <n v="541706"/>
    <x v="0"/>
    <s v="Delhi"/>
    <x v="0"/>
    <s v=" MH"/>
    <x v="2"/>
    <x v="0"/>
    <x v="0"/>
    <x v="0"/>
    <d v="2019-03-02T17:58:55"/>
    <d v="2019-03-09T17:58:55"/>
    <d v="2019-03-07T17:58:55"/>
    <x v="8"/>
    <n v="31"/>
    <n v="107"/>
    <n v="1359.5125096388149"/>
  </r>
  <r>
    <n v="92328"/>
    <x v="0"/>
    <s v="Delhi"/>
    <x v="3"/>
    <s v=" KA"/>
    <x v="0"/>
    <x v="0"/>
    <x v="0"/>
    <x v="1"/>
    <d v="2019-03-02T18:18:26"/>
    <d v="2019-03-04T18:18:26"/>
    <d v="2019-03-05T18:18:26"/>
    <x v="0"/>
    <n v="30"/>
    <n v="127"/>
    <n v="3236.9"/>
  </r>
  <r>
    <n v="711063"/>
    <x v="0"/>
    <s v="Delhi"/>
    <x v="2"/>
    <s v=" DL"/>
    <x v="0"/>
    <x v="0"/>
    <x v="1"/>
    <x v="1"/>
    <d v="2019-03-02T18:32:32"/>
    <d v="2019-03-02T18:32:32"/>
    <d v="2019-03-06T18:32:32"/>
    <x v="10"/>
    <n v="0"/>
    <n v="105"/>
    <n v="1858.43"/>
  </r>
  <r>
    <n v="608591"/>
    <x v="0"/>
    <s v="Bangalore"/>
    <x v="3"/>
    <s v=" KA"/>
    <x v="1"/>
    <x v="0"/>
    <x v="1"/>
    <x v="0"/>
    <d v="2019-03-02T18:43:44"/>
    <d v="2019-03-04T18:43:44"/>
    <d v="2019-03-05T18:43:44"/>
    <x v="0"/>
    <n v="0"/>
    <n v="126"/>
    <n v="2773.3424284699963"/>
  </r>
  <r>
    <n v="348218"/>
    <x v="0"/>
    <s v="Delhi"/>
    <x v="2"/>
    <s v=" DL"/>
    <x v="2"/>
    <x v="0"/>
    <x v="0"/>
    <x v="0"/>
    <d v="2019-03-02T19:19:31"/>
    <d v="2019-03-05T19:19:31"/>
    <d v="2019-03-05T19:19:31"/>
    <x v="4"/>
    <n v="0"/>
    <n v="122"/>
    <n v="3362.8323164829685"/>
  </r>
  <r>
    <n v="473973"/>
    <x v="0"/>
    <s v="Delhi"/>
    <x v="2"/>
    <s v=" DL"/>
    <x v="1"/>
    <x v="0"/>
    <x v="1"/>
    <x v="1"/>
    <d v="2019-03-02T21:01:22"/>
    <d v="2019-03-06T21:01:22"/>
    <d v="2019-03-05T21:01:22"/>
    <x v="6"/>
    <n v="0"/>
    <n v="122"/>
    <n v="2966.59"/>
  </r>
  <r>
    <n v="55883"/>
    <x v="0"/>
    <s v="Delhi"/>
    <x v="1"/>
    <s v=" TN"/>
    <x v="1"/>
    <x v="0"/>
    <x v="1"/>
    <x v="0"/>
    <d v="2019-03-02T22:27:14"/>
    <d v="2019-03-09T22:27:14"/>
    <d v="2019-03-08T22:27:14"/>
    <x v="8"/>
    <n v="41"/>
    <n v="125"/>
    <n v="3689.4098844801265"/>
  </r>
  <r>
    <n v="745538"/>
    <x v="0"/>
    <s v="Bangalore"/>
    <x v="1"/>
    <s v=" TN"/>
    <x v="2"/>
    <x v="0"/>
    <x v="0"/>
    <x v="0"/>
    <d v="2019-03-02T23:02:57"/>
    <d v="2019-03-04T23:02:57"/>
    <d v="2019-03-09T23:02:57"/>
    <x v="0"/>
    <n v="50"/>
    <n v="129"/>
    <n v="957.31064776589199"/>
  </r>
  <r>
    <n v="157595"/>
    <x v="0"/>
    <s v="Delhi"/>
    <x v="2"/>
    <s v=" DL"/>
    <x v="0"/>
    <x v="0"/>
    <x v="1"/>
    <x v="0"/>
    <d v="2019-03-02T23:09:37"/>
    <d v="2019-03-02T23:09:37"/>
    <d v="2019-03-07T23:09:37"/>
    <x v="10"/>
    <n v="0"/>
    <n v="102"/>
    <n v="1501.5982936416649"/>
  </r>
  <r>
    <n v="662017"/>
    <x v="0"/>
    <s v="Delhi"/>
    <x v="0"/>
    <s v=" MH"/>
    <x v="1"/>
    <x v="0"/>
    <x v="1"/>
    <x v="0"/>
    <d v="2019-03-02T23:25:55"/>
    <d v="2019-03-07T23:25:55"/>
    <d v="2019-03-05T23:25:55"/>
    <x v="9"/>
    <n v="25"/>
    <n v="115"/>
    <n v="3086.9786542952502"/>
  </r>
  <r>
    <n v="724824"/>
    <x v="0"/>
    <s v="Delhi"/>
    <x v="3"/>
    <s v=" KA"/>
    <x v="0"/>
    <x v="0"/>
    <x v="0"/>
    <x v="1"/>
    <d v="2019-03-03T00:33:41"/>
    <d v="2019-03-08T00:33:41"/>
    <d v="2019-03-06T00:33:41"/>
    <x v="9"/>
    <n v="77"/>
    <n v="101"/>
    <n v="2780.49"/>
  </r>
  <r>
    <n v="897125"/>
    <x v="0"/>
    <s v="Bangalore"/>
    <x v="0"/>
    <s v=" MH"/>
    <x v="0"/>
    <x v="0"/>
    <x v="1"/>
    <x v="0"/>
    <d v="2019-03-03T04:04:20"/>
    <d v="2019-03-06T04:04:20"/>
    <d v="2019-03-08T04:04:20"/>
    <x v="4"/>
    <n v="65"/>
    <n v="87"/>
    <n v="621.47254602370799"/>
  </r>
  <r>
    <n v="577870"/>
    <x v="0"/>
    <s v="Bangalore"/>
    <x v="1"/>
    <s v=" TN"/>
    <x v="0"/>
    <x v="0"/>
    <x v="0"/>
    <x v="0"/>
    <d v="2019-03-03T05:05:45"/>
    <d v="2019-03-11T05:05:45"/>
    <d v="2019-03-06T05:05:45"/>
    <x v="5"/>
    <n v="58"/>
    <n v="106"/>
    <n v="1328.0624875440628"/>
  </r>
  <r>
    <n v="713562"/>
    <x v="0"/>
    <s v="Bangalore"/>
    <x v="4"/>
    <s v=" WB"/>
    <x v="0"/>
    <x v="0"/>
    <x v="0"/>
    <x v="1"/>
    <d v="2019-03-03T05:34:21"/>
    <d v="2019-03-10T05:34:21"/>
    <d v="2019-03-07T05:34:21"/>
    <x v="8"/>
    <n v="77"/>
    <n v="93"/>
    <n v="2648.55"/>
  </r>
  <r>
    <n v="652613"/>
    <x v="0"/>
    <s v="Bangalore"/>
    <x v="2"/>
    <s v=" DL"/>
    <x v="0"/>
    <x v="0"/>
    <x v="1"/>
    <x v="0"/>
    <d v="2019-03-03T06:05:31"/>
    <d v="2019-03-07T06:05:31"/>
    <d v="2019-03-07T06:05:31"/>
    <x v="6"/>
    <n v="73"/>
    <n v="102"/>
    <n v="1297.2034263794917"/>
  </r>
  <r>
    <n v="768435"/>
    <x v="0"/>
    <s v="Delhi"/>
    <x v="1"/>
    <s v=" TN"/>
    <x v="1"/>
    <x v="0"/>
    <x v="1"/>
    <x v="1"/>
    <d v="2019-03-03T07:45:51"/>
    <d v="2019-03-10T07:45:51"/>
    <d v="2019-03-09T07:45:51"/>
    <x v="8"/>
    <n v="41"/>
    <n v="123"/>
    <n v="2364.2600000000002"/>
  </r>
  <r>
    <n v="958427"/>
    <x v="0"/>
    <s v="Delhi"/>
    <x v="0"/>
    <s v=" MH"/>
    <x v="1"/>
    <x v="0"/>
    <x v="1"/>
    <x v="0"/>
    <d v="2019-03-03T07:53:24"/>
    <d v="2019-03-06T07:53:24"/>
    <d v="2019-03-07T07:53:24"/>
    <x v="4"/>
    <n v="41"/>
    <n v="110"/>
    <n v="1855.0027670636232"/>
  </r>
  <r>
    <n v="562475"/>
    <x v="0"/>
    <s v="Bangalore"/>
    <x v="1"/>
    <s v=" TN"/>
    <x v="1"/>
    <x v="0"/>
    <x v="1"/>
    <x v="0"/>
    <d v="2019-03-03T08:23:45"/>
    <d v="2019-03-07T08:23:45"/>
    <d v="2019-03-06T08:23:45"/>
    <x v="6"/>
    <n v="50"/>
    <n v="121"/>
    <n v="1665.4675308422986"/>
  </r>
  <r>
    <n v="655038"/>
    <x v="0"/>
    <s v="Bangalore"/>
    <x v="2"/>
    <s v=" DL"/>
    <x v="0"/>
    <x v="0"/>
    <x v="0"/>
    <x v="1"/>
    <d v="2019-03-03T10:04:53"/>
    <d v="2019-03-05T10:04:53"/>
    <d v="2019-03-10T10:04:53"/>
    <x v="0"/>
    <n v="75"/>
    <n v="101"/>
    <n v="261.06"/>
  </r>
  <r>
    <n v="295413"/>
    <x v="0"/>
    <s v="Delhi"/>
    <x v="2"/>
    <s v=" DL"/>
    <x v="0"/>
    <x v="0"/>
    <x v="1"/>
    <x v="1"/>
    <d v="2019-03-03T10:05:25"/>
    <d v="2019-03-06T10:05:25"/>
    <d v="2019-03-06T10:05:25"/>
    <x v="4"/>
    <n v="0"/>
    <n v="106"/>
    <n v="3220.46"/>
  </r>
  <r>
    <n v="813471"/>
    <x v="0"/>
    <s v="Bangalore"/>
    <x v="3"/>
    <s v=" KA"/>
    <x v="1"/>
    <x v="0"/>
    <x v="1"/>
    <x v="1"/>
    <d v="2019-03-03T10:28:51"/>
    <d v="2019-03-07T10:28:51"/>
    <d v="2019-03-08T10:28:51"/>
    <x v="6"/>
    <n v="0"/>
    <n v="127"/>
    <n v="644.66"/>
  </r>
  <r>
    <n v="267170"/>
    <x v="0"/>
    <s v="Bangalore"/>
    <x v="4"/>
    <s v=" WB"/>
    <x v="2"/>
    <x v="0"/>
    <x v="0"/>
    <x v="0"/>
    <d v="2019-03-03T11:20:53"/>
    <d v="2019-03-09T11:20:53"/>
    <d v="2019-03-06T11:20:53"/>
    <x v="3"/>
    <n v="41"/>
    <n v="105"/>
    <n v="2963.7674436655007"/>
  </r>
  <r>
    <n v="130978"/>
    <x v="0"/>
    <s v="Bangalore"/>
    <x v="3"/>
    <s v=" KA"/>
    <x v="2"/>
    <x v="0"/>
    <x v="0"/>
    <x v="0"/>
    <d v="2019-03-03T12:45:16"/>
    <d v="2019-03-03T12:45:16"/>
    <d v="2019-03-07T12:45:16"/>
    <x v="10"/>
    <n v="0"/>
    <n v="127"/>
    <n v="2576.5043934627129"/>
  </r>
  <r>
    <n v="692335"/>
    <x v="0"/>
    <s v="Bangalore"/>
    <x v="4"/>
    <s v=" WB"/>
    <x v="0"/>
    <x v="0"/>
    <x v="2"/>
    <x v="0"/>
    <d v="2019-03-03T12:51:53"/>
    <d v="2019-03-11T12:51:53"/>
    <d v="2019-03-09T12:51:53"/>
    <x v="5"/>
    <n v="69"/>
    <n v="85"/>
    <n v="1397.4424989093272"/>
  </r>
  <r>
    <n v="760989"/>
    <x v="0"/>
    <s v="Delhi"/>
    <x v="4"/>
    <s v=" WB"/>
    <x v="1"/>
    <x v="0"/>
    <x v="1"/>
    <x v="1"/>
    <d v="2019-03-03T13:40:20"/>
    <d v="2019-03-06T13:40:20"/>
    <d v="2019-03-09T13:40:20"/>
    <x v="4"/>
    <n v="38"/>
    <n v="113"/>
    <n v="243.85"/>
  </r>
  <r>
    <n v="83186"/>
    <x v="0"/>
    <s v="Delhi"/>
    <x v="0"/>
    <s v=" MH"/>
    <x v="2"/>
    <x v="0"/>
    <x v="0"/>
    <x v="0"/>
    <d v="2019-03-03T14:35:42"/>
    <d v="2019-03-11T14:35:42"/>
    <d v="2019-03-06T14:35:42"/>
    <x v="5"/>
    <n v="45"/>
    <n v="106"/>
    <n v="3605.5118084379433"/>
  </r>
  <r>
    <n v="788379"/>
    <x v="0"/>
    <s v="Bangalore"/>
    <x v="3"/>
    <s v=" KA"/>
    <x v="1"/>
    <x v="0"/>
    <x v="1"/>
    <x v="1"/>
    <d v="2019-03-03T14:57:04"/>
    <d v="2019-03-08T14:57:04"/>
    <d v="2019-03-06T14:57:04"/>
    <x v="9"/>
    <n v="0"/>
    <n v="127"/>
    <n v="1337.9"/>
  </r>
  <r>
    <n v="129929"/>
    <x v="0"/>
    <s v="Delhi"/>
    <x v="0"/>
    <s v=" MH"/>
    <x v="1"/>
    <x v="0"/>
    <x v="1"/>
    <x v="0"/>
    <d v="2019-03-03T16:22:22"/>
    <d v="2019-03-06T16:22:22"/>
    <d v="2019-03-10T16:22:22"/>
    <x v="4"/>
    <n v="49"/>
    <n v="109"/>
    <n v="1671.8479323007034"/>
  </r>
  <r>
    <n v="443284"/>
    <x v="0"/>
    <s v="Delhi"/>
    <x v="4"/>
    <s v=" WB"/>
    <x v="0"/>
    <x v="0"/>
    <x v="0"/>
    <x v="0"/>
    <d v="2019-03-03T20:39:18"/>
    <d v="2019-03-06T20:39:18"/>
    <d v="2019-03-10T20:39:18"/>
    <x v="4"/>
    <n v="42"/>
    <n v="105"/>
    <n v="2100.2138967846186"/>
  </r>
  <r>
    <n v="104012"/>
    <x v="0"/>
    <s v="Delhi"/>
    <x v="3"/>
    <s v=" KA"/>
    <x v="0"/>
    <x v="0"/>
    <x v="0"/>
    <x v="0"/>
    <d v="2019-03-03T20:43:46"/>
    <d v="2019-03-07T20:43:46"/>
    <d v="2019-03-06T20:43:46"/>
    <x v="6"/>
    <n v="71"/>
    <n v="107"/>
    <n v="2395.4318176177653"/>
  </r>
  <r>
    <n v="865898"/>
    <x v="0"/>
    <s v="Bangalore"/>
    <x v="0"/>
    <s v=" MH"/>
    <x v="2"/>
    <x v="0"/>
    <x v="0"/>
    <x v="0"/>
    <d v="2019-03-03T21:11:25"/>
    <d v="2019-03-08T21:11:25"/>
    <d v="2019-03-06T21:11:25"/>
    <x v="9"/>
    <n v="49"/>
    <n v="107"/>
    <n v="194.79214002257424"/>
  </r>
  <r>
    <n v="86846"/>
    <x v="0"/>
    <s v="Bangalore"/>
    <x v="0"/>
    <s v=" MH"/>
    <x v="2"/>
    <x v="0"/>
    <x v="0"/>
    <x v="0"/>
    <d v="2019-03-03T22:01:49"/>
    <d v="2019-03-11T22:01:49"/>
    <d v="2019-03-07T22:01:49"/>
    <x v="5"/>
    <n v="33"/>
    <n v="114"/>
    <n v="1852.2572404067871"/>
  </r>
  <r>
    <n v="784583"/>
    <x v="0"/>
    <s v="Bangalore"/>
    <x v="4"/>
    <s v=" WB"/>
    <x v="1"/>
    <x v="0"/>
    <x v="1"/>
    <x v="0"/>
    <d v="2019-03-04T00:59:58"/>
    <d v="2019-03-09T00:59:58"/>
    <d v="2019-03-09T00:59:58"/>
    <x v="9"/>
    <n v="25"/>
    <n v="109"/>
    <n v="941.26999411897441"/>
  </r>
  <r>
    <n v="605473"/>
    <x v="0"/>
    <s v="Delhi"/>
    <x v="1"/>
    <s v=" TN"/>
    <x v="1"/>
    <x v="0"/>
    <x v="1"/>
    <x v="0"/>
    <d v="2019-03-04T02:30:26"/>
    <d v="2019-03-06T02:30:26"/>
    <d v="2019-03-10T02:30:26"/>
    <x v="0"/>
    <n v="35"/>
    <n v="128"/>
    <n v="2344.9694522010896"/>
  </r>
  <r>
    <n v="977110"/>
    <x v="0"/>
    <s v="Delhi"/>
    <x v="0"/>
    <s v=" MH"/>
    <x v="2"/>
    <x v="0"/>
    <x v="0"/>
    <x v="0"/>
    <d v="2019-03-04T07:28:26"/>
    <d v="2019-03-07T07:28:26"/>
    <d v="2019-03-11T07:28:26"/>
    <x v="4"/>
    <n v="45"/>
    <n v="114"/>
    <n v="2752.1454320637213"/>
  </r>
  <r>
    <n v="910369"/>
    <x v="0"/>
    <s v="Delhi"/>
    <x v="0"/>
    <s v=" MH"/>
    <x v="1"/>
    <x v="0"/>
    <x v="1"/>
    <x v="0"/>
    <d v="2019-03-04T07:47:57"/>
    <d v="2019-03-11T07:47:57"/>
    <d v="2019-03-08T07:47:57"/>
    <x v="8"/>
    <n v="37"/>
    <n v="113"/>
    <n v="1482.3191235264219"/>
  </r>
  <r>
    <n v="606372"/>
    <x v="0"/>
    <s v="Delhi"/>
    <x v="2"/>
    <s v=" DL"/>
    <x v="0"/>
    <x v="0"/>
    <x v="0"/>
    <x v="1"/>
    <d v="2019-03-04T07:52:39"/>
    <d v="2019-03-06T07:52:39"/>
    <d v="2019-03-10T07:52:39"/>
    <x v="0"/>
    <n v="0"/>
    <n v="110"/>
    <n v="2045.9"/>
  </r>
  <r>
    <n v="580374"/>
    <x v="0"/>
    <s v="Delhi"/>
    <x v="1"/>
    <s v=" TN"/>
    <x v="2"/>
    <x v="0"/>
    <x v="0"/>
    <x v="1"/>
    <d v="2019-03-04T08:23:23"/>
    <d v="2019-03-06T08:23:23"/>
    <d v="2019-03-11T08:23:23"/>
    <x v="0"/>
    <n v="30"/>
    <n v="124"/>
    <n v="1369.8"/>
  </r>
  <r>
    <n v="8076"/>
    <x v="0"/>
    <s v="Bangalore"/>
    <x v="3"/>
    <s v=" KA"/>
    <x v="0"/>
    <x v="0"/>
    <x v="0"/>
    <x v="1"/>
    <d v="2019-03-04T09:26:18"/>
    <d v="2019-03-09T09:26:18"/>
    <d v="2019-03-09T09:26:18"/>
    <x v="9"/>
    <n v="0"/>
    <n v="123"/>
    <n v="1841.43"/>
  </r>
  <r>
    <n v="272957"/>
    <x v="0"/>
    <s v="Delhi"/>
    <x v="2"/>
    <s v=" DL"/>
    <x v="1"/>
    <x v="0"/>
    <x v="1"/>
    <x v="0"/>
    <d v="2019-03-04T09:57:47"/>
    <d v="2019-03-06T09:57:47"/>
    <d v="2019-03-11T09:57:47"/>
    <x v="0"/>
    <n v="0"/>
    <n v="122"/>
    <n v="373.4951521040914"/>
  </r>
  <r>
    <n v="734639"/>
    <x v="0"/>
    <s v="Bangalore"/>
    <x v="4"/>
    <s v=" WB"/>
    <x v="1"/>
    <x v="0"/>
    <x v="1"/>
    <x v="0"/>
    <d v="2019-03-04T10:58:11"/>
    <d v="2019-03-06T10:58:11"/>
    <d v="2019-03-10T10:58:11"/>
    <x v="0"/>
    <n v="29"/>
    <n v="107"/>
    <n v="1288.8521414393538"/>
  </r>
  <r>
    <n v="281658"/>
    <x v="0"/>
    <s v="Bangalore"/>
    <x v="2"/>
    <s v=" DL"/>
    <x v="2"/>
    <x v="0"/>
    <x v="0"/>
    <x v="1"/>
    <d v="2019-03-04T13:53:15"/>
    <d v="2019-03-09T13:53:15"/>
    <d v="2019-03-11T13:53:15"/>
    <x v="9"/>
    <n v="41"/>
    <n v="128"/>
    <n v="2487.12"/>
  </r>
  <r>
    <n v="254620"/>
    <x v="0"/>
    <s v="Bangalore"/>
    <x v="3"/>
    <s v=" KA"/>
    <x v="0"/>
    <x v="0"/>
    <x v="0"/>
    <x v="0"/>
    <d v="2019-03-04T13:54:49"/>
    <d v="2019-03-06T13:54:49"/>
    <d v="2019-03-07T13:54:49"/>
    <x v="0"/>
    <n v="0"/>
    <n v="126"/>
    <n v="594.68811594766828"/>
  </r>
  <r>
    <n v="734372"/>
    <x v="0"/>
    <s v="Delhi"/>
    <x v="0"/>
    <s v=" MH"/>
    <x v="0"/>
    <x v="0"/>
    <x v="0"/>
    <x v="0"/>
    <d v="2019-03-04T14:20:33"/>
    <d v="2019-03-06T14:20:33"/>
    <d v="2019-03-11T14:20:33"/>
    <x v="0"/>
    <n v="37"/>
    <n v="109"/>
    <n v="3669.9796517282039"/>
  </r>
  <r>
    <n v="370860"/>
    <x v="0"/>
    <s v="Delhi"/>
    <x v="0"/>
    <s v=" MH"/>
    <x v="0"/>
    <x v="0"/>
    <x v="0"/>
    <x v="1"/>
    <d v="2019-03-04T15:43:23"/>
    <d v="2019-03-07T15:43:23"/>
    <d v="2019-03-11T15:43:23"/>
    <x v="4"/>
    <n v="36"/>
    <n v="113"/>
    <n v="1499.45"/>
  </r>
  <r>
    <n v="6593"/>
    <x v="0"/>
    <s v="Bangalore"/>
    <x v="1"/>
    <s v=" TN"/>
    <x v="0"/>
    <x v="0"/>
    <x v="1"/>
    <x v="0"/>
    <d v="2019-03-04T16:49:42"/>
    <d v="2019-03-08T16:49:42"/>
    <d v="2019-03-10T16:49:42"/>
    <x v="6"/>
    <n v="81"/>
    <n v="101"/>
    <n v="2100.6391206991343"/>
  </r>
  <r>
    <n v="437687"/>
    <x v="0"/>
    <s v="Bangalore"/>
    <x v="2"/>
    <s v=" DL"/>
    <x v="1"/>
    <x v="0"/>
    <x v="1"/>
    <x v="0"/>
    <d v="2019-03-04T18:39:11"/>
    <d v="2019-03-11T18:39:11"/>
    <d v="2019-03-10T18:39:11"/>
    <x v="8"/>
    <n v="48"/>
    <n v="126"/>
    <n v="2825.8198177320255"/>
  </r>
  <r>
    <n v="801924"/>
    <x v="0"/>
    <s v="Delhi"/>
    <x v="0"/>
    <s v=" MH"/>
    <x v="0"/>
    <x v="0"/>
    <x v="0"/>
    <x v="1"/>
    <d v="2019-03-04T20:24:47"/>
    <d v="2019-03-10T20:24:47"/>
    <d v="2019-03-09T20:24:47"/>
    <x v="3"/>
    <n v="78"/>
    <n v="92"/>
    <n v="745.64"/>
  </r>
  <r>
    <n v="882776"/>
    <x v="0"/>
    <s v="Bangalore"/>
    <x v="1"/>
    <s v=" TN"/>
    <x v="0"/>
    <x v="0"/>
    <x v="0"/>
    <x v="0"/>
    <d v="2019-03-04T21:08:08"/>
    <d v="2019-03-14T21:08:08"/>
    <d v="2019-03-11T21:08:08"/>
    <x v="7"/>
    <n v="35"/>
    <n v="127"/>
    <n v="3567.7260780139786"/>
  </r>
  <r>
    <n v="122520"/>
    <x v="0"/>
    <s v="Bangalore"/>
    <x v="4"/>
    <s v=" WB"/>
    <x v="0"/>
    <x v="0"/>
    <x v="0"/>
    <x v="1"/>
    <d v="2019-03-04T22:05:37"/>
    <d v="2019-03-11T22:05:37"/>
    <d v="2019-03-08T22:05:37"/>
    <x v="8"/>
    <n v="74"/>
    <n v="87"/>
    <n v="676.49"/>
  </r>
  <r>
    <n v="552224"/>
    <x v="0"/>
    <s v="Delhi"/>
    <x v="0"/>
    <s v=" MH"/>
    <x v="0"/>
    <x v="0"/>
    <x v="0"/>
    <x v="0"/>
    <d v="2019-03-05T01:26:33"/>
    <d v="2019-03-07T01:26:33"/>
    <d v="2019-03-11T01:26:33"/>
    <x v="0"/>
    <n v="35"/>
    <n v="114"/>
    <n v="859.77472030749414"/>
  </r>
  <r>
    <n v="811504"/>
    <x v="0"/>
    <s v="Bangalore"/>
    <x v="2"/>
    <s v=" DL"/>
    <x v="0"/>
    <x v="0"/>
    <x v="0"/>
    <x v="0"/>
    <d v="2019-03-05T02:02:25"/>
    <d v="2019-03-10T02:02:25"/>
    <d v="2019-03-12T02:02:25"/>
    <x v="9"/>
    <n v="43"/>
    <n v="124"/>
    <n v="3734.0237356904618"/>
  </r>
  <r>
    <n v="131354"/>
    <x v="0"/>
    <s v="Delhi"/>
    <x v="1"/>
    <s v=" TN"/>
    <x v="2"/>
    <x v="0"/>
    <x v="0"/>
    <x v="0"/>
    <d v="2019-03-05T02:02:42"/>
    <d v="2019-03-10T02:02:42"/>
    <d v="2019-03-10T02:02:42"/>
    <x v="9"/>
    <n v="26"/>
    <n v="120"/>
    <n v="1964.7940937189328"/>
  </r>
  <r>
    <n v="805703"/>
    <x v="0"/>
    <s v="Bangalore"/>
    <x v="4"/>
    <s v=" WB"/>
    <x v="1"/>
    <x v="0"/>
    <x v="1"/>
    <x v="0"/>
    <d v="2019-03-05T02:24:12"/>
    <d v="2019-03-09T02:24:12"/>
    <d v="2019-03-09T02:24:12"/>
    <x v="6"/>
    <n v="48"/>
    <n v="106"/>
    <n v="2145.1241098014743"/>
  </r>
  <r>
    <n v="675675"/>
    <x v="0"/>
    <s v="Bangalore"/>
    <x v="3"/>
    <s v=" KA"/>
    <x v="1"/>
    <x v="0"/>
    <x v="2"/>
    <x v="1"/>
    <d v="2019-03-05T03:21:09"/>
    <d v="2019-03-09T03:21:09"/>
    <d v="2019-03-08T03:21:09"/>
    <x v="6"/>
    <n v="0"/>
    <n v="123"/>
    <n v="3265.61"/>
  </r>
  <r>
    <n v="936818"/>
    <x v="0"/>
    <s v="Delhi"/>
    <x v="0"/>
    <s v=" MH"/>
    <x v="2"/>
    <x v="0"/>
    <x v="0"/>
    <x v="0"/>
    <d v="2019-03-05T06:13:15"/>
    <d v="2019-03-11T06:13:15"/>
    <d v="2019-03-12T06:13:15"/>
    <x v="3"/>
    <n v="36"/>
    <n v="114"/>
    <n v="1079.4654705652979"/>
  </r>
  <r>
    <n v="191333"/>
    <x v="0"/>
    <s v="Delhi"/>
    <x v="3"/>
    <s v=" KA"/>
    <x v="0"/>
    <x v="0"/>
    <x v="1"/>
    <x v="0"/>
    <d v="2019-03-05T06:49:30"/>
    <d v="2019-03-11T06:49:30"/>
    <d v="2019-03-11T06:49:30"/>
    <x v="3"/>
    <n v="70"/>
    <n v="107"/>
    <n v="3273.9744829351057"/>
  </r>
  <r>
    <n v="867459"/>
    <x v="0"/>
    <s v="Delhi"/>
    <x v="3"/>
    <s v=" KA"/>
    <x v="0"/>
    <x v="0"/>
    <x v="1"/>
    <x v="1"/>
    <d v="2019-03-05T07:15:09"/>
    <d v="2019-03-07T07:15:09"/>
    <d v="2019-03-08T07:15:09"/>
    <x v="0"/>
    <n v="84"/>
    <n v="105"/>
    <n v="2067.61"/>
  </r>
  <r>
    <n v="830421"/>
    <x v="0"/>
    <s v="Delhi"/>
    <x v="4"/>
    <s v=" WB"/>
    <x v="0"/>
    <x v="0"/>
    <x v="1"/>
    <x v="1"/>
    <d v="2019-03-05T09:27:27"/>
    <d v="2019-03-08T09:27:27"/>
    <d v="2019-03-10T09:27:27"/>
    <x v="4"/>
    <n v="69"/>
    <n v="87"/>
    <n v="3436.18"/>
  </r>
  <r>
    <n v="282900"/>
    <x v="0"/>
    <s v="Delhi"/>
    <x v="4"/>
    <s v=" WB"/>
    <x v="0"/>
    <x v="0"/>
    <x v="0"/>
    <x v="1"/>
    <d v="2019-03-05T11:37:50"/>
    <d v="2019-03-10T11:37:50"/>
    <d v="2019-03-10T11:37:50"/>
    <x v="9"/>
    <n v="42"/>
    <n v="109"/>
    <n v="2766.52"/>
  </r>
  <r>
    <n v="91820"/>
    <x v="0"/>
    <s v="Delhi"/>
    <x v="0"/>
    <s v=" MH"/>
    <x v="0"/>
    <x v="0"/>
    <x v="0"/>
    <x v="0"/>
    <d v="2019-03-05T13:22:32"/>
    <d v="2019-03-11T13:22:32"/>
    <d v="2019-03-09T13:22:32"/>
    <x v="3"/>
    <n v="41"/>
    <n v="107"/>
    <n v="3333.1558797949551"/>
  </r>
  <r>
    <n v="120271"/>
    <x v="0"/>
    <s v="Bangalore"/>
    <x v="3"/>
    <s v=" KA"/>
    <x v="1"/>
    <x v="0"/>
    <x v="1"/>
    <x v="0"/>
    <d v="2019-03-05T13:25:12"/>
    <d v="2019-03-10T13:25:12"/>
    <d v="2019-03-11T13:25:12"/>
    <x v="9"/>
    <n v="0"/>
    <n v="125"/>
    <n v="2200.232521699239"/>
  </r>
  <r>
    <n v="802952"/>
    <x v="0"/>
    <s v="Delhi"/>
    <x v="2"/>
    <s v=" DL"/>
    <x v="0"/>
    <x v="0"/>
    <x v="0"/>
    <x v="0"/>
    <d v="2019-03-05T15:25:31"/>
    <d v="2019-03-10T15:25:31"/>
    <d v="2019-03-09T15:25:31"/>
    <x v="9"/>
    <n v="0"/>
    <n v="127"/>
    <n v="2264.1118580621628"/>
  </r>
  <r>
    <n v="686899"/>
    <x v="0"/>
    <s v="Delhi"/>
    <x v="0"/>
    <s v=" MH"/>
    <x v="1"/>
    <x v="0"/>
    <x v="1"/>
    <x v="0"/>
    <d v="2019-03-05T16:46:41"/>
    <d v="2019-03-08T16:46:41"/>
    <d v="2019-03-11T16:46:41"/>
    <x v="4"/>
    <n v="48"/>
    <n v="111"/>
    <n v="830.08378231925292"/>
  </r>
  <r>
    <n v="21642"/>
    <x v="0"/>
    <s v="Delhi"/>
    <x v="4"/>
    <s v=" WB"/>
    <x v="0"/>
    <x v="0"/>
    <x v="0"/>
    <x v="1"/>
    <d v="2019-03-05T17:12:55"/>
    <d v="2019-03-10T17:12:55"/>
    <d v="2019-03-09T17:12:55"/>
    <x v="9"/>
    <n v="73"/>
    <n v="93"/>
    <n v="3092.13"/>
  </r>
  <r>
    <n v="186354"/>
    <x v="0"/>
    <s v="Delhi"/>
    <x v="3"/>
    <s v=" KA"/>
    <x v="0"/>
    <x v="0"/>
    <x v="0"/>
    <x v="1"/>
    <d v="2019-03-05T17:43:48"/>
    <d v="2019-03-07T17:43:48"/>
    <d v="2019-03-09T17:43:48"/>
    <x v="0"/>
    <n v="59"/>
    <n v="102"/>
    <n v="392.13"/>
  </r>
  <r>
    <n v="765904"/>
    <x v="0"/>
    <s v="Delhi"/>
    <x v="2"/>
    <s v=" DL"/>
    <x v="0"/>
    <x v="0"/>
    <x v="0"/>
    <x v="0"/>
    <d v="2019-03-05T19:51:30"/>
    <d v="2019-03-09T19:51:30"/>
    <d v="2019-03-10T19:51:30"/>
    <x v="6"/>
    <n v="0"/>
    <n v="126"/>
    <n v="2494.989617999363"/>
  </r>
  <r>
    <n v="540794"/>
    <x v="0"/>
    <s v="Delhi"/>
    <x v="0"/>
    <s v=" MH"/>
    <x v="2"/>
    <x v="0"/>
    <x v="0"/>
    <x v="0"/>
    <d v="2019-03-05T19:56:08"/>
    <d v="2019-03-11T19:56:08"/>
    <d v="2019-03-12T19:56:08"/>
    <x v="3"/>
    <n v="43"/>
    <n v="109"/>
    <n v="3002.7186454848484"/>
  </r>
  <r>
    <n v="141851"/>
    <x v="0"/>
    <s v="Bangalore"/>
    <x v="1"/>
    <s v=" TN"/>
    <x v="1"/>
    <x v="0"/>
    <x v="1"/>
    <x v="0"/>
    <d v="2019-03-05T20:44:05"/>
    <d v="2019-03-07T20:44:05"/>
    <d v="2019-03-11T20:44:05"/>
    <x v="0"/>
    <n v="36"/>
    <n v="121"/>
    <n v="2248.095195128074"/>
  </r>
  <r>
    <n v="880822"/>
    <x v="0"/>
    <s v="Bangalore"/>
    <x v="0"/>
    <s v=" MH"/>
    <x v="2"/>
    <x v="0"/>
    <x v="0"/>
    <x v="0"/>
    <d v="2019-03-05T20:55:44"/>
    <d v="2019-03-11T20:55:44"/>
    <d v="2019-03-12T20:55:44"/>
    <x v="3"/>
    <n v="25"/>
    <n v="106"/>
    <n v="3241.7658192190429"/>
  </r>
  <r>
    <n v="513121"/>
    <x v="0"/>
    <s v="Delhi"/>
    <x v="1"/>
    <s v=" TN"/>
    <x v="0"/>
    <x v="0"/>
    <x v="2"/>
    <x v="0"/>
    <d v="2019-03-05T23:12:14"/>
    <d v="2019-03-13T23:12:14"/>
    <d v="2019-03-09T23:12:14"/>
    <x v="5"/>
    <n v="77"/>
    <n v="104"/>
    <n v="552.03433371103893"/>
  </r>
  <r>
    <n v="749382"/>
    <x v="0"/>
    <s v="Delhi"/>
    <x v="2"/>
    <s v=" DL"/>
    <x v="2"/>
    <x v="0"/>
    <x v="0"/>
    <x v="1"/>
    <d v="2019-03-05T23:22:32"/>
    <d v="2019-03-11T23:22:32"/>
    <d v="2019-03-09T23:22:32"/>
    <x v="3"/>
    <n v="0"/>
    <n v="125"/>
    <n v="2521.0300000000002"/>
  </r>
  <r>
    <n v="914650"/>
    <x v="0"/>
    <s v="Delhi"/>
    <x v="1"/>
    <s v=" TN"/>
    <x v="2"/>
    <x v="0"/>
    <x v="0"/>
    <x v="0"/>
    <d v="2019-03-06T01:02:10"/>
    <d v="2019-03-08T01:02:10"/>
    <d v="2019-03-11T01:02:10"/>
    <x v="0"/>
    <n v="46"/>
    <n v="122"/>
    <n v="1241.6802902968377"/>
  </r>
  <r>
    <n v="143268"/>
    <x v="0"/>
    <s v="Bangalore"/>
    <x v="2"/>
    <s v=" DL"/>
    <x v="0"/>
    <x v="0"/>
    <x v="0"/>
    <x v="1"/>
    <d v="2019-03-06T01:42:21"/>
    <d v="2019-03-08T01:42:21"/>
    <d v="2019-03-11T01:42:21"/>
    <x v="0"/>
    <n v="49"/>
    <n v="124"/>
    <n v="2518.59"/>
  </r>
  <r>
    <n v="422358"/>
    <x v="0"/>
    <s v="Delhi"/>
    <x v="2"/>
    <s v=" DL"/>
    <x v="2"/>
    <x v="0"/>
    <x v="0"/>
    <x v="1"/>
    <d v="2019-03-06T05:17:13"/>
    <d v="2019-03-08T05:17:13"/>
    <d v="2019-03-11T05:17:13"/>
    <x v="0"/>
    <n v="0"/>
    <n v="126"/>
    <n v="3569.7503695629289"/>
  </r>
  <r>
    <n v="930739"/>
    <x v="0"/>
    <s v="Bangalore"/>
    <x v="2"/>
    <s v=" DL"/>
    <x v="1"/>
    <x v="0"/>
    <x v="1"/>
    <x v="0"/>
    <d v="2019-03-06T05:30:59"/>
    <d v="2019-03-11T05:30:59"/>
    <d v="2019-03-13T05:30:59"/>
    <x v="9"/>
    <n v="49"/>
    <n v="120"/>
    <n v="1124"/>
  </r>
  <r>
    <n v="649828"/>
    <x v="0"/>
    <s v="Delhi"/>
    <x v="1"/>
    <s v=" TN"/>
    <x v="0"/>
    <x v="0"/>
    <x v="0"/>
    <x v="0"/>
    <d v="2019-03-06T08:46:11"/>
    <d v="2019-03-15T08:46:11"/>
    <d v="2019-03-11T08:46:11"/>
    <x v="1"/>
    <n v="37"/>
    <n v="122"/>
    <n v="2191.3418790956612"/>
  </r>
  <r>
    <n v="367048"/>
    <x v="0"/>
    <s v="Delhi"/>
    <x v="4"/>
    <s v=" WB"/>
    <x v="0"/>
    <x v="0"/>
    <x v="0"/>
    <x v="0"/>
    <d v="2019-03-06T10:20:00"/>
    <d v="2019-03-09T10:20:00"/>
    <d v="2019-03-11T10:20:00"/>
    <x v="4"/>
    <n v="37"/>
    <n v="111"/>
    <n v="2088.261888869461"/>
  </r>
  <r>
    <n v="658505"/>
    <x v="0"/>
    <s v="Delhi"/>
    <x v="3"/>
    <s v=" KA"/>
    <x v="1"/>
    <x v="0"/>
    <x v="1"/>
    <x v="0"/>
    <d v="2019-03-06T11:19:05"/>
    <d v="2019-03-15T11:19:05"/>
    <d v="2019-03-12T11:19:05"/>
    <x v="1"/>
    <n v="26"/>
    <n v="128"/>
    <n v="2918.591914098874"/>
  </r>
  <r>
    <n v="451113"/>
    <x v="0"/>
    <s v="Bangalore"/>
    <x v="2"/>
    <s v=" DL"/>
    <x v="1"/>
    <x v="0"/>
    <x v="1"/>
    <x v="1"/>
    <d v="2019-03-06T11:50:47"/>
    <d v="2019-03-14T11:50:47"/>
    <d v="2019-03-10T11:50:47"/>
    <x v="5"/>
    <n v="44"/>
    <n v="121"/>
    <n v="208"/>
  </r>
  <r>
    <n v="931422"/>
    <x v="0"/>
    <s v="Delhi"/>
    <x v="0"/>
    <s v=" MH"/>
    <x v="2"/>
    <x v="0"/>
    <x v="0"/>
    <x v="1"/>
    <d v="2019-03-06T14:15:11"/>
    <d v="2019-03-13T14:15:11"/>
    <d v="2019-03-11T14:15:11"/>
    <x v="8"/>
    <n v="44"/>
    <n v="114"/>
    <n v="626.28362946567449"/>
  </r>
  <r>
    <n v="359506"/>
    <x v="0"/>
    <s v="Bangalore"/>
    <x v="0"/>
    <s v=" MH"/>
    <x v="2"/>
    <x v="0"/>
    <x v="0"/>
    <x v="0"/>
    <d v="2019-03-06T15:18:40"/>
    <d v="2019-03-12T15:18:40"/>
    <d v="2019-03-09T15:18:40"/>
    <x v="3"/>
    <n v="40"/>
    <n v="107"/>
    <n v="1114.1202851413864"/>
  </r>
  <r>
    <n v="507925"/>
    <x v="0"/>
    <s v="Delhi"/>
    <x v="2"/>
    <s v=" DL"/>
    <x v="1"/>
    <x v="0"/>
    <x v="1"/>
    <x v="0"/>
    <d v="2019-03-06T16:06:09"/>
    <d v="2019-03-11T16:06:09"/>
    <d v="2019-03-12T16:06:09"/>
    <x v="9"/>
    <n v="0"/>
    <n v="126"/>
    <n v="3446"/>
  </r>
  <r>
    <n v="753860"/>
    <x v="0"/>
    <s v="Bangalore"/>
    <x v="2"/>
    <s v=" DL"/>
    <x v="0"/>
    <x v="0"/>
    <x v="0"/>
    <x v="0"/>
    <d v="2019-03-06T18:02:35"/>
    <d v="2019-03-08T18:02:35"/>
    <d v="2019-03-13T18:02:35"/>
    <x v="0"/>
    <n v="74"/>
    <n v="107"/>
    <n v="3448.9973133719714"/>
  </r>
  <r>
    <n v="829475"/>
    <x v="0"/>
    <s v="Bangalore"/>
    <x v="4"/>
    <s v=" WB"/>
    <x v="0"/>
    <x v="0"/>
    <x v="1"/>
    <x v="0"/>
    <d v="2019-03-06T18:33:03"/>
    <d v="2019-03-10T18:33:03"/>
    <d v="2019-03-10T18:33:03"/>
    <x v="6"/>
    <n v="80"/>
    <n v="94"/>
    <n v="3178.4033843538127"/>
  </r>
  <r>
    <n v="217695"/>
    <x v="0"/>
    <s v="Delhi"/>
    <x v="3"/>
    <s v=" KA"/>
    <x v="0"/>
    <x v="0"/>
    <x v="1"/>
    <x v="1"/>
    <d v="2019-03-06T19:25:38"/>
    <d v="2019-03-09T19:25:38"/>
    <d v="2019-03-12T19:25:38"/>
    <x v="4"/>
    <n v="75"/>
    <n v="102"/>
    <n v="1228.3454809249583"/>
  </r>
  <r>
    <n v="558574"/>
    <x v="0"/>
    <s v="Delhi"/>
    <x v="3"/>
    <s v=" KA"/>
    <x v="2"/>
    <x v="0"/>
    <x v="0"/>
    <x v="0"/>
    <d v="2019-03-06T19:34:31"/>
    <d v="2019-03-15T19:34:31"/>
    <d v="2019-03-12T19:34:31"/>
    <x v="1"/>
    <n v="50"/>
    <n v="122"/>
    <n v="1883"/>
  </r>
  <r>
    <n v="219545"/>
    <x v="0"/>
    <s v="Delhi"/>
    <x v="0"/>
    <s v=" MH"/>
    <x v="1"/>
    <x v="0"/>
    <x v="1"/>
    <x v="0"/>
    <d v="2019-03-06T20:37:55"/>
    <d v="2019-03-15T20:37:55"/>
    <d v="2019-03-13T20:37:55"/>
    <x v="1"/>
    <n v="46"/>
    <n v="114"/>
    <n v="2045.2998509346121"/>
  </r>
  <r>
    <n v="795166"/>
    <x v="0"/>
    <s v="Delhi"/>
    <x v="3"/>
    <s v=" KA"/>
    <x v="2"/>
    <x v="0"/>
    <x v="0"/>
    <x v="0"/>
    <d v="2019-03-06T21:03:46"/>
    <d v="2019-03-13T21:03:46"/>
    <d v="2019-03-11T21:03:46"/>
    <x v="8"/>
    <n v="33"/>
    <n v="129"/>
    <n v="1423.3449231093109"/>
  </r>
  <r>
    <n v="493259"/>
    <x v="0"/>
    <s v="Delhi"/>
    <x v="2"/>
    <s v=" DL"/>
    <x v="0"/>
    <x v="0"/>
    <x v="1"/>
    <x v="0"/>
    <d v="2019-03-06T21:04:40"/>
    <d v="2019-03-09T21:04:40"/>
    <d v="2019-03-10T21:04:40"/>
    <x v="4"/>
    <n v="0"/>
    <n v="107"/>
    <n v="3042.5348367689917"/>
  </r>
  <r>
    <n v="386020"/>
    <x v="0"/>
    <s v="Bangalore"/>
    <x v="1"/>
    <s v=" TN"/>
    <x v="0"/>
    <x v="0"/>
    <x v="0"/>
    <x v="0"/>
    <d v="2019-03-06T22:46:19"/>
    <d v="2019-03-14T22:46:19"/>
    <d v="2019-03-13T22:46:19"/>
    <x v="5"/>
    <n v="74"/>
    <n v="106"/>
    <n v="2588.5902743099923"/>
  </r>
  <r>
    <n v="842049"/>
    <x v="0"/>
    <s v="Delhi"/>
    <x v="2"/>
    <s v=" DL"/>
    <x v="1"/>
    <x v="0"/>
    <x v="1"/>
    <x v="1"/>
    <d v="2019-03-06T23:05:03"/>
    <d v="2019-03-11T23:05:03"/>
    <d v="2019-03-09T23:05:03"/>
    <x v="9"/>
    <n v="0"/>
    <n v="122"/>
    <n v="2249.4483743048313"/>
  </r>
  <r>
    <n v="985787"/>
    <x v="0"/>
    <s v="Bangalore"/>
    <x v="4"/>
    <s v=" WB"/>
    <x v="1"/>
    <x v="0"/>
    <x v="1"/>
    <x v="0"/>
    <d v="2019-03-06T23:18:35"/>
    <d v="2019-03-11T23:18:35"/>
    <d v="2019-03-13T23:18:35"/>
    <x v="9"/>
    <n v="37"/>
    <n v="109"/>
    <n v="1400.5880722273237"/>
  </r>
  <r>
    <n v="588236"/>
    <x v="0"/>
    <s v="Delhi"/>
    <x v="2"/>
    <s v=" DL"/>
    <x v="0"/>
    <x v="0"/>
    <x v="0"/>
    <x v="0"/>
    <d v="2019-03-06T23:20:29"/>
    <d v="2019-03-09T23:20:29"/>
    <d v="2019-03-13T23:20:29"/>
    <x v="4"/>
    <n v="0"/>
    <n v="109"/>
    <n v="802"/>
  </r>
  <r>
    <n v="881975"/>
    <x v="0"/>
    <s v="Delhi"/>
    <x v="3"/>
    <s v=" KA"/>
    <x v="0"/>
    <x v="0"/>
    <x v="1"/>
    <x v="0"/>
    <d v="2019-03-06T23:35:06"/>
    <d v="2019-03-12T23:35:06"/>
    <d v="2019-03-12T23:35:06"/>
    <x v="3"/>
    <n v="64"/>
    <n v="110"/>
    <n v="288.79370348324625"/>
  </r>
  <r>
    <n v="121319"/>
    <x v="0"/>
    <s v="Delhi"/>
    <x v="2"/>
    <s v=" DL"/>
    <x v="1"/>
    <x v="0"/>
    <x v="1"/>
    <x v="0"/>
    <d v="2019-03-07T00:22:53"/>
    <d v="2019-03-13T00:22:53"/>
    <d v="2019-03-14T00:22:53"/>
    <x v="3"/>
    <n v="0"/>
    <n v="121"/>
    <n v="798.19340803325053"/>
  </r>
  <r>
    <n v="326374"/>
    <x v="0"/>
    <s v="Delhi"/>
    <x v="1"/>
    <s v=" TN"/>
    <x v="2"/>
    <x v="0"/>
    <x v="0"/>
    <x v="0"/>
    <d v="2019-03-07T00:25:57"/>
    <d v="2019-03-09T00:25:57"/>
    <d v="2019-03-13T00:25:57"/>
    <x v="0"/>
    <n v="43"/>
    <n v="126"/>
    <n v="3579.7113070087557"/>
  </r>
  <r>
    <n v="118232"/>
    <x v="0"/>
    <s v="Bangalore"/>
    <x v="0"/>
    <s v=" MH"/>
    <x v="0"/>
    <x v="0"/>
    <x v="0"/>
    <x v="0"/>
    <d v="2019-03-07T01:36:32"/>
    <d v="2019-03-13T01:36:32"/>
    <d v="2019-03-13T01:36:32"/>
    <x v="3"/>
    <n v="33"/>
    <n v="110"/>
    <n v="2876.3290618748661"/>
  </r>
  <r>
    <n v="108843"/>
    <x v="0"/>
    <s v="Bangalore"/>
    <x v="2"/>
    <s v=" DL"/>
    <x v="0"/>
    <x v="0"/>
    <x v="2"/>
    <x v="1"/>
    <d v="2019-03-07T01:40:30"/>
    <d v="2019-03-09T01:40:30"/>
    <d v="2019-03-14T01:40:30"/>
    <x v="0"/>
    <n v="67"/>
    <n v="108"/>
    <n v="1477.0578301392795"/>
  </r>
  <r>
    <n v="65761"/>
    <x v="0"/>
    <s v="Bangalore"/>
    <x v="2"/>
    <s v=" DL"/>
    <x v="1"/>
    <x v="0"/>
    <x v="1"/>
    <x v="0"/>
    <d v="2019-03-07T04:04:29"/>
    <d v="2019-03-15T04:04:29"/>
    <d v="2019-03-12T04:04:29"/>
    <x v="5"/>
    <n v="29"/>
    <n v="127"/>
    <n v="810.85020681296737"/>
  </r>
  <r>
    <n v="660422"/>
    <x v="0"/>
    <s v="Delhi"/>
    <x v="1"/>
    <s v=" TN"/>
    <x v="0"/>
    <x v="0"/>
    <x v="0"/>
    <x v="0"/>
    <d v="2019-03-07T04:57:05"/>
    <d v="2019-03-14T04:57:05"/>
    <d v="2019-03-14T04:57:05"/>
    <x v="8"/>
    <n v="68"/>
    <n v="103"/>
    <n v="3067"/>
  </r>
  <r>
    <n v="669912"/>
    <x v="0"/>
    <s v="Bangalore"/>
    <x v="2"/>
    <s v=" DL"/>
    <x v="0"/>
    <x v="0"/>
    <x v="0"/>
    <x v="1"/>
    <d v="2019-03-07T05:13:07"/>
    <d v="2019-03-09T05:13:07"/>
    <d v="2019-03-10T05:13:07"/>
    <x v="0"/>
    <n v="76"/>
    <n v="103"/>
    <n v="2738.7284997183192"/>
  </r>
  <r>
    <n v="712105"/>
    <x v="0"/>
    <s v="Bangalore"/>
    <x v="0"/>
    <s v=" MH"/>
    <x v="1"/>
    <x v="0"/>
    <x v="1"/>
    <x v="0"/>
    <d v="2019-03-07T06:41:28"/>
    <d v="2019-03-14T06:41:28"/>
    <d v="2019-03-10T06:41:28"/>
    <x v="8"/>
    <n v="28"/>
    <n v="107"/>
    <n v="304.45169569701829"/>
  </r>
  <r>
    <n v="69589"/>
    <x v="0"/>
    <s v="Delhi"/>
    <x v="3"/>
    <s v=" KA"/>
    <x v="1"/>
    <x v="0"/>
    <x v="1"/>
    <x v="0"/>
    <d v="2019-03-07T07:58:39"/>
    <d v="2019-03-13T07:58:39"/>
    <d v="2019-03-12T07:58:39"/>
    <x v="3"/>
    <n v="48"/>
    <n v="128"/>
    <n v="1976.486791781361"/>
  </r>
  <r>
    <n v="542360"/>
    <x v="0"/>
    <s v="Delhi"/>
    <x v="2"/>
    <s v=" DL"/>
    <x v="0"/>
    <x v="0"/>
    <x v="0"/>
    <x v="0"/>
    <d v="2019-03-07T08:30:56"/>
    <d v="2019-03-09T08:30:56"/>
    <d v="2019-03-12T08:30:56"/>
    <x v="0"/>
    <n v="0"/>
    <n v="121"/>
    <n v="3221"/>
  </r>
  <r>
    <n v="374879"/>
    <x v="0"/>
    <s v="Delhi"/>
    <x v="3"/>
    <s v=" KA"/>
    <x v="0"/>
    <x v="0"/>
    <x v="1"/>
    <x v="0"/>
    <d v="2019-03-07T08:57:32"/>
    <d v="2019-03-12T08:57:32"/>
    <d v="2019-03-13T08:57:32"/>
    <x v="9"/>
    <n v="77"/>
    <n v="101"/>
    <n v="2806.3310101342431"/>
  </r>
  <r>
    <n v="569184"/>
    <x v="0"/>
    <s v="Bangalore"/>
    <x v="4"/>
    <s v=" WB"/>
    <x v="0"/>
    <x v="0"/>
    <x v="0"/>
    <x v="1"/>
    <d v="2019-03-07T09:04:15"/>
    <d v="2019-03-14T09:04:15"/>
    <d v="2019-03-11T09:04:15"/>
    <x v="8"/>
    <n v="34"/>
    <n v="115"/>
    <n v="3444"/>
  </r>
  <r>
    <n v="934152"/>
    <x v="0"/>
    <s v="Delhi"/>
    <x v="1"/>
    <s v=" TN"/>
    <x v="0"/>
    <x v="0"/>
    <x v="0"/>
    <x v="1"/>
    <d v="2019-03-07T09:04:45"/>
    <d v="2019-03-12T09:04:45"/>
    <d v="2019-03-12T09:04:45"/>
    <x v="9"/>
    <n v="36"/>
    <n v="123"/>
    <n v="1597"/>
  </r>
  <r>
    <n v="283434"/>
    <x v="0"/>
    <s v="Bangalore"/>
    <x v="0"/>
    <s v=" MH"/>
    <x v="2"/>
    <x v="0"/>
    <x v="0"/>
    <x v="1"/>
    <d v="2019-03-07T09:05:03"/>
    <d v="2019-03-15T09:05:03"/>
    <d v="2019-03-13T09:05:03"/>
    <x v="5"/>
    <n v="40"/>
    <n v="111"/>
    <n v="902.38647361262269"/>
  </r>
  <r>
    <n v="660343"/>
    <x v="0"/>
    <s v="Delhi"/>
    <x v="2"/>
    <s v=" DL"/>
    <x v="1"/>
    <x v="0"/>
    <x v="1"/>
    <x v="0"/>
    <d v="2019-03-07T11:30:40"/>
    <d v="2019-03-11T11:30:40"/>
    <d v="2019-03-14T11:30:40"/>
    <x v="6"/>
    <n v="0"/>
    <n v="129"/>
    <n v="2011.4810411621229"/>
  </r>
  <r>
    <n v="461954"/>
    <x v="0"/>
    <s v="Bangalore"/>
    <x v="3"/>
    <s v=" KA"/>
    <x v="0"/>
    <x v="0"/>
    <x v="0"/>
    <x v="0"/>
    <d v="2019-03-07T11:38:02"/>
    <d v="2019-03-07T11:38:02"/>
    <d v="2019-03-10T11:38:02"/>
    <x v="10"/>
    <n v="0"/>
    <n v="108"/>
    <n v="2387.2216411237414"/>
  </r>
  <r>
    <n v="935312"/>
    <x v="0"/>
    <s v="Delhi"/>
    <x v="2"/>
    <s v=" DL"/>
    <x v="0"/>
    <x v="0"/>
    <x v="0"/>
    <x v="0"/>
    <d v="2019-03-07T14:18:16"/>
    <d v="2019-03-08T14:18:16"/>
    <d v="2019-03-14T14:18:16"/>
    <x v="2"/>
    <n v="0"/>
    <n v="124"/>
    <n v="3080"/>
  </r>
  <r>
    <n v="228905"/>
    <x v="0"/>
    <s v="Bangalore"/>
    <x v="4"/>
    <s v=" WB"/>
    <x v="1"/>
    <x v="0"/>
    <x v="1"/>
    <x v="0"/>
    <d v="2019-03-07T15:18:27"/>
    <d v="2019-03-12T15:18:27"/>
    <d v="2019-03-14T15:18:27"/>
    <x v="9"/>
    <n v="30"/>
    <n v="112"/>
    <n v="2497.4093925625807"/>
  </r>
  <r>
    <n v="852011"/>
    <x v="0"/>
    <s v="Bangalore"/>
    <x v="3"/>
    <s v=" KA"/>
    <x v="0"/>
    <x v="0"/>
    <x v="1"/>
    <x v="0"/>
    <d v="2019-03-07T15:58:40"/>
    <d v="2019-03-10T15:58:40"/>
    <d v="2019-03-10T15:58:40"/>
    <x v="4"/>
    <n v="0"/>
    <n v="102"/>
    <n v="3616.2595485854135"/>
  </r>
  <r>
    <n v="699368"/>
    <x v="0"/>
    <s v="Bangalore"/>
    <x v="2"/>
    <s v=" DL"/>
    <x v="0"/>
    <x v="0"/>
    <x v="0"/>
    <x v="0"/>
    <d v="2019-03-07T16:57:05"/>
    <d v="2019-03-09T16:57:05"/>
    <d v="2019-03-14T16:57:05"/>
    <x v="0"/>
    <n v="41"/>
    <n v="121"/>
    <n v="3759.0452672376714"/>
  </r>
  <r>
    <n v="175605"/>
    <x v="0"/>
    <s v="Delhi"/>
    <x v="0"/>
    <s v=" MH"/>
    <x v="1"/>
    <x v="0"/>
    <x v="1"/>
    <x v="1"/>
    <d v="2019-03-07T17:28:06"/>
    <d v="2019-03-10T17:28:06"/>
    <d v="2019-03-14T17:28:06"/>
    <x v="4"/>
    <n v="48"/>
    <n v="108"/>
    <n v="3200"/>
  </r>
  <r>
    <n v="216088"/>
    <x v="0"/>
    <s v="Delhi"/>
    <x v="2"/>
    <s v=" DL"/>
    <x v="0"/>
    <x v="0"/>
    <x v="0"/>
    <x v="0"/>
    <d v="2019-03-07T17:39:44"/>
    <d v="2019-03-07T17:39:44"/>
    <d v="2019-03-12T17:39:44"/>
    <x v="10"/>
    <n v="0"/>
    <n v="123"/>
    <n v="2801.7318549770198"/>
  </r>
  <r>
    <n v="911952"/>
    <x v="0"/>
    <s v="Bangalore"/>
    <x v="2"/>
    <s v=" DL"/>
    <x v="0"/>
    <x v="0"/>
    <x v="0"/>
    <x v="1"/>
    <d v="2019-03-07T18:18:02"/>
    <d v="2019-03-10T18:18:02"/>
    <d v="2019-03-11T18:18:02"/>
    <x v="4"/>
    <n v="37"/>
    <n v="128"/>
    <n v="705"/>
  </r>
  <r>
    <n v="72758"/>
    <x v="0"/>
    <s v="Bangalore"/>
    <x v="3"/>
    <s v=" KA"/>
    <x v="2"/>
    <x v="0"/>
    <x v="0"/>
    <x v="0"/>
    <d v="2019-03-07T18:30:32"/>
    <d v="2019-03-08T18:30:32"/>
    <d v="2019-03-12T18:30:32"/>
    <x v="2"/>
    <n v="0"/>
    <n v="123"/>
    <n v="1231"/>
  </r>
  <r>
    <n v="557696"/>
    <x v="0"/>
    <s v="Delhi"/>
    <x v="0"/>
    <s v=" MH"/>
    <x v="0"/>
    <x v="0"/>
    <x v="0"/>
    <x v="0"/>
    <d v="2019-03-07T18:47:30"/>
    <d v="2019-03-09T18:47:30"/>
    <d v="2019-03-13T18:47:30"/>
    <x v="0"/>
    <n v="78"/>
    <n v="91"/>
    <n v="1523.8723472210718"/>
  </r>
  <r>
    <n v="737309"/>
    <x v="0"/>
    <s v="Delhi"/>
    <x v="2"/>
    <s v=" DL"/>
    <x v="1"/>
    <x v="0"/>
    <x v="1"/>
    <x v="0"/>
    <d v="2019-03-07T19:31:04"/>
    <d v="2019-03-10T19:31:04"/>
    <d v="2019-03-13T19:31:04"/>
    <x v="4"/>
    <n v="0"/>
    <n v="124"/>
    <n v="404.20302726014467"/>
  </r>
  <r>
    <n v="943956"/>
    <x v="0"/>
    <s v="Delhi"/>
    <x v="4"/>
    <s v=" WB"/>
    <x v="0"/>
    <x v="0"/>
    <x v="0"/>
    <x v="1"/>
    <d v="2019-03-07T20:29:42"/>
    <d v="2019-03-11T20:29:42"/>
    <d v="2019-03-11T20:29:42"/>
    <x v="6"/>
    <n v="33"/>
    <n v="111"/>
    <n v="853.52101650354223"/>
  </r>
  <r>
    <n v="10278"/>
    <x v="0"/>
    <s v="Delhi"/>
    <x v="0"/>
    <s v=" MH"/>
    <x v="0"/>
    <x v="0"/>
    <x v="0"/>
    <x v="1"/>
    <d v="2019-03-07T21:14:44"/>
    <d v="2019-03-10T21:14:44"/>
    <d v="2019-03-13T21:14:44"/>
    <x v="4"/>
    <n v="63"/>
    <n v="90"/>
    <n v="2302.3601103881938"/>
  </r>
  <r>
    <n v="751117"/>
    <x v="0"/>
    <s v="Bangalore"/>
    <x v="0"/>
    <s v=" MH"/>
    <x v="1"/>
    <x v="0"/>
    <x v="1"/>
    <x v="0"/>
    <d v="2019-03-07T21:33:01"/>
    <d v="2019-03-10T21:33:01"/>
    <d v="2019-03-13T21:33:01"/>
    <x v="4"/>
    <n v="35"/>
    <n v="111"/>
    <n v="2978.3205622825803"/>
  </r>
  <r>
    <n v="536485"/>
    <x v="0"/>
    <s v="Bangalore"/>
    <x v="2"/>
    <s v=" DL"/>
    <x v="0"/>
    <x v="0"/>
    <x v="1"/>
    <x v="0"/>
    <d v="2019-03-07T21:41:14"/>
    <d v="2019-03-09T21:41:14"/>
    <d v="2019-03-11T21:41:14"/>
    <x v="0"/>
    <n v="75"/>
    <n v="103"/>
    <n v="2171.3348725397718"/>
  </r>
  <r>
    <n v="111574"/>
    <x v="0"/>
    <s v="Bangalore"/>
    <x v="0"/>
    <s v=" MH"/>
    <x v="0"/>
    <x v="0"/>
    <x v="0"/>
    <x v="0"/>
    <d v="2019-03-07T22:26:50"/>
    <d v="2019-03-09T22:26:50"/>
    <d v="2019-03-10T22:26:50"/>
    <x v="0"/>
    <n v="75"/>
    <n v="87"/>
    <n v="465.25185903586794"/>
  </r>
  <r>
    <n v="632717"/>
    <x v="0"/>
    <s v="Delhi"/>
    <x v="3"/>
    <s v=" KA"/>
    <x v="1"/>
    <x v="0"/>
    <x v="1"/>
    <x v="0"/>
    <d v="2019-03-07T23:21:37"/>
    <d v="2019-03-17T23:21:37"/>
    <d v="2019-03-14T23:21:37"/>
    <x v="7"/>
    <n v="42"/>
    <n v="128"/>
    <n v="449.27400341845231"/>
  </r>
  <r>
    <n v="820132"/>
    <x v="0"/>
    <s v="Delhi"/>
    <x v="2"/>
    <s v=" DL"/>
    <x v="0"/>
    <x v="0"/>
    <x v="0"/>
    <x v="0"/>
    <d v="2019-03-08T00:49:40"/>
    <d v="2019-03-08T00:49:40"/>
    <d v="2019-03-15T00:49:40"/>
    <x v="10"/>
    <n v="0"/>
    <n v="123"/>
    <n v="1732.4172687325429"/>
  </r>
  <r>
    <n v="223262"/>
    <x v="0"/>
    <s v="Bangalore"/>
    <x v="1"/>
    <s v=" TN"/>
    <x v="2"/>
    <x v="0"/>
    <x v="0"/>
    <x v="0"/>
    <d v="2019-03-08T01:25:50"/>
    <d v="2019-03-10T01:25:50"/>
    <d v="2019-03-14T01:25:50"/>
    <x v="0"/>
    <n v="38"/>
    <n v="121"/>
    <n v="674.17365029452935"/>
  </r>
  <r>
    <n v="741405"/>
    <x v="0"/>
    <s v="Delhi"/>
    <x v="0"/>
    <s v=" MH"/>
    <x v="0"/>
    <x v="0"/>
    <x v="2"/>
    <x v="1"/>
    <d v="2019-03-08T01:42:43"/>
    <d v="2019-03-10T01:42:43"/>
    <d v="2019-03-15T01:42:43"/>
    <x v="0"/>
    <n v="72"/>
    <n v="92"/>
    <n v="3485.2124954897808"/>
  </r>
  <r>
    <n v="581821"/>
    <x v="0"/>
    <s v="Delhi"/>
    <x v="2"/>
    <s v=" DL"/>
    <x v="0"/>
    <x v="0"/>
    <x v="1"/>
    <x v="0"/>
    <d v="2019-03-08T02:18:06"/>
    <d v="2019-03-08T02:18:06"/>
    <d v="2019-03-15T02:18:06"/>
    <x v="10"/>
    <n v="0"/>
    <n v="108"/>
    <n v="2349.5084169747456"/>
  </r>
  <r>
    <n v="179056"/>
    <x v="0"/>
    <s v="Delhi"/>
    <x v="3"/>
    <s v=" KA"/>
    <x v="0"/>
    <x v="0"/>
    <x v="0"/>
    <x v="0"/>
    <d v="2019-03-08T03:55:18"/>
    <d v="2019-03-13T03:55:18"/>
    <d v="2019-03-12T03:55:18"/>
    <x v="9"/>
    <n v="77"/>
    <n v="109"/>
    <n v="2815.1887758523467"/>
  </r>
  <r>
    <n v="885909"/>
    <x v="0"/>
    <s v="Delhi"/>
    <x v="0"/>
    <s v=" MH"/>
    <x v="1"/>
    <x v="0"/>
    <x v="1"/>
    <x v="1"/>
    <d v="2019-03-08T05:29:45"/>
    <d v="2019-03-15T05:29:45"/>
    <d v="2019-03-12T05:29:45"/>
    <x v="8"/>
    <n v="40"/>
    <n v="105"/>
    <n v="3078"/>
  </r>
  <r>
    <n v="513949"/>
    <x v="0"/>
    <s v="Bangalore"/>
    <x v="3"/>
    <s v=" KA"/>
    <x v="1"/>
    <x v="0"/>
    <x v="1"/>
    <x v="0"/>
    <d v="2019-03-08T09:12:54"/>
    <d v="2019-03-08T09:12:54"/>
    <d v="2019-03-15T09:12:54"/>
    <x v="10"/>
    <n v="0"/>
    <n v="125"/>
    <n v="2882"/>
  </r>
  <r>
    <n v="344820"/>
    <x v="0"/>
    <s v="Delhi"/>
    <x v="1"/>
    <s v=" TN"/>
    <x v="0"/>
    <x v="0"/>
    <x v="0"/>
    <x v="1"/>
    <d v="2019-03-08T11:08:21"/>
    <d v="2019-03-15T11:08:21"/>
    <d v="2019-03-14T11:08:21"/>
    <x v="8"/>
    <n v="64"/>
    <n v="104"/>
    <n v="2978.0258285234077"/>
  </r>
  <r>
    <n v="670188"/>
    <x v="0"/>
    <s v="Delhi"/>
    <x v="3"/>
    <s v=" KA"/>
    <x v="0"/>
    <x v="0"/>
    <x v="0"/>
    <x v="1"/>
    <d v="2019-03-08T11:10:59"/>
    <d v="2019-03-12T11:10:59"/>
    <d v="2019-03-12T11:10:59"/>
    <x v="6"/>
    <n v="63"/>
    <n v="108"/>
    <n v="2293.1815258242964"/>
  </r>
  <r>
    <n v="289035"/>
    <x v="0"/>
    <s v="Delhi"/>
    <x v="4"/>
    <s v=" WB"/>
    <x v="1"/>
    <x v="0"/>
    <x v="1"/>
    <x v="1"/>
    <d v="2019-03-08T15:25:06"/>
    <d v="2019-03-10T15:25:06"/>
    <d v="2019-03-14T15:25:06"/>
    <x v="0"/>
    <n v="49"/>
    <n v="112"/>
    <n v="901.05854131090427"/>
  </r>
  <r>
    <n v="985671"/>
    <x v="0"/>
    <s v="Bangalore"/>
    <x v="0"/>
    <s v=" MH"/>
    <x v="1"/>
    <x v="0"/>
    <x v="1"/>
    <x v="1"/>
    <d v="2019-03-08T16:32:46"/>
    <d v="2019-03-11T16:32:46"/>
    <d v="2019-03-14T16:32:46"/>
    <x v="4"/>
    <n v="44"/>
    <n v="109"/>
    <n v="1190"/>
  </r>
  <r>
    <n v="532522"/>
    <x v="0"/>
    <s v="Bangalore"/>
    <x v="2"/>
    <s v=" DL"/>
    <x v="2"/>
    <x v="0"/>
    <x v="0"/>
    <x v="0"/>
    <d v="2019-03-08T16:42:17"/>
    <d v="2019-03-11T16:42:17"/>
    <d v="2019-03-11T16:42:17"/>
    <x v="4"/>
    <n v="33"/>
    <n v="122"/>
    <n v="2647.7734363811032"/>
  </r>
  <r>
    <n v="924103"/>
    <x v="0"/>
    <s v="Bangalore"/>
    <x v="0"/>
    <s v=" MH"/>
    <x v="1"/>
    <x v="0"/>
    <x v="1"/>
    <x v="0"/>
    <d v="2019-03-08T17:14:11"/>
    <d v="2019-03-11T17:14:11"/>
    <d v="2019-03-13T17:14:11"/>
    <x v="4"/>
    <n v="35"/>
    <n v="105"/>
    <n v="1483.6498693254739"/>
  </r>
  <r>
    <n v="779948"/>
    <x v="0"/>
    <s v="Delhi"/>
    <x v="0"/>
    <s v=" MH"/>
    <x v="0"/>
    <x v="0"/>
    <x v="0"/>
    <x v="0"/>
    <d v="2019-03-08T21:28:48"/>
    <d v="2019-03-10T21:28:48"/>
    <d v="2019-03-12T21:28:48"/>
    <x v="0"/>
    <n v="39"/>
    <n v="107"/>
    <n v="1333.5937215392571"/>
  </r>
  <r>
    <n v="394440"/>
    <x v="0"/>
    <s v="Bangalore"/>
    <x v="3"/>
    <s v=" KA"/>
    <x v="0"/>
    <x v="0"/>
    <x v="0"/>
    <x v="1"/>
    <d v="2019-03-08T22:25:50"/>
    <d v="2019-03-13T22:25:50"/>
    <d v="2019-03-11T22:25:50"/>
    <x v="9"/>
    <n v="0"/>
    <n v="121"/>
    <n v="3528.8964186623375"/>
  </r>
  <r>
    <n v="1518"/>
    <x v="0"/>
    <s v="Bangalore"/>
    <x v="2"/>
    <s v=" DL"/>
    <x v="0"/>
    <x v="0"/>
    <x v="0"/>
    <x v="1"/>
    <d v="2019-03-08T23:33:25"/>
    <d v="2019-03-13T23:33:25"/>
    <d v="2019-03-11T23:33:25"/>
    <x v="9"/>
    <n v="87"/>
    <n v="106"/>
    <n v="2981.7327743424062"/>
  </r>
  <r>
    <n v="64809"/>
    <x v="0"/>
    <s v="Delhi"/>
    <x v="1"/>
    <s v=" TN"/>
    <x v="1"/>
    <x v="0"/>
    <x v="1"/>
    <x v="1"/>
    <d v="2019-03-09T00:57:37"/>
    <d v="2019-03-14T00:57:37"/>
    <d v="2019-03-15T00:57:37"/>
    <x v="9"/>
    <n v="25"/>
    <n v="121"/>
    <n v="936.31598715175039"/>
  </r>
  <r>
    <n v="26807"/>
    <x v="0"/>
    <s v="Delhi"/>
    <x v="0"/>
    <s v=" MH"/>
    <x v="1"/>
    <x v="0"/>
    <x v="1"/>
    <x v="0"/>
    <d v="2019-03-09T01:06:38"/>
    <d v="2019-03-12T01:06:38"/>
    <d v="2019-03-16T01:06:38"/>
    <x v="4"/>
    <n v="28"/>
    <n v="111"/>
    <n v="1164.9944622407047"/>
  </r>
  <r>
    <n v="472903"/>
    <x v="0"/>
    <s v="Bangalore"/>
    <x v="2"/>
    <s v=" DL"/>
    <x v="1"/>
    <x v="0"/>
    <x v="1"/>
    <x v="0"/>
    <d v="2019-03-09T02:56:24"/>
    <d v="2019-03-13T02:56:24"/>
    <d v="2019-03-12T02:56:24"/>
    <x v="6"/>
    <n v="42"/>
    <n v="121"/>
    <n v="1933"/>
  </r>
  <r>
    <n v="270552"/>
    <x v="0"/>
    <s v="Delhi"/>
    <x v="0"/>
    <s v=" MH"/>
    <x v="0"/>
    <x v="0"/>
    <x v="0"/>
    <x v="1"/>
    <d v="2019-03-09T03:15:26"/>
    <d v="2019-03-14T03:15:26"/>
    <d v="2019-03-12T03:15:26"/>
    <x v="9"/>
    <n v="43"/>
    <n v="113"/>
    <n v="2146.2100083795467"/>
  </r>
  <r>
    <n v="89840"/>
    <x v="0"/>
    <s v="Delhi"/>
    <x v="2"/>
    <s v=" DL"/>
    <x v="0"/>
    <x v="0"/>
    <x v="0"/>
    <x v="0"/>
    <d v="2019-03-09T03:26:35"/>
    <d v="2019-03-11T03:26:35"/>
    <d v="2019-03-16T03:26:35"/>
    <x v="0"/>
    <n v="0"/>
    <n v="103"/>
    <n v="3099.5710370105303"/>
  </r>
  <r>
    <n v="721238"/>
    <x v="0"/>
    <s v="Delhi"/>
    <x v="0"/>
    <s v=" MH"/>
    <x v="2"/>
    <x v="0"/>
    <x v="0"/>
    <x v="0"/>
    <d v="2019-03-09T04:53:51"/>
    <d v="2019-03-13T04:53:51"/>
    <d v="2019-03-13T04:53:51"/>
    <x v="6"/>
    <n v="47"/>
    <n v="113"/>
    <n v="3159"/>
  </r>
  <r>
    <n v="745959"/>
    <x v="0"/>
    <s v="Delhi"/>
    <x v="0"/>
    <s v=" MH"/>
    <x v="0"/>
    <x v="0"/>
    <x v="1"/>
    <x v="1"/>
    <d v="2019-03-09T05:06:52"/>
    <d v="2019-03-14T05:06:52"/>
    <d v="2019-03-16T05:06:52"/>
    <x v="9"/>
    <n v="78"/>
    <n v="89"/>
    <n v="338"/>
  </r>
  <r>
    <n v="476963"/>
    <x v="0"/>
    <s v="Delhi"/>
    <x v="3"/>
    <s v=" KA"/>
    <x v="1"/>
    <x v="0"/>
    <x v="1"/>
    <x v="0"/>
    <d v="2019-03-09T05:18:43"/>
    <d v="2019-03-15T05:18:43"/>
    <d v="2019-03-16T05:18:43"/>
    <x v="3"/>
    <n v="29"/>
    <n v="125"/>
    <n v="829.08157174775602"/>
  </r>
  <r>
    <n v="774764"/>
    <x v="0"/>
    <s v="Delhi"/>
    <x v="0"/>
    <s v=" MH"/>
    <x v="0"/>
    <x v="0"/>
    <x v="0"/>
    <x v="0"/>
    <d v="2019-03-09T05:25:20"/>
    <d v="2019-03-11T05:25:20"/>
    <d v="2019-03-16T05:25:20"/>
    <x v="0"/>
    <n v="40"/>
    <n v="106"/>
    <n v="1149"/>
  </r>
  <r>
    <n v="147335"/>
    <x v="0"/>
    <s v="Delhi"/>
    <x v="1"/>
    <s v=" TN"/>
    <x v="1"/>
    <x v="0"/>
    <x v="1"/>
    <x v="0"/>
    <d v="2019-03-09T06:14:50"/>
    <d v="2019-03-11T06:14:50"/>
    <d v="2019-03-14T06:14:50"/>
    <x v="0"/>
    <n v="41"/>
    <n v="126"/>
    <n v="1443.3482288009959"/>
  </r>
  <r>
    <n v="333124"/>
    <x v="0"/>
    <s v="Delhi"/>
    <x v="1"/>
    <s v=" TN"/>
    <x v="0"/>
    <x v="0"/>
    <x v="0"/>
    <x v="0"/>
    <d v="2019-03-09T07:18:25"/>
    <d v="2019-03-19T07:18:25"/>
    <d v="2019-03-16T07:18:25"/>
    <x v="7"/>
    <n v="80"/>
    <n v="106"/>
    <n v="1811.7688337017112"/>
  </r>
  <r>
    <n v="163328"/>
    <x v="0"/>
    <s v="Bangalore"/>
    <x v="2"/>
    <s v=" DL"/>
    <x v="0"/>
    <x v="0"/>
    <x v="0"/>
    <x v="0"/>
    <d v="2019-03-09T08:40:25"/>
    <d v="2019-03-13T08:40:25"/>
    <d v="2019-03-14T08:40:25"/>
    <x v="6"/>
    <n v="46"/>
    <n v="123"/>
    <n v="2295"/>
  </r>
  <r>
    <n v="253259"/>
    <x v="0"/>
    <s v="Delhi"/>
    <x v="0"/>
    <s v=" MH"/>
    <x v="1"/>
    <x v="0"/>
    <x v="1"/>
    <x v="0"/>
    <d v="2019-03-09T09:12:39"/>
    <d v="2019-03-18T09:12:39"/>
    <d v="2019-03-12T09:12:39"/>
    <x v="1"/>
    <n v="44"/>
    <n v="115"/>
    <n v="1335.5066399894574"/>
  </r>
  <r>
    <n v="4910"/>
    <x v="0"/>
    <s v="Bangalore"/>
    <x v="3"/>
    <s v=" KA"/>
    <x v="2"/>
    <x v="0"/>
    <x v="0"/>
    <x v="0"/>
    <d v="2019-03-09T09:23:41"/>
    <d v="2019-03-09T09:23:41"/>
    <d v="2019-03-14T09:23:41"/>
    <x v="10"/>
    <n v="0"/>
    <n v="120"/>
    <n v="1352"/>
  </r>
  <r>
    <n v="419614"/>
    <x v="0"/>
    <s v="Bangalore"/>
    <x v="0"/>
    <s v=" MH"/>
    <x v="2"/>
    <x v="0"/>
    <x v="0"/>
    <x v="0"/>
    <d v="2019-03-09T11:49:49"/>
    <d v="2019-03-18T11:49:49"/>
    <d v="2019-03-16T11:49:49"/>
    <x v="1"/>
    <n v="37"/>
    <n v="107"/>
    <n v="1936"/>
  </r>
  <r>
    <n v="521507"/>
    <x v="0"/>
    <s v="Delhi"/>
    <x v="1"/>
    <s v=" TN"/>
    <x v="1"/>
    <x v="0"/>
    <x v="2"/>
    <x v="0"/>
    <d v="2019-03-09T12:32:40"/>
    <d v="2019-03-13T12:32:40"/>
    <d v="2019-03-16T12:32:40"/>
    <x v="6"/>
    <n v="31"/>
    <n v="126"/>
    <n v="1305.5297830923521"/>
  </r>
  <r>
    <n v="915961"/>
    <x v="0"/>
    <s v="Bangalore"/>
    <x v="0"/>
    <s v=" MH"/>
    <x v="1"/>
    <x v="0"/>
    <x v="1"/>
    <x v="0"/>
    <d v="2019-03-09T14:21:30"/>
    <d v="2019-03-16T14:21:30"/>
    <d v="2019-03-13T14:21:30"/>
    <x v="8"/>
    <n v="38"/>
    <n v="110"/>
    <n v="1954"/>
  </r>
  <r>
    <n v="37994"/>
    <x v="0"/>
    <s v="Bangalore"/>
    <x v="1"/>
    <s v=" TN"/>
    <x v="2"/>
    <x v="0"/>
    <x v="0"/>
    <x v="0"/>
    <d v="2019-03-09T15:49:27"/>
    <d v="2019-03-11T15:49:27"/>
    <d v="2019-03-16T15:49:27"/>
    <x v="0"/>
    <n v="28"/>
    <n v="121"/>
    <n v="834.19839696972349"/>
  </r>
  <r>
    <n v="522236"/>
    <x v="0"/>
    <s v="Delhi"/>
    <x v="3"/>
    <s v=" KA"/>
    <x v="0"/>
    <x v="0"/>
    <x v="0"/>
    <x v="0"/>
    <d v="2019-03-09T15:50:11"/>
    <d v="2019-03-13T15:50:11"/>
    <d v="2019-03-13T15:50:11"/>
    <x v="6"/>
    <n v="50"/>
    <n v="120"/>
    <n v="1472"/>
  </r>
  <r>
    <n v="768742"/>
    <x v="0"/>
    <s v="Bangalore"/>
    <x v="0"/>
    <s v=" MH"/>
    <x v="2"/>
    <x v="0"/>
    <x v="0"/>
    <x v="0"/>
    <d v="2019-03-09T19:14:25"/>
    <d v="2019-03-17T19:14:25"/>
    <d v="2019-03-13T19:14:25"/>
    <x v="5"/>
    <n v="25"/>
    <n v="106"/>
    <n v="3302.7540685774611"/>
  </r>
  <r>
    <n v="779884"/>
    <x v="0"/>
    <s v="Bangalore"/>
    <x v="1"/>
    <s v=" TN"/>
    <x v="0"/>
    <x v="0"/>
    <x v="0"/>
    <x v="0"/>
    <d v="2019-03-09T19:15:52"/>
    <d v="2019-03-13T19:15:52"/>
    <d v="2019-03-16T19:15:52"/>
    <x v="6"/>
    <n v="41"/>
    <n v="122"/>
    <n v="1807.8127304269897"/>
  </r>
  <r>
    <n v="464231"/>
    <x v="0"/>
    <s v="Delhi"/>
    <x v="3"/>
    <s v=" KA"/>
    <x v="1"/>
    <x v="0"/>
    <x v="1"/>
    <x v="0"/>
    <d v="2019-03-09T19:53:28"/>
    <d v="2019-03-17T19:53:28"/>
    <d v="2019-03-15T19:53:28"/>
    <x v="5"/>
    <n v="29"/>
    <n v="122"/>
    <n v="3570"/>
  </r>
  <r>
    <n v="735053"/>
    <x v="0"/>
    <s v="Bangalore"/>
    <x v="1"/>
    <s v=" TN"/>
    <x v="1"/>
    <x v="0"/>
    <x v="1"/>
    <x v="0"/>
    <d v="2019-03-09T20:56:38"/>
    <d v="2019-03-14T20:56:38"/>
    <d v="2019-03-13T20:56:38"/>
    <x v="9"/>
    <n v="47"/>
    <n v="123"/>
    <n v="3268.1489458654091"/>
  </r>
  <r>
    <n v="304253"/>
    <x v="0"/>
    <s v="Bangalore"/>
    <x v="2"/>
    <s v=" DL"/>
    <x v="1"/>
    <x v="0"/>
    <x v="1"/>
    <x v="0"/>
    <d v="2019-03-09T21:53:50"/>
    <d v="2019-03-16T21:53:50"/>
    <d v="2019-03-16T21:53:50"/>
    <x v="8"/>
    <n v="30"/>
    <n v="129"/>
    <n v="496"/>
  </r>
  <r>
    <n v="444472"/>
    <x v="0"/>
    <s v="Delhi"/>
    <x v="1"/>
    <s v=" TN"/>
    <x v="0"/>
    <x v="0"/>
    <x v="0"/>
    <x v="0"/>
    <d v="2019-03-09T21:55:09"/>
    <d v="2019-03-17T21:55:09"/>
    <d v="2019-03-14T21:55:09"/>
    <x v="5"/>
    <n v="47"/>
    <n v="126"/>
    <n v="2390"/>
  </r>
  <r>
    <n v="667326"/>
    <x v="0"/>
    <s v="Delhi"/>
    <x v="0"/>
    <s v=" MH"/>
    <x v="2"/>
    <x v="0"/>
    <x v="0"/>
    <x v="1"/>
    <d v="2019-03-09T22:29:53"/>
    <d v="2019-03-18T22:29:53"/>
    <d v="2019-03-14T22:29:53"/>
    <x v="1"/>
    <n v="38"/>
    <n v="109"/>
    <n v="628"/>
  </r>
  <r>
    <n v="622084"/>
    <x v="0"/>
    <s v="Delhi"/>
    <x v="1"/>
    <s v=" TN"/>
    <x v="0"/>
    <x v="0"/>
    <x v="0"/>
    <x v="0"/>
    <d v="2019-03-09T23:17:02"/>
    <d v="2019-03-18T23:17:02"/>
    <d v="2019-03-16T23:17:02"/>
    <x v="1"/>
    <n v="48"/>
    <n v="127"/>
    <n v="3091.3549139820775"/>
  </r>
  <r>
    <n v="172327"/>
    <x v="0"/>
    <s v="Delhi"/>
    <x v="0"/>
    <s v=" MH"/>
    <x v="0"/>
    <x v="0"/>
    <x v="1"/>
    <x v="0"/>
    <d v="2019-03-09T23:40:11"/>
    <d v="2019-03-11T23:40:11"/>
    <d v="2019-03-12T23:40:11"/>
    <x v="0"/>
    <n v="71"/>
    <n v="91"/>
    <n v="1241.1539535831917"/>
  </r>
  <r>
    <n v="557700"/>
    <x v="0"/>
    <s v="Delhi"/>
    <x v="4"/>
    <s v=" WB"/>
    <x v="0"/>
    <x v="0"/>
    <x v="0"/>
    <x v="1"/>
    <d v="2019-03-10T02:37:25"/>
    <d v="2019-03-14T02:37:25"/>
    <d v="2019-03-15T02:37:25"/>
    <x v="6"/>
    <n v="31"/>
    <n v="109"/>
    <n v="2796"/>
  </r>
  <r>
    <n v="645534"/>
    <x v="0"/>
    <s v="Delhi"/>
    <x v="0"/>
    <s v=" MH"/>
    <x v="2"/>
    <x v="0"/>
    <x v="0"/>
    <x v="1"/>
    <d v="2019-03-10T03:38:32"/>
    <d v="2019-03-16T03:38:32"/>
    <d v="2019-03-16T03:38:32"/>
    <x v="3"/>
    <n v="30"/>
    <n v="115"/>
    <n v="889"/>
  </r>
  <r>
    <n v="847979"/>
    <x v="0"/>
    <s v="Delhi"/>
    <x v="3"/>
    <s v=" KA"/>
    <x v="1"/>
    <x v="0"/>
    <x v="1"/>
    <x v="0"/>
    <d v="2019-03-10T04:47:46"/>
    <d v="2019-03-15T04:47:46"/>
    <d v="2019-03-13T04:47:46"/>
    <x v="9"/>
    <n v="36"/>
    <n v="128"/>
    <n v="1902.8715688583077"/>
  </r>
  <r>
    <n v="676469"/>
    <x v="0"/>
    <s v="Bangalore"/>
    <x v="0"/>
    <s v=" MH"/>
    <x v="1"/>
    <x v="0"/>
    <x v="1"/>
    <x v="0"/>
    <d v="2019-03-10T05:29:53"/>
    <d v="2019-03-15T05:29:53"/>
    <d v="2019-03-14T05:29:53"/>
    <x v="9"/>
    <n v="30"/>
    <n v="112"/>
    <n v="1860.4168043994448"/>
  </r>
  <r>
    <n v="923003"/>
    <x v="0"/>
    <s v="Bangalore"/>
    <x v="4"/>
    <s v=" WB"/>
    <x v="1"/>
    <x v="0"/>
    <x v="1"/>
    <x v="0"/>
    <d v="2019-03-10T06:24:11"/>
    <d v="2019-03-12T06:24:11"/>
    <d v="2019-03-16T06:24:11"/>
    <x v="0"/>
    <n v="42"/>
    <n v="108"/>
    <n v="3204"/>
  </r>
  <r>
    <n v="279397"/>
    <x v="0"/>
    <s v="Delhi"/>
    <x v="0"/>
    <s v=" MH"/>
    <x v="1"/>
    <x v="0"/>
    <x v="1"/>
    <x v="0"/>
    <d v="2019-03-10T08:48:58"/>
    <d v="2019-03-19T08:48:58"/>
    <d v="2019-03-15T08:48:58"/>
    <x v="1"/>
    <n v="41"/>
    <n v="113"/>
    <n v="3356.2673173581052"/>
  </r>
  <r>
    <n v="419255"/>
    <x v="0"/>
    <s v="Delhi"/>
    <x v="4"/>
    <s v=" WB"/>
    <x v="1"/>
    <x v="0"/>
    <x v="1"/>
    <x v="0"/>
    <d v="2019-03-10T09:05:30"/>
    <d v="2019-03-12T09:05:30"/>
    <d v="2019-03-14T09:05:30"/>
    <x v="0"/>
    <n v="28"/>
    <n v="105"/>
    <n v="3494"/>
  </r>
  <r>
    <n v="322177"/>
    <x v="0"/>
    <s v="Bangalore"/>
    <x v="0"/>
    <s v=" MH"/>
    <x v="0"/>
    <x v="0"/>
    <x v="1"/>
    <x v="0"/>
    <d v="2019-03-10T10:37:53"/>
    <d v="2019-03-15T10:37:53"/>
    <d v="2019-03-16T10:37:53"/>
    <x v="9"/>
    <n v="66"/>
    <n v="91"/>
    <n v="2389.812965445401"/>
  </r>
  <r>
    <n v="325941"/>
    <x v="0"/>
    <s v="Delhi"/>
    <x v="2"/>
    <s v=" DL"/>
    <x v="0"/>
    <x v="0"/>
    <x v="2"/>
    <x v="1"/>
    <d v="2019-03-10T11:55:02"/>
    <d v="2019-03-12T11:55:02"/>
    <d v="2019-03-13T11:55:02"/>
    <x v="0"/>
    <n v="0"/>
    <n v="107"/>
    <n v="2786"/>
  </r>
  <r>
    <n v="797925"/>
    <x v="0"/>
    <s v="Bangalore"/>
    <x v="2"/>
    <s v=" DL"/>
    <x v="0"/>
    <x v="0"/>
    <x v="1"/>
    <x v="1"/>
    <d v="2019-03-10T12:02:48"/>
    <d v="2019-03-16T12:02:48"/>
    <d v="2019-03-15T12:02:48"/>
    <x v="3"/>
    <n v="79"/>
    <n v="110"/>
    <n v="494"/>
  </r>
  <r>
    <n v="326985"/>
    <x v="0"/>
    <s v="Delhi"/>
    <x v="3"/>
    <s v=" KA"/>
    <x v="1"/>
    <x v="0"/>
    <x v="1"/>
    <x v="1"/>
    <d v="2019-03-10T12:38:40"/>
    <d v="2019-03-15T12:38:40"/>
    <d v="2019-03-15T12:38:40"/>
    <x v="9"/>
    <n v="36"/>
    <n v="130"/>
    <n v="3076.8542209129037"/>
  </r>
  <r>
    <n v="293797"/>
    <x v="0"/>
    <s v="Delhi"/>
    <x v="0"/>
    <s v=" MH"/>
    <x v="1"/>
    <x v="0"/>
    <x v="2"/>
    <x v="0"/>
    <d v="2019-03-10T13:16:59"/>
    <d v="2019-03-16T13:16:59"/>
    <d v="2019-03-15T13:16:59"/>
    <x v="3"/>
    <n v="25"/>
    <n v="108"/>
    <n v="549.79479953978739"/>
  </r>
  <r>
    <n v="291925"/>
    <x v="0"/>
    <s v="Delhi"/>
    <x v="2"/>
    <s v=" DL"/>
    <x v="0"/>
    <x v="0"/>
    <x v="1"/>
    <x v="0"/>
    <d v="2019-03-10T14:33:51"/>
    <d v="2019-03-10T14:33:51"/>
    <d v="2019-03-13T14:33:51"/>
    <x v="10"/>
    <n v="0"/>
    <n v="108"/>
    <n v="1150.3231807789698"/>
  </r>
  <r>
    <n v="803428"/>
    <x v="0"/>
    <s v="Bangalore"/>
    <x v="2"/>
    <s v=" DL"/>
    <x v="0"/>
    <x v="0"/>
    <x v="0"/>
    <x v="0"/>
    <d v="2019-03-10T15:40:43"/>
    <d v="2019-03-12T15:40:43"/>
    <d v="2019-03-17T15:40:43"/>
    <x v="0"/>
    <n v="44"/>
    <n v="121"/>
    <n v="2614.6768724677486"/>
  </r>
  <r>
    <n v="400228"/>
    <x v="0"/>
    <s v="Bangalore"/>
    <x v="4"/>
    <s v=" WB"/>
    <x v="0"/>
    <x v="0"/>
    <x v="0"/>
    <x v="0"/>
    <d v="2019-03-10T17:08:51"/>
    <d v="2019-03-14T17:08:51"/>
    <d v="2019-03-15T17:08:51"/>
    <x v="6"/>
    <n v="76"/>
    <n v="85"/>
    <n v="1227"/>
  </r>
  <r>
    <n v="983882"/>
    <x v="0"/>
    <s v="Bangalore"/>
    <x v="0"/>
    <s v=" MH"/>
    <x v="0"/>
    <x v="0"/>
    <x v="0"/>
    <x v="0"/>
    <d v="2019-03-10T17:42:36"/>
    <d v="2019-03-12T17:42:36"/>
    <d v="2019-03-16T17:42:36"/>
    <x v="0"/>
    <n v="68"/>
    <n v="86"/>
    <n v="774.83776709044434"/>
  </r>
  <r>
    <n v="940"/>
    <x v="0"/>
    <s v="Delhi"/>
    <x v="4"/>
    <s v=" WB"/>
    <x v="0"/>
    <x v="0"/>
    <x v="0"/>
    <x v="0"/>
    <d v="2019-03-10T19:28:26"/>
    <d v="2019-03-18T19:28:26"/>
    <d v="2019-03-17T19:28:26"/>
    <x v="5"/>
    <n v="39"/>
    <n v="106"/>
    <n v="1691.0876536546473"/>
  </r>
  <r>
    <n v="193911"/>
    <x v="0"/>
    <s v="Bangalore"/>
    <x v="0"/>
    <s v=" MH"/>
    <x v="1"/>
    <x v="0"/>
    <x v="1"/>
    <x v="1"/>
    <d v="2019-03-10T19:42:05"/>
    <d v="2019-03-19T19:42:05"/>
    <d v="2019-03-17T19:42:05"/>
    <x v="1"/>
    <n v="48"/>
    <n v="115"/>
    <n v="1596.271510255237"/>
  </r>
  <r>
    <n v="802150"/>
    <x v="0"/>
    <s v="Delhi"/>
    <x v="2"/>
    <s v=" DL"/>
    <x v="0"/>
    <x v="0"/>
    <x v="0"/>
    <x v="0"/>
    <d v="2019-03-10T20:34:45"/>
    <d v="2019-03-10T20:34:45"/>
    <d v="2019-03-14T20:34:45"/>
    <x v="10"/>
    <n v="0"/>
    <n v="106"/>
    <n v="756"/>
  </r>
  <r>
    <n v="588122"/>
    <x v="0"/>
    <s v="Delhi"/>
    <x v="1"/>
    <s v=" TN"/>
    <x v="2"/>
    <x v="0"/>
    <x v="0"/>
    <x v="0"/>
    <d v="2019-03-10T22:24:41"/>
    <d v="2019-03-14T22:24:41"/>
    <d v="2019-03-17T22:24:41"/>
    <x v="6"/>
    <n v="36"/>
    <n v="123"/>
    <n v="1692.4021185246686"/>
  </r>
  <r>
    <n v="755767"/>
    <x v="0"/>
    <s v="Delhi"/>
    <x v="0"/>
    <s v=" MH"/>
    <x v="0"/>
    <x v="0"/>
    <x v="1"/>
    <x v="0"/>
    <d v="2019-03-10T22:37:33"/>
    <d v="2019-03-12T22:37:33"/>
    <d v="2019-03-15T22:37:33"/>
    <x v="0"/>
    <n v="67"/>
    <n v="91"/>
    <n v="643.44769220151579"/>
  </r>
  <r>
    <n v="433466"/>
    <x v="0"/>
    <s v="Delhi"/>
    <x v="4"/>
    <s v=" WB"/>
    <x v="2"/>
    <x v="0"/>
    <x v="0"/>
    <x v="0"/>
    <d v="2019-03-10T23:25:42"/>
    <d v="2019-03-12T23:25:42"/>
    <d v="2019-03-15T23:25:42"/>
    <x v="0"/>
    <n v="29"/>
    <n v="115"/>
    <n v="1010.6591732380184"/>
  </r>
  <r>
    <n v="111931"/>
    <x v="0"/>
    <s v="Delhi"/>
    <x v="1"/>
    <s v=" TN"/>
    <x v="1"/>
    <x v="0"/>
    <x v="1"/>
    <x v="0"/>
    <d v="2019-03-11T00:45:43"/>
    <d v="2019-03-14T00:45:43"/>
    <d v="2019-03-17T00:45:43"/>
    <x v="4"/>
    <n v="27"/>
    <n v="126"/>
    <n v="2615"/>
  </r>
  <r>
    <n v="634331"/>
    <x v="0"/>
    <s v="Bangalore"/>
    <x v="1"/>
    <s v=" TN"/>
    <x v="1"/>
    <x v="0"/>
    <x v="1"/>
    <x v="0"/>
    <d v="2019-03-11T01:18:05"/>
    <d v="2019-03-13T01:18:05"/>
    <d v="2019-03-14T01:18:05"/>
    <x v="0"/>
    <n v="27"/>
    <n v="123"/>
    <n v="3650.5491779713234"/>
  </r>
  <r>
    <n v="597746"/>
    <x v="0"/>
    <s v="Bangalore"/>
    <x v="0"/>
    <s v=" MH"/>
    <x v="2"/>
    <x v="0"/>
    <x v="0"/>
    <x v="0"/>
    <d v="2019-03-11T02:11:09"/>
    <d v="2019-03-18T02:11:09"/>
    <d v="2019-03-18T02:11:09"/>
    <x v="8"/>
    <n v="40"/>
    <n v="114"/>
    <n v="637.05335995950406"/>
  </r>
  <r>
    <n v="914027"/>
    <x v="0"/>
    <s v="Bangalore"/>
    <x v="3"/>
    <s v=" KA"/>
    <x v="1"/>
    <x v="0"/>
    <x v="1"/>
    <x v="0"/>
    <d v="2019-03-11T02:36:00"/>
    <d v="2019-03-12T02:36:00"/>
    <d v="2019-03-17T02:36:00"/>
    <x v="2"/>
    <n v="0"/>
    <n v="122"/>
    <n v="1362.3773836364237"/>
  </r>
  <r>
    <n v="624313"/>
    <x v="0"/>
    <s v="Bangalore"/>
    <x v="4"/>
    <s v=" WB"/>
    <x v="1"/>
    <x v="0"/>
    <x v="1"/>
    <x v="0"/>
    <d v="2019-03-11T02:36:07"/>
    <d v="2019-03-18T02:36:07"/>
    <d v="2019-03-17T02:36:07"/>
    <x v="8"/>
    <n v="30"/>
    <n v="115"/>
    <n v="792"/>
  </r>
  <r>
    <n v="841545"/>
    <x v="0"/>
    <s v="Delhi"/>
    <x v="1"/>
    <s v=" TN"/>
    <x v="0"/>
    <x v="0"/>
    <x v="1"/>
    <x v="1"/>
    <d v="2019-03-11T03:01:38"/>
    <d v="2019-03-22T03:01:38"/>
    <d v="2019-03-15T03:01:38"/>
    <x v="11"/>
    <n v="75"/>
    <n v="102"/>
    <n v="3551"/>
  </r>
  <r>
    <n v="645591"/>
    <x v="0"/>
    <s v="Bangalore"/>
    <x v="3"/>
    <s v=" KA"/>
    <x v="1"/>
    <x v="0"/>
    <x v="1"/>
    <x v="1"/>
    <d v="2019-03-11T03:11:34"/>
    <d v="2019-03-14T03:11:34"/>
    <d v="2019-03-17T03:11:34"/>
    <x v="4"/>
    <n v="0"/>
    <n v="125"/>
    <n v="2877.570676181464"/>
  </r>
  <r>
    <n v="837263"/>
    <x v="0"/>
    <s v="Delhi"/>
    <x v="0"/>
    <s v=" MH"/>
    <x v="1"/>
    <x v="0"/>
    <x v="2"/>
    <x v="0"/>
    <d v="2019-03-11T03:25:14"/>
    <d v="2019-03-18T03:25:14"/>
    <d v="2019-03-16T03:25:14"/>
    <x v="8"/>
    <n v="29"/>
    <n v="111"/>
    <n v="1000"/>
  </r>
  <r>
    <n v="519100"/>
    <x v="0"/>
    <s v="Bangalore"/>
    <x v="2"/>
    <s v=" DL"/>
    <x v="0"/>
    <x v="0"/>
    <x v="0"/>
    <x v="0"/>
    <d v="2019-03-11T03:59:17"/>
    <d v="2019-03-14T03:59:17"/>
    <d v="2019-03-17T03:59:17"/>
    <x v="4"/>
    <n v="32"/>
    <n v="122"/>
    <n v="501.72276351724673"/>
  </r>
  <r>
    <n v="742532"/>
    <x v="0"/>
    <s v="Delhi"/>
    <x v="1"/>
    <s v=" TN"/>
    <x v="0"/>
    <x v="0"/>
    <x v="0"/>
    <x v="0"/>
    <d v="2019-03-11T04:08:30"/>
    <d v="2019-03-21T04:08:30"/>
    <d v="2019-03-16T04:08:30"/>
    <x v="7"/>
    <n v="35"/>
    <n v="124"/>
    <n v="342.37520122728932"/>
  </r>
  <r>
    <n v="392839"/>
    <x v="0"/>
    <s v="Bangalore"/>
    <x v="0"/>
    <s v=" MH"/>
    <x v="0"/>
    <x v="0"/>
    <x v="1"/>
    <x v="0"/>
    <d v="2019-03-11T04:50:00"/>
    <d v="2019-03-17T04:50:00"/>
    <d v="2019-03-18T04:50:00"/>
    <x v="3"/>
    <n v="62"/>
    <n v="85"/>
    <n v="3563.2934383887455"/>
  </r>
  <r>
    <n v="413718"/>
    <x v="0"/>
    <s v="Delhi"/>
    <x v="2"/>
    <s v=" DL"/>
    <x v="0"/>
    <x v="0"/>
    <x v="0"/>
    <x v="1"/>
    <d v="2019-03-11T05:58:31"/>
    <d v="2019-03-15T05:58:31"/>
    <d v="2019-03-17T05:58:31"/>
    <x v="6"/>
    <n v="0"/>
    <n v="103"/>
    <n v="1238.5195461500114"/>
  </r>
  <r>
    <n v="139529"/>
    <x v="0"/>
    <s v="Bangalore"/>
    <x v="0"/>
    <s v=" MH"/>
    <x v="1"/>
    <x v="0"/>
    <x v="1"/>
    <x v="0"/>
    <d v="2019-03-11T05:58:31"/>
    <d v="2019-03-18T05:58:31"/>
    <d v="2019-03-15T05:58:31"/>
    <x v="8"/>
    <n v="39"/>
    <n v="109"/>
    <n v="2974"/>
  </r>
  <r>
    <n v="796478"/>
    <x v="0"/>
    <s v="Delhi"/>
    <x v="1"/>
    <s v=" TN"/>
    <x v="2"/>
    <x v="0"/>
    <x v="0"/>
    <x v="0"/>
    <d v="2019-03-11T06:51:57"/>
    <d v="2019-03-15T06:51:57"/>
    <d v="2019-03-18T06:51:57"/>
    <x v="6"/>
    <n v="37"/>
    <n v="129"/>
    <n v="2845"/>
  </r>
  <r>
    <n v="942514"/>
    <x v="0"/>
    <s v="Bangalore"/>
    <x v="1"/>
    <s v=" TN"/>
    <x v="2"/>
    <x v="0"/>
    <x v="0"/>
    <x v="0"/>
    <d v="2019-03-11T07:20:53"/>
    <d v="2019-03-16T07:20:53"/>
    <d v="2019-03-17T07:20:53"/>
    <x v="9"/>
    <n v="25"/>
    <n v="124"/>
    <n v="3545"/>
  </r>
  <r>
    <n v="667736"/>
    <x v="0"/>
    <s v="Delhi"/>
    <x v="0"/>
    <s v=" MH"/>
    <x v="0"/>
    <x v="0"/>
    <x v="0"/>
    <x v="0"/>
    <d v="2019-03-11T07:23:30"/>
    <d v="2019-03-13T07:23:30"/>
    <d v="2019-03-17T07:23:30"/>
    <x v="0"/>
    <n v="42"/>
    <n v="110"/>
    <n v="1187.6131629124347"/>
  </r>
  <r>
    <n v="303157"/>
    <x v="0"/>
    <s v="Bangalore"/>
    <x v="3"/>
    <s v=" KA"/>
    <x v="1"/>
    <x v="0"/>
    <x v="1"/>
    <x v="0"/>
    <d v="2019-03-11T07:45:53"/>
    <d v="2019-03-11T07:45:53"/>
    <d v="2019-03-18T07:45:53"/>
    <x v="10"/>
    <n v="0"/>
    <n v="127"/>
    <n v="1553"/>
  </r>
  <r>
    <n v="268045"/>
    <x v="0"/>
    <s v="Bangalore"/>
    <x v="3"/>
    <s v=" KA"/>
    <x v="1"/>
    <x v="0"/>
    <x v="1"/>
    <x v="0"/>
    <d v="2019-03-11T08:34:39"/>
    <d v="2019-03-17T08:34:39"/>
    <d v="2019-03-14T08:34:39"/>
    <x v="3"/>
    <n v="0"/>
    <n v="130"/>
    <n v="1015"/>
  </r>
  <r>
    <n v="33972"/>
    <x v="0"/>
    <s v="Delhi"/>
    <x v="2"/>
    <s v=" DL"/>
    <x v="0"/>
    <x v="0"/>
    <x v="0"/>
    <x v="1"/>
    <d v="2019-03-11T11:34:25"/>
    <d v="2019-03-15T11:34:25"/>
    <d v="2019-03-15T11:34:25"/>
    <x v="6"/>
    <n v="0"/>
    <n v="129"/>
    <n v="1605.2265241518626"/>
  </r>
  <r>
    <n v="817339"/>
    <x v="0"/>
    <s v="Delhi"/>
    <x v="2"/>
    <s v=" DL"/>
    <x v="1"/>
    <x v="0"/>
    <x v="1"/>
    <x v="0"/>
    <d v="2019-03-11T12:42:57"/>
    <d v="2019-03-14T12:42:57"/>
    <d v="2019-03-18T12:42:57"/>
    <x v="4"/>
    <n v="0"/>
    <n v="126"/>
    <n v="841.09115395149729"/>
  </r>
  <r>
    <n v="375091"/>
    <x v="0"/>
    <s v="Delhi"/>
    <x v="0"/>
    <s v=" MH"/>
    <x v="1"/>
    <x v="0"/>
    <x v="1"/>
    <x v="0"/>
    <d v="2019-03-11T13:39:53"/>
    <d v="2019-03-14T13:39:53"/>
    <d v="2019-03-16T13:39:53"/>
    <x v="4"/>
    <n v="30"/>
    <n v="110"/>
    <n v="2506.5718797868094"/>
  </r>
  <r>
    <n v="294190"/>
    <x v="0"/>
    <s v="Bangalore"/>
    <x v="3"/>
    <s v=" KA"/>
    <x v="2"/>
    <x v="0"/>
    <x v="0"/>
    <x v="0"/>
    <d v="2019-03-11T14:38:39"/>
    <d v="2019-03-13T14:38:39"/>
    <d v="2019-03-17T14:38:39"/>
    <x v="0"/>
    <n v="0"/>
    <n v="121"/>
    <n v="1574.637798089756"/>
  </r>
  <r>
    <n v="124254"/>
    <x v="0"/>
    <s v="Bangalore"/>
    <x v="0"/>
    <s v=" MH"/>
    <x v="2"/>
    <x v="0"/>
    <x v="0"/>
    <x v="1"/>
    <d v="2019-03-11T15:20:38"/>
    <d v="2019-03-15T15:20:38"/>
    <d v="2019-03-18T15:20:38"/>
    <x v="6"/>
    <n v="25"/>
    <n v="111"/>
    <n v="877.52745861803839"/>
  </r>
  <r>
    <n v="862415"/>
    <x v="0"/>
    <s v="Delhi"/>
    <x v="4"/>
    <s v=" WB"/>
    <x v="1"/>
    <x v="0"/>
    <x v="1"/>
    <x v="0"/>
    <d v="2019-03-11T16:15:02"/>
    <d v="2019-03-16T16:15:02"/>
    <d v="2019-03-15T16:15:02"/>
    <x v="9"/>
    <n v="28"/>
    <n v="106"/>
    <n v="2992.0182263499851"/>
  </r>
  <r>
    <n v="277417"/>
    <x v="0"/>
    <s v="Bangalore"/>
    <x v="2"/>
    <s v=" DL"/>
    <x v="1"/>
    <x v="0"/>
    <x v="2"/>
    <x v="0"/>
    <d v="2019-03-11T16:16:42"/>
    <d v="2019-03-19T16:16:42"/>
    <d v="2019-03-17T16:16:42"/>
    <x v="5"/>
    <n v="41"/>
    <n v="127"/>
    <n v="615.42042232827271"/>
  </r>
  <r>
    <n v="830552"/>
    <x v="0"/>
    <s v="Bangalore"/>
    <x v="3"/>
    <s v=" KA"/>
    <x v="0"/>
    <x v="0"/>
    <x v="0"/>
    <x v="0"/>
    <d v="2019-03-11T16:27:18"/>
    <d v="2019-03-13T16:27:18"/>
    <d v="2019-03-18T16:27:18"/>
    <x v="0"/>
    <n v="0"/>
    <n v="124"/>
    <n v="3166.4648137813442"/>
  </r>
  <r>
    <n v="931355"/>
    <x v="0"/>
    <s v="Delhi"/>
    <x v="1"/>
    <s v=" TN"/>
    <x v="1"/>
    <x v="0"/>
    <x v="1"/>
    <x v="0"/>
    <d v="2019-03-11T16:33:57"/>
    <d v="2019-03-18T16:33:57"/>
    <d v="2019-03-16T16:33:57"/>
    <x v="8"/>
    <n v="48"/>
    <n v="127"/>
    <n v="3359"/>
  </r>
  <r>
    <n v="120971"/>
    <x v="0"/>
    <s v="Delhi"/>
    <x v="1"/>
    <s v=" TN"/>
    <x v="0"/>
    <x v="0"/>
    <x v="1"/>
    <x v="0"/>
    <d v="2019-03-11T21:11:00"/>
    <d v="2019-03-21T21:11:00"/>
    <d v="2019-03-15T21:11:00"/>
    <x v="7"/>
    <n v="68"/>
    <n v="108"/>
    <n v="1533.6678226883355"/>
  </r>
  <r>
    <n v="354472"/>
    <x v="0"/>
    <s v="Bangalore"/>
    <x v="1"/>
    <s v=" TN"/>
    <x v="0"/>
    <x v="0"/>
    <x v="0"/>
    <x v="0"/>
    <d v="2019-03-11T21:42:39"/>
    <d v="2019-03-17T21:42:39"/>
    <d v="2019-03-15T21:42:39"/>
    <x v="3"/>
    <n v="85"/>
    <n v="105"/>
    <n v="3366"/>
  </r>
  <r>
    <n v="617527"/>
    <x v="0"/>
    <s v="Delhi"/>
    <x v="0"/>
    <s v=" MH"/>
    <x v="1"/>
    <x v="0"/>
    <x v="1"/>
    <x v="0"/>
    <d v="2019-03-11T23:30:08"/>
    <d v="2019-03-20T23:30:08"/>
    <d v="2019-03-18T23:30:08"/>
    <x v="1"/>
    <n v="39"/>
    <n v="105"/>
    <n v="2695"/>
  </r>
  <r>
    <n v="588089"/>
    <x v="0"/>
    <s v="Bangalore"/>
    <x v="3"/>
    <s v=" KA"/>
    <x v="1"/>
    <x v="0"/>
    <x v="1"/>
    <x v="0"/>
    <d v="2019-03-12T00:43:55"/>
    <d v="2019-03-12T00:43:55"/>
    <d v="2019-03-16T00:43:55"/>
    <x v="10"/>
    <n v="0"/>
    <n v="127"/>
    <n v="1155.891298114537"/>
  </r>
  <r>
    <n v="996336"/>
    <x v="0"/>
    <s v="Delhi"/>
    <x v="2"/>
    <s v=" DL"/>
    <x v="0"/>
    <x v="0"/>
    <x v="0"/>
    <x v="1"/>
    <d v="2019-03-12T01:07:39"/>
    <d v="2019-03-14T01:07:39"/>
    <d v="2019-03-17T01:07:39"/>
    <x v="0"/>
    <n v="0"/>
    <n v="124"/>
    <n v="2622.086007277539"/>
  </r>
  <r>
    <n v="613687"/>
    <x v="0"/>
    <s v="Delhi"/>
    <x v="4"/>
    <s v=" WB"/>
    <x v="1"/>
    <x v="0"/>
    <x v="1"/>
    <x v="0"/>
    <d v="2019-03-12T01:15:10"/>
    <d v="2019-03-14T01:15:10"/>
    <d v="2019-03-15T01:15:10"/>
    <x v="0"/>
    <n v="33"/>
    <n v="111"/>
    <n v="3415"/>
  </r>
  <r>
    <n v="990749"/>
    <x v="0"/>
    <s v="Delhi"/>
    <x v="0"/>
    <s v=" MH"/>
    <x v="1"/>
    <x v="0"/>
    <x v="1"/>
    <x v="0"/>
    <d v="2019-03-12T02:48:21"/>
    <d v="2019-03-21T02:48:21"/>
    <d v="2019-03-19T02:48:21"/>
    <x v="1"/>
    <n v="49"/>
    <n v="106"/>
    <n v="3397.7003072661446"/>
  </r>
  <r>
    <n v="531007"/>
    <x v="0"/>
    <s v="Delhi"/>
    <x v="0"/>
    <s v=" MH"/>
    <x v="1"/>
    <x v="0"/>
    <x v="1"/>
    <x v="0"/>
    <d v="2019-03-12T03:21:05"/>
    <d v="2019-03-21T03:21:05"/>
    <d v="2019-03-18T03:21:05"/>
    <x v="1"/>
    <n v="25"/>
    <n v="108"/>
    <n v="3473"/>
  </r>
  <r>
    <n v="307020"/>
    <x v="0"/>
    <s v="Delhi"/>
    <x v="3"/>
    <s v=" KA"/>
    <x v="0"/>
    <x v="0"/>
    <x v="0"/>
    <x v="1"/>
    <d v="2019-03-12T09:14:21"/>
    <d v="2019-03-14T09:14:21"/>
    <d v="2019-03-16T09:14:21"/>
    <x v="0"/>
    <n v="9999"/>
    <n v="102"/>
    <n v="2659"/>
  </r>
  <r>
    <n v="807996"/>
    <x v="0"/>
    <s v="Delhi"/>
    <x v="3"/>
    <s v=" KA"/>
    <x v="0"/>
    <x v="0"/>
    <x v="0"/>
    <x v="1"/>
    <d v="2019-03-12T10:43:20"/>
    <d v="2019-03-14T10:43:20"/>
    <d v="2019-03-17T10:43:20"/>
    <x v="0"/>
    <n v="63"/>
    <n v="102"/>
    <n v="1822.3768644795"/>
  </r>
  <r>
    <n v="741320"/>
    <x v="0"/>
    <s v="Bangalore"/>
    <x v="3"/>
    <s v=" KA"/>
    <x v="0"/>
    <x v="0"/>
    <x v="0"/>
    <x v="0"/>
    <d v="2019-03-12T13:12:37"/>
    <d v="2019-03-16T13:12:37"/>
    <d v="2019-03-16T13:12:37"/>
    <x v="6"/>
    <n v="0"/>
    <n v="126"/>
    <n v="3327"/>
  </r>
  <r>
    <n v="790878"/>
    <x v="0"/>
    <s v="Bangalore"/>
    <x v="0"/>
    <s v=" MH"/>
    <x v="2"/>
    <x v="0"/>
    <x v="0"/>
    <x v="1"/>
    <d v="2019-03-12T14:01:02"/>
    <d v="2019-03-20T14:01:02"/>
    <d v="2019-03-19T14:01:02"/>
    <x v="5"/>
    <n v="46"/>
    <n v="106"/>
    <n v="1060.9570758141151"/>
  </r>
  <r>
    <n v="815619"/>
    <x v="0"/>
    <s v="Delhi"/>
    <x v="3"/>
    <s v=" KA"/>
    <x v="0"/>
    <x v="0"/>
    <x v="2"/>
    <x v="1"/>
    <d v="2019-03-12T15:04:56"/>
    <d v="2019-03-16T15:04:56"/>
    <d v="2019-03-16T15:04:56"/>
    <x v="6"/>
    <n v="83"/>
    <n v="102"/>
    <n v="3741.4506478236722"/>
  </r>
  <r>
    <n v="246979"/>
    <x v="0"/>
    <s v="Delhi"/>
    <x v="4"/>
    <s v=" WB"/>
    <x v="1"/>
    <x v="0"/>
    <x v="1"/>
    <x v="0"/>
    <d v="2019-03-12T15:36:59"/>
    <d v="2019-03-19T15:36:59"/>
    <d v="2019-03-18T15:36:59"/>
    <x v="8"/>
    <n v="43"/>
    <n v="111"/>
    <n v="3437.4169841267531"/>
  </r>
  <r>
    <n v="727728"/>
    <x v="0"/>
    <s v="Delhi"/>
    <x v="2"/>
    <s v=" DL"/>
    <x v="0"/>
    <x v="0"/>
    <x v="0"/>
    <x v="1"/>
    <d v="2019-03-12T15:56:14"/>
    <d v="2019-03-17T15:56:14"/>
    <d v="2019-03-18T15:56:14"/>
    <x v="9"/>
    <n v="0"/>
    <n v="128"/>
    <n v="836"/>
  </r>
  <r>
    <n v="773390"/>
    <x v="0"/>
    <s v="Bangalore"/>
    <x v="2"/>
    <s v=" DL"/>
    <x v="2"/>
    <x v="0"/>
    <x v="0"/>
    <x v="0"/>
    <d v="2019-03-12T18:11:03"/>
    <d v="2019-03-18T18:11:03"/>
    <d v="2019-03-18T18:11:03"/>
    <x v="3"/>
    <n v="45"/>
    <n v="121"/>
    <n v="2313"/>
  </r>
  <r>
    <n v="194874"/>
    <x v="0"/>
    <s v="Delhi"/>
    <x v="2"/>
    <s v=" DL"/>
    <x v="2"/>
    <x v="0"/>
    <x v="0"/>
    <x v="1"/>
    <d v="2019-03-12T19:28:08"/>
    <d v="2019-03-18T19:28:08"/>
    <d v="2019-03-18T19:28:08"/>
    <x v="3"/>
    <n v="0"/>
    <n v="123"/>
    <n v="642.49823544831258"/>
  </r>
  <r>
    <n v="387455"/>
    <x v="0"/>
    <s v="Bangalore"/>
    <x v="2"/>
    <s v=" DL"/>
    <x v="1"/>
    <x v="0"/>
    <x v="1"/>
    <x v="0"/>
    <d v="2019-03-12T19:37:23"/>
    <d v="2019-03-20T19:37:23"/>
    <d v="2019-03-18T19:37:23"/>
    <x v="5"/>
    <n v="39"/>
    <n v="128"/>
    <n v="1517"/>
  </r>
  <r>
    <n v="931584"/>
    <x v="0"/>
    <s v="Bangalore"/>
    <x v="1"/>
    <s v=" TN"/>
    <x v="0"/>
    <x v="0"/>
    <x v="0"/>
    <x v="1"/>
    <d v="2019-03-12T21:25:01"/>
    <d v="2019-03-18T21:25:01"/>
    <d v="2019-03-18T21:25:01"/>
    <x v="3"/>
    <n v="42"/>
    <n v="123"/>
    <n v="1816.5736780373288"/>
  </r>
  <r>
    <n v="960004"/>
    <x v="0"/>
    <s v="Delhi"/>
    <x v="0"/>
    <s v=" MH"/>
    <x v="0"/>
    <x v="0"/>
    <x v="0"/>
    <x v="0"/>
    <d v="2019-03-12T22:10:31"/>
    <d v="2019-03-14T22:10:31"/>
    <d v="2019-03-16T22:10:31"/>
    <x v="0"/>
    <n v="70"/>
    <n v="87"/>
    <n v="2558.9373140847247"/>
  </r>
  <r>
    <n v="791298"/>
    <x v="0"/>
    <s v="Delhi"/>
    <x v="4"/>
    <s v=" WB"/>
    <x v="2"/>
    <x v="0"/>
    <x v="0"/>
    <x v="1"/>
    <d v="2019-03-12T22:29:58"/>
    <d v="2019-03-18T22:29:58"/>
    <d v="2019-03-19T22:29:58"/>
    <x v="3"/>
    <n v="34"/>
    <n v="111"/>
    <n v="587"/>
  </r>
  <r>
    <n v="110907"/>
    <x v="0"/>
    <s v="Delhi"/>
    <x v="3"/>
    <s v=" KA"/>
    <x v="1"/>
    <x v="0"/>
    <x v="1"/>
    <x v="1"/>
    <d v="2019-03-12T22:48:44"/>
    <d v="2019-03-16T22:48:44"/>
    <d v="2019-03-17T22:48:44"/>
    <x v="6"/>
    <n v="33"/>
    <n v="126"/>
    <n v="2209.7472979424197"/>
  </r>
  <r>
    <n v="438923"/>
    <x v="0"/>
    <s v="Delhi"/>
    <x v="2"/>
    <s v=" DL"/>
    <x v="1"/>
    <x v="0"/>
    <x v="1"/>
    <x v="0"/>
    <d v="2019-03-13T00:35:28"/>
    <d v="2019-03-18T00:35:28"/>
    <d v="2019-03-18T00:35:28"/>
    <x v="9"/>
    <n v="0"/>
    <n v="124"/>
    <n v="778"/>
  </r>
  <r>
    <n v="699029"/>
    <x v="0"/>
    <s v="Bangalore"/>
    <x v="1"/>
    <s v=" TN"/>
    <x v="1"/>
    <x v="0"/>
    <x v="1"/>
    <x v="0"/>
    <d v="2019-03-13T01:02:58"/>
    <d v="2019-03-16T01:02:58"/>
    <d v="2019-03-20T01:02:58"/>
    <x v="4"/>
    <n v="30"/>
    <n v="129"/>
    <n v="3290.0037238270588"/>
  </r>
  <r>
    <n v="375002"/>
    <x v="0"/>
    <s v="Bangalore"/>
    <x v="1"/>
    <s v=" TN"/>
    <x v="2"/>
    <x v="0"/>
    <x v="0"/>
    <x v="0"/>
    <d v="2019-03-13T04:48:04"/>
    <d v="2019-03-16T04:48:04"/>
    <d v="2019-03-20T04:48:04"/>
    <x v="4"/>
    <n v="40"/>
    <n v="128"/>
    <n v="2132.0796909668206"/>
  </r>
  <r>
    <n v="550959"/>
    <x v="0"/>
    <s v="Bangalore"/>
    <x v="3"/>
    <s v=" KA"/>
    <x v="1"/>
    <x v="0"/>
    <x v="1"/>
    <x v="1"/>
    <d v="2019-03-13T07:29:12"/>
    <d v="2019-03-13T07:29:12"/>
    <d v="2019-03-16T07:29:12"/>
    <x v="10"/>
    <n v="0"/>
    <n v="123"/>
    <n v="3711.6134250993473"/>
  </r>
  <r>
    <n v="535000"/>
    <x v="0"/>
    <s v="Bangalore"/>
    <x v="0"/>
    <s v=" MH"/>
    <x v="0"/>
    <x v="0"/>
    <x v="0"/>
    <x v="0"/>
    <d v="2019-03-13T08:37:18"/>
    <d v="2019-03-18T08:37:18"/>
    <d v="2019-03-17T08:37:18"/>
    <x v="9"/>
    <n v="76"/>
    <n v="94"/>
    <n v="1690.666873586578"/>
  </r>
  <r>
    <n v="867525"/>
    <x v="0"/>
    <s v="Bangalore"/>
    <x v="1"/>
    <s v=" TN"/>
    <x v="1"/>
    <x v="0"/>
    <x v="1"/>
    <x v="1"/>
    <d v="2019-03-13T09:08:33"/>
    <d v="2019-03-15T09:08:33"/>
    <d v="2019-03-20T09:08:33"/>
    <x v="0"/>
    <n v="32"/>
    <n v="127"/>
    <n v="1780.4342461579381"/>
  </r>
  <r>
    <n v="435432"/>
    <x v="0"/>
    <s v="Delhi"/>
    <x v="1"/>
    <s v=" TN"/>
    <x v="0"/>
    <x v="0"/>
    <x v="0"/>
    <x v="1"/>
    <d v="2019-03-13T10:56:53"/>
    <d v="2019-03-24T10:56:53"/>
    <d v="2019-03-16T10:56:53"/>
    <x v="11"/>
    <n v="28"/>
    <n v="130"/>
    <n v="3039"/>
  </r>
  <r>
    <n v="600999"/>
    <x v="0"/>
    <s v="Delhi"/>
    <x v="3"/>
    <s v=" KA"/>
    <x v="0"/>
    <x v="0"/>
    <x v="2"/>
    <x v="1"/>
    <d v="2019-03-13T11:33:45"/>
    <d v="2019-03-15T11:33:45"/>
    <d v="2019-03-17T11:33:45"/>
    <x v="0"/>
    <n v="69"/>
    <n v="106"/>
    <n v="1713.0969426905772"/>
  </r>
  <r>
    <n v="138124"/>
    <x v="0"/>
    <s v="Delhi"/>
    <x v="2"/>
    <s v=" DL"/>
    <x v="0"/>
    <x v="0"/>
    <x v="0"/>
    <x v="0"/>
    <d v="2019-03-13T11:53:02"/>
    <d v="2019-03-18T11:53:02"/>
    <d v="2019-03-18T11:53:02"/>
    <x v="9"/>
    <n v="0"/>
    <n v="123"/>
    <n v="857.86436555824127"/>
  </r>
  <r>
    <n v="435119"/>
    <x v="0"/>
    <s v="Bangalore"/>
    <x v="0"/>
    <s v=" MH"/>
    <x v="1"/>
    <x v="0"/>
    <x v="1"/>
    <x v="0"/>
    <d v="2019-03-13T11:59:58"/>
    <d v="2019-03-16T11:59:58"/>
    <d v="2019-03-20T11:59:58"/>
    <x v="4"/>
    <n v="25"/>
    <n v="108"/>
    <n v="3743.0003559015663"/>
  </r>
  <r>
    <n v="86944"/>
    <x v="0"/>
    <s v="Bangalore"/>
    <x v="1"/>
    <s v=" TN"/>
    <x v="0"/>
    <x v="0"/>
    <x v="0"/>
    <x v="0"/>
    <d v="2019-03-13T13:01:38"/>
    <d v="2019-03-18T13:01:38"/>
    <d v="2019-03-19T13:01:38"/>
    <x v="9"/>
    <n v="50"/>
    <n v="122"/>
    <n v="1241"/>
  </r>
  <r>
    <n v="752663"/>
    <x v="0"/>
    <s v="Bangalore"/>
    <x v="0"/>
    <s v=" MH"/>
    <x v="1"/>
    <x v="0"/>
    <x v="1"/>
    <x v="0"/>
    <d v="2019-03-13T13:57:30"/>
    <d v="2019-03-19T13:57:30"/>
    <d v="2019-03-17T13:57:30"/>
    <x v="3"/>
    <n v="27"/>
    <n v="107"/>
    <n v="392.88403772681369"/>
  </r>
  <r>
    <n v="710293"/>
    <x v="0"/>
    <s v="Delhi"/>
    <x v="4"/>
    <s v=" WB"/>
    <x v="1"/>
    <x v="0"/>
    <x v="1"/>
    <x v="0"/>
    <d v="2019-03-13T19:59:50"/>
    <d v="2019-03-18T19:59:50"/>
    <d v="2019-03-19T19:59:50"/>
    <x v="9"/>
    <n v="40"/>
    <n v="105"/>
    <n v="1041"/>
  </r>
  <r>
    <n v="963946"/>
    <x v="0"/>
    <s v="Bangalore"/>
    <x v="1"/>
    <s v=" TN"/>
    <x v="2"/>
    <x v="0"/>
    <x v="0"/>
    <x v="0"/>
    <d v="2019-03-13T20:14:16"/>
    <d v="2019-03-19T20:14:16"/>
    <d v="2019-03-19T20:14:16"/>
    <x v="3"/>
    <n v="46"/>
    <n v="129"/>
    <n v="594.94854404805255"/>
  </r>
  <r>
    <n v="180446"/>
    <x v="0"/>
    <s v="Bangalore"/>
    <x v="0"/>
    <s v=" MH"/>
    <x v="2"/>
    <x v="0"/>
    <x v="0"/>
    <x v="0"/>
    <d v="2019-03-13T20:37:37"/>
    <d v="2019-03-21T20:37:37"/>
    <d v="2019-03-20T20:37:37"/>
    <x v="5"/>
    <n v="30"/>
    <n v="114"/>
    <n v="2696.8432511015758"/>
  </r>
  <r>
    <n v="271215"/>
    <x v="0"/>
    <s v="Bangalore"/>
    <x v="2"/>
    <s v=" DL"/>
    <x v="1"/>
    <x v="0"/>
    <x v="2"/>
    <x v="1"/>
    <d v="2019-03-13T21:16:17"/>
    <d v="2019-03-18T21:16:17"/>
    <d v="2019-03-17T21:16:17"/>
    <x v="9"/>
    <n v="34"/>
    <n v="121"/>
    <n v="1841.8359677682015"/>
  </r>
  <r>
    <n v="630382"/>
    <x v="0"/>
    <s v="Delhi"/>
    <x v="3"/>
    <s v=" KA"/>
    <x v="2"/>
    <x v="0"/>
    <x v="0"/>
    <x v="0"/>
    <d v="2019-03-13T21:35:24"/>
    <d v="2019-03-19T21:35:24"/>
    <d v="2019-03-17T21:35:24"/>
    <x v="3"/>
    <n v="35"/>
    <n v="129"/>
    <n v="1513.2646671920045"/>
  </r>
  <r>
    <n v="701298"/>
    <x v="0"/>
    <s v="Delhi"/>
    <x v="2"/>
    <s v=" DL"/>
    <x v="2"/>
    <x v="0"/>
    <x v="0"/>
    <x v="1"/>
    <d v="2019-03-13T22:31:35"/>
    <d v="2019-03-17T22:31:35"/>
    <d v="2019-03-19T22:31:35"/>
    <x v="6"/>
    <n v="0"/>
    <n v="126"/>
    <n v="1468.4982797058287"/>
  </r>
  <r>
    <n v="73108"/>
    <x v="0"/>
    <s v="Delhi"/>
    <x v="2"/>
    <s v=" DL"/>
    <x v="0"/>
    <x v="0"/>
    <x v="0"/>
    <x v="0"/>
    <d v="2019-03-13T22:49:59"/>
    <d v="2019-03-18T22:49:59"/>
    <d v="2019-03-20T22:49:59"/>
    <x v="9"/>
    <n v="0"/>
    <n v="124"/>
    <n v="3347.640850562389"/>
  </r>
  <r>
    <n v="78846"/>
    <x v="0"/>
    <s v="Bangalore"/>
    <x v="4"/>
    <s v=" WB"/>
    <x v="2"/>
    <x v="0"/>
    <x v="0"/>
    <x v="1"/>
    <d v="2019-03-13T23:22:58"/>
    <d v="2019-03-16T23:22:58"/>
    <d v="2019-03-20T23:22:58"/>
    <x v="4"/>
    <n v="29"/>
    <n v="114"/>
    <n v="3501"/>
  </r>
  <r>
    <n v="949378"/>
    <x v="0"/>
    <s v="Delhi"/>
    <x v="4"/>
    <s v=" WB"/>
    <x v="2"/>
    <x v="0"/>
    <x v="0"/>
    <x v="0"/>
    <d v="2019-03-13T23:42:23"/>
    <d v="2019-03-17T23:42:23"/>
    <d v="2019-03-17T23:42:23"/>
    <x v="6"/>
    <n v="31"/>
    <n v="110"/>
    <n v="772.65871677287987"/>
  </r>
  <r>
    <n v="548910"/>
    <x v="0"/>
    <s v="Delhi"/>
    <x v="2"/>
    <s v=" DL"/>
    <x v="2"/>
    <x v="0"/>
    <x v="0"/>
    <x v="1"/>
    <d v="2019-03-14T00:40:31"/>
    <d v="2019-03-20T00:40:31"/>
    <d v="2019-03-18T00:40:31"/>
    <x v="3"/>
    <n v="0"/>
    <n v="121"/>
    <n v="2846"/>
  </r>
  <r>
    <n v="678977"/>
    <x v="0"/>
    <s v="Delhi"/>
    <x v="1"/>
    <s v=" TN"/>
    <x v="0"/>
    <x v="0"/>
    <x v="1"/>
    <x v="0"/>
    <d v="2019-03-14T02:23:20"/>
    <d v="2019-03-19T02:23:20"/>
    <d v="2019-03-18T02:23:20"/>
    <x v="9"/>
    <n v="80"/>
    <n v="100"/>
    <n v="769.35388508581491"/>
  </r>
  <r>
    <n v="292668"/>
    <x v="0"/>
    <s v="Bangalore"/>
    <x v="1"/>
    <s v=" TN"/>
    <x v="0"/>
    <x v="0"/>
    <x v="0"/>
    <x v="1"/>
    <d v="2019-03-14T03:05:51"/>
    <d v="2019-03-24T03:05:51"/>
    <d v="2019-03-20T03:05:51"/>
    <x v="7"/>
    <n v="31"/>
    <n v="120"/>
    <n v="2788.9113494669537"/>
  </r>
  <r>
    <n v="75391"/>
    <x v="0"/>
    <s v="Delhi"/>
    <x v="2"/>
    <s v=" DL"/>
    <x v="0"/>
    <x v="0"/>
    <x v="1"/>
    <x v="0"/>
    <d v="2019-03-14T03:47:50"/>
    <d v="2019-03-14T03:47:50"/>
    <d v="2019-03-19T03:47:50"/>
    <x v="10"/>
    <n v="0"/>
    <n v="109"/>
    <n v="2747.4312097153957"/>
  </r>
  <r>
    <n v="573064"/>
    <x v="0"/>
    <s v="Bangalore"/>
    <x v="0"/>
    <s v=" MH"/>
    <x v="0"/>
    <x v="0"/>
    <x v="0"/>
    <x v="0"/>
    <d v="2019-03-14T04:05:55"/>
    <d v="2019-03-20T04:05:55"/>
    <d v="2019-03-19T04:05:55"/>
    <x v="3"/>
    <n v="78"/>
    <n v="91"/>
    <n v="1863.3872711698632"/>
  </r>
  <r>
    <n v="462692"/>
    <x v="0"/>
    <s v="Delhi"/>
    <x v="0"/>
    <s v=" MH"/>
    <x v="0"/>
    <x v="0"/>
    <x v="0"/>
    <x v="0"/>
    <d v="2019-03-14T04:41:41"/>
    <d v="2019-03-16T04:41:41"/>
    <d v="2019-03-17T04:41:41"/>
    <x v="0"/>
    <n v="84"/>
    <n v="86"/>
    <n v="1994"/>
  </r>
  <r>
    <n v="708895"/>
    <x v="0"/>
    <s v="Bangalore"/>
    <x v="4"/>
    <s v=" WB"/>
    <x v="1"/>
    <x v="0"/>
    <x v="1"/>
    <x v="0"/>
    <d v="2019-03-14T05:18:34"/>
    <d v="2019-03-16T05:18:34"/>
    <d v="2019-03-18T05:18:34"/>
    <x v="0"/>
    <n v="40"/>
    <n v="106"/>
    <n v="1080.2747527601898"/>
  </r>
  <r>
    <n v="461128"/>
    <x v="0"/>
    <s v="Delhi"/>
    <x v="4"/>
    <s v=" WB"/>
    <x v="0"/>
    <x v="0"/>
    <x v="0"/>
    <x v="0"/>
    <d v="2019-03-14T07:54:36"/>
    <d v="2019-03-21T07:54:36"/>
    <d v="2019-03-20T07:54:36"/>
    <x v="8"/>
    <n v="81"/>
    <n v="86"/>
    <n v="958.00976192489452"/>
  </r>
  <r>
    <n v="449483"/>
    <x v="0"/>
    <s v="Delhi"/>
    <x v="2"/>
    <s v=" DL"/>
    <x v="1"/>
    <x v="0"/>
    <x v="1"/>
    <x v="0"/>
    <d v="2019-03-14T08:13:46"/>
    <d v="2019-03-15T08:13:46"/>
    <d v="2019-03-19T08:13:46"/>
    <x v="2"/>
    <n v="0"/>
    <n v="125"/>
    <n v="1037.7305180909402"/>
  </r>
  <r>
    <n v="874292"/>
    <x v="0"/>
    <s v="Delhi"/>
    <x v="2"/>
    <s v=" DL"/>
    <x v="0"/>
    <x v="0"/>
    <x v="0"/>
    <x v="0"/>
    <d v="2019-03-14T08:56:06"/>
    <d v="2019-03-17T08:56:06"/>
    <d v="2019-03-17T08:56:06"/>
    <x v="4"/>
    <n v="0"/>
    <n v="128"/>
    <n v="2020.6877831732288"/>
  </r>
  <r>
    <n v="511468"/>
    <x v="0"/>
    <s v="Delhi"/>
    <x v="0"/>
    <s v=" MH"/>
    <x v="0"/>
    <x v="0"/>
    <x v="0"/>
    <x v="0"/>
    <d v="2019-03-14T10:56:42"/>
    <d v="2019-03-17T10:56:42"/>
    <d v="2019-03-20T10:56:42"/>
    <x v="4"/>
    <n v="40"/>
    <n v="107"/>
    <n v="1330"/>
  </r>
  <r>
    <n v="386396"/>
    <x v="0"/>
    <s v="Delhi"/>
    <x v="1"/>
    <s v=" TN"/>
    <x v="0"/>
    <x v="0"/>
    <x v="0"/>
    <x v="0"/>
    <d v="2019-03-14T12:17:19"/>
    <d v="2019-03-22T12:17:19"/>
    <d v="2019-03-17T12:17:19"/>
    <x v="5"/>
    <n v="36"/>
    <n v="127"/>
    <n v="823.95152887934478"/>
  </r>
  <r>
    <n v="723823"/>
    <x v="0"/>
    <s v="Delhi"/>
    <x v="0"/>
    <s v=" MH"/>
    <x v="1"/>
    <x v="0"/>
    <x v="1"/>
    <x v="0"/>
    <d v="2019-03-14T14:58:52"/>
    <d v="2019-03-22T14:58:52"/>
    <d v="2019-03-21T14:58:52"/>
    <x v="5"/>
    <n v="35"/>
    <n v="105"/>
    <n v="3338"/>
  </r>
  <r>
    <n v="375158"/>
    <x v="0"/>
    <s v="Bangalore"/>
    <x v="0"/>
    <s v=" MH"/>
    <x v="2"/>
    <x v="0"/>
    <x v="0"/>
    <x v="0"/>
    <d v="2019-03-14T15:50:16"/>
    <d v="2019-03-19T15:50:16"/>
    <d v="2019-03-21T15:50:16"/>
    <x v="9"/>
    <n v="48"/>
    <n v="113"/>
    <n v="2396.0968076042454"/>
  </r>
  <r>
    <n v="265239"/>
    <x v="0"/>
    <s v="Delhi"/>
    <x v="2"/>
    <s v=" DL"/>
    <x v="0"/>
    <x v="0"/>
    <x v="1"/>
    <x v="1"/>
    <d v="2019-03-14T16:03:05"/>
    <d v="2019-03-17T16:03:05"/>
    <d v="2019-03-19T16:03:05"/>
    <x v="4"/>
    <n v="0"/>
    <n v="104"/>
    <n v="1988"/>
  </r>
  <r>
    <n v="993838"/>
    <x v="0"/>
    <s v="Bangalore"/>
    <x v="0"/>
    <s v=" MH"/>
    <x v="0"/>
    <x v="0"/>
    <x v="0"/>
    <x v="0"/>
    <d v="2019-03-14T16:18:57"/>
    <d v="2019-03-17T16:18:57"/>
    <d v="2019-03-19T16:18:57"/>
    <x v="4"/>
    <n v="83"/>
    <n v="89"/>
    <n v="3671.3919065554001"/>
  </r>
  <r>
    <n v="802593"/>
    <x v="0"/>
    <s v="Delhi"/>
    <x v="3"/>
    <s v=" KA"/>
    <x v="0"/>
    <x v="0"/>
    <x v="1"/>
    <x v="1"/>
    <d v="2019-03-14T16:25:37"/>
    <d v="2019-03-16T16:25:37"/>
    <d v="2019-03-18T16:25:37"/>
    <x v="0"/>
    <n v="0"/>
    <n v="109"/>
    <n v="2155"/>
  </r>
  <r>
    <n v="41669"/>
    <x v="0"/>
    <s v="Bangalore"/>
    <x v="0"/>
    <s v=" MH"/>
    <x v="1"/>
    <x v="0"/>
    <x v="1"/>
    <x v="0"/>
    <d v="2019-03-14T16:59:26"/>
    <d v="2019-03-17T16:59:26"/>
    <d v="2019-03-17T16:59:26"/>
    <x v="4"/>
    <n v="32"/>
    <n v="113"/>
    <n v="2733.6491311732116"/>
  </r>
  <r>
    <n v="635837"/>
    <x v="0"/>
    <s v="Bangalore"/>
    <x v="2"/>
    <s v=" DL"/>
    <x v="1"/>
    <x v="0"/>
    <x v="1"/>
    <x v="0"/>
    <d v="2019-03-14T18:08:55"/>
    <d v="2019-03-22T18:08:55"/>
    <d v="2019-03-17T18:08:55"/>
    <x v="5"/>
    <n v="26"/>
    <n v="122"/>
    <n v="1084.196869084378"/>
  </r>
  <r>
    <n v="458558"/>
    <x v="0"/>
    <s v="Delhi"/>
    <x v="0"/>
    <s v=" MH"/>
    <x v="2"/>
    <x v="0"/>
    <x v="0"/>
    <x v="0"/>
    <d v="2019-03-14T20:55:56"/>
    <d v="2019-03-17T20:55:56"/>
    <d v="2019-03-21T20:55:56"/>
    <x v="4"/>
    <n v="31"/>
    <n v="109"/>
    <n v="3459"/>
  </r>
  <r>
    <n v="88045"/>
    <x v="0"/>
    <s v="Delhi"/>
    <x v="0"/>
    <s v=" MH"/>
    <x v="1"/>
    <x v="0"/>
    <x v="1"/>
    <x v="0"/>
    <d v="2019-03-14T22:06:55"/>
    <d v="2019-03-17T22:06:55"/>
    <d v="2019-03-19T22:06:55"/>
    <x v="4"/>
    <n v="48"/>
    <n v="108"/>
    <n v="2013"/>
  </r>
  <r>
    <n v="823738"/>
    <x v="0"/>
    <s v="Bangalore"/>
    <x v="1"/>
    <s v=" TN"/>
    <x v="0"/>
    <x v="0"/>
    <x v="0"/>
    <x v="0"/>
    <d v="2019-03-14T22:30:48"/>
    <d v="2019-03-21T22:30:48"/>
    <d v="2019-03-21T22:30:48"/>
    <x v="8"/>
    <n v="77"/>
    <n v="104"/>
    <n v="1818"/>
  </r>
  <r>
    <n v="701939"/>
    <x v="0"/>
    <s v="Delhi"/>
    <x v="3"/>
    <s v=" KA"/>
    <x v="0"/>
    <x v="0"/>
    <x v="2"/>
    <x v="0"/>
    <d v="2019-03-14T22:32:47"/>
    <d v="2019-03-16T22:32:47"/>
    <d v="2019-03-18T22:32:47"/>
    <x v="0"/>
    <n v="72"/>
    <n v="104"/>
    <n v="543.92847182299624"/>
  </r>
  <r>
    <n v="998507"/>
    <x v="0"/>
    <s v="Bangalore"/>
    <x v="2"/>
    <s v=" DL"/>
    <x v="1"/>
    <x v="1"/>
    <x v="1"/>
    <x v="0"/>
    <d v="2019-03-03T07:40:30"/>
    <d v="2019-03-06T07:40:30"/>
    <d v="2019-03-07T07:40:30"/>
    <x v="4"/>
    <n v="50"/>
    <n v="128"/>
    <n v="1414.3727770082612"/>
  </r>
  <r>
    <n v="474792"/>
    <x v="0"/>
    <s v="Delhi"/>
    <x v="4"/>
    <s v=" WB"/>
    <x v="0"/>
    <x v="1"/>
    <x v="0"/>
    <x v="1"/>
    <d v="2019-03-03T19:21:27"/>
    <d v="2019-03-06T19:21:27"/>
    <d v="2019-03-08T19:21:27"/>
    <x v="4"/>
    <n v="84"/>
    <n v="93"/>
    <n v="2612.166606394042"/>
  </r>
  <r>
    <n v="734667"/>
    <x v="0"/>
    <s v="Bangalore"/>
    <x v="3"/>
    <s v=" KA"/>
    <x v="1"/>
    <x v="1"/>
    <x v="1"/>
    <x v="1"/>
    <d v="2019-03-03T20:25:10"/>
    <d v="2019-03-06T20:25:10"/>
    <d v="2019-03-06T20:25:10"/>
    <x v="4"/>
    <n v="0"/>
    <n v="129"/>
    <n v="2825.9947615826632"/>
  </r>
  <r>
    <n v="748948"/>
    <x v="0"/>
    <s v="Delhi"/>
    <x v="0"/>
    <s v=" MH"/>
    <x v="0"/>
    <x v="1"/>
    <x v="0"/>
    <x v="0"/>
    <d v="2019-03-04T06:35:07"/>
    <d v="2019-03-07T06:35:07"/>
    <d v="2019-03-08T06:35:07"/>
    <x v="4"/>
    <n v="27"/>
    <n v="113"/>
    <n v="1441.2137935817225"/>
  </r>
  <r>
    <n v="735038"/>
    <x v="0"/>
    <s v="Delhi"/>
    <x v="3"/>
    <s v=" KA"/>
    <x v="2"/>
    <x v="1"/>
    <x v="0"/>
    <x v="0"/>
    <d v="2019-03-04T16:09:05"/>
    <d v="2019-03-10T16:09:05"/>
    <d v="2019-03-10T16:09:05"/>
    <x v="3"/>
    <n v="43"/>
    <n v="127"/>
    <n v="3104"/>
  </r>
  <r>
    <n v="334957"/>
    <x v="0"/>
    <s v="Delhi"/>
    <x v="3"/>
    <s v=" KA"/>
    <x v="0"/>
    <x v="1"/>
    <x v="2"/>
    <x v="0"/>
    <d v="2019-03-05T02:32:58"/>
    <d v="2019-03-10T02:32:58"/>
    <d v="2019-03-10T02:32:58"/>
    <x v="9"/>
    <n v="64"/>
    <n v="103"/>
    <n v="3255.0989810535152"/>
  </r>
  <r>
    <n v="170240"/>
    <x v="0"/>
    <s v="Bangalore"/>
    <x v="3"/>
    <s v=" KA"/>
    <x v="0"/>
    <x v="1"/>
    <x v="0"/>
    <x v="0"/>
    <d v="2019-03-07T13:22:57"/>
    <d v="2019-03-08T13:22:57"/>
    <d v="2019-03-14T13:22:57"/>
    <x v="2"/>
    <n v="0"/>
    <n v="110"/>
    <n v="458.92826749708138"/>
  </r>
  <r>
    <n v="131150"/>
    <x v="0"/>
    <s v="Bangalore"/>
    <x v="1"/>
    <s v=" TN"/>
    <x v="2"/>
    <x v="1"/>
    <x v="0"/>
    <x v="0"/>
    <d v="2019-03-07T14:39:06"/>
    <d v="2019-03-11T14:39:06"/>
    <d v="2019-03-13T14:39:06"/>
    <x v="6"/>
    <n v="31"/>
    <n v="124"/>
    <n v="3168.940062461691"/>
  </r>
  <r>
    <n v="407446"/>
    <x v="0"/>
    <s v="Delhi"/>
    <x v="3"/>
    <s v=" KA"/>
    <x v="2"/>
    <x v="1"/>
    <x v="0"/>
    <x v="0"/>
    <d v="2019-03-09T02:28:56"/>
    <d v="2019-03-14T02:28:56"/>
    <d v="2019-03-15T02:28:56"/>
    <x v="9"/>
    <n v="33"/>
    <n v="121"/>
    <n v="898.69449810539106"/>
  </r>
  <r>
    <n v="924400"/>
    <x v="0"/>
    <s v="Bangalore"/>
    <x v="0"/>
    <s v=" MH"/>
    <x v="0"/>
    <x v="1"/>
    <x v="0"/>
    <x v="0"/>
    <d v="2019-03-11T09:03:56"/>
    <d v="2019-03-13T09:03:56"/>
    <d v="2019-03-16T09:03:56"/>
    <x v="0"/>
    <n v="31"/>
    <n v="107"/>
    <n v="1266.7644612831184"/>
  </r>
  <r>
    <n v="862433"/>
    <x v="0"/>
    <s v="Delhi"/>
    <x v="0"/>
    <s v=" MH"/>
    <x v="1"/>
    <x v="1"/>
    <x v="1"/>
    <x v="0"/>
    <d v="2019-03-12T13:36:27"/>
    <d v="2019-03-20T13:36:27"/>
    <d v="2019-03-17T13:36:27"/>
    <x v="5"/>
    <n v="42"/>
    <n v="109"/>
    <n v="745.33174394550224"/>
  </r>
  <r>
    <n v="815040"/>
    <x v="0"/>
    <s v="Delhi"/>
    <x v="0"/>
    <s v=" MH"/>
    <x v="0"/>
    <x v="1"/>
    <x v="0"/>
    <x v="1"/>
    <d v="2019-03-12T14:48:08"/>
    <d v="2019-03-14T14:48:08"/>
    <d v="2019-03-15T14:48:08"/>
    <x v="0"/>
    <n v="75"/>
    <n v="92"/>
    <n v="945"/>
  </r>
  <r>
    <n v="214977"/>
    <x v="0"/>
    <s v="Delhi"/>
    <x v="3"/>
    <s v=" KA"/>
    <x v="1"/>
    <x v="1"/>
    <x v="2"/>
    <x v="1"/>
    <d v="2019-03-12T22:25:06"/>
    <d v="2019-03-20T22:25:06"/>
    <d v="2019-03-17T22:25:06"/>
    <x v="5"/>
    <n v="38"/>
    <n v="127"/>
    <n v="1092.2596177732107"/>
  </r>
  <r>
    <n v="70870"/>
    <x v="1"/>
    <s v="Bangalore"/>
    <x v="0"/>
    <s v=" MH"/>
    <x v="2"/>
    <x v="0"/>
    <x v="0"/>
    <x v="0"/>
    <d v="2019-03-01T00:06:46"/>
    <d v="2019-03-07T00:06:46"/>
    <d v="2019-03-06T00:06:46"/>
    <x v="3"/>
    <n v="35"/>
    <n v="114"/>
    <n v="2173.7416712076938"/>
  </r>
  <r>
    <n v="217738"/>
    <x v="1"/>
    <s v="Delhi"/>
    <x v="4"/>
    <s v=" WB"/>
    <x v="2"/>
    <x v="0"/>
    <x v="0"/>
    <x v="0"/>
    <d v="2019-03-01T00:21:20"/>
    <d v="2019-03-07T00:21:20"/>
    <d v="2019-03-08T00:21:20"/>
    <x v="3"/>
    <n v="50"/>
    <n v="109"/>
    <n v="2275.445908885516"/>
  </r>
  <r>
    <n v="498950"/>
    <x v="1"/>
    <s v="Bangalore"/>
    <x v="1"/>
    <s v=" TN"/>
    <x v="2"/>
    <x v="0"/>
    <x v="0"/>
    <x v="0"/>
    <d v="2019-03-01T00:27:10"/>
    <d v="2019-03-03T00:27:10"/>
    <d v="2019-03-04T00:27:10"/>
    <x v="0"/>
    <n v="34"/>
    <n v="129"/>
    <n v="1696.1239200997873"/>
  </r>
  <r>
    <n v="438274"/>
    <x v="1"/>
    <s v="Bangalore"/>
    <x v="3"/>
    <s v=" KA"/>
    <x v="2"/>
    <x v="0"/>
    <x v="0"/>
    <x v="0"/>
    <d v="2019-03-01T01:19:07"/>
    <d v="2019-03-02T01:19:07"/>
    <d v="2019-03-07T01:19:07"/>
    <x v="2"/>
    <n v="0"/>
    <n v="122"/>
    <n v="1547.3548572452239"/>
  </r>
  <r>
    <n v="673068"/>
    <x v="1"/>
    <s v="Bangalore"/>
    <x v="4"/>
    <s v=" WB"/>
    <x v="0"/>
    <x v="0"/>
    <x v="0"/>
    <x v="1"/>
    <d v="2019-03-01T01:48:39"/>
    <d v="2019-03-04T01:48:39"/>
    <d v="2019-03-06T01:48:39"/>
    <x v="4"/>
    <n v="73"/>
    <n v="95"/>
    <n v="2976.35"/>
  </r>
  <r>
    <n v="405469"/>
    <x v="1"/>
    <s v="Delhi"/>
    <x v="1"/>
    <s v=" TN"/>
    <x v="1"/>
    <x v="0"/>
    <x v="1"/>
    <x v="0"/>
    <d v="2019-03-01T02:01:14"/>
    <d v="2019-03-07T02:01:14"/>
    <d v="2019-03-07T02:01:14"/>
    <x v="3"/>
    <n v="32"/>
    <n v="126"/>
    <n v="3121.2332625429699"/>
  </r>
  <r>
    <n v="720231"/>
    <x v="1"/>
    <s v="Bangalore"/>
    <x v="2"/>
    <s v=" DL"/>
    <x v="1"/>
    <x v="0"/>
    <x v="1"/>
    <x v="1"/>
    <d v="2019-03-01T02:02:22"/>
    <d v="2019-03-06T02:02:22"/>
    <d v="2019-03-07T02:02:22"/>
    <x v="9"/>
    <n v="27"/>
    <n v="121"/>
    <n v="1910.62"/>
  </r>
  <r>
    <n v="708251"/>
    <x v="1"/>
    <s v="Delhi"/>
    <x v="3"/>
    <s v=" KA"/>
    <x v="1"/>
    <x v="0"/>
    <x v="1"/>
    <x v="0"/>
    <d v="2019-03-01T02:15:44"/>
    <d v="2019-03-06T02:15:44"/>
    <d v="2019-03-06T02:15:44"/>
    <x v="9"/>
    <n v="27"/>
    <n v="125"/>
    <n v="1656.69599583279"/>
  </r>
  <r>
    <n v="562814"/>
    <x v="1"/>
    <s v="Delhi"/>
    <x v="4"/>
    <s v=" WB"/>
    <x v="2"/>
    <x v="0"/>
    <x v="0"/>
    <x v="0"/>
    <d v="2019-03-01T02:56:16"/>
    <d v="2019-03-05T02:56:16"/>
    <d v="2019-03-07T02:56:16"/>
    <x v="6"/>
    <n v="47"/>
    <n v="112"/>
    <n v="3811.0362976357474"/>
  </r>
  <r>
    <n v="569570"/>
    <x v="1"/>
    <s v="Delhi"/>
    <x v="3"/>
    <s v=" KA"/>
    <x v="2"/>
    <x v="0"/>
    <x v="0"/>
    <x v="0"/>
    <d v="2019-03-01T03:10:08"/>
    <d v="2019-03-11T03:10:08"/>
    <d v="2019-03-05T03:10:08"/>
    <x v="7"/>
    <n v="44"/>
    <n v="122"/>
    <n v="1432.3358510207872"/>
  </r>
  <r>
    <n v="555994"/>
    <x v="1"/>
    <s v="Delhi"/>
    <x v="3"/>
    <s v=" KA"/>
    <x v="2"/>
    <x v="0"/>
    <x v="0"/>
    <x v="0"/>
    <d v="2019-03-01T03:23:59"/>
    <d v="2019-03-10T03:23:59"/>
    <d v="2019-03-06T03:23:59"/>
    <x v="1"/>
    <n v="31"/>
    <n v="122"/>
    <n v="1604.3375537285376"/>
  </r>
  <r>
    <n v="864612"/>
    <x v="1"/>
    <s v="Delhi"/>
    <x v="1"/>
    <s v=" TN"/>
    <x v="0"/>
    <x v="0"/>
    <x v="0"/>
    <x v="1"/>
    <d v="2019-03-01T03:26:18"/>
    <d v="2019-03-12T03:26:18"/>
    <d v="2019-03-06T03:26:18"/>
    <x v="11"/>
    <n v="37"/>
    <n v="122"/>
    <n v="1922.38"/>
  </r>
  <r>
    <n v="295256"/>
    <x v="1"/>
    <s v="Bangalore"/>
    <x v="0"/>
    <s v=" MH"/>
    <x v="0"/>
    <x v="0"/>
    <x v="0"/>
    <x v="0"/>
    <d v="2019-03-01T03:28:03"/>
    <d v="2019-03-03T03:28:03"/>
    <d v="2019-03-06T03:28:03"/>
    <x v="0"/>
    <n v="76"/>
    <n v="93"/>
    <n v="2191.5334028821226"/>
  </r>
  <r>
    <n v="53315"/>
    <x v="1"/>
    <s v="Delhi"/>
    <x v="3"/>
    <s v=" KA"/>
    <x v="0"/>
    <x v="0"/>
    <x v="1"/>
    <x v="0"/>
    <d v="2019-03-01T03:52:49"/>
    <d v="2019-03-03T03:52:49"/>
    <d v="2019-03-04T03:52:49"/>
    <x v="0"/>
    <n v="87"/>
    <n v="100"/>
    <n v="3692.1522726607914"/>
  </r>
  <r>
    <n v="977567"/>
    <x v="1"/>
    <s v="Delhi"/>
    <x v="2"/>
    <s v=" DL"/>
    <x v="0"/>
    <x v="0"/>
    <x v="1"/>
    <x v="0"/>
    <d v="2019-03-01T04:09:18"/>
    <d v="2019-03-01T04:09:18"/>
    <d v="2019-03-04T04:09:18"/>
    <x v="10"/>
    <n v="0"/>
    <n v="108"/>
    <n v="558.88767665432442"/>
  </r>
  <r>
    <n v="538488"/>
    <x v="1"/>
    <s v="Bangalore"/>
    <x v="1"/>
    <s v=" TN"/>
    <x v="0"/>
    <x v="0"/>
    <x v="0"/>
    <x v="1"/>
    <d v="2019-03-01T04:27:21"/>
    <d v="2019-03-08T04:27:21"/>
    <d v="2019-03-04T04:27:21"/>
    <x v="8"/>
    <n v="76"/>
    <n v="106"/>
    <n v="2712.13"/>
  </r>
  <r>
    <n v="407214"/>
    <x v="1"/>
    <s v="Bangalore"/>
    <x v="1"/>
    <s v=" TN"/>
    <x v="0"/>
    <x v="0"/>
    <x v="0"/>
    <x v="1"/>
    <d v="2019-03-01T05:05:12"/>
    <d v="2019-03-08T05:05:12"/>
    <d v="2019-03-08T05:05:12"/>
    <x v="8"/>
    <n v="64"/>
    <n v="107"/>
    <n v="2651.65"/>
  </r>
  <r>
    <n v="367741"/>
    <x v="1"/>
    <s v="Delhi"/>
    <x v="0"/>
    <s v=" MH"/>
    <x v="1"/>
    <x v="0"/>
    <x v="1"/>
    <x v="0"/>
    <d v="2019-03-01T05:07:37"/>
    <d v="2019-03-06T05:07:37"/>
    <d v="2019-03-08T05:07:37"/>
    <x v="9"/>
    <n v="40"/>
    <n v="110"/>
    <n v="941.66439437301676"/>
  </r>
  <r>
    <n v="251433"/>
    <x v="1"/>
    <s v="Delhi"/>
    <x v="4"/>
    <s v=" WB"/>
    <x v="0"/>
    <x v="0"/>
    <x v="2"/>
    <x v="1"/>
    <d v="2019-03-01T05:10:21"/>
    <d v="2019-03-08T05:10:21"/>
    <d v="2019-03-06T05:10:21"/>
    <x v="8"/>
    <n v="73"/>
    <n v="93"/>
    <n v="1369.74"/>
  </r>
  <r>
    <n v="974368"/>
    <x v="1"/>
    <s v="Delhi"/>
    <x v="3"/>
    <s v=" KA"/>
    <x v="0"/>
    <x v="0"/>
    <x v="0"/>
    <x v="0"/>
    <d v="2019-03-01T05:15:18"/>
    <d v="2019-03-05T05:15:18"/>
    <d v="2019-03-05T05:15:18"/>
    <x v="6"/>
    <n v="59"/>
    <n v="109"/>
    <n v="2038.3446778344255"/>
  </r>
  <r>
    <n v="712314"/>
    <x v="1"/>
    <s v="Bangalore"/>
    <x v="2"/>
    <s v=" DL"/>
    <x v="2"/>
    <x v="0"/>
    <x v="0"/>
    <x v="1"/>
    <d v="2019-03-01T06:41:50"/>
    <d v="2019-03-06T06:41:50"/>
    <d v="2019-03-08T06:41:50"/>
    <x v="9"/>
    <n v="49"/>
    <n v="120"/>
    <n v="3593.82"/>
  </r>
  <r>
    <n v="735043"/>
    <x v="1"/>
    <s v="Delhi"/>
    <x v="2"/>
    <s v=" DL"/>
    <x v="0"/>
    <x v="0"/>
    <x v="1"/>
    <x v="0"/>
    <d v="2019-03-01T07:59:41"/>
    <d v="2019-03-03T07:59:41"/>
    <d v="2019-03-05T07:59:41"/>
    <x v="0"/>
    <n v="0"/>
    <n v="104"/>
    <n v="1965.3955759948892"/>
  </r>
  <r>
    <n v="407204"/>
    <x v="1"/>
    <s v="Delhi"/>
    <x v="2"/>
    <s v=" DL"/>
    <x v="0"/>
    <x v="0"/>
    <x v="0"/>
    <x v="0"/>
    <d v="2019-03-01T08:11:34"/>
    <d v="2019-03-03T08:11:34"/>
    <d v="2019-03-07T08:11:34"/>
    <x v="0"/>
    <n v="0"/>
    <n v="129"/>
    <n v="2068.3822316786222"/>
  </r>
  <r>
    <n v="700530"/>
    <x v="1"/>
    <s v="Delhi"/>
    <x v="0"/>
    <s v=" MH"/>
    <x v="0"/>
    <x v="0"/>
    <x v="0"/>
    <x v="1"/>
    <d v="2019-03-01T08:23:53"/>
    <d v="2019-03-06T08:23:53"/>
    <d v="2019-03-05T08:23:53"/>
    <x v="9"/>
    <n v="79"/>
    <n v="86"/>
    <n v="3228.28"/>
  </r>
  <r>
    <n v="34440"/>
    <x v="1"/>
    <s v="Delhi"/>
    <x v="2"/>
    <s v=" DL"/>
    <x v="0"/>
    <x v="0"/>
    <x v="0"/>
    <x v="1"/>
    <d v="2019-03-01T08:55:42"/>
    <d v="2019-03-04T08:55:42"/>
    <d v="2019-03-08T08:55:42"/>
    <x v="4"/>
    <n v="0"/>
    <n v="128"/>
    <n v="937.67"/>
  </r>
  <r>
    <n v="307661"/>
    <x v="1"/>
    <s v="Bangalore"/>
    <x v="0"/>
    <s v=" MH"/>
    <x v="0"/>
    <x v="0"/>
    <x v="1"/>
    <x v="0"/>
    <d v="2019-03-01T09:17:28"/>
    <d v="2019-03-03T09:17:28"/>
    <d v="2019-03-08T09:17:28"/>
    <x v="0"/>
    <n v="70"/>
    <n v="87"/>
    <n v="3153.8325583863425"/>
  </r>
  <r>
    <n v="698253"/>
    <x v="1"/>
    <s v="Bangalore"/>
    <x v="3"/>
    <s v=" KA"/>
    <x v="0"/>
    <x v="0"/>
    <x v="1"/>
    <x v="1"/>
    <d v="2019-03-01T09:18:16"/>
    <d v="2019-03-01T09:18:16"/>
    <d v="2019-03-06T09:18:16"/>
    <x v="10"/>
    <n v="0"/>
    <n v="108"/>
    <n v="2376.71"/>
  </r>
  <r>
    <n v="269508"/>
    <x v="1"/>
    <s v="Bangalore"/>
    <x v="2"/>
    <s v=" DL"/>
    <x v="0"/>
    <x v="0"/>
    <x v="0"/>
    <x v="1"/>
    <d v="2019-03-01T09:22:07"/>
    <d v="2019-03-07T09:22:07"/>
    <d v="2019-03-07T09:22:07"/>
    <x v="3"/>
    <n v="47"/>
    <n v="125"/>
    <n v="297.32"/>
  </r>
  <r>
    <n v="69672"/>
    <x v="1"/>
    <s v="Bangalore"/>
    <x v="2"/>
    <s v=" DL"/>
    <x v="0"/>
    <x v="0"/>
    <x v="0"/>
    <x v="1"/>
    <d v="2019-03-01T09:29:46"/>
    <d v="2019-03-07T09:29:46"/>
    <d v="2019-03-06T09:29:46"/>
    <x v="3"/>
    <n v="73"/>
    <n v="103"/>
    <n v="2777.49"/>
  </r>
  <r>
    <n v="38001"/>
    <x v="1"/>
    <s v="Bangalore"/>
    <x v="2"/>
    <s v=" DL"/>
    <x v="0"/>
    <x v="0"/>
    <x v="1"/>
    <x v="1"/>
    <d v="2019-03-01T09:49:55"/>
    <d v="2019-03-03T09:49:55"/>
    <d v="2019-03-05T09:49:55"/>
    <x v="0"/>
    <n v="82"/>
    <n v="100"/>
    <n v="2361.21"/>
  </r>
  <r>
    <n v="421910"/>
    <x v="1"/>
    <s v="Delhi"/>
    <x v="2"/>
    <s v=" DL"/>
    <x v="0"/>
    <x v="0"/>
    <x v="0"/>
    <x v="0"/>
    <d v="2019-03-01T10:11:54"/>
    <d v="2019-03-01T10:11:54"/>
    <d v="2019-03-04T10:11:54"/>
    <x v="10"/>
    <n v="0"/>
    <n v="108"/>
    <n v="2478.4655698612432"/>
  </r>
  <r>
    <n v="254925"/>
    <x v="1"/>
    <s v="Delhi"/>
    <x v="2"/>
    <s v=" DL"/>
    <x v="1"/>
    <x v="0"/>
    <x v="1"/>
    <x v="1"/>
    <d v="2019-03-01T11:32:20"/>
    <d v="2019-03-07T11:32:20"/>
    <d v="2019-03-08T11:32:20"/>
    <x v="3"/>
    <n v="0"/>
    <n v="123"/>
    <n v="389.86"/>
  </r>
  <r>
    <n v="473212"/>
    <x v="1"/>
    <s v="Delhi"/>
    <x v="2"/>
    <s v=" DL"/>
    <x v="0"/>
    <x v="0"/>
    <x v="0"/>
    <x v="0"/>
    <d v="2019-03-01T12:05:41"/>
    <d v="2019-03-04T12:05:41"/>
    <d v="2019-03-04T12:05:41"/>
    <x v="4"/>
    <n v="0"/>
    <n v="126"/>
    <n v="3113.8189758334606"/>
  </r>
  <r>
    <n v="200622"/>
    <x v="1"/>
    <s v="Delhi"/>
    <x v="3"/>
    <s v=" KA"/>
    <x v="2"/>
    <x v="0"/>
    <x v="0"/>
    <x v="1"/>
    <d v="2019-03-01T12:38:24"/>
    <d v="2019-03-11T12:38:24"/>
    <d v="2019-03-08T12:38:24"/>
    <x v="7"/>
    <n v="37"/>
    <n v="126"/>
    <n v="767.49"/>
  </r>
  <r>
    <n v="618908"/>
    <x v="1"/>
    <s v="Bangalore"/>
    <x v="1"/>
    <s v=" TN"/>
    <x v="0"/>
    <x v="0"/>
    <x v="0"/>
    <x v="0"/>
    <d v="2019-03-01T13:00:54"/>
    <d v="2019-03-10T13:00:54"/>
    <d v="2019-03-08T13:00:54"/>
    <x v="1"/>
    <n v="41"/>
    <n v="127"/>
    <n v="888.18543155522173"/>
  </r>
  <r>
    <n v="335857"/>
    <x v="1"/>
    <s v="Delhi"/>
    <x v="0"/>
    <s v=" MH"/>
    <x v="1"/>
    <x v="0"/>
    <x v="1"/>
    <x v="0"/>
    <d v="2019-03-01T13:12:50"/>
    <d v="2019-03-07T13:12:50"/>
    <d v="2019-03-05T13:12:50"/>
    <x v="3"/>
    <n v="42"/>
    <n v="115"/>
    <n v="655.23589678129906"/>
  </r>
  <r>
    <n v="971658"/>
    <x v="1"/>
    <s v="Bangalore"/>
    <x v="0"/>
    <s v=" MH"/>
    <x v="2"/>
    <x v="0"/>
    <x v="0"/>
    <x v="1"/>
    <d v="2019-03-01T13:53:03"/>
    <d v="2019-03-10T13:53:03"/>
    <d v="2019-03-04T13:53:03"/>
    <x v="1"/>
    <n v="38"/>
    <n v="109"/>
    <n v="216.82"/>
  </r>
  <r>
    <n v="53287"/>
    <x v="1"/>
    <s v="Delhi"/>
    <x v="0"/>
    <s v=" MH"/>
    <x v="1"/>
    <x v="0"/>
    <x v="1"/>
    <x v="0"/>
    <d v="2019-03-01T14:21:45"/>
    <d v="2019-03-10T14:21:45"/>
    <d v="2019-03-05T14:21:45"/>
    <x v="1"/>
    <n v="25"/>
    <n v="105"/>
    <n v="405.46276358726283"/>
  </r>
  <r>
    <n v="185986"/>
    <x v="1"/>
    <s v="Delhi"/>
    <x v="3"/>
    <s v=" KA"/>
    <x v="2"/>
    <x v="0"/>
    <x v="0"/>
    <x v="0"/>
    <d v="2019-03-01T14:27:28"/>
    <d v="2019-03-08T14:27:28"/>
    <d v="2019-03-08T14:27:28"/>
    <x v="8"/>
    <n v="46"/>
    <n v="126"/>
    <n v="946.24563725394512"/>
  </r>
  <r>
    <n v="794165"/>
    <x v="1"/>
    <s v="Delhi"/>
    <x v="2"/>
    <s v=" DL"/>
    <x v="1"/>
    <x v="0"/>
    <x v="1"/>
    <x v="0"/>
    <d v="2019-03-01T15:27:22"/>
    <d v="2019-03-05T15:27:22"/>
    <d v="2019-03-05T15:27:22"/>
    <x v="6"/>
    <n v="0"/>
    <n v="127"/>
    <n v="2851.1640791271657"/>
  </r>
  <r>
    <n v="582824"/>
    <x v="1"/>
    <s v="Bangalore"/>
    <x v="1"/>
    <s v=" TN"/>
    <x v="0"/>
    <x v="0"/>
    <x v="0"/>
    <x v="0"/>
    <d v="2019-03-01T15:29:05"/>
    <d v="2019-03-05T15:29:05"/>
    <d v="2019-03-05T15:29:05"/>
    <x v="6"/>
    <n v="36"/>
    <n v="121"/>
    <n v="3302.719934374109"/>
  </r>
  <r>
    <n v="653852"/>
    <x v="1"/>
    <s v="Delhi"/>
    <x v="3"/>
    <s v=" KA"/>
    <x v="0"/>
    <x v="0"/>
    <x v="0"/>
    <x v="0"/>
    <d v="2019-03-01T15:33:55"/>
    <d v="2019-03-03T15:33:55"/>
    <d v="2019-03-06T15:33:55"/>
    <x v="0"/>
    <n v="63"/>
    <n v="109"/>
    <n v="3592.1527814176643"/>
  </r>
  <r>
    <n v="437147"/>
    <x v="1"/>
    <s v="Delhi"/>
    <x v="0"/>
    <s v=" MH"/>
    <x v="0"/>
    <x v="0"/>
    <x v="1"/>
    <x v="0"/>
    <d v="2019-03-01T16:08:05"/>
    <d v="2019-03-04T16:08:05"/>
    <d v="2019-03-08T16:08:05"/>
    <x v="4"/>
    <n v="66"/>
    <n v="93"/>
    <n v="3814.708381030779"/>
  </r>
  <r>
    <n v="942370"/>
    <x v="1"/>
    <s v="Bangalore"/>
    <x v="2"/>
    <s v=" DL"/>
    <x v="0"/>
    <x v="0"/>
    <x v="0"/>
    <x v="0"/>
    <d v="2019-03-01T16:12:02"/>
    <d v="2019-03-05T16:12:02"/>
    <d v="2019-03-08T16:12:02"/>
    <x v="6"/>
    <n v="63"/>
    <n v="105"/>
    <n v="2375.6745245519733"/>
  </r>
  <r>
    <n v="349970"/>
    <x v="1"/>
    <s v="Delhi"/>
    <x v="2"/>
    <s v=" DL"/>
    <x v="2"/>
    <x v="0"/>
    <x v="0"/>
    <x v="0"/>
    <d v="2019-03-01T16:46:35"/>
    <d v="2019-03-06T16:46:35"/>
    <d v="2019-03-04T16:46:35"/>
    <x v="9"/>
    <n v="0"/>
    <n v="121"/>
    <n v="3231.4362018620377"/>
  </r>
  <r>
    <n v="133035"/>
    <x v="1"/>
    <s v="Bangalore"/>
    <x v="2"/>
    <s v=" DL"/>
    <x v="1"/>
    <x v="0"/>
    <x v="2"/>
    <x v="1"/>
    <d v="2019-03-01T17:19:27"/>
    <d v="2019-03-10T17:19:27"/>
    <d v="2019-03-04T17:19:27"/>
    <x v="1"/>
    <n v="33"/>
    <n v="127"/>
    <n v="1821.54"/>
  </r>
  <r>
    <n v="250376"/>
    <x v="1"/>
    <s v="Bangalore"/>
    <x v="4"/>
    <s v=" WB"/>
    <x v="0"/>
    <x v="0"/>
    <x v="0"/>
    <x v="0"/>
    <d v="2019-03-01T17:24:03"/>
    <d v="2019-03-08T17:24:03"/>
    <d v="2019-03-08T17:24:03"/>
    <x v="8"/>
    <n v="32"/>
    <n v="112"/>
    <n v="2593.8880649071289"/>
  </r>
  <r>
    <n v="352911"/>
    <x v="1"/>
    <s v="Delhi"/>
    <x v="4"/>
    <s v=" WB"/>
    <x v="1"/>
    <x v="0"/>
    <x v="1"/>
    <x v="1"/>
    <d v="2019-03-01T17:38:18"/>
    <d v="2019-03-08T17:38:18"/>
    <d v="2019-03-07T17:38:18"/>
    <x v="8"/>
    <n v="40"/>
    <n v="109"/>
    <n v="1464.92"/>
  </r>
  <r>
    <n v="775402"/>
    <x v="1"/>
    <s v="Delhi"/>
    <x v="0"/>
    <s v=" MH"/>
    <x v="0"/>
    <x v="0"/>
    <x v="0"/>
    <x v="0"/>
    <d v="2019-03-01T18:06:37"/>
    <d v="2019-03-07T18:06:37"/>
    <d v="2019-03-08T18:06:37"/>
    <x v="3"/>
    <n v="76"/>
    <n v="91"/>
    <n v="714.05699349381928"/>
  </r>
  <r>
    <n v="607875"/>
    <x v="1"/>
    <s v="Delhi"/>
    <x v="3"/>
    <s v=" KA"/>
    <x v="0"/>
    <x v="0"/>
    <x v="1"/>
    <x v="1"/>
    <d v="2019-03-01T18:18:05"/>
    <d v="2019-03-06T18:18:05"/>
    <d v="2019-03-07T18:18:05"/>
    <x v="9"/>
    <n v="68"/>
    <n v="102"/>
    <n v="3220.09"/>
  </r>
  <r>
    <n v="576111"/>
    <x v="1"/>
    <s v="Bangalore"/>
    <x v="0"/>
    <s v=" MH"/>
    <x v="0"/>
    <x v="0"/>
    <x v="1"/>
    <x v="1"/>
    <d v="2019-03-01T18:22:38"/>
    <d v="2019-03-03T18:22:38"/>
    <d v="2019-03-05T18:22:38"/>
    <x v="0"/>
    <n v="88"/>
    <n v="85"/>
    <n v="2925.68"/>
  </r>
  <r>
    <n v="526087"/>
    <x v="1"/>
    <s v="Delhi"/>
    <x v="0"/>
    <s v=" MH"/>
    <x v="0"/>
    <x v="0"/>
    <x v="1"/>
    <x v="0"/>
    <d v="2019-03-01T18:24:29"/>
    <d v="2019-03-05T18:24:29"/>
    <d v="2019-03-06T18:24:29"/>
    <x v="6"/>
    <n v="80"/>
    <n v="90"/>
    <n v="2331.3623138178054"/>
  </r>
  <r>
    <n v="656147"/>
    <x v="1"/>
    <s v="Delhi"/>
    <x v="4"/>
    <s v=" WB"/>
    <x v="1"/>
    <x v="0"/>
    <x v="1"/>
    <x v="0"/>
    <d v="2019-03-01T19:52:33"/>
    <d v="2019-03-03T19:52:33"/>
    <d v="2019-03-08T19:52:33"/>
    <x v="0"/>
    <n v="27"/>
    <n v="107"/>
    <n v="1473.8283177525559"/>
  </r>
  <r>
    <n v="217985"/>
    <x v="1"/>
    <s v="Delhi"/>
    <x v="2"/>
    <s v=" DL"/>
    <x v="1"/>
    <x v="0"/>
    <x v="1"/>
    <x v="0"/>
    <d v="2019-03-01T20:16:42"/>
    <d v="2019-03-03T20:16:42"/>
    <d v="2019-03-08T20:16:42"/>
    <x v="0"/>
    <n v="0"/>
    <n v="124"/>
    <n v="3189.6399276335787"/>
  </r>
  <r>
    <n v="62622"/>
    <x v="1"/>
    <s v="Delhi"/>
    <x v="2"/>
    <s v=" DL"/>
    <x v="2"/>
    <x v="0"/>
    <x v="0"/>
    <x v="1"/>
    <d v="2019-03-01T20:24:25"/>
    <d v="2019-03-04T20:24:25"/>
    <d v="2019-03-06T20:24:25"/>
    <x v="4"/>
    <n v="0"/>
    <n v="130"/>
    <n v="1106.5999999999999"/>
  </r>
  <r>
    <n v="56365"/>
    <x v="1"/>
    <s v="Bangalore"/>
    <x v="3"/>
    <s v=" KA"/>
    <x v="1"/>
    <x v="0"/>
    <x v="1"/>
    <x v="0"/>
    <d v="2019-03-01T20:24:49"/>
    <d v="2019-03-02T20:24:49"/>
    <d v="2019-03-05T20:24:49"/>
    <x v="2"/>
    <n v="0"/>
    <n v="126"/>
    <n v="3737.8788200022177"/>
  </r>
  <r>
    <n v="911596"/>
    <x v="1"/>
    <s v="Delhi"/>
    <x v="4"/>
    <s v=" WB"/>
    <x v="0"/>
    <x v="0"/>
    <x v="0"/>
    <x v="0"/>
    <d v="2019-03-01T20:36:46"/>
    <d v="2019-03-06T20:36:46"/>
    <d v="2019-03-08T20:36:46"/>
    <x v="9"/>
    <n v="29"/>
    <n v="105"/>
    <n v="713.20621024746868"/>
  </r>
  <r>
    <n v="672748"/>
    <x v="1"/>
    <s v="Bangalore"/>
    <x v="4"/>
    <s v=" WB"/>
    <x v="0"/>
    <x v="0"/>
    <x v="0"/>
    <x v="0"/>
    <d v="2019-03-01T21:24:37"/>
    <d v="2019-03-09T21:24:37"/>
    <d v="2019-03-06T21:24:37"/>
    <x v="5"/>
    <n v="63"/>
    <n v="93"/>
    <n v="3133.5814587915152"/>
  </r>
  <r>
    <n v="470179"/>
    <x v="1"/>
    <s v="Bangalore"/>
    <x v="0"/>
    <s v=" MH"/>
    <x v="1"/>
    <x v="0"/>
    <x v="1"/>
    <x v="0"/>
    <d v="2019-03-01T21:47:14"/>
    <d v="2019-03-08T21:47:14"/>
    <d v="2019-03-08T21:47:14"/>
    <x v="8"/>
    <n v="25"/>
    <n v="115"/>
    <n v="675.510689825128"/>
  </r>
  <r>
    <n v="312364"/>
    <x v="1"/>
    <s v="Bangalore"/>
    <x v="0"/>
    <s v=" MH"/>
    <x v="0"/>
    <x v="0"/>
    <x v="0"/>
    <x v="0"/>
    <d v="2019-03-01T21:52:52"/>
    <d v="2019-03-03T21:52:52"/>
    <d v="2019-03-08T21:52:52"/>
    <x v="0"/>
    <n v="31"/>
    <n v="114"/>
    <n v="1354.2717129353607"/>
  </r>
  <r>
    <n v="391198"/>
    <x v="1"/>
    <s v="Delhi"/>
    <x v="3"/>
    <s v=" KA"/>
    <x v="2"/>
    <x v="0"/>
    <x v="0"/>
    <x v="0"/>
    <d v="2019-03-01T21:57:34"/>
    <d v="2019-03-08T21:57:34"/>
    <d v="2019-03-05T21:57:34"/>
    <x v="8"/>
    <n v="44"/>
    <n v="121"/>
    <n v="3252.9218671499007"/>
  </r>
  <r>
    <n v="961551"/>
    <x v="1"/>
    <s v="Delhi"/>
    <x v="3"/>
    <s v=" KA"/>
    <x v="0"/>
    <x v="0"/>
    <x v="1"/>
    <x v="1"/>
    <d v="2019-03-01T22:08:30"/>
    <d v="2019-03-03T22:08:30"/>
    <d v="2019-03-05T22:08:30"/>
    <x v="0"/>
    <n v="59"/>
    <n v="106"/>
    <n v="2584.77"/>
  </r>
  <r>
    <n v="362032"/>
    <x v="1"/>
    <s v="Bangalore"/>
    <x v="2"/>
    <s v=" DL"/>
    <x v="0"/>
    <x v="0"/>
    <x v="0"/>
    <x v="0"/>
    <d v="2019-03-01T22:15:09"/>
    <d v="2019-03-04T22:15:09"/>
    <d v="2019-03-05T22:15:09"/>
    <x v="4"/>
    <n v="45"/>
    <n v="126"/>
    <n v="2306.0110129432837"/>
  </r>
  <r>
    <n v="780034"/>
    <x v="1"/>
    <s v="Bangalore"/>
    <x v="0"/>
    <s v=" MH"/>
    <x v="2"/>
    <x v="0"/>
    <x v="0"/>
    <x v="0"/>
    <d v="2019-03-01T22:47:05"/>
    <d v="2019-03-05T22:47:05"/>
    <d v="2019-03-06T22:47:05"/>
    <x v="6"/>
    <n v="43"/>
    <n v="108"/>
    <n v="1925.4606434217976"/>
  </r>
  <r>
    <n v="38725"/>
    <x v="1"/>
    <s v="Delhi"/>
    <x v="4"/>
    <s v=" WB"/>
    <x v="1"/>
    <x v="0"/>
    <x v="1"/>
    <x v="0"/>
    <d v="2019-03-01T22:54:18"/>
    <d v="2019-03-08T22:54:18"/>
    <d v="2019-03-08T22:54:18"/>
    <x v="8"/>
    <n v="25"/>
    <n v="112"/>
    <n v="3058.5570394135798"/>
  </r>
  <r>
    <n v="785572"/>
    <x v="1"/>
    <s v="Delhi"/>
    <x v="0"/>
    <s v=" MH"/>
    <x v="0"/>
    <x v="0"/>
    <x v="0"/>
    <x v="0"/>
    <d v="2019-03-01T23:08:38"/>
    <d v="2019-03-03T23:08:38"/>
    <d v="2019-03-08T23:08:38"/>
    <x v="0"/>
    <n v="72"/>
    <n v="93"/>
    <n v="2698.509476872523"/>
  </r>
  <r>
    <n v="554678"/>
    <x v="1"/>
    <s v="Delhi"/>
    <x v="3"/>
    <s v=" KA"/>
    <x v="0"/>
    <x v="0"/>
    <x v="0"/>
    <x v="0"/>
    <d v="2019-03-01T23:22:47"/>
    <d v="2019-03-07T23:22:47"/>
    <d v="2019-03-08T23:22:47"/>
    <x v="3"/>
    <n v="68"/>
    <n v="108"/>
    <n v="3575.6181887727553"/>
  </r>
  <r>
    <n v="312374"/>
    <x v="1"/>
    <s v="Delhi"/>
    <x v="3"/>
    <s v=" KA"/>
    <x v="0"/>
    <x v="0"/>
    <x v="0"/>
    <x v="0"/>
    <d v="2019-03-01T23:37:34"/>
    <d v="2019-03-03T23:37:34"/>
    <d v="2019-03-04T23:37:34"/>
    <x v="0"/>
    <n v="62"/>
    <n v="104"/>
    <n v="2533.7565173290395"/>
  </r>
  <r>
    <n v="924488"/>
    <x v="1"/>
    <s v="Bangalore"/>
    <x v="0"/>
    <s v=" MH"/>
    <x v="0"/>
    <x v="0"/>
    <x v="0"/>
    <x v="0"/>
    <d v="2019-03-02T00:00:17"/>
    <d v="2019-03-04T00:00:17"/>
    <d v="2019-03-08T00:00:17"/>
    <x v="0"/>
    <n v="73"/>
    <n v="95"/>
    <n v="287.6114059836583"/>
  </r>
  <r>
    <n v="557964"/>
    <x v="1"/>
    <s v="Bangalore"/>
    <x v="3"/>
    <s v=" KA"/>
    <x v="0"/>
    <x v="0"/>
    <x v="0"/>
    <x v="1"/>
    <d v="2019-03-02T00:08:39"/>
    <d v="2019-03-05T00:08:39"/>
    <d v="2019-03-07T00:08:39"/>
    <x v="4"/>
    <n v="0"/>
    <n v="129"/>
    <n v="3396.6"/>
  </r>
  <r>
    <n v="146368"/>
    <x v="1"/>
    <s v="Delhi"/>
    <x v="1"/>
    <s v=" TN"/>
    <x v="0"/>
    <x v="0"/>
    <x v="0"/>
    <x v="0"/>
    <d v="2019-03-02T00:27:53"/>
    <d v="2019-03-12T00:27:53"/>
    <d v="2019-03-09T00:27:53"/>
    <x v="7"/>
    <n v="29"/>
    <n v="129"/>
    <n v="1089.964642191961"/>
  </r>
  <r>
    <n v="853792"/>
    <x v="1"/>
    <s v="Bangalore"/>
    <x v="2"/>
    <s v=" DL"/>
    <x v="0"/>
    <x v="0"/>
    <x v="0"/>
    <x v="0"/>
    <d v="2019-03-02T01:28:11"/>
    <d v="2019-03-06T01:28:11"/>
    <d v="2019-03-07T01:28:11"/>
    <x v="6"/>
    <n v="71"/>
    <n v="105"/>
    <n v="1099.8731301967523"/>
  </r>
  <r>
    <n v="449417"/>
    <x v="1"/>
    <s v="Delhi"/>
    <x v="1"/>
    <s v=" TN"/>
    <x v="0"/>
    <x v="0"/>
    <x v="1"/>
    <x v="0"/>
    <d v="2019-03-02T01:38:09"/>
    <d v="2019-03-13T01:38:09"/>
    <d v="2019-03-07T01:38:09"/>
    <x v="11"/>
    <n v="62"/>
    <n v="110"/>
    <n v="3389.5838840945012"/>
  </r>
  <r>
    <n v="962682"/>
    <x v="1"/>
    <s v="Delhi"/>
    <x v="3"/>
    <s v=" KA"/>
    <x v="2"/>
    <x v="0"/>
    <x v="0"/>
    <x v="1"/>
    <d v="2019-03-02T01:55:15"/>
    <d v="2019-03-12T01:55:15"/>
    <d v="2019-03-06T01:55:15"/>
    <x v="7"/>
    <n v="49"/>
    <n v="129"/>
    <n v="3161.15"/>
  </r>
  <r>
    <n v="751257"/>
    <x v="1"/>
    <s v="Bangalore"/>
    <x v="1"/>
    <s v=" TN"/>
    <x v="1"/>
    <x v="0"/>
    <x v="1"/>
    <x v="1"/>
    <d v="2019-03-02T02:15:19"/>
    <d v="2019-03-04T02:15:19"/>
    <d v="2019-03-09T02:15:19"/>
    <x v="0"/>
    <n v="33"/>
    <n v="123"/>
    <n v="312.41000000000003"/>
  </r>
  <r>
    <n v="759526"/>
    <x v="1"/>
    <s v="Delhi"/>
    <x v="0"/>
    <s v=" MH"/>
    <x v="0"/>
    <x v="0"/>
    <x v="0"/>
    <x v="0"/>
    <d v="2019-03-02T02:41:12"/>
    <d v="2019-03-08T02:41:12"/>
    <d v="2019-03-06T02:41:12"/>
    <x v="3"/>
    <n v="60"/>
    <n v="86"/>
    <n v="2903.3618964734478"/>
  </r>
  <r>
    <n v="99484"/>
    <x v="1"/>
    <s v="Delhi"/>
    <x v="4"/>
    <s v=" WB"/>
    <x v="0"/>
    <x v="0"/>
    <x v="0"/>
    <x v="0"/>
    <d v="2019-03-02T02:45:28"/>
    <d v="2019-03-09T02:45:28"/>
    <d v="2019-03-07T02:45:28"/>
    <x v="8"/>
    <n v="80"/>
    <n v="87"/>
    <n v="582.95001633214611"/>
  </r>
  <r>
    <n v="804573"/>
    <x v="1"/>
    <s v="Delhi"/>
    <x v="2"/>
    <s v=" DL"/>
    <x v="0"/>
    <x v="0"/>
    <x v="2"/>
    <x v="1"/>
    <d v="2019-03-02T02:46:41"/>
    <d v="2019-03-04T02:46:41"/>
    <d v="2019-03-07T02:46:41"/>
    <x v="0"/>
    <n v="9999"/>
    <n v="110"/>
    <n v="2994.09"/>
  </r>
  <r>
    <n v="19045"/>
    <x v="1"/>
    <s v="Bangalore"/>
    <x v="3"/>
    <s v=" KA"/>
    <x v="1"/>
    <x v="0"/>
    <x v="1"/>
    <x v="0"/>
    <d v="2019-03-02T03:04:20"/>
    <d v="2019-03-03T03:04:20"/>
    <d v="2019-03-07T03:04:20"/>
    <x v="2"/>
    <n v="0"/>
    <n v="124"/>
    <n v="3062.0541085073951"/>
  </r>
  <r>
    <n v="906024"/>
    <x v="1"/>
    <s v="Bangalore"/>
    <x v="0"/>
    <s v=" MH"/>
    <x v="0"/>
    <x v="0"/>
    <x v="0"/>
    <x v="1"/>
    <d v="2019-03-02T03:21:01"/>
    <d v="2019-03-05T03:21:01"/>
    <d v="2019-03-06T03:21:01"/>
    <x v="4"/>
    <n v="65"/>
    <n v="87"/>
    <n v="742.41"/>
  </r>
  <r>
    <n v="679570"/>
    <x v="1"/>
    <s v="Bangalore"/>
    <x v="4"/>
    <s v=" WB"/>
    <x v="2"/>
    <x v="0"/>
    <x v="0"/>
    <x v="0"/>
    <d v="2019-03-02T03:26:07"/>
    <d v="2019-03-04T03:26:07"/>
    <d v="2019-03-09T03:26:07"/>
    <x v="0"/>
    <n v="37"/>
    <n v="114"/>
    <n v="2285.743835575659"/>
  </r>
  <r>
    <n v="94666"/>
    <x v="1"/>
    <s v="Delhi"/>
    <x v="3"/>
    <s v=" KA"/>
    <x v="2"/>
    <x v="0"/>
    <x v="0"/>
    <x v="0"/>
    <d v="2019-03-02T03:26:56"/>
    <d v="2019-03-11T03:26:56"/>
    <d v="2019-03-05T03:26:56"/>
    <x v="1"/>
    <n v="28"/>
    <n v="123"/>
    <n v="3255.6699145511843"/>
  </r>
  <r>
    <n v="86291"/>
    <x v="1"/>
    <s v="Bangalore"/>
    <x v="4"/>
    <s v=" WB"/>
    <x v="1"/>
    <x v="0"/>
    <x v="1"/>
    <x v="0"/>
    <d v="2019-03-02T03:52:20"/>
    <d v="2019-03-09T03:52:20"/>
    <d v="2019-03-06T03:52:20"/>
    <x v="8"/>
    <n v="39"/>
    <n v="108"/>
    <n v="1500.1699611164247"/>
  </r>
  <r>
    <n v="899107"/>
    <x v="1"/>
    <s v="Delhi"/>
    <x v="0"/>
    <s v=" MH"/>
    <x v="1"/>
    <x v="0"/>
    <x v="1"/>
    <x v="0"/>
    <d v="2019-03-02T03:57:14"/>
    <d v="2019-03-11T03:57:14"/>
    <d v="2019-03-05T03:57:14"/>
    <x v="1"/>
    <n v="39"/>
    <n v="109"/>
    <n v="2879.6092350708468"/>
  </r>
  <r>
    <n v="46145"/>
    <x v="1"/>
    <s v="Bangalore"/>
    <x v="2"/>
    <s v=" DL"/>
    <x v="0"/>
    <x v="0"/>
    <x v="1"/>
    <x v="0"/>
    <d v="2019-03-02T05:04:21"/>
    <d v="2019-03-07T05:04:21"/>
    <d v="2019-03-05T05:04:21"/>
    <x v="9"/>
    <n v="66"/>
    <n v="103"/>
    <n v="851.41252300375982"/>
  </r>
  <r>
    <n v="338062"/>
    <x v="1"/>
    <s v="Bangalore"/>
    <x v="4"/>
    <s v=" WB"/>
    <x v="0"/>
    <x v="0"/>
    <x v="0"/>
    <x v="0"/>
    <d v="2019-03-02T05:20:11"/>
    <d v="2019-03-10T05:20:11"/>
    <d v="2019-03-07T05:20:11"/>
    <x v="5"/>
    <n v="63"/>
    <n v="88"/>
    <n v="2702.1502693837992"/>
  </r>
  <r>
    <n v="211234"/>
    <x v="1"/>
    <s v="Delhi"/>
    <x v="2"/>
    <s v=" DL"/>
    <x v="2"/>
    <x v="0"/>
    <x v="0"/>
    <x v="0"/>
    <d v="2019-03-02T05:33:40"/>
    <d v="2019-03-06T05:33:40"/>
    <d v="2019-03-06T05:33:40"/>
    <x v="6"/>
    <n v="0"/>
    <n v="121"/>
    <n v="3140.987906658911"/>
  </r>
  <r>
    <n v="361894"/>
    <x v="1"/>
    <s v="Bangalore"/>
    <x v="4"/>
    <s v=" WB"/>
    <x v="2"/>
    <x v="0"/>
    <x v="0"/>
    <x v="0"/>
    <d v="2019-03-02T06:16:51"/>
    <d v="2019-03-04T06:16:51"/>
    <d v="2019-03-05T06:16:51"/>
    <x v="0"/>
    <n v="26"/>
    <n v="108"/>
    <n v="1446.8046535134092"/>
  </r>
  <r>
    <n v="315566"/>
    <x v="1"/>
    <s v="Bangalore"/>
    <x v="2"/>
    <s v=" DL"/>
    <x v="2"/>
    <x v="0"/>
    <x v="0"/>
    <x v="0"/>
    <d v="2019-03-02T06:52:11"/>
    <d v="2019-03-07T06:52:11"/>
    <d v="2019-03-07T06:52:11"/>
    <x v="9"/>
    <n v="46"/>
    <n v="129"/>
    <n v="1983.7920621527312"/>
  </r>
  <r>
    <n v="17581"/>
    <x v="1"/>
    <s v="Delhi"/>
    <x v="0"/>
    <s v=" MH"/>
    <x v="0"/>
    <x v="0"/>
    <x v="1"/>
    <x v="0"/>
    <d v="2019-03-02T06:54:04"/>
    <d v="2019-03-08T06:54:04"/>
    <d v="2019-03-06T06:54:04"/>
    <x v="3"/>
    <n v="84"/>
    <n v="87"/>
    <n v="1300.6101540994032"/>
  </r>
  <r>
    <n v="690015"/>
    <x v="1"/>
    <s v="Delhi"/>
    <x v="3"/>
    <s v=" KA"/>
    <x v="0"/>
    <x v="0"/>
    <x v="1"/>
    <x v="1"/>
    <d v="2019-03-02T07:02:29"/>
    <d v="2019-03-04T07:02:29"/>
    <d v="2019-03-07T07:02:29"/>
    <x v="0"/>
    <n v="83"/>
    <n v="103"/>
    <n v="3263.18"/>
  </r>
  <r>
    <n v="884919"/>
    <x v="1"/>
    <s v="Bangalore"/>
    <x v="2"/>
    <s v=" DL"/>
    <x v="1"/>
    <x v="0"/>
    <x v="2"/>
    <x v="1"/>
    <d v="2019-03-02T07:53:50"/>
    <d v="2019-03-11T07:53:50"/>
    <d v="2019-03-05T07:53:50"/>
    <x v="1"/>
    <n v="33"/>
    <n v="129"/>
    <n v="1454.97"/>
  </r>
  <r>
    <n v="946703"/>
    <x v="1"/>
    <s v="Bangalore"/>
    <x v="4"/>
    <s v=" WB"/>
    <x v="1"/>
    <x v="0"/>
    <x v="1"/>
    <x v="0"/>
    <d v="2019-03-02T07:55:58"/>
    <d v="2019-03-04T07:55:58"/>
    <d v="2019-03-06T07:55:58"/>
    <x v="0"/>
    <n v="44"/>
    <n v="110"/>
    <n v="1739.6072353431832"/>
  </r>
  <r>
    <n v="2121"/>
    <x v="1"/>
    <s v="Delhi"/>
    <x v="2"/>
    <s v=" DL"/>
    <x v="1"/>
    <x v="0"/>
    <x v="2"/>
    <x v="1"/>
    <d v="2019-03-02T08:01:41"/>
    <d v="2019-03-05T08:01:41"/>
    <d v="2019-03-06T08:01:41"/>
    <x v="4"/>
    <n v="0"/>
    <n v="127"/>
    <n v="1018.96"/>
  </r>
  <r>
    <n v="741212"/>
    <x v="1"/>
    <s v="Bangalore"/>
    <x v="4"/>
    <s v=" WB"/>
    <x v="0"/>
    <x v="0"/>
    <x v="0"/>
    <x v="0"/>
    <d v="2019-03-02T08:25:41"/>
    <d v="2019-03-10T08:25:41"/>
    <d v="2019-03-06T08:25:41"/>
    <x v="5"/>
    <n v="32"/>
    <n v="111"/>
    <n v="2990.0819549072626"/>
  </r>
  <r>
    <n v="690855"/>
    <x v="1"/>
    <s v="Delhi"/>
    <x v="3"/>
    <s v=" KA"/>
    <x v="1"/>
    <x v="0"/>
    <x v="1"/>
    <x v="1"/>
    <d v="2019-03-02T08:30:06"/>
    <d v="2019-03-06T08:30:06"/>
    <d v="2019-03-08T08:30:06"/>
    <x v="6"/>
    <n v="28"/>
    <n v="129"/>
    <n v="3239.09"/>
  </r>
  <r>
    <n v="700037"/>
    <x v="1"/>
    <s v="Delhi"/>
    <x v="3"/>
    <s v=" KA"/>
    <x v="1"/>
    <x v="0"/>
    <x v="1"/>
    <x v="0"/>
    <d v="2019-03-02T08:32:12"/>
    <d v="2019-03-06T08:32:12"/>
    <d v="2019-03-08T08:32:12"/>
    <x v="6"/>
    <n v="37"/>
    <n v="129"/>
    <n v="422.39827044099798"/>
  </r>
  <r>
    <n v="817329"/>
    <x v="1"/>
    <s v="Bangalore"/>
    <x v="0"/>
    <s v=" MH"/>
    <x v="1"/>
    <x v="0"/>
    <x v="1"/>
    <x v="1"/>
    <d v="2019-03-02T08:58:18"/>
    <d v="2019-03-09T08:58:18"/>
    <d v="2019-03-07T08:58:18"/>
    <x v="8"/>
    <n v="31"/>
    <n v="105"/>
    <n v="2664.33"/>
  </r>
  <r>
    <n v="97849"/>
    <x v="1"/>
    <s v="Bangalore"/>
    <x v="1"/>
    <s v=" TN"/>
    <x v="0"/>
    <x v="0"/>
    <x v="1"/>
    <x v="0"/>
    <d v="2019-03-02T09:32:27"/>
    <d v="2019-03-12T09:32:27"/>
    <d v="2019-03-08T09:32:27"/>
    <x v="7"/>
    <n v="67"/>
    <n v="106"/>
    <n v="522.59618058487854"/>
  </r>
  <r>
    <n v="778514"/>
    <x v="1"/>
    <s v="Delhi"/>
    <x v="3"/>
    <s v=" KA"/>
    <x v="2"/>
    <x v="0"/>
    <x v="0"/>
    <x v="0"/>
    <d v="2019-03-02T09:38:02"/>
    <d v="2019-03-12T09:38:02"/>
    <d v="2019-03-08T09:38:02"/>
    <x v="7"/>
    <n v="33"/>
    <n v="126"/>
    <n v="3362.5684945406751"/>
  </r>
  <r>
    <n v="168644"/>
    <x v="1"/>
    <s v="Bangalore"/>
    <x v="0"/>
    <s v=" MH"/>
    <x v="0"/>
    <x v="0"/>
    <x v="0"/>
    <x v="0"/>
    <d v="2019-03-02T09:52:03"/>
    <d v="2019-03-04T09:52:03"/>
    <d v="2019-03-05T09:52:03"/>
    <x v="0"/>
    <n v="48"/>
    <n v="111"/>
    <n v="1466.0320772139644"/>
  </r>
  <r>
    <n v="171752"/>
    <x v="1"/>
    <s v="Bangalore"/>
    <x v="3"/>
    <s v=" KA"/>
    <x v="0"/>
    <x v="0"/>
    <x v="0"/>
    <x v="0"/>
    <d v="2019-03-02T09:56:30"/>
    <d v="2019-03-03T09:56:30"/>
    <d v="2019-03-06T09:56:30"/>
    <x v="2"/>
    <n v="0"/>
    <n v="122"/>
    <n v="337.57356439807734"/>
  </r>
  <r>
    <n v="514739"/>
    <x v="1"/>
    <s v="Bangalore"/>
    <x v="2"/>
    <s v=" DL"/>
    <x v="1"/>
    <x v="0"/>
    <x v="1"/>
    <x v="0"/>
    <d v="2019-03-02T10:03:04"/>
    <d v="2019-03-09T10:03:04"/>
    <d v="2019-03-05T10:03:04"/>
    <x v="8"/>
    <n v="49"/>
    <n v="122"/>
    <n v="3247.1099467574491"/>
  </r>
  <r>
    <n v="863056"/>
    <x v="1"/>
    <s v="Delhi"/>
    <x v="0"/>
    <s v=" MH"/>
    <x v="0"/>
    <x v="0"/>
    <x v="0"/>
    <x v="0"/>
    <d v="2019-03-02T10:59:02"/>
    <d v="2019-03-04T10:59:02"/>
    <d v="2019-03-05T10:59:02"/>
    <x v="0"/>
    <n v="50"/>
    <n v="109"/>
    <n v="1062.5756070396787"/>
  </r>
  <r>
    <n v="103874"/>
    <x v="1"/>
    <s v="Delhi"/>
    <x v="0"/>
    <s v=" MH"/>
    <x v="2"/>
    <x v="0"/>
    <x v="0"/>
    <x v="0"/>
    <d v="2019-03-02T11:01:03"/>
    <d v="2019-03-07T11:01:03"/>
    <d v="2019-03-08T11:01:03"/>
    <x v="9"/>
    <n v="50"/>
    <n v="109"/>
    <n v="1015.8518164521512"/>
  </r>
  <r>
    <n v="986798"/>
    <x v="1"/>
    <s v="Bangalore"/>
    <x v="2"/>
    <s v=" DL"/>
    <x v="2"/>
    <x v="0"/>
    <x v="0"/>
    <x v="0"/>
    <d v="2019-03-02T11:35:03"/>
    <d v="2019-03-10T11:35:03"/>
    <d v="2019-03-06T11:35:03"/>
    <x v="5"/>
    <n v="34"/>
    <n v="128"/>
    <n v="2628.5550985868795"/>
  </r>
  <r>
    <n v="480743"/>
    <x v="1"/>
    <s v="Bangalore"/>
    <x v="1"/>
    <s v=" TN"/>
    <x v="1"/>
    <x v="0"/>
    <x v="1"/>
    <x v="0"/>
    <d v="2019-03-02T11:52:20"/>
    <d v="2019-03-08T11:52:20"/>
    <d v="2019-03-09T11:52:20"/>
    <x v="3"/>
    <n v="41"/>
    <n v="127"/>
    <n v="580.46581310745034"/>
  </r>
  <r>
    <n v="6016"/>
    <x v="1"/>
    <s v="Delhi"/>
    <x v="0"/>
    <s v=" MH"/>
    <x v="0"/>
    <x v="0"/>
    <x v="0"/>
    <x v="0"/>
    <d v="2019-03-02T11:54:26"/>
    <d v="2019-03-07T11:54:26"/>
    <d v="2019-03-05T11:54:26"/>
    <x v="9"/>
    <n v="29"/>
    <n v="114"/>
    <n v="1981.2472923838641"/>
  </r>
  <r>
    <n v="581019"/>
    <x v="1"/>
    <s v="Delhi"/>
    <x v="2"/>
    <s v=" DL"/>
    <x v="1"/>
    <x v="0"/>
    <x v="1"/>
    <x v="1"/>
    <d v="2019-03-02T12:24:03"/>
    <d v="2019-03-07T12:24:03"/>
    <d v="2019-03-08T12:24:03"/>
    <x v="9"/>
    <n v="0"/>
    <n v="129"/>
    <n v="2623.5"/>
  </r>
  <r>
    <n v="292495"/>
    <x v="1"/>
    <s v="Delhi"/>
    <x v="0"/>
    <s v=" MH"/>
    <x v="1"/>
    <x v="0"/>
    <x v="2"/>
    <x v="0"/>
    <d v="2019-03-02T12:47:45"/>
    <d v="2019-03-10T12:47:45"/>
    <d v="2019-03-07T12:47:45"/>
    <x v="5"/>
    <n v="41"/>
    <n v="107"/>
    <n v="626.48902619262526"/>
  </r>
  <r>
    <n v="921714"/>
    <x v="1"/>
    <s v="Delhi"/>
    <x v="0"/>
    <s v=" MH"/>
    <x v="2"/>
    <x v="0"/>
    <x v="0"/>
    <x v="1"/>
    <d v="2019-03-02T13:24:56"/>
    <d v="2019-03-11T13:24:56"/>
    <d v="2019-03-05T13:24:56"/>
    <x v="1"/>
    <n v="37"/>
    <n v="114"/>
    <n v="3100.3"/>
  </r>
  <r>
    <n v="62892"/>
    <x v="1"/>
    <s v="Bangalore"/>
    <x v="0"/>
    <s v=" MH"/>
    <x v="0"/>
    <x v="0"/>
    <x v="0"/>
    <x v="1"/>
    <d v="2019-03-02T13:25:37"/>
    <d v="2019-03-04T13:25:37"/>
    <d v="2019-03-08T13:25:37"/>
    <x v="0"/>
    <n v="70"/>
    <n v="95"/>
    <n v="2826.98"/>
  </r>
  <r>
    <n v="812617"/>
    <x v="1"/>
    <s v="Delhi"/>
    <x v="2"/>
    <s v=" DL"/>
    <x v="1"/>
    <x v="0"/>
    <x v="1"/>
    <x v="0"/>
    <d v="2019-03-02T13:30:05"/>
    <d v="2019-03-06T13:30:05"/>
    <d v="2019-03-05T13:30:05"/>
    <x v="6"/>
    <n v="0"/>
    <n v="128"/>
    <n v="961.92754660748449"/>
  </r>
  <r>
    <n v="458791"/>
    <x v="1"/>
    <s v="Delhi"/>
    <x v="0"/>
    <s v=" MH"/>
    <x v="1"/>
    <x v="0"/>
    <x v="1"/>
    <x v="0"/>
    <d v="2019-03-02T13:39:31"/>
    <d v="2019-03-07T13:39:31"/>
    <d v="2019-03-08T13:39:31"/>
    <x v="9"/>
    <n v="42"/>
    <n v="114"/>
    <n v="1832.9751428365801"/>
  </r>
  <r>
    <n v="556119"/>
    <x v="1"/>
    <s v="Delhi"/>
    <x v="0"/>
    <s v=" MH"/>
    <x v="1"/>
    <x v="0"/>
    <x v="1"/>
    <x v="1"/>
    <d v="2019-03-02T13:41:56"/>
    <d v="2019-03-09T13:41:56"/>
    <d v="2019-03-06T13:41:56"/>
    <x v="8"/>
    <n v="48"/>
    <n v="113"/>
    <n v="2057.88"/>
  </r>
  <r>
    <n v="152544"/>
    <x v="1"/>
    <s v="Delhi"/>
    <x v="2"/>
    <s v=" DL"/>
    <x v="0"/>
    <x v="0"/>
    <x v="0"/>
    <x v="1"/>
    <d v="2019-03-02T13:46:35"/>
    <d v="2019-03-02T13:46:35"/>
    <d v="2019-03-05T13:46:35"/>
    <x v="10"/>
    <n v="0"/>
    <n v="127"/>
    <n v="1452.97"/>
  </r>
  <r>
    <n v="42556"/>
    <x v="1"/>
    <s v="Delhi"/>
    <x v="0"/>
    <s v=" MH"/>
    <x v="0"/>
    <x v="0"/>
    <x v="0"/>
    <x v="0"/>
    <d v="2019-03-02T14:24:15"/>
    <d v="2019-03-07T14:24:15"/>
    <d v="2019-03-05T14:24:15"/>
    <x v="9"/>
    <n v="31"/>
    <n v="110"/>
    <n v="302.27700493962811"/>
  </r>
  <r>
    <n v="331969"/>
    <x v="1"/>
    <s v="Delhi"/>
    <x v="2"/>
    <s v=" DL"/>
    <x v="1"/>
    <x v="0"/>
    <x v="1"/>
    <x v="0"/>
    <d v="2019-03-02T15:02:44"/>
    <d v="2019-03-09T15:02:44"/>
    <d v="2019-03-07T15:02:44"/>
    <x v="8"/>
    <n v="0"/>
    <n v="121"/>
    <n v="509.86313735958817"/>
  </r>
  <r>
    <n v="540548"/>
    <x v="1"/>
    <s v="Delhi"/>
    <x v="1"/>
    <s v=" TN"/>
    <x v="0"/>
    <x v="0"/>
    <x v="0"/>
    <x v="0"/>
    <d v="2019-03-02T15:14:46"/>
    <d v="2019-03-07T15:14:46"/>
    <d v="2019-03-08T15:14:46"/>
    <x v="9"/>
    <n v="43"/>
    <n v="120"/>
    <n v="1990.8845406201831"/>
  </r>
  <r>
    <n v="413544"/>
    <x v="1"/>
    <s v="Bangalore"/>
    <x v="0"/>
    <s v=" MH"/>
    <x v="0"/>
    <x v="0"/>
    <x v="0"/>
    <x v="1"/>
    <d v="2019-03-02T15:32:38"/>
    <d v="2019-03-08T15:32:38"/>
    <d v="2019-03-08T15:32:38"/>
    <x v="3"/>
    <n v="35"/>
    <n v="109"/>
    <n v="3530.33"/>
  </r>
  <r>
    <n v="905641"/>
    <x v="1"/>
    <s v="Bangalore"/>
    <x v="0"/>
    <s v=" MH"/>
    <x v="1"/>
    <x v="0"/>
    <x v="1"/>
    <x v="0"/>
    <d v="2019-03-02T15:35:02"/>
    <d v="2019-03-06T15:35:02"/>
    <d v="2019-03-06T15:35:02"/>
    <x v="6"/>
    <n v="27"/>
    <n v="106"/>
    <n v="1286.7236041703163"/>
  </r>
  <r>
    <n v="302549"/>
    <x v="1"/>
    <s v="Bangalore"/>
    <x v="0"/>
    <s v=" MH"/>
    <x v="1"/>
    <x v="0"/>
    <x v="1"/>
    <x v="0"/>
    <d v="2019-03-02T16:06:41"/>
    <d v="2019-03-07T16:06:41"/>
    <d v="2019-03-05T16:06:41"/>
    <x v="9"/>
    <n v="26"/>
    <n v="113"/>
    <n v="3347.7256966616046"/>
  </r>
  <r>
    <n v="429129"/>
    <x v="1"/>
    <s v="Bangalore"/>
    <x v="0"/>
    <s v=" MH"/>
    <x v="0"/>
    <x v="0"/>
    <x v="1"/>
    <x v="1"/>
    <d v="2019-03-02T16:14:22"/>
    <d v="2019-03-08T16:14:22"/>
    <d v="2019-03-08T16:14:22"/>
    <x v="3"/>
    <n v="74"/>
    <n v="93"/>
    <n v="1848.34"/>
  </r>
  <r>
    <n v="751062"/>
    <x v="1"/>
    <s v="Bangalore"/>
    <x v="0"/>
    <s v=" MH"/>
    <x v="2"/>
    <x v="0"/>
    <x v="0"/>
    <x v="1"/>
    <d v="2019-03-02T16:19:46"/>
    <d v="2019-03-09T16:19:46"/>
    <d v="2019-03-05T16:19:46"/>
    <x v="8"/>
    <n v="48"/>
    <n v="109"/>
    <n v="1123.24"/>
  </r>
  <r>
    <n v="599300"/>
    <x v="1"/>
    <s v="Delhi"/>
    <x v="1"/>
    <s v=" TN"/>
    <x v="0"/>
    <x v="0"/>
    <x v="0"/>
    <x v="0"/>
    <d v="2019-03-02T16:33:19"/>
    <d v="2019-03-10T16:33:19"/>
    <d v="2019-03-07T16:33:19"/>
    <x v="5"/>
    <n v="31"/>
    <n v="124"/>
    <n v="546.93448384877252"/>
  </r>
  <r>
    <n v="769710"/>
    <x v="1"/>
    <s v="Bangalore"/>
    <x v="0"/>
    <s v=" MH"/>
    <x v="0"/>
    <x v="0"/>
    <x v="0"/>
    <x v="1"/>
    <d v="2019-03-02T16:33:43"/>
    <d v="2019-03-06T16:33:43"/>
    <d v="2019-03-06T16:33:43"/>
    <x v="6"/>
    <n v="65"/>
    <n v="92"/>
    <n v="3198.79"/>
  </r>
  <r>
    <n v="139553"/>
    <x v="1"/>
    <s v="Delhi"/>
    <x v="2"/>
    <s v=" DL"/>
    <x v="1"/>
    <x v="0"/>
    <x v="1"/>
    <x v="0"/>
    <d v="2019-03-02T16:53:38"/>
    <d v="2019-03-09T16:53:38"/>
    <d v="2019-03-08T16:53:38"/>
    <x v="8"/>
    <n v="0"/>
    <n v="127"/>
    <n v="397.09271617017424"/>
  </r>
  <r>
    <n v="144660"/>
    <x v="1"/>
    <s v="Bangalore"/>
    <x v="0"/>
    <s v=" MH"/>
    <x v="0"/>
    <x v="0"/>
    <x v="0"/>
    <x v="1"/>
    <d v="2019-03-02T17:12:46"/>
    <d v="2019-03-04T17:12:46"/>
    <d v="2019-03-06T17:12:46"/>
    <x v="0"/>
    <n v="34"/>
    <n v="111"/>
    <n v="740.7"/>
  </r>
  <r>
    <n v="158778"/>
    <x v="1"/>
    <s v="Delhi"/>
    <x v="3"/>
    <s v=" KA"/>
    <x v="0"/>
    <x v="0"/>
    <x v="0"/>
    <x v="1"/>
    <d v="2019-03-02T17:38:12"/>
    <d v="2019-03-04T17:38:12"/>
    <d v="2019-03-08T17:38:12"/>
    <x v="0"/>
    <n v="65"/>
    <n v="107"/>
    <n v="3512.44"/>
  </r>
  <r>
    <n v="643933"/>
    <x v="1"/>
    <s v="Bangalore"/>
    <x v="0"/>
    <s v=" MH"/>
    <x v="1"/>
    <x v="0"/>
    <x v="1"/>
    <x v="0"/>
    <d v="2019-03-02T17:51:14"/>
    <d v="2019-03-09T17:51:14"/>
    <d v="2019-03-09T17:51:14"/>
    <x v="8"/>
    <n v="40"/>
    <n v="113"/>
    <n v="3179.5341738990637"/>
  </r>
  <r>
    <n v="168759"/>
    <x v="1"/>
    <s v="Bangalore"/>
    <x v="2"/>
    <s v=" DL"/>
    <x v="0"/>
    <x v="0"/>
    <x v="1"/>
    <x v="1"/>
    <d v="2019-03-02T18:02:41"/>
    <d v="2019-03-04T18:02:41"/>
    <d v="2019-03-07T18:02:41"/>
    <x v="0"/>
    <n v="67"/>
    <n v="108"/>
    <n v="3315.21"/>
  </r>
  <r>
    <n v="879102"/>
    <x v="1"/>
    <s v="Delhi"/>
    <x v="3"/>
    <s v=" KA"/>
    <x v="2"/>
    <x v="0"/>
    <x v="0"/>
    <x v="1"/>
    <d v="2019-03-02T18:28:04"/>
    <d v="2019-03-09T18:28:04"/>
    <d v="2019-03-07T18:28:04"/>
    <x v="8"/>
    <n v="46"/>
    <n v="123"/>
    <n v="536.91999999999996"/>
  </r>
  <r>
    <n v="940542"/>
    <x v="1"/>
    <s v="Delhi"/>
    <x v="3"/>
    <s v=" KA"/>
    <x v="2"/>
    <x v="0"/>
    <x v="0"/>
    <x v="1"/>
    <d v="2019-03-02T19:15:13"/>
    <d v="2019-03-08T19:15:13"/>
    <d v="2019-03-08T19:15:13"/>
    <x v="3"/>
    <n v="32"/>
    <n v="123"/>
    <n v="2789.99"/>
  </r>
  <r>
    <n v="559426"/>
    <x v="1"/>
    <s v="Delhi"/>
    <x v="2"/>
    <s v=" DL"/>
    <x v="2"/>
    <x v="0"/>
    <x v="0"/>
    <x v="0"/>
    <d v="2019-03-02T19:15:48"/>
    <d v="2019-03-08T19:15:48"/>
    <d v="2019-03-09T19:15:48"/>
    <x v="3"/>
    <n v="0"/>
    <n v="123"/>
    <n v="1836.8734898051475"/>
  </r>
  <r>
    <n v="981674"/>
    <x v="1"/>
    <s v="Delhi"/>
    <x v="0"/>
    <s v=" MH"/>
    <x v="2"/>
    <x v="0"/>
    <x v="0"/>
    <x v="0"/>
    <d v="2019-03-02T19:25:17"/>
    <d v="2019-03-11T19:25:17"/>
    <d v="2019-03-08T19:25:17"/>
    <x v="1"/>
    <n v="42"/>
    <n v="107"/>
    <n v="516.98717916359647"/>
  </r>
  <r>
    <n v="21039"/>
    <x v="1"/>
    <s v="Delhi"/>
    <x v="2"/>
    <s v=" DL"/>
    <x v="1"/>
    <x v="0"/>
    <x v="1"/>
    <x v="1"/>
    <d v="2019-03-02T19:51:08"/>
    <d v="2019-03-08T19:51:08"/>
    <d v="2019-03-09T19:51:08"/>
    <x v="3"/>
    <n v="0"/>
    <n v="126"/>
    <n v="213.18"/>
  </r>
  <r>
    <n v="560044"/>
    <x v="1"/>
    <s v="Bangalore"/>
    <x v="4"/>
    <s v=" WB"/>
    <x v="0"/>
    <x v="0"/>
    <x v="0"/>
    <x v="0"/>
    <d v="2019-03-02T20:07:28"/>
    <d v="2019-03-11T20:07:28"/>
    <d v="2019-03-06T20:07:28"/>
    <x v="1"/>
    <n v="37"/>
    <n v="109"/>
    <n v="2506.6548304487615"/>
  </r>
  <r>
    <n v="220147"/>
    <x v="1"/>
    <s v="Delhi"/>
    <x v="1"/>
    <s v=" TN"/>
    <x v="1"/>
    <x v="0"/>
    <x v="1"/>
    <x v="0"/>
    <d v="2019-03-02T20:36:16"/>
    <d v="2019-03-08T20:36:16"/>
    <d v="2019-03-07T20:36:16"/>
    <x v="3"/>
    <n v="44"/>
    <n v="125"/>
    <n v="828.880147418256"/>
  </r>
  <r>
    <n v="678169"/>
    <x v="1"/>
    <s v="Bangalore"/>
    <x v="2"/>
    <s v=" DL"/>
    <x v="0"/>
    <x v="0"/>
    <x v="1"/>
    <x v="0"/>
    <d v="2019-03-02T21:00:10"/>
    <d v="2019-03-04T21:00:10"/>
    <d v="2019-03-06T21:00:10"/>
    <x v="0"/>
    <n v="74"/>
    <n v="103"/>
    <n v="2378.3503031632299"/>
  </r>
  <r>
    <n v="386122"/>
    <x v="1"/>
    <s v="Delhi"/>
    <x v="3"/>
    <s v=" KA"/>
    <x v="2"/>
    <x v="0"/>
    <x v="0"/>
    <x v="0"/>
    <d v="2019-03-02T21:06:03"/>
    <d v="2019-03-11T21:06:03"/>
    <d v="2019-03-07T21:06:03"/>
    <x v="1"/>
    <n v="35"/>
    <n v="122"/>
    <n v="1669.1128775171601"/>
  </r>
  <r>
    <n v="640169"/>
    <x v="1"/>
    <s v="Bangalore"/>
    <x v="3"/>
    <s v=" KA"/>
    <x v="1"/>
    <x v="0"/>
    <x v="1"/>
    <x v="0"/>
    <d v="2019-03-02T21:08:46"/>
    <d v="2019-03-03T21:08:46"/>
    <d v="2019-03-07T21:08:46"/>
    <x v="2"/>
    <n v="0"/>
    <n v="122"/>
    <n v="3553.3985577440217"/>
  </r>
  <r>
    <n v="591827"/>
    <x v="1"/>
    <s v="Bangalore"/>
    <x v="0"/>
    <s v=" MH"/>
    <x v="1"/>
    <x v="0"/>
    <x v="1"/>
    <x v="0"/>
    <d v="2019-03-02T21:13:00"/>
    <d v="2019-03-08T21:13:00"/>
    <d v="2019-03-06T21:13:00"/>
    <x v="3"/>
    <n v="27"/>
    <n v="114"/>
    <n v="3590.1349435504394"/>
  </r>
  <r>
    <n v="288381"/>
    <x v="1"/>
    <s v="Delhi"/>
    <x v="0"/>
    <s v=" MH"/>
    <x v="0"/>
    <x v="0"/>
    <x v="1"/>
    <x v="1"/>
    <d v="2019-03-02T22:30:53"/>
    <d v="2019-03-08T22:30:53"/>
    <d v="2019-03-07T22:30:53"/>
    <x v="3"/>
    <n v="68"/>
    <n v="85"/>
    <n v="2778.83"/>
  </r>
  <r>
    <n v="506341"/>
    <x v="1"/>
    <s v="Bangalore"/>
    <x v="3"/>
    <s v=" KA"/>
    <x v="0"/>
    <x v="0"/>
    <x v="1"/>
    <x v="0"/>
    <d v="2019-03-02T22:34:30"/>
    <d v="2019-03-07T22:34:30"/>
    <d v="2019-03-06T22:34:30"/>
    <x v="9"/>
    <n v="0"/>
    <n v="107"/>
    <n v="1119.3601599842432"/>
  </r>
  <r>
    <n v="669445"/>
    <x v="1"/>
    <s v="Delhi"/>
    <x v="0"/>
    <s v=" MH"/>
    <x v="0"/>
    <x v="0"/>
    <x v="2"/>
    <x v="0"/>
    <d v="2019-03-02T22:38:57"/>
    <d v="2019-03-04T22:38:57"/>
    <d v="2019-03-09T22:38:57"/>
    <x v="0"/>
    <n v="83"/>
    <n v="88"/>
    <n v="3354.8452249604302"/>
  </r>
  <r>
    <n v="141160"/>
    <x v="1"/>
    <s v="Bangalore"/>
    <x v="3"/>
    <s v=" KA"/>
    <x v="0"/>
    <x v="0"/>
    <x v="0"/>
    <x v="0"/>
    <d v="2019-03-02T22:41:37"/>
    <d v="2019-03-02T22:41:37"/>
    <d v="2019-03-06T22:41:37"/>
    <x v="10"/>
    <n v="0"/>
    <n v="103"/>
    <n v="3448.1911729463031"/>
  </r>
  <r>
    <n v="921489"/>
    <x v="1"/>
    <s v="Bangalore"/>
    <x v="2"/>
    <s v=" DL"/>
    <x v="1"/>
    <x v="0"/>
    <x v="1"/>
    <x v="1"/>
    <d v="2019-03-02T22:49:37"/>
    <d v="2019-03-07T22:49:37"/>
    <d v="2019-03-06T22:49:37"/>
    <x v="9"/>
    <n v="27"/>
    <n v="124"/>
    <n v="720.12"/>
  </r>
  <r>
    <n v="496791"/>
    <x v="1"/>
    <s v="Bangalore"/>
    <x v="3"/>
    <s v=" KA"/>
    <x v="1"/>
    <x v="0"/>
    <x v="1"/>
    <x v="1"/>
    <d v="2019-03-02T23:01:02"/>
    <d v="2019-03-04T23:01:02"/>
    <d v="2019-03-09T23:01:02"/>
    <x v="0"/>
    <n v="0"/>
    <n v="122"/>
    <n v="1388.8"/>
  </r>
  <r>
    <n v="926003"/>
    <x v="1"/>
    <s v="Delhi"/>
    <x v="3"/>
    <s v=" KA"/>
    <x v="0"/>
    <x v="0"/>
    <x v="1"/>
    <x v="0"/>
    <d v="2019-03-02T23:12:46"/>
    <d v="2019-03-08T23:12:46"/>
    <d v="2019-03-05T23:12:46"/>
    <x v="3"/>
    <n v="80"/>
    <n v="106"/>
    <n v="1649.7789416180899"/>
  </r>
  <r>
    <n v="180055"/>
    <x v="1"/>
    <s v="Bangalore"/>
    <x v="0"/>
    <s v=" MH"/>
    <x v="1"/>
    <x v="0"/>
    <x v="1"/>
    <x v="0"/>
    <d v="2019-03-02T23:28:37"/>
    <d v="2019-03-10T23:28:37"/>
    <d v="2019-03-06T23:28:37"/>
    <x v="5"/>
    <n v="39"/>
    <n v="107"/>
    <n v="1662.5974123522878"/>
  </r>
  <r>
    <n v="790550"/>
    <x v="1"/>
    <s v="Bangalore"/>
    <x v="4"/>
    <s v=" WB"/>
    <x v="2"/>
    <x v="0"/>
    <x v="0"/>
    <x v="0"/>
    <d v="2019-03-02T23:54:25"/>
    <d v="2019-03-09T23:54:25"/>
    <d v="2019-03-07T23:54:25"/>
    <x v="8"/>
    <n v="47"/>
    <n v="108"/>
    <n v="635.68474820669246"/>
  </r>
  <r>
    <n v="972311"/>
    <x v="1"/>
    <s v="Bangalore"/>
    <x v="3"/>
    <s v=" KA"/>
    <x v="1"/>
    <x v="0"/>
    <x v="1"/>
    <x v="0"/>
    <d v="2019-03-03T00:22:51"/>
    <d v="2019-03-07T00:22:51"/>
    <d v="2019-03-09T00:22:51"/>
    <x v="6"/>
    <n v="0"/>
    <n v="127"/>
    <n v="3226.226790553058"/>
  </r>
  <r>
    <n v="177835"/>
    <x v="1"/>
    <s v="Delhi"/>
    <x v="4"/>
    <s v=" WB"/>
    <x v="1"/>
    <x v="0"/>
    <x v="2"/>
    <x v="0"/>
    <d v="2019-03-03T01:01:08"/>
    <d v="2019-03-05T01:01:08"/>
    <d v="2019-03-07T01:01:08"/>
    <x v="0"/>
    <n v="40"/>
    <n v="112"/>
    <n v="1119.5493626930047"/>
  </r>
  <r>
    <n v="512494"/>
    <x v="1"/>
    <s v="Bangalore"/>
    <x v="1"/>
    <s v=" TN"/>
    <x v="0"/>
    <x v="0"/>
    <x v="0"/>
    <x v="0"/>
    <d v="2019-03-03T01:26:30"/>
    <d v="2019-03-10T01:26:30"/>
    <d v="2019-03-09T01:26:30"/>
    <x v="8"/>
    <n v="71"/>
    <n v="107"/>
    <n v="3360.2410967319233"/>
  </r>
  <r>
    <n v="420969"/>
    <x v="1"/>
    <s v="Delhi"/>
    <x v="0"/>
    <s v=" MH"/>
    <x v="0"/>
    <x v="0"/>
    <x v="1"/>
    <x v="1"/>
    <d v="2019-03-03T01:43:16"/>
    <d v="2019-03-06T01:43:16"/>
    <d v="2019-03-08T01:43:16"/>
    <x v="4"/>
    <n v="76"/>
    <n v="91"/>
    <n v="501.11"/>
  </r>
  <r>
    <n v="424689"/>
    <x v="1"/>
    <s v="Delhi"/>
    <x v="1"/>
    <s v=" TN"/>
    <x v="1"/>
    <x v="0"/>
    <x v="1"/>
    <x v="1"/>
    <d v="2019-03-03T01:48:39"/>
    <d v="2019-03-05T01:48:39"/>
    <d v="2019-03-06T01:48:39"/>
    <x v="0"/>
    <n v="33"/>
    <n v="124"/>
    <n v="1703.32"/>
  </r>
  <r>
    <n v="39130"/>
    <x v="1"/>
    <s v="Bangalore"/>
    <x v="1"/>
    <s v=" TN"/>
    <x v="2"/>
    <x v="0"/>
    <x v="0"/>
    <x v="0"/>
    <d v="2019-03-03T02:17:02"/>
    <d v="2019-03-06T02:17:02"/>
    <d v="2019-03-10T02:17:02"/>
    <x v="4"/>
    <n v="9999"/>
    <n v="128"/>
    <n v="3272.8225989268772"/>
  </r>
  <r>
    <n v="195198"/>
    <x v="1"/>
    <s v="Delhi"/>
    <x v="2"/>
    <s v=" DL"/>
    <x v="0"/>
    <x v="0"/>
    <x v="0"/>
    <x v="1"/>
    <d v="2019-03-03T02:18:52"/>
    <d v="2019-03-03T02:18:52"/>
    <d v="2019-03-08T02:18:52"/>
    <x v="10"/>
    <n v="0"/>
    <n v="109"/>
    <n v="1915.04"/>
  </r>
  <r>
    <n v="573062"/>
    <x v="1"/>
    <s v="Delhi"/>
    <x v="2"/>
    <s v=" DL"/>
    <x v="0"/>
    <x v="0"/>
    <x v="0"/>
    <x v="0"/>
    <d v="2019-03-03T02:34:33"/>
    <d v="2019-03-06T02:34:33"/>
    <d v="2019-03-09T02:34:33"/>
    <x v="4"/>
    <n v="0"/>
    <n v="102"/>
    <n v="1756.697501191172"/>
  </r>
  <r>
    <n v="750050"/>
    <x v="1"/>
    <s v="Delhi"/>
    <x v="2"/>
    <s v=" DL"/>
    <x v="0"/>
    <x v="0"/>
    <x v="0"/>
    <x v="0"/>
    <d v="2019-03-03T03:31:49"/>
    <d v="2019-03-06T03:31:49"/>
    <d v="2019-03-06T03:31:49"/>
    <x v="4"/>
    <n v="0"/>
    <n v="104"/>
    <n v="3772.0850390338383"/>
  </r>
  <r>
    <n v="895585"/>
    <x v="1"/>
    <s v="Delhi"/>
    <x v="2"/>
    <s v=" DL"/>
    <x v="1"/>
    <x v="0"/>
    <x v="1"/>
    <x v="0"/>
    <d v="2019-03-03T03:35:10"/>
    <d v="2019-03-09T03:35:10"/>
    <d v="2019-03-07T03:35:10"/>
    <x v="3"/>
    <n v="0"/>
    <n v="121"/>
    <n v="3495.899458084235"/>
  </r>
  <r>
    <n v="902673"/>
    <x v="1"/>
    <s v="Bangalore"/>
    <x v="3"/>
    <s v=" KA"/>
    <x v="1"/>
    <x v="0"/>
    <x v="1"/>
    <x v="1"/>
    <d v="2019-03-03T03:49:58"/>
    <d v="2019-03-05T03:49:58"/>
    <d v="2019-03-07T03:49:58"/>
    <x v="0"/>
    <n v="0"/>
    <n v="122"/>
    <n v="2313.9"/>
  </r>
  <r>
    <n v="641698"/>
    <x v="1"/>
    <s v="Bangalore"/>
    <x v="1"/>
    <s v=" TN"/>
    <x v="2"/>
    <x v="0"/>
    <x v="0"/>
    <x v="0"/>
    <d v="2019-03-03T03:57:52"/>
    <d v="2019-03-09T03:57:52"/>
    <d v="2019-03-08T03:57:52"/>
    <x v="3"/>
    <n v="40"/>
    <n v="123"/>
    <n v="1206.0230050773723"/>
  </r>
  <r>
    <n v="866387"/>
    <x v="1"/>
    <s v="Bangalore"/>
    <x v="1"/>
    <s v=" TN"/>
    <x v="0"/>
    <x v="0"/>
    <x v="1"/>
    <x v="0"/>
    <d v="2019-03-03T04:09:55"/>
    <d v="2019-03-10T04:09:55"/>
    <d v="2019-03-06T04:09:55"/>
    <x v="8"/>
    <n v="67"/>
    <n v="104"/>
    <n v="1224.3869085205915"/>
  </r>
  <r>
    <n v="868986"/>
    <x v="1"/>
    <s v="Delhi"/>
    <x v="4"/>
    <s v=" WB"/>
    <x v="2"/>
    <x v="0"/>
    <x v="0"/>
    <x v="1"/>
    <d v="2019-03-03T04:10:35"/>
    <d v="2019-03-08T04:10:35"/>
    <d v="2019-03-08T04:10:35"/>
    <x v="9"/>
    <n v="38"/>
    <n v="110"/>
    <n v="3434.13"/>
  </r>
  <r>
    <n v="116628"/>
    <x v="1"/>
    <s v="Bangalore"/>
    <x v="3"/>
    <s v=" KA"/>
    <x v="0"/>
    <x v="0"/>
    <x v="0"/>
    <x v="1"/>
    <d v="2019-03-03T05:28:43"/>
    <d v="2019-03-06T05:28:43"/>
    <d v="2019-03-09T05:28:43"/>
    <x v="4"/>
    <n v="0"/>
    <n v="104"/>
    <n v="1668.47"/>
  </r>
  <r>
    <n v="759711"/>
    <x v="1"/>
    <s v="Delhi"/>
    <x v="2"/>
    <s v=" DL"/>
    <x v="0"/>
    <x v="0"/>
    <x v="1"/>
    <x v="1"/>
    <d v="2019-03-03T05:36:36"/>
    <d v="2019-03-04T05:36:36"/>
    <d v="2019-03-09T05:36:36"/>
    <x v="2"/>
    <n v="0"/>
    <n v="102"/>
    <n v="1354.46"/>
  </r>
  <r>
    <n v="102882"/>
    <x v="1"/>
    <s v="Delhi"/>
    <x v="3"/>
    <s v=" KA"/>
    <x v="0"/>
    <x v="0"/>
    <x v="0"/>
    <x v="1"/>
    <d v="2019-03-03T05:39:12"/>
    <d v="2019-03-05T05:39:12"/>
    <d v="2019-03-10T05:39:12"/>
    <x v="0"/>
    <n v="79"/>
    <n v="105"/>
    <n v="3599.72"/>
  </r>
  <r>
    <n v="197993"/>
    <x v="1"/>
    <s v="Delhi"/>
    <x v="2"/>
    <s v=" DL"/>
    <x v="1"/>
    <x v="0"/>
    <x v="1"/>
    <x v="0"/>
    <d v="2019-03-03T06:12:10"/>
    <d v="2019-03-05T06:12:10"/>
    <d v="2019-03-08T06:12:10"/>
    <x v="0"/>
    <n v="0"/>
    <n v="128"/>
    <n v="3242.9801822067516"/>
  </r>
  <r>
    <n v="202739"/>
    <x v="1"/>
    <s v="Delhi"/>
    <x v="3"/>
    <s v=" KA"/>
    <x v="0"/>
    <x v="0"/>
    <x v="1"/>
    <x v="0"/>
    <d v="2019-03-03T06:38:03"/>
    <d v="2019-03-05T06:38:03"/>
    <d v="2019-03-09T06:38:03"/>
    <x v="0"/>
    <n v="87"/>
    <n v="104"/>
    <n v="2049.007019106481"/>
  </r>
  <r>
    <n v="376307"/>
    <x v="1"/>
    <s v="Delhi"/>
    <x v="2"/>
    <s v=" DL"/>
    <x v="1"/>
    <x v="0"/>
    <x v="1"/>
    <x v="0"/>
    <d v="2019-03-03T06:41:05"/>
    <d v="2019-03-07T06:41:05"/>
    <d v="2019-03-06T06:41:05"/>
    <x v="6"/>
    <n v="0"/>
    <n v="129"/>
    <n v="3104.443732296128"/>
  </r>
  <r>
    <n v="257892"/>
    <x v="1"/>
    <s v="Delhi"/>
    <x v="4"/>
    <s v=" WB"/>
    <x v="0"/>
    <x v="0"/>
    <x v="0"/>
    <x v="1"/>
    <d v="2019-03-03T06:51:58"/>
    <d v="2019-03-07T06:51:58"/>
    <d v="2019-03-06T06:51:58"/>
    <x v="6"/>
    <n v="41"/>
    <n v="107"/>
    <n v="1572.05"/>
  </r>
  <r>
    <n v="731339"/>
    <x v="1"/>
    <s v="Bangalore"/>
    <x v="0"/>
    <s v=" MH"/>
    <x v="1"/>
    <x v="0"/>
    <x v="2"/>
    <x v="0"/>
    <d v="2019-03-03T07:13:30"/>
    <d v="2019-03-12T07:13:30"/>
    <d v="2019-03-06T07:13:30"/>
    <x v="1"/>
    <n v="28"/>
    <n v="113"/>
    <n v="514.34442447024617"/>
  </r>
  <r>
    <n v="277235"/>
    <x v="1"/>
    <s v="Delhi"/>
    <x v="1"/>
    <s v=" TN"/>
    <x v="1"/>
    <x v="0"/>
    <x v="2"/>
    <x v="0"/>
    <d v="2019-03-03T07:25:55"/>
    <d v="2019-03-06T07:25:55"/>
    <d v="2019-03-07T07:25:55"/>
    <x v="4"/>
    <n v="36"/>
    <n v="126"/>
    <n v="1214.3281768982845"/>
  </r>
  <r>
    <n v="945904"/>
    <x v="1"/>
    <s v="Delhi"/>
    <x v="3"/>
    <s v=" KA"/>
    <x v="0"/>
    <x v="0"/>
    <x v="0"/>
    <x v="0"/>
    <d v="2019-03-03T07:28:48"/>
    <d v="2019-03-07T07:28:48"/>
    <d v="2019-03-07T07:28:48"/>
    <x v="6"/>
    <n v="62"/>
    <n v="106"/>
    <n v="2127.4573861791114"/>
  </r>
  <r>
    <n v="904751"/>
    <x v="1"/>
    <s v="Bangalore"/>
    <x v="4"/>
    <s v=" WB"/>
    <x v="0"/>
    <x v="0"/>
    <x v="1"/>
    <x v="0"/>
    <d v="2019-03-03T07:50:15"/>
    <d v="2019-03-08T07:50:15"/>
    <d v="2019-03-09T07:50:15"/>
    <x v="9"/>
    <n v="65"/>
    <n v="89"/>
    <n v="1011.3207228046712"/>
  </r>
  <r>
    <n v="660349"/>
    <x v="1"/>
    <s v="Bangalore"/>
    <x v="2"/>
    <s v=" DL"/>
    <x v="1"/>
    <x v="0"/>
    <x v="1"/>
    <x v="0"/>
    <d v="2019-03-03T08:35:02"/>
    <d v="2019-03-12T08:35:02"/>
    <d v="2019-03-08T08:35:02"/>
    <x v="1"/>
    <n v="26"/>
    <n v="127"/>
    <n v="3268.739729474039"/>
  </r>
  <r>
    <n v="99598"/>
    <x v="1"/>
    <s v="Bangalore"/>
    <x v="2"/>
    <s v=" DL"/>
    <x v="2"/>
    <x v="0"/>
    <x v="0"/>
    <x v="0"/>
    <d v="2019-03-03T08:58:12"/>
    <d v="2019-03-07T08:58:12"/>
    <d v="2019-03-06T08:58:12"/>
    <x v="6"/>
    <n v="29"/>
    <n v="125"/>
    <n v="1807.4766291863691"/>
  </r>
  <r>
    <n v="93123"/>
    <x v="1"/>
    <s v="Bangalore"/>
    <x v="2"/>
    <s v=" DL"/>
    <x v="1"/>
    <x v="0"/>
    <x v="1"/>
    <x v="1"/>
    <d v="2019-03-03T09:14:46"/>
    <d v="2019-03-10T09:14:46"/>
    <d v="2019-03-08T09:14:46"/>
    <x v="8"/>
    <n v="36"/>
    <n v="124"/>
    <n v="3151.99"/>
  </r>
  <r>
    <n v="885892"/>
    <x v="1"/>
    <s v="Delhi"/>
    <x v="2"/>
    <s v=" DL"/>
    <x v="0"/>
    <x v="0"/>
    <x v="0"/>
    <x v="0"/>
    <d v="2019-03-03T09:20:14"/>
    <d v="2019-03-06T09:20:14"/>
    <d v="2019-03-06T09:20:14"/>
    <x v="4"/>
    <n v="0"/>
    <n v="110"/>
    <n v="1953.3257171459568"/>
  </r>
  <r>
    <n v="450661"/>
    <x v="1"/>
    <s v="Bangalore"/>
    <x v="0"/>
    <s v=" MH"/>
    <x v="1"/>
    <x v="0"/>
    <x v="1"/>
    <x v="0"/>
    <d v="2019-03-03T09:28:34"/>
    <d v="2019-03-09T09:28:34"/>
    <d v="2019-03-07T09:28:34"/>
    <x v="3"/>
    <n v="29"/>
    <n v="108"/>
    <n v="1629.0411442453396"/>
  </r>
  <r>
    <n v="793824"/>
    <x v="1"/>
    <s v="Delhi"/>
    <x v="1"/>
    <s v=" TN"/>
    <x v="0"/>
    <x v="0"/>
    <x v="0"/>
    <x v="1"/>
    <d v="2019-03-03T09:28:42"/>
    <d v="2019-03-10T09:28:42"/>
    <d v="2019-03-07T09:28:42"/>
    <x v="8"/>
    <n v="50"/>
    <n v="127"/>
    <n v="2419.54"/>
  </r>
  <r>
    <n v="150033"/>
    <x v="1"/>
    <s v="Delhi"/>
    <x v="3"/>
    <s v=" KA"/>
    <x v="0"/>
    <x v="0"/>
    <x v="1"/>
    <x v="1"/>
    <d v="2019-03-03T09:35:48"/>
    <d v="2019-03-05T09:35:48"/>
    <d v="2019-03-10T09:35:48"/>
    <x v="0"/>
    <n v="64"/>
    <n v="109"/>
    <n v="3477.52"/>
  </r>
  <r>
    <n v="44146"/>
    <x v="1"/>
    <s v="Delhi"/>
    <x v="2"/>
    <s v=" DL"/>
    <x v="2"/>
    <x v="0"/>
    <x v="0"/>
    <x v="0"/>
    <d v="2019-03-03T09:46:10"/>
    <d v="2019-03-07T09:46:10"/>
    <d v="2019-03-10T09:46:10"/>
    <x v="6"/>
    <n v="0"/>
    <n v="121"/>
    <n v="594.07461886941508"/>
  </r>
  <r>
    <n v="997988"/>
    <x v="1"/>
    <s v="Bangalore"/>
    <x v="2"/>
    <s v=" DL"/>
    <x v="0"/>
    <x v="0"/>
    <x v="0"/>
    <x v="0"/>
    <d v="2019-03-03T09:52:54"/>
    <d v="2019-03-05T09:52:54"/>
    <d v="2019-03-10T09:52:54"/>
    <x v="0"/>
    <n v="25"/>
    <n v="123"/>
    <n v="298.18591054020544"/>
  </r>
  <r>
    <n v="404320"/>
    <x v="1"/>
    <s v="Delhi"/>
    <x v="2"/>
    <s v=" DL"/>
    <x v="0"/>
    <x v="0"/>
    <x v="0"/>
    <x v="0"/>
    <d v="2019-03-03T09:55:30"/>
    <d v="2019-03-07T09:55:30"/>
    <d v="2019-03-06T09:55:30"/>
    <x v="6"/>
    <n v="0"/>
    <n v="109"/>
    <n v="1047.1297648226691"/>
  </r>
  <r>
    <n v="777108"/>
    <x v="1"/>
    <s v="Bangalore"/>
    <x v="4"/>
    <s v=" WB"/>
    <x v="0"/>
    <x v="0"/>
    <x v="0"/>
    <x v="1"/>
    <d v="2019-03-03T09:59:04"/>
    <d v="2019-03-08T09:59:04"/>
    <d v="2019-03-10T09:59:04"/>
    <x v="9"/>
    <n v="42"/>
    <n v="105"/>
    <n v="2176.56"/>
  </r>
  <r>
    <n v="107707"/>
    <x v="1"/>
    <s v="Bangalore"/>
    <x v="0"/>
    <s v=" MH"/>
    <x v="1"/>
    <x v="0"/>
    <x v="1"/>
    <x v="0"/>
    <d v="2019-03-03T09:59:33"/>
    <d v="2019-03-07T09:59:33"/>
    <d v="2019-03-10T09:59:33"/>
    <x v="6"/>
    <n v="45"/>
    <n v="106"/>
    <n v="3422.4733670037904"/>
  </r>
  <r>
    <n v="372283"/>
    <x v="1"/>
    <s v="Delhi"/>
    <x v="2"/>
    <s v=" DL"/>
    <x v="0"/>
    <x v="0"/>
    <x v="1"/>
    <x v="0"/>
    <d v="2019-03-03T10:07:21"/>
    <d v="2019-03-08T10:07:21"/>
    <d v="2019-03-07T10:07:21"/>
    <x v="9"/>
    <n v="0"/>
    <n v="100"/>
    <n v="3678.7787526991383"/>
  </r>
  <r>
    <n v="74428"/>
    <x v="1"/>
    <s v="Delhi"/>
    <x v="2"/>
    <s v=" DL"/>
    <x v="0"/>
    <x v="0"/>
    <x v="0"/>
    <x v="0"/>
    <d v="2019-03-03T10:27:17"/>
    <d v="2019-03-04T10:27:17"/>
    <d v="2019-03-07T10:27:17"/>
    <x v="2"/>
    <n v="0"/>
    <n v="104"/>
    <n v="666.81883443603078"/>
  </r>
  <r>
    <n v="446698"/>
    <x v="1"/>
    <s v="Delhi"/>
    <x v="3"/>
    <s v=" KA"/>
    <x v="0"/>
    <x v="0"/>
    <x v="0"/>
    <x v="0"/>
    <d v="2019-03-03T10:49:55"/>
    <d v="2019-03-05T10:49:55"/>
    <d v="2019-03-10T10:49:55"/>
    <x v="0"/>
    <n v="75"/>
    <n v="106"/>
    <n v="3280.4026341947379"/>
  </r>
  <r>
    <n v="748905"/>
    <x v="1"/>
    <s v="Bangalore"/>
    <x v="0"/>
    <s v=" MH"/>
    <x v="1"/>
    <x v="0"/>
    <x v="1"/>
    <x v="1"/>
    <d v="2019-03-03T11:10:50"/>
    <d v="2019-03-08T11:10:50"/>
    <d v="2019-03-09T11:10:50"/>
    <x v="9"/>
    <n v="35"/>
    <n v="108"/>
    <n v="1039.48"/>
  </r>
  <r>
    <n v="629337"/>
    <x v="1"/>
    <s v="Delhi"/>
    <x v="0"/>
    <s v=" MH"/>
    <x v="1"/>
    <x v="0"/>
    <x v="1"/>
    <x v="1"/>
    <d v="2019-03-03T11:23:20"/>
    <d v="2019-03-06T11:23:20"/>
    <d v="2019-03-06T11:23:20"/>
    <x v="4"/>
    <n v="25"/>
    <n v="110"/>
    <n v="2480.9299999999998"/>
  </r>
  <r>
    <n v="892748"/>
    <x v="1"/>
    <s v="Delhi"/>
    <x v="2"/>
    <s v=" DL"/>
    <x v="0"/>
    <x v="0"/>
    <x v="0"/>
    <x v="0"/>
    <d v="2019-03-03T11:29:40"/>
    <d v="2019-03-04T11:29:40"/>
    <d v="2019-03-10T11:29:40"/>
    <x v="2"/>
    <n v="0"/>
    <n v="120"/>
    <n v="2499.3789746101315"/>
  </r>
  <r>
    <n v="998219"/>
    <x v="1"/>
    <s v="Bangalore"/>
    <x v="1"/>
    <s v=" TN"/>
    <x v="0"/>
    <x v="0"/>
    <x v="1"/>
    <x v="0"/>
    <d v="2019-03-03T11:57:59"/>
    <d v="2019-03-13T11:57:59"/>
    <d v="2019-03-06T11:57:59"/>
    <x v="7"/>
    <n v="76"/>
    <n v="110"/>
    <n v="3260.0710217457622"/>
  </r>
  <r>
    <n v="781939"/>
    <x v="1"/>
    <s v="Bangalore"/>
    <x v="3"/>
    <s v=" KA"/>
    <x v="0"/>
    <x v="0"/>
    <x v="1"/>
    <x v="0"/>
    <d v="2019-03-03T12:20:34"/>
    <d v="2019-03-08T12:20:34"/>
    <d v="2019-03-06T12:20:34"/>
    <x v="9"/>
    <n v="0"/>
    <n v="106"/>
    <n v="2192.372820322284"/>
  </r>
  <r>
    <n v="43998"/>
    <x v="1"/>
    <s v="Delhi"/>
    <x v="3"/>
    <s v=" KA"/>
    <x v="0"/>
    <x v="0"/>
    <x v="0"/>
    <x v="1"/>
    <d v="2019-03-03T12:49:32"/>
    <d v="2019-03-05T12:49:32"/>
    <d v="2019-03-09T12:49:32"/>
    <x v="0"/>
    <n v="63"/>
    <n v="106"/>
    <n v="845.95"/>
  </r>
  <r>
    <n v="695883"/>
    <x v="1"/>
    <s v="Bangalore"/>
    <x v="0"/>
    <s v=" MH"/>
    <x v="0"/>
    <x v="0"/>
    <x v="1"/>
    <x v="1"/>
    <d v="2019-03-03T12:53:36"/>
    <d v="2019-03-05T12:53:36"/>
    <d v="2019-03-08T12:53:36"/>
    <x v="0"/>
    <n v="69"/>
    <n v="89"/>
    <n v="257"/>
  </r>
  <r>
    <n v="828328"/>
    <x v="1"/>
    <s v="Delhi"/>
    <x v="0"/>
    <s v=" MH"/>
    <x v="0"/>
    <x v="0"/>
    <x v="0"/>
    <x v="0"/>
    <d v="2019-03-03T13:11:45"/>
    <d v="2019-03-05T13:11:45"/>
    <d v="2019-03-08T13:11:45"/>
    <x v="0"/>
    <n v="33"/>
    <n v="112"/>
    <n v="2654.0776646000545"/>
  </r>
  <r>
    <n v="140355"/>
    <x v="1"/>
    <s v="Bangalore"/>
    <x v="1"/>
    <s v=" TN"/>
    <x v="1"/>
    <x v="0"/>
    <x v="1"/>
    <x v="1"/>
    <d v="2019-03-03T13:28:46"/>
    <d v="2019-03-05T13:28:46"/>
    <d v="2019-03-06T13:28:46"/>
    <x v="0"/>
    <n v="46"/>
    <n v="120"/>
    <n v="1274.4100000000001"/>
  </r>
  <r>
    <n v="759844"/>
    <x v="1"/>
    <s v="Delhi"/>
    <x v="2"/>
    <s v=" DL"/>
    <x v="0"/>
    <x v="0"/>
    <x v="0"/>
    <x v="0"/>
    <d v="2019-03-03T13:38:21"/>
    <d v="2019-03-07T13:38:21"/>
    <d v="2019-03-08T13:38:21"/>
    <x v="6"/>
    <n v="0"/>
    <n v="106"/>
    <n v="3197.0785001791705"/>
  </r>
  <r>
    <n v="276564"/>
    <x v="1"/>
    <s v="Delhi"/>
    <x v="2"/>
    <s v=" DL"/>
    <x v="0"/>
    <x v="0"/>
    <x v="0"/>
    <x v="1"/>
    <d v="2019-03-03T13:43:20"/>
    <d v="2019-03-07T13:43:20"/>
    <d v="2019-03-06T13:43:20"/>
    <x v="6"/>
    <n v="0"/>
    <n v="121"/>
    <n v="229.17"/>
  </r>
  <r>
    <n v="347773"/>
    <x v="1"/>
    <s v="Delhi"/>
    <x v="2"/>
    <s v=" DL"/>
    <x v="1"/>
    <x v="0"/>
    <x v="1"/>
    <x v="0"/>
    <d v="2019-03-03T13:55:56"/>
    <d v="2019-03-07T13:55:56"/>
    <d v="2019-03-07T13:55:56"/>
    <x v="6"/>
    <n v="0"/>
    <n v="121"/>
    <n v="1356.0835531858224"/>
  </r>
  <r>
    <n v="450636"/>
    <x v="1"/>
    <s v="Bangalore"/>
    <x v="0"/>
    <s v=" MH"/>
    <x v="0"/>
    <x v="0"/>
    <x v="0"/>
    <x v="1"/>
    <d v="2019-03-03T13:57:39"/>
    <d v="2019-03-05T13:57:39"/>
    <d v="2019-03-09T13:57:39"/>
    <x v="0"/>
    <n v="67"/>
    <n v="91"/>
    <n v="774.98"/>
  </r>
  <r>
    <n v="26305"/>
    <x v="1"/>
    <s v="Bangalore"/>
    <x v="3"/>
    <s v=" KA"/>
    <x v="1"/>
    <x v="0"/>
    <x v="1"/>
    <x v="0"/>
    <d v="2019-03-03T14:21:59"/>
    <d v="2019-03-07T14:21:59"/>
    <d v="2019-03-06T14:21:59"/>
    <x v="6"/>
    <n v="0"/>
    <n v="121"/>
    <n v="2900.7627359324101"/>
  </r>
  <r>
    <n v="558195"/>
    <x v="1"/>
    <s v="Delhi"/>
    <x v="4"/>
    <s v=" WB"/>
    <x v="1"/>
    <x v="0"/>
    <x v="1"/>
    <x v="1"/>
    <d v="2019-03-03T14:27:19"/>
    <d v="2019-03-09T14:27:19"/>
    <d v="2019-03-07T14:27:19"/>
    <x v="3"/>
    <n v="48"/>
    <n v="110"/>
    <n v="393.73"/>
  </r>
  <r>
    <n v="522257"/>
    <x v="1"/>
    <s v="Delhi"/>
    <x v="0"/>
    <s v=" MH"/>
    <x v="1"/>
    <x v="0"/>
    <x v="1"/>
    <x v="0"/>
    <d v="2019-03-03T14:41:38"/>
    <d v="2019-03-08T14:41:38"/>
    <d v="2019-03-10T14:41:38"/>
    <x v="9"/>
    <n v="48"/>
    <n v="107"/>
    <n v="877.03899080731435"/>
  </r>
  <r>
    <n v="869823"/>
    <x v="1"/>
    <s v="Delhi"/>
    <x v="3"/>
    <s v=" KA"/>
    <x v="1"/>
    <x v="0"/>
    <x v="1"/>
    <x v="1"/>
    <d v="2019-03-03T15:08:09"/>
    <d v="2019-03-12T15:08:09"/>
    <d v="2019-03-07T15:08:09"/>
    <x v="1"/>
    <n v="28"/>
    <n v="122"/>
    <n v="2470.9899999999998"/>
  </r>
  <r>
    <n v="2608"/>
    <x v="1"/>
    <s v="Bangalore"/>
    <x v="2"/>
    <s v=" DL"/>
    <x v="0"/>
    <x v="0"/>
    <x v="0"/>
    <x v="0"/>
    <d v="2019-03-03T15:10:15"/>
    <d v="2019-03-05T15:10:15"/>
    <d v="2019-03-10T15:10:15"/>
    <x v="0"/>
    <n v="39"/>
    <n v="129"/>
    <n v="3407.3443589312474"/>
  </r>
  <r>
    <n v="139062"/>
    <x v="1"/>
    <s v="Delhi"/>
    <x v="2"/>
    <s v=" DL"/>
    <x v="2"/>
    <x v="0"/>
    <x v="0"/>
    <x v="1"/>
    <d v="2019-03-03T15:21:27"/>
    <d v="2019-03-07T15:21:27"/>
    <d v="2019-03-08T15:21:27"/>
    <x v="6"/>
    <n v="9999"/>
    <n v="125"/>
    <n v="353.07"/>
  </r>
  <r>
    <n v="327723"/>
    <x v="1"/>
    <s v="Delhi"/>
    <x v="1"/>
    <s v=" TN"/>
    <x v="1"/>
    <x v="0"/>
    <x v="1"/>
    <x v="1"/>
    <d v="2019-03-03T15:32:33"/>
    <d v="2019-03-06T15:32:33"/>
    <d v="2019-03-09T15:32:33"/>
    <x v="4"/>
    <n v="34"/>
    <n v="120"/>
    <n v="312.14999999999998"/>
  </r>
  <r>
    <n v="2445"/>
    <x v="1"/>
    <s v="Bangalore"/>
    <x v="2"/>
    <s v=" DL"/>
    <x v="1"/>
    <x v="0"/>
    <x v="1"/>
    <x v="1"/>
    <d v="2019-03-03T15:47:05"/>
    <d v="2019-03-06T15:47:05"/>
    <d v="2019-03-08T15:47:05"/>
    <x v="4"/>
    <n v="44"/>
    <n v="130"/>
    <n v="1325.52"/>
  </r>
  <r>
    <n v="107489"/>
    <x v="1"/>
    <s v="Delhi"/>
    <x v="0"/>
    <s v=" MH"/>
    <x v="1"/>
    <x v="0"/>
    <x v="1"/>
    <x v="0"/>
    <d v="2019-03-03T17:00:45"/>
    <d v="2019-03-08T17:00:45"/>
    <d v="2019-03-09T17:00:45"/>
    <x v="9"/>
    <n v="25"/>
    <n v="113"/>
    <n v="2466.0557681892383"/>
  </r>
  <r>
    <n v="481597"/>
    <x v="1"/>
    <s v="Delhi"/>
    <x v="0"/>
    <s v=" MH"/>
    <x v="1"/>
    <x v="0"/>
    <x v="1"/>
    <x v="0"/>
    <d v="2019-03-03T17:22:10"/>
    <d v="2019-03-10T17:22:10"/>
    <d v="2019-03-07T17:22:10"/>
    <x v="8"/>
    <n v="27"/>
    <n v="110"/>
    <n v="411.9109259150315"/>
  </r>
  <r>
    <n v="537074"/>
    <x v="1"/>
    <s v="Delhi"/>
    <x v="2"/>
    <s v=" DL"/>
    <x v="2"/>
    <x v="0"/>
    <x v="0"/>
    <x v="0"/>
    <d v="2019-03-03T17:44:53"/>
    <d v="2019-03-06T17:44:53"/>
    <d v="2019-03-10T17:44:53"/>
    <x v="4"/>
    <n v="0"/>
    <n v="126"/>
    <n v="2830.3544859560729"/>
  </r>
  <r>
    <n v="959459"/>
    <x v="1"/>
    <s v="Delhi"/>
    <x v="0"/>
    <s v=" MH"/>
    <x v="0"/>
    <x v="0"/>
    <x v="1"/>
    <x v="0"/>
    <d v="2019-03-03T18:29:59"/>
    <d v="2019-03-05T18:29:59"/>
    <d v="2019-03-09T18:29:59"/>
    <x v="0"/>
    <n v="77"/>
    <n v="91"/>
    <n v="1204.2041531616248"/>
  </r>
  <r>
    <n v="543116"/>
    <x v="1"/>
    <s v="Delhi"/>
    <x v="1"/>
    <s v=" TN"/>
    <x v="0"/>
    <x v="0"/>
    <x v="0"/>
    <x v="0"/>
    <d v="2019-03-03T18:57:03"/>
    <d v="2019-03-11T18:57:03"/>
    <d v="2019-03-10T18:57:03"/>
    <x v="5"/>
    <n v="31"/>
    <n v="125"/>
    <n v="1584.656814406585"/>
  </r>
  <r>
    <n v="163474"/>
    <x v="1"/>
    <s v="Delhi"/>
    <x v="2"/>
    <s v=" DL"/>
    <x v="2"/>
    <x v="0"/>
    <x v="0"/>
    <x v="0"/>
    <d v="2019-03-03T19:30:28"/>
    <d v="2019-03-06T19:30:28"/>
    <d v="2019-03-07T19:30:28"/>
    <x v="4"/>
    <n v="0"/>
    <n v="124"/>
    <n v="949.93881005457013"/>
  </r>
  <r>
    <n v="332123"/>
    <x v="1"/>
    <s v="Bangalore"/>
    <x v="2"/>
    <s v=" DL"/>
    <x v="0"/>
    <x v="0"/>
    <x v="1"/>
    <x v="0"/>
    <d v="2019-03-03T19:45:50"/>
    <d v="2019-03-06T19:45:50"/>
    <d v="2019-03-07T19:45:50"/>
    <x v="4"/>
    <n v="64"/>
    <n v="102"/>
    <n v="2524.894022374991"/>
  </r>
  <r>
    <n v="617326"/>
    <x v="1"/>
    <s v="Delhi"/>
    <x v="0"/>
    <s v=" MH"/>
    <x v="2"/>
    <x v="0"/>
    <x v="0"/>
    <x v="0"/>
    <d v="2019-03-03T19:50:23"/>
    <d v="2019-03-08T19:50:23"/>
    <d v="2019-03-08T19:50:23"/>
    <x v="9"/>
    <n v="37"/>
    <n v="115"/>
    <n v="3573.3243878262456"/>
  </r>
  <r>
    <n v="347527"/>
    <x v="1"/>
    <s v="Delhi"/>
    <x v="2"/>
    <s v=" DL"/>
    <x v="0"/>
    <x v="0"/>
    <x v="1"/>
    <x v="0"/>
    <d v="2019-03-03T20:18:38"/>
    <d v="2019-03-05T20:18:38"/>
    <d v="2019-03-07T20:18:38"/>
    <x v="0"/>
    <n v="0"/>
    <n v="106"/>
    <n v="3836.652163829347"/>
  </r>
  <r>
    <n v="981385"/>
    <x v="1"/>
    <s v="Bangalore"/>
    <x v="0"/>
    <s v=" MH"/>
    <x v="1"/>
    <x v="0"/>
    <x v="1"/>
    <x v="0"/>
    <d v="2019-03-03T20:37:47"/>
    <d v="2019-03-07T20:37:47"/>
    <d v="2019-03-10T20:37:47"/>
    <x v="6"/>
    <n v="37"/>
    <n v="108"/>
    <n v="1986.591910498516"/>
  </r>
  <r>
    <n v="188760"/>
    <x v="1"/>
    <s v="Bangalore"/>
    <x v="0"/>
    <s v=" MH"/>
    <x v="0"/>
    <x v="0"/>
    <x v="0"/>
    <x v="1"/>
    <d v="2019-03-03T20:41:32"/>
    <d v="2019-03-05T20:41:32"/>
    <d v="2019-03-09T20:41:32"/>
    <x v="0"/>
    <n v="32"/>
    <n v="109"/>
    <n v="3133.02"/>
  </r>
  <r>
    <n v="375012"/>
    <x v="1"/>
    <s v="Bangalore"/>
    <x v="0"/>
    <s v=" MH"/>
    <x v="0"/>
    <x v="0"/>
    <x v="0"/>
    <x v="1"/>
    <d v="2019-03-03T20:59:52"/>
    <d v="2019-03-08T20:59:52"/>
    <d v="2019-03-08T20:59:52"/>
    <x v="9"/>
    <n v="39"/>
    <n v="114"/>
    <n v="3181.6"/>
  </r>
  <r>
    <n v="847236"/>
    <x v="1"/>
    <s v="Bangalore"/>
    <x v="3"/>
    <s v=" KA"/>
    <x v="0"/>
    <x v="0"/>
    <x v="0"/>
    <x v="1"/>
    <d v="2019-03-03T21:17:29"/>
    <d v="2019-03-07T21:17:29"/>
    <d v="2019-03-06T21:17:29"/>
    <x v="6"/>
    <n v="0"/>
    <n v="121"/>
    <n v="1299.31"/>
  </r>
  <r>
    <n v="955159"/>
    <x v="1"/>
    <s v="Bangalore"/>
    <x v="2"/>
    <s v=" DL"/>
    <x v="1"/>
    <x v="0"/>
    <x v="1"/>
    <x v="0"/>
    <d v="2019-03-03T21:24:50"/>
    <d v="2019-03-06T21:24:50"/>
    <d v="2019-03-09T21:24:50"/>
    <x v="4"/>
    <n v="35"/>
    <n v="125"/>
    <n v="541.51366611915478"/>
  </r>
  <r>
    <n v="10790"/>
    <x v="1"/>
    <s v="Delhi"/>
    <x v="2"/>
    <s v=" DL"/>
    <x v="2"/>
    <x v="0"/>
    <x v="0"/>
    <x v="0"/>
    <d v="2019-03-03T21:37:44"/>
    <d v="2019-03-05T21:37:44"/>
    <d v="2019-03-06T21:37:44"/>
    <x v="0"/>
    <n v="0"/>
    <n v="126"/>
    <n v="508.80694647905102"/>
  </r>
  <r>
    <n v="117740"/>
    <x v="1"/>
    <s v="Bangalore"/>
    <x v="3"/>
    <s v=" KA"/>
    <x v="0"/>
    <x v="0"/>
    <x v="0"/>
    <x v="0"/>
    <d v="2019-03-03T21:50:03"/>
    <d v="2019-03-06T21:50:03"/>
    <d v="2019-03-10T21:50:03"/>
    <x v="4"/>
    <n v="0"/>
    <n v="128"/>
    <n v="3441.8286169769608"/>
  </r>
  <r>
    <n v="693914"/>
    <x v="1"/>
    <s v="Delhi"/>
    <x v="4"/>
    <s v=" WB"/>
    <x v="2"/>
    <x v="0"/>
    <x v="0"/>
    <x v="0"/>
    <d v="2019-03-03T22:13:45"/>
    <d v="2019-03-05T22:13:45"/>
    <d v="2019-03-08T22:13:45"/>
    <x v="0"/>
    <n v="38"/>
    <n v="114"/>
    <n v="1570.6134752495502"/>
  </r>
  <r>
    <n v="359290"/>
    <x v="1"/>
    <s v="Bangalore"/>
    <x v="0"/>
    <s v=" MH"/>
    <x v="0"/>
    <x v="0"/>
    <x v="0"/>
    <x v="0"/>
    <d v="2019-03-03T22:19:15"/>
    <d v="2019-03-06T22:19:15"/>
    <d v="2019-03-07T22:19:15"/>
    <x v="4"/>
    <n v="63"/>
    <n v="91"/>
    <n v="580.74524337707942"/>
  </r>
  <r>
    <n v="712546"/>
    <x v="1"/>
    <s v="Delhi"/>
    <x v="1"/>
    <s v=" TN"/>
    <x v="2"/>
    <x v="0"/>
    <x v="0"/>
    <x v="0"/>
    <d v="2019-03-03T22:35:11"/>
    <d v="2019-03-05T22:35:11"/>
    <d v="2019-03-10T22:35:11"/>
    <x v="0"/>
    <n v="27"/>
    <n v="128"/>
    <n v="3405.6378186810593"/>
  </r>
  <r>
    <n v="937993"/>
    <x v="1"/>
    <s v="Bangalore"/>
    <x v="0"/>
    <s v=" MH"/>
    <x v="0"/>
    <x v="0"/>
    <x v="2"/>
    <x v="0"/>
    <d v="2019-03-03T23:11:41"/>
    <d v="2019-03-05T23:11:41"/>
    <d v="2019-03-07T23:11:41"/>
    <x v="0"/>
    <n v="75"/>
    <n v="95"/>
    <n v="2656.8447184140264"/>
  </r>
  <r>
    <n v="918294"/>
    <x v="1"/>
    <s v="Delhi"/>
    <x v="3"/>
    <s v=" KA"/>
    <x v="2"/>
    <x v="0"/>
    <x v="0"/>
    <x v="1"/>
    <d v="2019-03-03T23:12:10"/>
    <d v="2019-03-08T23:12:10"/>
    <d v="2019-03-10T23:12:10"/>
    <x v="9"/>
    <n v="45"/>
    <n v="128"/>
    <n v="3311.29"/>
  </r>
  <r>
    <n v="551260"/>
    <x v="1"/>
    <s v="Bangalore"/>
    <x v="3"/>
    <s v=" KA"/>
    <x v="0"/>
    <x v="0"/>
    <x v="0"/>
    <x v="0"/>
    <d v="2019-03-03T23:17:41"/>
    <d v="2019-03-05T23:17:41"/>
    <d v="2019-03-09T23:17:41"/>
    <x v="0"/>
    <n v="0"/>
    <n v="126"/>
    <n v="684.68886393804792"/>
  </r>
  <r>
    <n v="168789"/>
    <x v="1"/>
    <s v="Bangalore"/>
    <x v="2"/>
    <s v=" DL"/>
    <x v="1"/>
    <x v="0"/>
    <x v="1"/>
    <x v="1"/>
    <d v="2019-03-03T23:29:35"/>
    <d v="2019-03-10T23:29:35"/>
    <d v="2019-03-09T23:29:35"/>
    <x v="8"/>
    <n v="34"/>
    <n v="121"/>
    <n v="2392.96"/>
  </r>
  <r>
    <n v="340998"/>
    <x v="1"/>
    <s v="Delhi"/>
    <x v="0"/>
    <s v=" MH"/>
    <x v="2"/>
    <x v="0"/>
    <x v="0"/>
    <x v="1"/>
    <d v="2019-03-03T23:50:43"/>
    <d v="2019-03-09T23:50:43"/>
    <d v="2019-03-08T23:50:43"/>
    <x v="3"/>
    <n v="49"/>
    <n v="105"/>
    <n v="492.24"/>
  </r>
  <r>
    <n v="442457"/>
    <x v="1"/>
    <s v="Delhi"/>
    <x v="3"/>
    <s v=" KA"/>
    <x v="1"/>
    <x v="0"/>
    <x v="1"/>
    <x v="0"/>
    <d v="2019-03-04T00:25:40"/>
    <d v="2019-03-11T00:25:40"/>
    <d v="2019-03-07T00:25:40"/>
    <x v="8"/>
    <n v="46"/>
    <n v="124"/>
    <n v="2519.686484688053"/>
  </r>
  <r>
    <n v="558440"/>
    <x v="1"/>
    <s v="Bangalore"/>
    <x v="1"/>
    <s v=" TN"/>
    <x v="0"/>
    <x v="0"/>
    <x v="0"/>
    <x v="0"/>
    <d v="2019-03-04T00:35:06"/>
    <d v="2019-03-12T00:35:06"/>
    <d v="2019-03-09T00:35:06"/>
    <x v="5"/>
    <n v="73"/>
    <n v="107"/>
    <n v="900.28623506039025"/>
  </r>
  <r>
    <n v="108576"/>
    <x v="1"/>
    <s v="Bangalore"/>
    <x v="0"/>
    <s v=" MH"/>
    <x v="0"/>
    <x v="0"/>
    <x v="0"/>
    <x v="1"/>
    <d v="2019-03-04T00:37:56"/>
    <d v="2019-03-10T00:37:56"/>
    <d v="2019-03-09T00:37:56"/>
    <x v="3"/>
    <n v="43"/>
    <n v="106"/>
    <n v="2480.66"/>
  </r>
  <r>
    <n v="128822"/>
    <x v="1"/>
    <s v="Bangalore"/>
    <x v="4"/>
    <s v=" WB"/>
    <x v="2"/>
    <x v="0"/>
    <x v="0"/>
    <x v="0"/>
    <d v="2019-03-04T01:09:00"/>
    <d v="2019-03-10T01:09:00"/>
    <d v="2019-03-10T01:09:00"/>
    <x v="3"/>
    <n v="29"/>
    <n v="114"/>
    <n v="1326.8515580789135"/>
  </r>
  <r>
    <n v="434060"/>
    <x v="1"/>
    <s v="Bangalore"/>
    <x v="0"/>
    <s v=" MH"/>
    <x v="0"/>
    <x v="0"/>
    <x v="0"/>
    <x v="0"/>
    <d v="2019-03-04T01:20:33"/>
    <d v="2019-03-07T01:20:33"/>
    <d v="2019-03-08T01:20:33"/>
    <x v="4"/>
    <n v="48"/>
    <n v="114"/>
    <n v="2380.5799566349197"/>
  </r>
  <r>
    <n v="645636"/>
    <x v="1"/>
    <s v="Delhi"/>
    <x v="0"/>
    <s v=" MH"/>
    <x v="0"/>
    <x v="0"/>
    <x v="0"/>
    <x v="1"/>
    <d v="2019-03-04T01:27:11"/>
    <d v="2019-03-06T01:27:11"/>
    <d v="2019-03-08T01:27:11"/>
    <x v="0"/>
    <n v="37"/>
    <n v="111"/>
    <n v="985.72"/>
  </r>
  <r>
    <n v="864214"/>
    <x v="1"/>
    <s v="Bangalore"/>
    <x v="2"/>
    <s v=" DL"/>
    <x v="0"/>
    <x v="0"/>
    <x v="0"/>
    <x v="0"/>
    <d v="2019-03-04T02:10:41"/>
    <d v="2019-03-06T02:10:41"/>
    <d v="2019-03-08T02:10:41"/>
    <x v="0"/>
    <n v="79"/>
    <n v="107"/>
    <n v="2757.2951308796301"/>
  </r>
  <r>
    <n v="378385"/>
    <x v="1"/>
    <s v="Delhi"/>
    <x v="4"/>
    <s v=" WB"/>
    <x v="1"/>
    <x v="0"/>
    <x v="2"/>
    <x v="0"/>
    <d v="2019-03-04T02:28:35"/>
    <d v="2019-03-10T02:28:35"/>
    <d v="2019-03-11T02:28:35"/>
    <x v="3"/>
    <n v="46"/>
    <n v="109"/>
    <n v="2117.8838428117956"/>
  </r>
  <r>
    <n v="900207"/>
    <x v="1"/>
    <s v="Delhi"/>
    <x v="2"/>
    <s v=" DL"/>
    <x v="0"/>
    <x v="0"/>
    <x v="2"/>
    <x v="1"/>
    <d v="2019-03-04T02:31:15"/>
    <d v="2019-03-09T02:31:15"/>
    <d v="2019-03-09T02:31:15"/>
    <x v="9"/>
    <n v="0"/>
    <n v="105"/>
    <n v="861.94"/>
  </r>
  <r>
    <n v="134777"/>
    <x v="1"/>
    <s v="Bangalore"/>
    <x v="2"/>
    <s v=" DL"/>
    <x v="0"/>
    <x v="0"/>
    <x v="1"/>
    <x v="0"/>
    <d v="2019-03-04T02:36:41"/>
    <d v="2019-03-06T02:36:41"/>
    <d v="2019-03-09T02:36:41"/>
    <x v="0"/>
    <n v="84"/>
    <n v="110"/>
    <n v="786.599039546261"/>
  </r>
  <r>
    <n v="536059"/>
    <x v="1"/>
    <s v="Bangalore"/>
    <x v="2"/>
    <s v=" DL"/>
    <x v="1"/>
    <x v="0"/>
    <x v="1"/>
    <x v="0"/>
    <d v="2019-03-04T03:03:31"/>
    <d v="2019-03-11T03:03:31"/>
    <d v="2019-03-09T03:03:31"/>
    <x v="8"/>
    <n v="50"/>
    <n v="128"/>
    <n v="761.29372094967061"/>
  </r>
  <r>
    <n v="472978"/>
    <x v="1"/>
    <s v="Delhi"/>
    <x v="1"/>
    <s v=" TN"/>
    <x v="2"/>
    <x v="0"/>
    <x v="0"/>
    <x v="0"/>
    <d v="2019-03-04T03:12:23"/>
    <d v="2019-03-09T03:12:23"/>
    <d v="2019-03-10T03:12:23"/>
    <x v="9"/>
    <n v="29"/>
    <n v="126"/>
    <n v="1862.0996843889779"/>
  </r>
  <r>
    <n v="250951"/>
    <x v="1"/>
    <s v="Bangalore"/>
    <x v="2"/>
    <s v=" DL"/>
    <x v="1"/>
    <x v="0"/>
    <x v="1"/>
    <x v="0"/>
    <d v="2019-03-04T03:53:44"/>
    <d v="2019-03-11T03:53:44"/>
    <d v="2019-03-09T03:53:44"/>
    <x v="8"/>
    <n v="27"/>
    <n v="127"/>
    <n v="3427.0742641223969"/>
  </r>
  <r>
    <n v="496184"/>
    <x v="1"/>
    <s v="Bangalore"/>
    <x v="0"/>
    <s v=" MH"/>
    <x v="0"/>
    <x v="0"/>
    <x v="0"/>
    <x v="0"/>
    <d v="2019-03-04T03:54:12"/>
    <d v="2019-03-09T03:54:12"/>
    <d v="2019-03-09T03:54:12"/>
    <x v="9"/>
    <n v="44"/>
    <n v="106"/>
    <n v="679.10232996453351"/>
  </r>
  <r>
    <n v="697116"/>
    <x v="1"/>
    <s v="Delhi"/>
    <x v="2"/>
    <s v=" DL"/>
    <x v="0"/>
    <x v="0"/>
    <x v="0"/>
    <x v="1"/>
    <d v="2019-03-04T03:55:43"/>
    <d v="2019-03-09T03:55:43"/>
    <d v="2019-03-08T03:55:43"/>
    <x v="9"/>
    <n v="9999"/>
    <n v="125"/>
    <n v="2708.39"/>
  </r>
  <r>
    <n v="667823"/>
    <x v="1"/>
    <s v="Bangalore"/>
    <x v="3"/>
    <s v=" KA"/>
    <x v="1"/>
    <x v="0"/>
    <x v="1"/>
    <x v="0"/>
    <d v="2019-03-04T04:08:37"/>
    <d v="2019-03-10T04:08:37"/>
    <d v="2019-03-09T04:08:37"/>
    <x v="3"/>
    <n v="0"/>
    <n v="130"/>
    <n v="2537.549807255386"/>
  </r>
  <r>
    <n v="866304"/>
    <x v="1"/>
    <s v="Bangalore"/>
    <x v="3"/>
    <s v=" KA"/>
    <x v="0"/>
    <x v="0"/>
    <x v="0"/>
    <x v="1"/>
    <d v="2019-03-04T04:29:33"/>
    <d v="2019-03-09T04:29:33"/>
    <d v="2019-03-07T04:29:33"/>
    <x v="9"/>
    <n v="0"/>
    <n v="121"/>
    <n v="2646.25"/>
  </r>
  <r>
    <n v="659325"/>
    <x v="1"/>
    <s v="Bangalore"/>
    <x v="0"/>
    <s v=" MH"/>
    <x v="1"/>
    <x v="0"/>
    <x v="1"/>
    <x v="1"/>
    <d v="2019-03-04T05:19:20"/>
    <d v="2019-03-10T05:19:20"/>
    <d v="2019-03-09T05:19:20"/>
    <x v="3"/>
    <n v="48"/>
    <n v="111"/>
    <n v="3565.24"/>
  </r>
  <r>
    <n v="882197"/>
    <x v="1"/>
    <s v="Bangalore"/>
    <x v="1"/>
    <s v=" TN"/>
    <x v="1"/>
    <x v="0"/>
    <x v="1"/>
    <x v="0"/>
    <d v="2019-03-04T05:47:14"/>
    <d v="2019-03-06T05:47:14"/>
    <d v="2019-03-07T05:47:14"/>
    <x v="0"/>
    <n v="37"/>
    <n v="128"/>
    <n v="498.2910104781181"/>
  </r>
  <r>
    <n v="441999"/>
    <x v="1"/>
    <s v="Bangalore"/>
    <x v="1"/>
    <s v=" TN"/>
    <x v="0"/>
    <x v="0"/>
    <x v="1"/>
    <x v="1"/>
    <d v="2019-03-04T06:51:45"/>
    <d v="2019-03-08T06:51:45"/>
    <d v="2019-03-10T06:51:45"/>
    <x v="6"/>
    <n v="0"/>
    <n v="105"/>
    <n v="2525.36"/>
  </r>
  <r>
    <n v="31837"/>
    <x v="1"/>
    <s v="Delhi"/>
    <x v="4"/>
    <s v=" WB"/>
    <x v="1"/>
    <x v="0"/>
    <x v="1"/>
    <x v="0"/>
    <d v="2019-03-04T06:52:20"/>
    <d v="2019-03-06T06:52:20"/>
    <d v="2019-03-10T06:52:20"/>
    <x v="0"/>
    <n v="27"/>
    <n v="113"/>
    <n v="2085.0831036839445"/>
  </r>
  <r>
    <n v="32426"/>
    <x v="1"/>
    <s v="Bangalore"/>
    <x v="2"/>
    <s v=" DL"/>
    <x v="2"/>
    <x v="0"/>
    <x v="0"/>
    <x v="0"/>
    <d v="2019-03-04T06:58:18"/>
    <d v="2019-03-08T06:58:18"/>
    <d v="2019-03-10T06:58:18"/>
    <x v="6"/>
    <n v="26"/>
    <n v="126"/>
    <n v="2660.3512460631155"/>
  </r>
  <r>
    <n v="554789"/>
    <x v="1"/>
    <s v="Delhi"/>
    <x v="1"/>
    <s v=" TN"/>
    <x v="1"/>
    <x v="0"/>
    <x v="1"/>
    <x v="0"/>
    <d v="2019-03-04T07:54:11"/>
    <d v="2019-03-06T07:54:11"/>
    <d v="2019-03-08T07:54:11"/>
    <x v="0"/>
    <n v="48"/>
    <n v="126"/>
    <n v="2236.6929966351408"/>
  </r>
  <r>
    <n v="178766"/>
    <x v="1"/>
    <s v="Delhi"/>
    <x v="1"/>
    <s v=" TN"/>
    <x v="2"/>
    <x v="0"/>
    <x v="0"/>
    <x v="0"/>
    <d v="2019-03-04T08:19:37"/>
    <d v="2019-03-07T08:19:37"/>
    <d v="2019-03-09T08:19:37"/>
    <x v="4"/>
    <n v="40"/>
    <n v="129"/>
    <n v="2329.8470297236513"/>
  </r>
  <r>
    <n v="64570"/>
    <x v="1"/>
    <s v="Bangalore"/>
    <x v="3"/>
    <s v=" KA"/>
    <x v="0"/>
    <x v="0"/>
    <x v="0"/>
    <x v="0"/>
    <d v="2019-03-04T08:21:50"/>
    <d v="2019-03-08T08:21:50"/>
    <d v="2019-03-10T08:21:50"/>
    <x v="6"/>
    <n v="0"/>
    <n v="103"/>
    <n v="1762.6990237282596"/>
  </r>
  <r>
    <n v="845768"/>
    <x v="1"/>
    <s v="Delhi"/>
    <x v="4"/>
    <s v=" WB"/>
    <x v="0"/>
    <x v="0"/>
    <x v="0"/>
    <x v="0"/>
    <d v="2019-03-04T09:18:25"/>
    <d v="2019-03-11T09:18:25"/>
    <d v="2019-03-07T09:18:25"/>
    <x v="8"/>
    <n v="49"/>
    <n v="106"/>
    <n v="2580.2145429637467"/>
  </r>
  <r>
    <n v="815224"/>
    <x v="1"/>
    <s v="Bangalore"/>
    <x v="0"/>
    <s v=" MH"/>
    <x v="0"/>
    <x v="0"/>
    <x v="0"/>
    <x v="0"/>
    <d v="2019-03-04T09:20:28"/>
    <d v="2019-03-06T09:20:28"/>
    <d v="2019-03-07T09:20:28"/>
    <x v="0"/>
    <n v="44"/>
    <n v="106"/>
    <n v="616.65892241266874"/>
  </r>
  <r>
    <n v="647550"/>
    <x v="1"/>
    <s v="Bangalore"/>
    <x v="3"/>
    <s v=" KA"/>
    <x v="2"/>
    <x v="0"/>
    <x v="0"/>
    <x v="1"/>
    <d v="2019-03-04T09:30:26"/>
    <d v="2019-03-08T09:30:26"/>
    <d v="2019-03-08T09:30:26"/>
    <x v="6"/>
    <n v="0"/>
    <n v="126"/>
    <n v="3068"/>
  </r>
  <r>
    <n v="631059"/>
    <x v="1"/>
    <s v="Bangalore"/>
    <x v="0"/>
    <s v=" MH"/>
    <x v="1"/>
    <x v="0"/>
    <x v="1"/>
    <x v="1"/>
    <d v="2019-03-04T10:02:10"/>
    <d v="2019-03-12T10:02:10"/>
    <d v="2019-03-08T10:02:10"/>
    <x v="5"/>
    <n v="40"/>
    <n v="112"/>
    <n v="3430.06"/>
  </r>
  <r>
    <n v="199382"/>
    <x v="1"/>
    <s v="Delhi"/>
    <x v="2"/>
    <s v=" DL"/>
    <x v="2"/>
    <x v="0"/>
    <x v="0"/>
    <x v="0"/>
    <d v="2019-03-04T10:23:07"/>
    <d v="2019-03-05T10:23:07"/>
    <d v="2019-03-08T10:23:07"/>
    <x v="2"/>
    <n v="0"/>
    <n v="129"/>
    <n v="3199.52441790285"/>
  </r>
  <r>
    <n v="712046"/>
    <x v="1"/>
    <s v="Delhi"/>
    <x v="1"/>
    <s v=" TN"/>
    <x v="0"/>
    <x v="0"/>
    <x v="0"/>
    <x v="0"/>
    <d v="2019-03-04T10:26:34"/>
    <d v="2019-03-13T10:26:34"/>
    <d v="2019-03-09T10:26:34"/>
    <x v="1"/>
    <n v="86"/>
    <n v="101"/>
    <n v="1243.5411041613695"/>
  </r>
  <r>
    <n v="753083"/>
    <x v="1"/>
    <s v="Bangalore"/>
    <x v="0"/>
    <s v=" MH"/>
    <x v="1"/>
    <x v="0"/>
    <x v="1"/>
    <x v="0"/>
    <d v="2019-03-04T10:39:20"/>
    <d v="2019-03-12T10:39:20"/>
    <d v="2019-03-07T10:39:20"/>
    <x v="5"/>
    <n v="30"/>
    <n v="111"/>
    <n v="2322.9088385420341"/>
  </r>
  <r>
    <n v="63529"/>
    <x v="1"/>
    <s v="Delhi"/>
    <x v="0"/>
    <s v=" MH"/>
    <x v="1"/>
    <x v="0"/>
    <x v="1"/>
    <x v="0"/>
    <d v="2019-03-04T10:41:51"/>
    <d v="2019-03-11T10:41:51"/>
    <d v="2019-03-07T10:41:51"/>
    <x v="8"/>
    <n v="48"/>
    <n v="108"/>
    <n v="3440.873357861522"/>
  </r>
  <r>
    <n v="766349"/>
    <x v="1"/>
    <s v="Delhi"/>
    <x v="2"/>
    <s v=" DL"/>
    <x v="1"/>
    <x v="0"/>
    <x v="1"/>
    <x v="0"/>
    <d v="2019-03-04T10:47:15"/>
    <d v="2019-03-08T10:47:15"/>
    <d v="2019-03-10T10:47:15"/>
    <x v="6"/>
    <n v="0"/>
    <n v="126"/>
    <n v="2067.7613602724441"/>
  </r>
  <r>
    <n v="243184"/>
    <x v="1"/>
    <s v="Delhi"/>
    <x v="3"/>
    <s v=" KA"/>
    <x v="0"/>
    <x v="0"/>
    <x v="0"/>
    <x v="0"/>
    <d v="2019-03-04T11:03:20"/>
    <d v="2019-03-08T11:03:20"/>
    <d v="2019-03-07T11:03:20"/>
    <x v="6"/>
    <n v="36"/>
    <n v="123"/>
    <n v="2823.2468745535189"/>
  </r>
  <r>
    <n v="979497"/>
    <x v="1"/>
    <s v="Delhi"/>
    <x v="2"/>
    <s v=" DL"/>
    <x v="0"/>
    <x v="0"/>
    <x v="1"/>
    <x v="1"/>
    <d v="2019-03-04T11:52:53"/>
    <d v="2019-03-04T11:52:53"/>
    <d v="2019-03-11T11:52:53"/>
    <x v="10"/>
    <n v="0"/>
    <n v="105"/>
    <n v="3076.47"/>
  </r>
  <r>
    <n v="106431"/>
    <x v="1"/>
    <s v="Bangalore"/>
    <x v="3"/>
    <s v=" KA"/>
    <x v="1"/>
    <x v="0"/>
    <x v="1"/>
    <x v="1"/>
    <d v="2019-03-04T13:07:39"/>
    <d v="2019-03-10T13:07:39"/>
    <d v="2019-03-07T13:07:39"/>
    <x v="3"/>
    <n v="0"/>
    <n v="127"/>
    <n v="2589.3000000000002"/>
  </r>
  <r>
    <n v="662342"/>
    <x v="1"/>
    <s v="Bangalore"/>
    <x v="2"/>
    <s v=" DL"/>
    <x v="2"/>
    <x v="0"/>
    <x v="0"/>
    <x v="0"/>
    <d v="2019-03-04T13:46:18"/>
    <d v="2019-03-09T13:46:18"/>
    <d v="2019-03-10T13:46:18"/>
    <x v="9"/>
    <n v="30"/>
    <n v="128"/>
    <n v="1044.8825907765658"/>
  </r>
  <r>
    <n v="180847"/>
    <x v="1"/>
    <s v="Delhi"/>
    <x v="0"/>
    <s v=" MH"/>
    <x v="0"/>
    <x v="0"/>
    <x v="1"/>
    <x v="0"/>
    <d v="2019-03-04T14:40:07"/>
    <d v="2019-03-06T14:40:07"/>
    <d v="2019-03-10T14:40:07"/>
    <x v="0"/>
    <n v="72"/>
    <n v="89"/>
    <n v="3131.1757716085913"/>
  </r>
  <r>
    <n v="572037"/>
    <x v="1"/>
    <s v="Bangalore"/>
    <x v="0"/>
    <s v=" MH"/>
    <x v="1"/>
    <x v="0"/>
    <x v="1"/>
    <x v="1"/>
    <d v="2019-03-04T14:55:33"/>
    <d v="2019-03-11T14:55:33"/>
    <d v="2019-03-11T14:55:33"/>
    <x v="8"/>
    <n v="31"/>
    <n v="108"/>
    <n v="565.35"/>
  </r>
  <r>
    <n v="467940"/>
    <x v="1"/>
    <s v="Bangalore"/>
    <x v="4"/>
    <s v=" WB"/>
    <x v="0"/>
    <x v="0"/>
    <x v="0"/>
    <x v="1"/>
    <d v="2019-03-04T15:03:35"/>
    <d v="2019-03-10T15:03:35"/>
    <d v="2019-03-08T15:03:35"/>
    <x v="3"/>
    <n v="64"/>
    <n v="91"/>
    <n v="1119.53"/>
  </r>
  <r>
    <n v="272237"/>
    <x v="1"/>
    <s v="Bangalore"/>
    <x v="4"/>
    <s v=" WB"/>
    <x v="0"/>
    <x v="0"/>
    <x v="2"/>
    <x v="0"/>
    <d v="2019-03-04T15:24:09"/>
    <d v="2019-03-10T15:24:09"/>
    <d v="2019-03-07T15:24:09"/>
    <x v="3"/>
    <n v="67"/>
    <n v="92"/>
    <n v="3637.9696706780855"/>
  </r>
  <r>
    <n v="376372"/>
    <x v="1"/>
    <s v="Delhi"/>
    <x v="1"/>
    <s v=" TN"/>
    <x v="0"/>
    <x v="0"/>
    <x v="0"/>
    <x v="0"/>
    <d v="2019-03-04T15:43:52"/>
    <d v="2019-03-14T15:43:52"/>
    <d v="2019-03-08T15:43:52"/>
    <x v="7"/>
    <n v="48"/>
    <n v="129"/>
    <n v="1535.462968590055"/>
  </r>
  <r>
    <n v="815660"/>
    <x v="1"/>
    <s v="Delhi"/>
    <x v="2"/>
    <s v=" DL"/>
    <x v="0"/>
    <x v="0"/>
    <x v="0"/>
    <x v="0"/>
    <d v="2019-03-04T16:17:11"/>
    <d v="2019-03-09T16:17:11"/>
    <d v="2019-03-10T16:17:11"/>
    <x v="9"/>
    <n v="0"/>
    <n v="124"/>
    <n v="3263.6169458858153"/>
  </r>
  <r>
    <n v="491128"/>
    <x v="1"/>
    <s v="Delhi"/>
    <x v="4"/>
    <s v=" WB"/>
    <x v="0"/>
    <x v="0"/>
    <x v="0"/>
    <x v="0"/>
    <d v="2019-03-04T16:17:21"/>
    <d v="2019-03-08T16:17:21"/>
    <d v="2019-03-11T16:17:21"/>
    <x v="6"/>
    <n v="79"/>
    <n v="87"/>
    <n v="2976.3056087224086"/>
  </r>
  <r>
    <n v="864624"/>
    <x v="1"/>
    <s v="Delhi"/>
    <x v="0"/>
    <s v=" MH"/>
    <x v="0"/>
    <x v="0"/>
    <x v="0"/>
    <x v="1"/>
    <d v="2019-03-04T16:42:51"/>
    <d v="2019-03-10T16:42:51"/>
    <d v="2019-03-11T16:42:51"/>
    <x v="3"/>
    <n v="37"/>
    <n v="109"/>
    <n v="3457.41"/>
  </r>
  <r>
    <n v="230792"/>
    <x v="1"/>
    <s v="Delhi"/>
    <x v="1"/>
    <s v=" TN"/>
    <x v="0"/>
    <x v="0"/>
    <x v="0"/>
    <x v="0"/>
    <d v="2019-03-04T16:45:25"/>
    <d v="2019-03-15T16:45:25"/>
    <d v="2019-03-09T16:45:25"/>
    <x v="11"/>
    <n v="41"/>
    <n v="122"/>
    <n v="947.75869777801427"/>
  </r>
  <r>
    <n v="560973"/>
    <x v="1"/>
    <s v="Bangalore"/>
    <x v="3"/>
    <s v=" KA"/>
    <x v="1"/>
    <x v="0"/>
    <x v="2"/>
    <x v="1"/>
    <d v="2019-03-04T17:29:07"/>
    <d v="2019-03-04T17:29:07"/>
    <d v="2019-03-09T17:29:07"/>
    <x v="10"/>
    <n v="0"/>
    <n v="125"/>
    <n v="1341.14"/>
  </r>
  <r>
    <n v="389064"/>
    <x v="1"/>
    <s v="Delhi"/>
    <x v="2"/>
    <s v=" DL"/>
    <x v="0"/>
    <x v="0"/>
    <x v="0"/>
    <x v="1"/>
    <d v="2019-03-04T18:22:34"/>
    <d v="2019-03-07T18:22:34"/>
    <d v="2019-03-07T18:22:34"/>
    <x v="4"/>
    <n v="0"/>
    <n v="130"/>
    <n v="376.19"/>
  </r>
  <r>
    <n v="72243"/>
    <x v="1"/>
    <s v="Delhi"/>
    <x v="3"/>
    <s v=" KA"/>
    <x v="0"/>
    <x v="0"/>
    <x v="1"/>
    <x v="1"/>
    <d v="2019-03-04T18:34:29"/>
    <d v="2019-03-09T18:34:29"/>
    <d v="2019-03-08T18:34:29"/>
    <x v="9"/>
    <n v="73"/>
    <n v="108"/>
    <n v="630.65"/>
  </r>
  <r>
    <n v="9537"/>
    <x v="1"/>
    <s v="Bangalore"/>
    <x v="2"/>
    <s v=" DL"/>
    <x v="0"/>
    <x v="0"/>
    <x v="1"/>
    <x v="1"/>
    <d v="2019-03-04T18:53:19"/>
    <d v="2019-03-10T18:53:19"/>
    <d v="2019-03-08T18:53:19"/>
    <x v="3"/>
    <n v="86"/>
    <n v="108"/>
    <n v="2285.9299999999998"/>
  </r>
  <r>
    <n v="386454"/>
    <x v="1"/>
    <s v="Delhi"/>
    <x v="3"/>
    <s v=" KA"/>
    <x v="2"/>
    <x v="0"/>
    <x v="0"/>
    <x v="1"/>
    <d v="2019-03-04T18:56:39"/>
    <d v="2019-03-11T18:56:39"/>
    <d v="2019-03-08T18:56:39"/>
    <x v="8"/>
    <n v="37"/>
    <n v="126"/>
    <n v="2097.61"/>
  </r>
  <r>
    <n v="212937"/>
    <x v="1"/>
    <s v="Bangalore"/>
    <x v="0"/>
    <s v=" MH"/>
    <x v="0"/>
    <x v="0"/>
    <x v="1"/>
    <x v="1"/>
    <d v="2019-03-04T18:58:29"/>
    <d v="2019-03-06T18:58:29"/>
    <d v="2019-03-08T18:58:29"/>
    <x v="0"/>
    <n v="72"/>
    <n v="91"/>
    <n v="1927.28"/>
  </r>
  <r>
    <n v="661526"/>
    <x v="1"/>
    <s v="Delhi"/>
    <x v="0"/>
    <s v=" MH"/>
    <x v="2"/>
    <x v="0"/>
    <x v="0"/>
    <x v="0"/>
    <d v="2019-03-04T19:18:35"/>
    <d v="2019-03-12T19:18:35"/>
    <d v="2019-03-07T19:18:35"/>
    <x v="5"/>
    <n v="26"/>
    <n v="107"/>
    <n v="2550.2683761675221"/>
  </r>
  <r>
    <n v="634534"/>
    <x v="1"/>
    <s v="Bangalore"/>
    <x v="3"/>
    <s v=" KA"/>
    <x v="2"/>
    <x v="0"/>
    <x v="0"/>
    <x v="0"/>
    <d v="2019-03-04T19:33:53"/>
    <d v="2019-03-04T19:33:53"/>
    <d v="2019-03-08T19:33:53"/>
    <x v="10"/>
    <n v="0"/>
    <n v="124"/>
    <n v="2807.4195048380684"/>
  </r>
  <r>
    <n v="553522"/>
    <x v="1"/>
    <s v="Delhi"/>
    <x v="4"/>
    <s v=" WB"/>
    <x v="0"/>
    <x v="0"/>
    <x v="0"/>
    <x v="0"/>
    <d v="2019-03-04T19:34:27"/>
    <d v="2019-03-07T19:34:27"/>
    <d v="2019-03-08T19:34:27"/>
    <x v="4"/>
    <n v="58"/>
    <n v="93"/>
    <n v="3445.9798583308343"/>
  </r>
  <r>
    <n v="227474"/>
    <x v="1"/>
    <s v="Delhi"/>
    <x v="3"/>
    <s v=" KA"/>
    <x v="2"/>
    <x v="0"/>
    <x v="0"/>
    <x v="0"/>
    <d v="2019-03-04T20:15:48"/>
    <d v="2019-03-09T20:15:48"/>
    <d v="2019-03-11T20:15:48"/>
    <x v="9"/>
    <n v="36"/>
    <n v="120"/>
    <n v="3066.6480753517344"/>
  </r>
  <r>
    <n v="73200"/>
    <x v="1"/>
    <s v="Delhi"/>
    <x v="3"/>
    <s v=" KA"/>
    <x v="0"/>
    <x v="0"/>
    <x v="0"/>
    <x v="1"/>
    <d v="2019-03-04T20:19:10"/>
    <d v="2019-03-08T20:19:10"/>
    <d v="2019-03-11T20:19:10"/>
    <x v="6"/>
    <n v="38"/>
    <n v="122"/>
    <n v="2891.51"/>
  </r>
  <r>
    <n v="618430"/>
    <x v="1"/>
    <s v="Delhi"/>
    <x v="1"/>
    <s v=" TN"/>
    <x v="0"/>
    <x v="0"/>
    <x v="0"/>
    <x v="0"/>
    <d v="2019-03-04T20:33:50"/>
    <d v="2019-03-13T20:33:50"/>
    <d v="2019-03-08T20:33:50"/>
    <x v="1"/>
    <n v="59"/>
    <n v="101"/>
    <n v="1955.3413376399239"/>
  </r>
  <r>
    <n v="351766"/>
    <x v="1"/>
    <s v="Bangalore"/>
    <x v="2"/>
    <s v=" DL"/>
    <x v="2"/>
    <x v="0"/>
    <x v="0"/>
    <x v="0"/>
    <d v="2019-03-04T21:07:55"/>
    <d v="2019-03-13T21:07:55"/>
    <d v="2019-03-09T21:07:55"/>
    <x v="1"/>
    <n v="30"/>
    <n v="123"/>
    <n v="534.3563431583226"/>
  </r>
  <r>
    <n v="953625"/>
    <x v="1"/>
    <s v="Delhi"/>
    <x v="1"/>
    <s v=" TN"/>
    <x v="1"/>
    <x v="0"/>
    <x v="1"/>
    <x v="1"/>
    <d v="2019-03-04T23:17:05"/>
    <d v="2019-03-07T23:17:05"/>
    <d v="2019-03-08T23:17:05"/>
    <x v="4"/>
    <n v="36"/>
    <n v="121"/>
    <n v="952.12"/>
  </r>
  <r>
    <n v="721885"/>
    <x v="1"/>
    <s v="Delhi"/>
    <x v="1"/>
    <s v=" TN"/>
    <x v="1"/>
    <x v="0"/>
    <x v="1"/>
    <x v="0"/>
    <d v="2019-03-04T23:27:43"/>
    <d v="2019-03-08T23:27:43"/>
    <d v="2019-03-10T23:27:43"/>
    <x v="6"/>
    <n v="33"/>
    <n v="126"/>
    <n v="2039.0733212645969"/>
  </r>
  <r>
    <n v="691366"/>
    <x v="1"/>
    <s v="Delhi"/>
    <x v="0"/>
    <s v=" MH"/>
    <x v="2"/>
    <x v="0"/>
    <x v="0"/>
    <x v="0"/>
    <d v="2019-03-05T00:46:08"/>
    <d v="2019-03-13T00:46:08"/>
    <d v="2019-03-12T00:46:08"/>
    <x v="5"/>
    <n v="44"/>
    <n v="113"/>
    <n v="2203.1319773943987"/>
  </r>
  <r>
    <n v="947345"/>
    <x v="1"/>
    <s v="Delhi"/>
    <x v="1"/>
    <s v=" TN"/>
    <x v="1"/>
    <x v="0"/>
    <x v="2"/>
    <x v="0"/>
    <d v="2019-03-05T00:48:12"/>
    <d v="2019-03-07T00:48:12"/>
    <d v="2019-03-10T00:48:12"/>
    <x v="0"/>
    <n v="48"/>
    <n v="130"/>
    <n v="1800.8516054616523"/>
  </r>
  <r>
    <n v="415262"/>
    <x v="1"/>
    <s v="Delhi"/>
    <x v="0"/>
    <s v=" MH"/>
    <x v="2"/>
    <x v="0"/>
    <x v="0"/>
    <x v="0"/>
    <d v="2019-03-05T00:52:15"/>
    <d v="2019-03-12T00:52:15"/>
    <d v="2019-03-08T00:52:15"/>
    <x v="8"/>
    <n v="36"/>
    <n v="115"/>
    <n v="2859.1734468156196"/>
  </r>
  <r>
    <n v="674766"/>
    <x v="1"/>
    <s v="Bangalore"/>
    <x v="0"/>
    <s v=" MH"/>
    <x v="2"/>
    <x v="0"/>
    <x v="0"/>
    <x v="1"/>
    <d v="2019-03-05T00:58:19"/>
    <d v="2019-03-11T00:58:19"/>
    <d v="2019-03-09T00:58:19"/>
    <x v="3"/>
    <n v="41"/>
    <n v="108"/>
    <n v="3078.21"/>
  </r>
  <r>
    <n v="161482"/>
    <x v="1"/>
    <s v="Delhi"/>
    <x v="0"/>
    <s v=" MH"/>
    <x v="2"/>
    <x v="0"/>
    <x v="0"/>
    <x v="0"/>
    <d v="2019-03-05T00:59:19"/>
    <d v="2019-03-09T00:59:19"/>
    <d v="2019-03-09T00:59:19"/>
    <x v="6"/>
    <n v="37"/>
    <n v="110"/>
    <n v="738.4172519902113"/>
  </r>
  <r>
    <n v="100067"/>
    <x v="1"/>
    <s v="Delhi"/>
    <x v="3"/>
    <s v=" KA"/>
    <x v="0"/>
    <x v="0"/>
    <x v="1"/>
    <x v="0"/>
    <d v="2019-03-05T01:15:01"/>
    <d v="2019-03-11T01:15:01"/>
    <d v="2019-03-10T01:15:01"/>
    <x v="3"/>
    <n v="59"/>
    <n v="104"/>
    <n v="2956.4200516944215"/>
  </r>
  <r>
    <n v="818157"/>
    <x v="1"/>
    <s v="Delhi"/>
    <x v="0"/>
    <s v=" MH"/>
    <x v="1"/>
    <x v="0"/>
    <x v="1"/>
    <x v="1"/>
    <d v="2019-03-05T01:23:57"/>
    <d v="2019-03-14T01:23:57"/>
    <d v="2019-03-11T01:23:57"/>
    <x v="1"/>
    <n v="31"/>
    <n v="107"/>
    <n v="3031.54"/>
  </r>
  <r>
    <n v="50941"/>
    <x v="1"/>
    <s v="Delhi"/>
    <x v="0"/>
    <s v=" MH"/>
    <x v="1"/>
    <x v="0"/>
    <x v="1"/>
    <x v="0"/>
    <d v="2019-03-05T01:50:45"/>
    <d v="2019-03-14T01:50:45"/>
    <d v="2019-03-11T01:50:45"/>
    <x v="1"/>
    <n v="47"/>
    <n v="110"/>
    <n v="3328.6154840190648"/>
  </r>
  <r>
    <n v="310257"/>
    <x v="1"/>
    <s v="Delhi"/>
    <x v="2"/>
    <s v=" DL"/>
    <x v="1"/>
    <x v="0"/>
    <x v="1"/>
    <x v="1"/>
    <d v="2019-03-05T01:53:51"/>
    <d v="2019-03-10T01:53:51"/>
    <d v="2019-03-10T01:53:51"/>
    <x v="9"/>
    <n v="0"/>
    <n v="127"/>
    <n v="1785.58"/>
  </r>
  <r>
    <n v="981072"/>
    <x v="1"/>
    <s v="Delhi"/>
    <x v="2"/>
    <s v=" DL"/>
    <x v="0"/>
    <x v="0"/>
    <x v="0"/>
    <x v="1"/>
    <d v="2019-03-05T02:19:25"/>
    <d v="2019-03-06T02:19:25"/>
    <d v="2019-03-10T02:19:25"/>
    <x v="2"/>
    <n v="0"/>
    <n v="128"/>
    <n v="725.87"/>
  </r>
  <r>
    <n v="859146"/>
    <x v="1"/>
    <s v="Delhi"/>
    <x v="0"/>
    <s v=" MH"/>
    <x v="0"/>
    <x v="0"/>
    <x v="0"/>
    <x v="1"/>
    <d v="2019-03-05T02:23:23"/>
    <d v="2019-03-07T02:23:23"/>
    <d v="2019-03-10T02:23:23"/>
    <x v="0"/>
    <n v="57"/>
    <n v="90"/>
    <n v="2498.42"/>
  </r>
  <r>
    <n v="88560"/>
    <x v="1"/>
    <s v="Delhi"/>
    <x v="2"/>
    <s v=" DL"/>
    <x v="0"/>
    <x v="0"/>
    <x v="0"/>
    <x v="1"/>
    <d v="2019-03-05T02:41:37"/>
    <d v="2019-03-05T02:41:37"/>
    <d v="2019-03-11T02:41:37"/>
    <x v="10"/>
    <n v="0"/>
    <n v="109"/>
    <n v="3193.81"/>
  </r>
  <r>
    <n v="831916"/>
    <x v="1"/>
    <s v="Delhi"/>
    <x v="1"/>
    <s v=" TN"/>
    <x v="0"/>
    <x v="0"/>
    <x v="0"/>
    <x v="0"/>
    <d v="2019-03-05T02:48:21"/>
    <d v="2019-03-13T02:48:21"/>
    <d v="2019-03-09T02:48:21"/>
    <x v="5"/>
    <n v="86"/>
    <n v="109"/>
    <n v="2195.1234122075475"/>
  </r>
  <r>
    <n v="287295"/>
    <x v="1"/>
    <s v="Bangalore"/>
    <x v="4"/>
    <s v=" WB"/>
    <x v="1"/>
    <x v="0"/>
    <x v="1"/>
    <x v="1"/>
    <d v="2019-03-05T03:02:43"/>
    <d v="2019-03-07T03:02:43"/>
    <d v="2019-03-08T03:02:43"/>
    <x v="0"/>
    <n v="29"/>
    <n v="109"/>
    <n v="1748.47"/>
  </r>
  <r>
    <n v="647697"/>
    <x v="1"/>
    <s v="Delhi"/>
    <x v="2"/>
    <s v=" DL"/>
    <x v="1"/>
    <x v="0"/>
    <x v="1"/>
    <x v="1"/>
    <d v="2019-03-05T03:05:28"/>
    <d v="2019-03-08T03:05:28"/>
    <d v="2019-03-12T03:05:28"/>
    <x v="4"/>
    <n v="0"/>
    <n v="127"/>
    <n v="2877.19"/>
  </r>
  <r>
    <n v="268092"/>
    <x v="1"/>
    <s v="Delhi"/>
    <x v="3"/>
    <s v=" KA"/>
    <x v="0"/>
    <x v="0"/>
    <x v="0"/>
    <x v="1"/>
    <d v="2019-03-05T03:25:10"/>
    <d v="2019-03-11T03:25:10"/>
    <d v="2019-03-08T03:25:10"/>
    <x v="3"/>
    <n v="42"/>
    <n v="121"/>
    <n v="1253.49"/>
  </r>
  <r>
    <n v="793895"/>
    <x v="1"/>
    <s v="Bangalore"/>
    <x v="0"/>
    <s v=" MH"/>
    <x v="0"/>
    <x v="0"/>
    <x v="1"/>
    <x v="0"/>
    <d v="2019-03-05T03:25:32"/>
    <d v="2019-03-09T03:25:32"/>
    <d v="2019-03-11T03:25:32"/>
    <x v="6"/>
    <n v="74"/>
    <n v="89"/>
    <n v="2183.0949728326391"/>
  </r>
  <r>
    <n v="235653"/>
    <x v="1"/>
    <s v="Delhi"/>
    <x v="4"/>
    <s v=" WB"/>
    <x v="1"/>
    <x v="0"/>
    <x v="1"/>
    <x v="1"/>
    <d v="2019-03-05T03:26:38"/>
    <d v="2019-03-08T03:26:38"/>
    <d v="2019-03-08T03:26:38"/>
    <x v="4"/>
    <n v="39"/>
    <n v="105"/>
    <n v="1532.8"/>
  </r>
  <r>
    <n v="129787"/>
    <x v="1"/>
    <s v="Bangalore"/>
    <x v="4"/>
    <s v=" WB"/>
    <x v="1"/>
    <x v="0"/>
    <x v="2"/>
    <x v="0"/>
    <d v="2019-03-05T03:49:12"/>
    <d v="2019-03-07T03:49:12"/>
    <d v="2019-03-08T03:49:12"/>
    <x v="0"/>
    <n v="42"/>
    <n v="108"/>
    <n v="1794.0563351420767"/>
  </r>
  <r>
    <n v="561609"/>
    <x v="1"/>
    <s v="Delhi"/>
    <x v="4"/>
    <s v=" WB"/>
    <x v="1"/>
    <x v="0"/>
    <x v="1"/>
    <x v="1"/>
    <d v="2019-03-05T05:10:05"/>
    <d v="2019-03-08T05:10:05"/>
    <d v="2019-03-08T05:10:05"/>
    <x v="4"/>
    <n v="41"/>
    <n v="114"/>
    <n v="1288.28"/>
  </r>
  <r>
    <n v="5654"/>
    <x v="1"/>
    <s v="Bangalore"/>
    <x v="2"/>
    <s v=" DL"/>
    <x v="0"/>
    <x v="0"/>
    <x v="0"/>
    <x v="0"/>
    <d v="2019-03-05T06:15:03"/>
    <d v="2019-03-07T06:15:03"/>
    <d v="2019-03-11T06:15:03"/>
    <x v="0"/>
    <n v="59"/>
    <n v="101"/>
    <n v="2245.7036233060894"/>
  </r>
  <r>
    <n v="898248"/>
    <x v="1"/>
    <s v="Bangalore"/>
    <x v="3"/>
    <s v=" KA"/>
    <x v="0"/>
    <x v="0"/>
    <x v="0"/>
    <x v="1"/>
    <d v="2019-03-05T06:28:59"/>
    <d v="2019-03-05T06:28:59"/>
    <d v="2019-03-12T06:28:59"/>
    <x v="10"/>
    <n v="0"/>
    <n v="126"/>
    <n v="854.47"/>
  </r>
  <r>
    <n v="282106"/>
    <x v="1"/>
    <s v="Bangalore"/>
    <x v="0"/>
    <s v=" MH"/>
    <x v="2"/>
    <x v="0"/>
    <x v="0"/>
    <x v="0"/>
    <d v="2019-03-05T06:35:10"/>
    <d v="2019-03-13T06:35:10"/>
    <d v="2019-03-10T06:35:10"/>
    <x v="5"/>
    <n v="27"/>
    <n v="109"/>
    <n v="1355.7300123089781"/>
  </r>
  <r>
    <n v="148202"/>
    <x v="1"/>
    <s v="Bangalore"/>
    <x v="4"/>
    <s v=" WB"/>
    <x v="2"/>
    <x v="0"/>
    <x v="0"/>
    <x v="0"/>
    <d v="2019-03-05T06:43:50"/>
    <d v="2019-03-12T06:43:50"/>
    <d v="2019-03-12T06:43:50"/>
    <x v="8"/>
    <n v="35"/>
    <n v="111"/>
    <n v="403.98276143418138"/>
  </r>
  <r>
    <n v="573518"/>
    <x v="1"/>
    <s v="Delhi"/>
    <x v="4"/>
    <s v=" WB"/>
    <x v="2"/>
    <x v="0"/>
    <x v="0"/>
    <x v="0"/>
    <d v="2019-03-05T08:25:34"/>
    <d v="2019-03-12T08:25:34"/>
    <d v="2019-03-12T08:25:34"/>
    <x v="8"/>
    <n v="45"/>
    <n v="112"/>
    <n v="2853.0617202240333"/>
  </r>
  <r>
    <n v="109796"/>
    <x v="1"/>
    <s v="Delhi"/>
    <x v="0"/>
    <s v=" MH"/>
    <x v="0"/>
    <x v="0"/>
    <x v="0"/>
    <x v="0"/>
    <d v="2019-03-05T08:35:24"/>
    <d v="2019-03-11T08:35:24"/>
    <d v="2019-03-12T08:35:24"/>
    <x v="3"/>
    <n v="34"/>
    <n v="109"/>
    <n v="1129.6672790386499"/>
  </r>
  <r>
    <n v="490723"/>
    <x v="1"/>
    <s v="Delhi"/>
    <x v="3"/>
    <s v=" KA"/>
    <x v="1"/>
    <x v="0"/>
    <x v="1"/>
    <x v="0"/>
    <d v="2019-03-05T09:55:26"/>
    <d v="2019-03-15T09:55:26"/>
    <d v="2019-03-10T09:55:26"/>
    <x v="7"/>
    <n v="46"/>
    <n v="124"/>
    <n v="1023.7861741833524"/>
  </r>
  <r>
    <n v="470656"/>
    <x v="1"/>
    <s v="Bangalore"/>
    <x v="2"/>
    <s v=" DL"/>
    <x v="0"/>
    <x v="0"/>
    <x v="0"/>
    <x v="0"/>
    <d v="2019-03-05T10:08:48"/>
    <d v="2019-03-10T10:08:48"/>
    <d v="2019-03-10T10:08:48"/>
    <x v="9"/>
    <n v="26"/>
    <n v="125"/>
    <n v="2895.6821296257135"/>
  </r>
  <r>
    <n v="448685"/>
    <x v="1"/>
    <s v="Bangalore"/>
    <x v="4"/>
    <s v=" WB"/>
    <x v="1"/>
    <x v="0"/>
    <x v="1"/>
    <x v="0"/>
    <d v="2019-03-05T10:48:03"/>
    <d v="2019-03-07T10:48:03"/>
    <d v="2019-03-09T10:48:03"/>
    <x v="0"/>
    <n v="31"/>
    <n v="115"/>
    <n v="689.69697230576242"/>
  </r>
  <r>
    <n v="734705"/>
    <x v="1"/>
    <s v="Bangalore"/>
    <x v="3"/>
    <s v=" KA"/>
    <x v="1"/>
    <x v="0"/>
    <x v="1"/>
    <x v="0"/>
    <d v="2019-03-05T10:48:14"/>
    <d v="2019-03-06T10:48:14"/>
    <d v="2019-03-12T10:48:14"/>
    <x v="2"/>
    <n v="0"/>
    <n v="123"/>
    <n v="1533.5170004570759"/>
  </r>
  <r>
    <n v="606747"/>
    <x v="1"/>
    <s v="Delhi"/>
    <x v="1"/>
    <s v=" TN"/>
    <x v="0"/>
    <x v="0"/>
    <x v="1"/>
    <x v="1"/>
    <d v="2019-03-05T11:21:06"/>
    <d v="2019-03-14T11:21:06"/>
    <d v="2019-03-09T11:21:06"/>
    <x v="1"/>
    <n v="76"/>
    <n v="101"/>
    <n v="2847.52"/>
  </r>
  <r>
    <n v="374614"/>
    <x v="1"/>
    <s v="Delhi"/>
    <x v="1"/>
    <s v=" TN"/>
    <x v="2"/>
    <x v="0"/>
    <x v="0"/>
    <x v="0"/>
    <d v="2019-03-05T11:21:16"/>
    <d v="2019-03-08T11:21:16"/>
    <d v="2019-03-08T11:21:16"/>
    <x v="4"/>
    <n v="29"/>
    <n v="130"/>
    <n v="482.20875348584701"/>
  </r>
  <r>
    <n v="207136"/>
    <x v="1"/>
    <s v="Delhi"/>
    <x v="0"/>
    <s v=" MH"/>
    <x v="0"/>
    <x v="0"/>
    <x v="0"/>
    <x v="0"/>
    <d v="2019-03-05T11:42:54"/>
    <d v="2019-03-08T11:42:54"/>
    <d v="2019-03-11T11:42:54"/>
    <x v="4"/>
    <n v="48"/>
    <n v="106"/>
    <n v="1317.2022989136708"/>
  </r>
  <r>
    <n v="191683"/>
    <x v="1"/>
    <s v="Delhi"/>
    <x v="4"/>
    <s v=" WB"/>
    <x v="1"/>
    <x v="0"/>
    <x v="1"/>
    <x v="0"/>
    <d v="2019-03-05T11:48:32"/>
    <d v="2019-03-12T11:48:32"/>
    <d v="2019-03-11T11:48:32"/>
    <x v="8"/>
    <n v="38"/>
    <n v="113"/>
    <n v="2715.6339335469452"/>
  </r>
  <r>
    <n v="526028"/>
    <x v="1"/>
    <s v="Delhi"/>
    <x v="4"/>
    <s v=" WB"/>
    <x v="0"/>
    <x v="0"/>
    <x v="0"/>
    <x v="0"/>
    <d v="2019-03-05T12:10:05"/>
    <d v="2019-03-10T12:10:05"/>
    <d v="2019-03-10T12:10:05"/>
    <x v="9"/>
    <n v="35"/>
    <n v="113"/>
    <n v="3668.0629961764425"/>
  </r>
  <r>
    <n v="475016"/>
    <x v="1"/>
    <s v="Bangalore"/>
    <x v="2"/>
    <s v=" DL"/>
    <x v="0"/>
    <x v="0"/>
    <x v="0"/>
    <x v="0"/>
    <d v="2019-03-05T12:19:27"/>
    <d v="2019-03-07T12:19:27"/>
    <d v="2019-03-12T12:19:27"/>
    <x v="0"/>
    <n v="63"/>
    <n v="104"/>
    <n v="976.66594112021914"/>
  </r>
  <r>
    <n v="827669"/>
    <x v="1"/>
    <s v="Delhi"/>
    <x v="2"/>
    <s v=" DL"/>
    <x v="1"/>
    <x v="0"/>
    <x v="1"/>
    <x v="0"/>
    <d v="2019-03-05T12:29:17"/>
    <d v="2019-03-11T12:29:17"/>
    <d v="2019-03-11T12:29:17"/>
    <x v="3"/>
    <n v="0"/>
    <n v="129"/>
    <n v="1332.470385253195"/>
  </r>
  <r>
    <n v="900971"/>
    <x v="1"/>
    <s v="Delhi"/>
    <x v="3"/>
    <s v=" KA"/>
    <x v="1"/>
    <x v="0"/>
    <x v="1"/>
    <x v="0"/>
    <d v="2019-03-05T13:02:12"/>
    <d v="2019-03-12T13:02:12"/>
    <d v="2019-03-12T13:02:12"/>
    <x v="8"/>
    <n v="27"/>
    <n v="123"/>
    <n v="1121.7861022308668"/>
  </r>
  <r>
    <n v="767003"/>
    <x v="1"/>
    <s v="Delhi"/>
    <x v="1"/>
    <s v=" TN"/>
    <x v="0"/>
    <x v="0"/>
    <x v="1"/>
    <x v="0"/>
    <d v="2019-03-05T13:23:36"/>
    <d v="2019-03-12T13:23:36"/>
    <d v="2019-03-10T13:23:36"/>
    <x v="8"/>
    <n v="65"/>
    <n v="104"/>
    <n v="3283.8737289848923"/>
  </r>
  <r>
    <n v="954478"/>
    <x v="1"/>
    <s v="Delhi"/>
    <x v="3"/>
    <s v=" KA"/>
    <x v="2"/>
    <x v="0"/>
    <x v="0"/>
    <x v="0"/>
    <d v="2019-03-05T13:31:17"/>
    <d v="2019-03-10T13:31:17"/>
    <d v="2019-03-12T13:31:17"/>
    <x v="9"/>
    <n v="47"/>
    <n v="121"/>
    <n v="1897.1241011093057"/>
  </r>
  <r>
    <n v="547315"/>
    <x v="1"/>
    <s v="Bangalore"/>
    <x v="4"/>
    <s v=" WB"/>
    <x v="0"/>
    <x v="0"/>
    <x v="1"/>
    <x v="0"/>
    <d v="2019-03-05T13:46:43"/>
    <d v="2019-03-08T13:46:43"/>
    <d v="2019-03-10T13:46:43"/>
    <x v="4"/>
    <n v="73"/>
    <n v="91"/>
    <n v="1285.4672518156444"/>
  </r>
  <r>
    <n v="705824"/>
    <x v="1"/>
    <s v="Bangalore"/>
    <x v="1"/>
    <s v=" TN"/>
    <x v="0"/>
    <x v="0"/>
    <x v="0"/>
    <x v="0"/>
    <d v="2019-03-05T13:57:16"/>
    <d v="2019-03-14T13:57:16"/>
    <d v="2019-03-10T13:57:16"/>
    <x v="1"/>
    <n v="65"/>
    <n v="102"/>
    <n v="2995.0199885073303"/>
  </r>
  <r>
    <n v="134013"/>
    <x v="1"/>
    <s v="Delhi"/>
    <x v="1"/>
    <s v=" TN"/>
    <x v="0"/>
    <x v="0"/>
    <x v="1"/>
    <x v="1"/>
    <d v="2019-03-05T14:12:04"/>
    <d v="2019-03-13T14:12:04"/>
    <d v="2019-03-09T14:12:04"/>
    <x v="5"/>
    <n v="84"/>
    <n v="104"/>
    <n v="3298.54"/>
  </r>
  <r>
    <n v="379691"/>
    <x v="1"/>
    <s v="Bangalore"/>
    <x v="0"/>
    <s v=" MH"/>
    <x v="0"/>
    <x v="0"/>
    <x v="1"/>
    <x v="0"/>
    <d v="2019-03-05T14:33:16"/>
    <d v="2019-03-07T14:33:16"/>
    <d v="2019-03-10T14:33:16"/>
    <x v="0"/>
    <n v="80"/>
    <n v="85"/>
    <n v="1302.2763225304525"/>
  </r>
  <r>
    <n v="566750"/>
    <x v="1"/>
    <s v="Bangalore"/>
    <x v="2"/>
    <s v=" DL"/>
    <x v="2"/>
    <x v="0"/>
    <x v="0"/>
    <x v="0"/>
    <d v="2019-03-05T14:49:16"/>
    <d v="2019-03-09T14:49:16"/>
    <d v="2019-03-12T14:49:16"/>
    <x v="6"/>
    <n v="30"/>
    <n v="121"/>
    <n v="3527.7019029089652"/>
  </r>
  <r>
    <n v="25405"/>
    <x v="1"/>
    <s v="Delhi"/>
    <x v="0"/>
    <s v=" MH"/>
    <x v="1"/>
    <x v="0"/>
    <x v="1"/>
    <x v="0"/>
    <d v="2019-03-05T14:53:03"/>
    <d v="2019-03-12T14:53:03"/>
    <d v="2019-03-09T14:53:03"/>
    <x v="8"/>
    <n v="30"/>
    <n v="110"/>
    <n v="1194.6276577243204"/>
  </r>
  <r>
    <n v="532595"/>
    <x v="1"/>
    <s v="Delhi"/>
    <x v="3"/>
    <s v=" KA"/>
    <x v="1"/>
    <x v="0"/>
    <x v="2"/>
    <x v="0"/>
    <d v="2019-03-05T15:15:40"/>
    <d v="2019-03-11T15:15:40"/>
    <d v="2019-03-12T15:15:40"/>
    <x v="3"/>
    <n v="46"/>
    <n v="123"/>
    <n v="1146.9307991713497"/>
  </r>
  <r>
    <n v="993923"/>
    <x v="1"/>
    <s v="Bangalore"/>
    <x v="4"/>
    <s v=" WB"/>
    <x v="1"/>
    <x v="0"/>
    <x v="2"/>
    <x v="0"/>
    <d v="2019-03-05T15:19:24"/>
    <d v="2019-03-07T15:19:24"/>
    <d v="2019-03-09T15:19:24"/>
    <x v="0"/>
    <n v="47"/>
    <n v="108"/>
    <n v="1902.4123158764037"/>
  </r>
  <r>
    <n v="346572"/>
    <x v="1"/>
    <s v="Delhi"/>
    <x v="3"/>
    <s v=" KA"/>
    <x v="0"/>
    <x v="0"/>
    <x v="0"/>
    <x v="1"/>
    <d v="2019-03-05T15:33:00"/>
    <d v="2019-03-07T15:33:00"/>
    <d v="2019-03-08T15:33:00"/>
    <x v="0"/>
    <n v="43"/>
    <n v="125"/>
    <n v="567.49"/>
  </r>
  <r>
    <n v="259446"/>
    <x v="1"/>
    <s v="Bangalore"/>
    <x v="2"/>
    <s v=" DL"/>
    <x v="2"/>
    <x v="0"/>
    <x v="0"/>
    <x v="1"/>
    <d v="2019-03-05T15:52:27"/>
    <d v="2019-03-08T15:52:27"/>
    <d v="2019-03-09T15:52:27"/>
    <x v="4"/>
    <n v="41"/>
    <n v="121"/>
    <n v="414.26"/>
  </r>
  <r>
    <n v="498850"/>
    <x v="1"/>
    <s v="Delhi"/>
    <x v="1"/>
    <s v=" TN"/>
    <x v="2"/>
    <x v="0"/>
    <x v="0"/>
    <x v="0"/>
    <d v="2019-03-05T15:56:40"/>
    <d v="2019-03-07T15:56:40"/>
    <d v="2019-03-11T15:56:40"/>
    <x v="0"/>
    <n v="49"/>
    <n v="123"/>
    <n v="2894.894241610697"/>
  </r>
  <r>
    <n v="95723"/>
    <x v="1"/>
    <s v="Delhi"/>
    <x v="0"/>
    <s v=" MH"/>
    <x v="1"/>
    <x v="0"/>
    <x v="1"/>
    <x v="0"/>
    <d v="2019-03-05T16:05:34"/>
    <d v="2019-03-13T16:05:34"/>
    <d v="2019-03-09T16:05:34"/>
    <x v="5"/>
    <n v="29"/>
    <n v="108"/>
    <n v="2328.7299699943865"/>
  </r>
  <r>
    <n v="586826"/>
    <x v="1"/>
    <s v="Delhi"/>
    <x v="3"/>
    <s v=" KA"/>
    <x v="2"/>
    <x v="0"/>
    <x v="0"/>
    <x v="0"/>
    <d v="2019-03-05T16:32:17"/>
    <d v="2019-03-09T16:32:17"/>
    <d v="2019-03-10T16:32:17"/>
    <x v="6"/>
    <n v="37"/>
    <n v="121"/>
    <n v="1916.2654770454235"/>
  </r>
  <r>
    <n v="570002"/>
    <x v="1"/>
    <s v="Delhi"/>
    <x v="0"/>
    <s v=" MH"/>
    <x v="0"/>
    <x v="0"/>
    <x v="0"/>
    <x v="0"/>
    <d v="2019-03-05T16:52:06"/>
    <d v="2019-03-07T16:52:06"/>
    <d v="2019-03-10T16:52:06"/>
    <x v="0"/>
    <n v="65"/>
    <n v="93"/>
    <n v="725.34949733042959"/>
  </r>
  <r>
    <n v="963280"/>
    <x v="1"/>
    <s v="Delhi"/>
    <x v="3"/>
    <s v=" KA"/>
    <x v="0"/>
    <x v="0"/>
    <x v="0"/>
    <x v="0"/>
    <d v="2019-03-05T16:58:23"/>
    <d v="2019-03-07T16:58:23"/>
    <d v="2019-03-10T16:58:23"/>
    <x v="0"/>
    <n v="49"/>
    <n v="125"/>
    <n v="2194.7781203396594"/>
  </r>
  <r>
    <n v="536779"/>
    <x v="1"/>
    <s v="Delhi"/>
    <x v="3"/>
    <s v=" KA"/>
    <x v="1"/>
    <x v="0"/>
    <x v="1"/>
    <x v="0"/>
    <d v="2019-03-05T18:02:28"/>
    <d v="2019-03-13T18:02:28"/>
    <d v="2019-03-08T18:02:28"/>
    <x v="5"/>
    <n v="45"/>
    <n v="121"/>
    <n v="3044.1765851859632"/>
  </r>
  <r>
    <n v="404844"/>
    <x v="1"/>
    <s v="Delhi"/>
    <x v="0"/>
    <s v=" MH"/>
    <x v="0"/>
    <x v="0"/>
    <x v="0"/>
    <x v="1"/>
    <d v="2019-03-05T18:19:14"/>
    <d v="2019-03-07T18:19:14"/>
    <d v="2019-03-11T18:19:14"/>
    <x v="0"/>
    <n v="26"/>
    <n v="109"/>
    <n v="1338.05"/>
  </r>
  <r>
    <n v="855594"/>
    <x v="1"/>
    <s v="Delhi"/>
    <x v="1"/>
    <s v=" TN"/>
    <x v="2"/>
    <x v="0"/>
    <x v="0"/>
    <x v="1"/>
    <d v="2019-03-05T18:32:01"/>
    <d v="2019-03-07T18:32:01"/>
    <d v="2019-03-09T18:32:01"/>
    <x v="0"/>
    <n v="41"/>
    <n v="127"/>
    <n v="348.92"/>
  </r>
  <r>
    <n v="421690"/>
    <x v="1"/>
    <s v="Delhi"/>
    <x v="1"/>
    <s v=" TN"/>
    <x v="2"/>
    <x v="0"/>
    <x v="0"/>
    <x v="0"/>
    <d v="2019-03-05T18:36:56"/>
    <d v="2019-03-09T18:36:56"/>
    <d v="2019-03-09T18:36:56"/>
    <x v="6"/>
    <n v="39"/>
    <n v="129"/>
    <n v="3292.7680457328634"/>
  </r>
  <r>
    <n v="353120"/>
    <x v="1"/>
    <s v="Bangalore"/>
    <x v="2"/>
    <s v=" DL"/>
    <x v="0"/>
    <x v="0"/>
    <x v="0"/>
    <x v="0"/>
    <d v="2019-03-05T18:56:20"/>
    <d v="2019-03-09T18:56:20"/>
    <d v="2019-03-12T18:56:20"/>
    <x v="6"/>
    <n v="64"/>
    <n v="107"/>
    <n v="669.26792993673234"/>
  </r>
  <r>
    <n v="522676"/>
    <x v="1"/>
    <s v="Delhi"/>
    <x v="2"/>
    <s v=" DL"/>
    <x v="0"/>
    <x v="0"/>
    <x v="0"/>
    <x v="0"/>
    <d v="2019-03-05T19:05:11"/>
    <d v="2019-03-05T19:05:11"/>
    <d v="2019-03-12T19:05:11"/>
    <x v="10"/>
    <n v="0"/>
    <n v="110"/>
    <n v="1442.6378252875254"/>
  </r>
  <r>
    <n v="11655"/>
    <x v="1"/>
    <s v="Bangalore"/>
    <x v="3"/>
    <s v=" KA"/>
    <x v="1"/>
    <x v="0"/>
    <x v="2"/>
    <x v="1"/>
    <d v="2019-03-05T19:28:53"/>
    <d v="2019-03-06T19:28:53"/>
    <d v="2019-03-09T19:28:53"/>
    <x v="2"/>
    <n v="0"/>
    <n v="130"/>
    <n v="211.29"/>
  </r>
  <r>
    <n v="405205"/>
    <x v="1"/>
    <s v="Delhi"/>
    <x v="4"/>
    <s v=" WB"/>
    <x v="0"/>
    <x v="0"/>
    <x v="1"/>
    <x v="0"/>
    <d v="2019-03-05T19:49:18"/>
    <d v="2019-03-08T19:49:18"/>
    <d v="2019-03-08T19:49:18"/>
    <x v="4"/>
    <n v="79"/>
    <n v="92"/>
    <n v="2399.9790880269616"/>
  </r>
  <r>
    <n v="465117"/>
    <x v="1"/>
    <s v="Bangalore"/>
    <x v="2"/>
    <s v=" DL"/>
    <x v="1"/>
    <x v="0"/>
    <x v="1"/>
    <x v="1"/>
    <d v="2019-03-05T20:00:12"/>
    <d v="2019-03-11T20:00:12"/>
    <d v="2019-03-09T20:00:12"/>
    <x v="3"/>
    <n v="47"/>
    <n v="126"/>
    <n v="3160.8"/>
  </r>
  <r>
    <n v="681299"/>
    <x v="1"/>
    <s v="Delhi"/>
    <x v="4"/>
    <s v=" WB"/>
    <x v="0"/>
    <x v="0"/>
    <x v="1"/>
    <x v="0"/>
    <d v="2019-03-05T20:13:41"/>
    <d v="2019-03-11T20:13:41"/>
    <d v="2019-03-10T20:13:41"/>
    <x v="3"/>
    <n v="78"/>
    <n v="94"/>
    <n v="636.56568847531378"/>
  </r>
  <r>
    <n v="569996"/>
    <x v="1"/>
    <s v="Bangalore"/>
    <x v="3"/>
    <s v=" KA"/>
    <x v="0"/>
    <x v="0"/>
    <x v="0"/>
    <x v="0"/>
    <d v="2019-03-05T20:17:50"/>
    <d v="2019-03-05T20:17:50"/>
    <d v="2019-03-08T20:17:50"/>
    <x v="10"/>
    <n v="0"/>
    <n v="106"/>
    <n v="481.43079869830808"/>
  </r>
  <r>
    <n v="148179"/>
    <x v="1"/>
    <s v="Bangalore"/>
    <x v="1"/>
    <s v=" TN"/>
    <x v="0"/>
    <x v="0"/>
    <x v="1"/>
    <x v="1"/>
    <d v="2019-03-05T20:38:56"/>
    <d v="2019-03-09T20:38:56"/>
    <d v="2019-03-12T20:38:56"/>
    <x v="6"/>
    <n v="67"/>
    <n v="110"/>
    <n v="1418.56"/>
  </r>
  <r>
    <n v="102903"/>
    <x v="1"/>
    <s v="Delhi"/>
    <x v="2"/>
    <s v=" DL"/>
    <x v="1"/>
    <x v="0"/>
    <x v="1"/>
    <x v="1"/>
    <d v="2019-03-05T20:44:40"/>
    <d v="2019-03-08T20:44:40"/>
    <d v="2019-03-08T20:44:40"/>
    <x v="4"/>
    <n v="0"/>
    <n v="127"/>
    <n v="1504.44"/>
  </r>
  <r>
    <n v="173994"/>
    <x v="1"/>
    <s v="Bangalore"/>
    <x v="3"/>
    <s v=" KA"/>
    <x v="2"/>
    <x v="0"/>
    <x v="0"/>
    <x v="1"/>
    <d v="2019-03-05T21:36:30"/>
    <d v="2019-03-08T21:36:30"/>
    <d v="2019-03-10T21:36:30"/>
    <x v="4"/>
    <n v="0"/>
    <n v="127"/>
    <n v="3225.66"/>
  </r>
  <r>
    <n v="519290"/>
    <x v="1"/>
    <s v="Delhi"/>
    <x v="2"/>
    <s v=" DL"/>
    <x v="2"/>
    <x v="0"/>
    <x v="0"/>
    <x v="0"/>
    <d v="2019-03-05T22:07:18"/>
    <d v="2019-03-10T22:07:18"/>
    <d v="2019-03-12T22:07:18"/>
    <x v="9"/>
    <n v="0"/>
    <n v="124"/>
    <n v="693.17775307942554"/>
  </r>
  <r>
    <n v="68187"/>
    <x v="1"/>
    <s v="Bangalore"/>
    <x v="3"/>
    <s v=" KA"/>
    <x v="1"/>
    <x v="0"/>
    <x v="2"/>
    <x v="1"/>
    <d v="2019-03-05T23:04:08"/>
    <d v="2019-03-07T23:04:08"/>
    <d v="2019-03-09T23:04:08"/>
    <x v="0"/>
    <n v="0"/>
    <n v="122"/>
    <n v="2016.76"/>
  </r>
  <r>
    <n v="690053"/>
    <x v="1"/>
    <s v="Delhi"/>
    <x v="0"/>
    <s v=" MH"/>
    <x v="1"/>
    <x v="0"/>
    <x v="2"/>
    <x v="0"/>
    <d v="2019-03-05T23:38:36"/>
    <d v="2019-03-12T23:38:36"/>
    <d v="2019-03-11T23:38:36"/>
    <x v="8"/>
    <n v="39"/>
    <n v="110"/>
    <n v="346.20702061678418"/>
  </r>
  <r>
    <n v="229667"/>
    <x v="1"/>
    <s v="Delhi"/>
    <x v="3"/>
    <s v=" KA"/>
    <x v="1"/>
    <x v="0"/>
    <x v="1"/>
    <x v="0"/>
    <d v="2019-03-06T00:04:08"/>
    <d v="2019-03-16T00:04:08"/>
    <d v="2019-03-13T00:04:08"/>
    <x v="7"/>
    <n v="49"/>
    <n v="121"/>
    <n v="3435.5746390408513"/>
  </r>
  <r>
    <n v="699988"/>
    <x v="1"/>
    <s v="Bangalore"/>
    <x v="3"/>
    <s v=" KA"/>
    <x v="0"/>
    <x v="0"/>
    <x v="0"/>
    <x v="0"/>
    <d v="2019-03-06T00:11:23"/>
    <d v="2019-03-07T00:11:23"/>
    <d v="2019-03-10T00:11:23"/>
    <x v="2"/>
    <n v="0"/>
    <n v="103"/>
    <n v="363.27926241499779"/>
  </r>
  <r>
    <n v="671716"/>
    <x v="1"/>
    <s v="Delhi"/>
    <x v="3"/>
    <s v=" KA"/>
    <x v="0"/>
    <x v="0"/>
    <x v="0"/>
    <x v="0"/>
    <d v="2019-03-06T00:30:57"/>
    <d v="2019-03-08T00:30:57"/>
    <d v="2019-03-11T00:30:57"/>
    <x v="0"/>
    <n v="81"/>
    <n v="101"/>
    <n v="3091.9275776636191"/>
  </r>
  <r>
    <n v="548313"/>
    <x v="1"/>
    <s v="Delhi"/>
    <x v="3"/>
    <s v=" KA"/>
    <x v="0"/>
    <x v="0"/>
    <x v="1"/>
    <x v="1"/>
    <d v="2019-03-06T00:54:59"/>
    <d v="2019-03-08T00:54:59"/>
    <d v="2019-03-13T00:54:59"/>
    <x v="0"/>
    <n v="69"/>
    <n v="101"/>
    <n v="2109.5"/>
  </r>
  <r>
    <n v="367054"/>
    <x v="1"/>
    <s v="Bangalore"/>
    <x v="3"/>
    <s v=" KA"/>
    <x v="0"/>
    <x v="0"/>
    <x v="0"/>
    <x v="0"/>
    <d v="2019-03-06T01:05:44"/>
    <d v="2019-03-11T01:05:44"/>
    <d v="2019-03-09T01:05:44"/>
    <x v="9"/>
    <n v="0"/>
    <n v="104"/>
    <n v="271.67889508261374"/>
  </r>
  <r>
    <n v="106060"/>
    <x v="1"/>
    <s v="Bangalore"/>
    <x v="1"/>
    <s v=" TN"/>
    <x v="0"/>
    <x v="0"/>
    <x v="0"/>
    <x v="0"/>
    <d v="2019-03-06T01:20:31"/>
    <d v="2019-03-13T01:20:31"/>
    <d v="2019-03-12T01:20:31"/>
    <x v="8"/>
    <n v="57"/>
    <n v="108"/>
    <n v="716.20295611984898"/>
  </r>
  <r>
    <n v="354572"/>
    <x v="1"/>
    <s v="Bangalore"/>
    <x v="1"/>
    <s v=" TN"/>
    <x v="0"/>
    <x v="0"/>
    <x v="0"/>
    <x v="0"/>
    <d v="2019-03-06T01:26:13"/>
    <d v="2019-03-10T01:26:13"/>
    <d v="2019-03-12T01:26:13"/>
    <x v="6"/>
    <n v="35"/>
    <n v="124"/>
    <n v="2232.9032192197028"/>
  </r>
  <r>
    <n v="178544"/>
    <x v="1"/>
    <s v="Delhi"/>
    <x v="0"/>
    <s v=" MH"/>
    <x v="0"/>
    <x v="0"/>
    <x v="0"/>
    <x v="0"/>
    <d v="2019-03-06T01:26:34"/>
    <d v="2019-03-10T01:26:34"/>
    <d v="2019-03-09T01:26:34"/>
    <x v="6"/>
    <n v="31"/>
    <n v="111"/>
    <n v="2291.5407380887737"/>
  </r>
  <r>
    <n v="934546"/>
    <x v="1"/>
    <s v="Delhi"/>
    <x v="4"/>
    <s v=" WB"/>
    <x v="2"/>
    <x v="0"/>
    <x v="0"/>
    <x v="0"/>
    <d v="2019-03-06T01:45:24"/>
    <d v="2019-03-13T01:45:24"/>
    <d v="2019-03-09T01:45:24"/>
    <x v="8"/>
    <n v="37"/>
    <n v="109"/>
    <n v="3278.4441076958433"/>
  </r>
  <r>
    <n v="596051"/>
    <x v="1"/>
    <s v="Bangalore"/>
    <x v="4"/>
    <s v=" WB"/>
    <x v="1"/>
    <x v="0"/>
    <x v="1"/>
    <x v="0"/>
    <d v="2019-03-06T02:14:47"/>
    <d v="2019-03-13T02:14:47"/>
    <d v="2019-03-12T02:14:47"/>
    <x v="8"/>
    <n v="49"/>
    <n v="114"/>
    <n v="1012.5811707153916"/>
  </r>
  <r>
    <n v="705866"/>
    <x v="1"/>
    <s v="Bangalore"/>
    <x v="2"/>
    <s v=" DL"/>
    <x v="2"/>
    <x v="0"/>
    <x v="0"/>
    <x v="0"/>
    <d v="2019-03-06T02:17:17"/>
    <d v="2019-03-14T02:17:17"/>
    <d v="2019-03-09T02:17:17"/>
    <x v="5"/>
    <n v="46"/>
    <n v="122"/>
    <n v="3255.322443696321"/>
  </r>
  <r>
    <n v="797208"/>
    <x v="1"/>
    <s v="Delhi"/>
    <x v="1"/>
    <s v=" TN"/>
    <x v="0"/>
    <x v="0"/>
    <x v="0"/>
    <x v="1"/>
    <d v="2019-03-06T02:27:28"/>
    <d v="2019-03-11T02:27:28"/>
    <d v="2019-03-10T02:27:28"/>
    <x v="9"/>
    <n v="31"/>
    <n v="121"/>
    <n v="1919.98"/>
  </r>
  <r>
    <n v="358782"/>
    <x v="1"/>
    <s v="Bangalore"/>
    <x v="3"/>
    <s v=" KA"/>
    <x v="2"/>
    <x v="0"/>
    <x v="0"/>
    <x v="1"/>
    <d v="2019-03-06T02:28:22"/>
    <d v="2019-03-09T02:28:22"/>
    <d v="2019-03-13T02:28:22"/>
    <x v="4"/>
    <n v="0"/>
    <n v="123"/>
    <n v="2654.41"/>
  </r>
  <r>
    <n v="486380"/>
    <x v="1"/>
    <s v="Bangalore"/>
    <x v="2"/>
    <s v=" DL"/>
    <x v="0"/>
    <x v="0"/>
    <x v="0"/>
    <x v="0"/>
    <d v="2019-03-06T03:03:18"/>
    <d v="2019-03-11T03:03:18"/>
    <d v="2019-03-13T03:03:18"/>
    <x v="9"/>
    <n v="36"/>
    <n v="122"/>
    <n v="3509.9526956577452"/>
  </r>
  <r>
    <n v="738737"/>
    <x v="1"/>
    <s v="Delhi"/>
    <x v="3"/>
    <s v=" KA"/>
    <x v="0"/>
    <x v="0"/>
    <x v="1"/>
    <x v="0"/>
    <d v="2019-03-06T03:06:08"/>
    <d v="2019-03-10T03:06:08"/>
    <d v="2019-03-10T03:06:08"/>
    <x v="6"/>
    <n v="65"/>
    <n v="107"/>
    <n v="2806.7032136984481"/>
  </r>
  <r>
    <n v="122460"/>
    <x v="1"/>
    <s v="Delhi"/>
    <x v="0"/>
    <s v=" MH"/>
    <x v="0"/>
    <x v="0"/>
    <x v="0"/>
    <x v="1"/>
    <d v="2019-03-06T03:06:49"/>
    <d v="2019-03-11T03:06:49"/>
    <d v="2019-03-13T03:06:49"/>
    <x v="9"/>
    <n v="48"/>
    <n v="112"/>
    <n v="1901.12"/>
  </r>
  <r>
    <n v="916763"/>
    <x v="1"/>
    <s v="Delhi"/>
    <x v="3"/>
    <s v=" KA"/>
    <x v="1"/>
    <x v="0"/>
    <x v="1"/>
    <x v="0"/>
    <d v="2019-03-06T03:59:13"/>
    <d v="2019-03-16T03:59:13"/>
    <d v="2019-03-10T03:59:13"/>
    <x v="7"/>
    <n v="38"/>
    <n v="125"/>
    <n v="1278.0966355631456"/>
  </r>
  <r>
    <n v="370134"/>
    <x v="1"/>
    <s v="Delhi"/>
    <x v="1"/>
    <s v=" TN"/>
    <x v="0"/>
    <x v="0"/>
    <x v="0"/>
    <x v="1"/>
    <d v="2019-03-06T04:02:31"/>
    <d v="2019-03-15T04:02:31"/>
    <d v="2019-03-12T04:02:31"/>
    <x v="1"/>
    <n v="81"/>
    <n v="102"/>
    <n v="3232.19"/>
  </r>
  <r>
    <n v="360956"/>
    <x v="1"/>
    <s v="Delhi"/>
    <x v="4"/>
    <s v=" WB"/>
    <x v="0"/>
    <x v="0"/>
    <x v="0"/>
    <x v="0"/>
    <d v="2019-03-06T04:35:57"/>
    <d v="2019-03-09T04:35:57"/>
    <d v="2019-03-13T04:35:57"/>
    <x v="4"/>
    <n v="25"/>
    <n v="114"/>
    <n v="1793.0185870956673"/>
  </r>
  <r>
    <n v="81978"/>
    <x v="1"/>
    <s v="Bangalore"/>
    <x v="3"/>
    <s v=" KA"/>
    <x v="2"/>
    <x v="0"/>
    <x v="0"/>
    <x v="1"/>
    <d v="2019-03-06T04:53:51"/>
    <d v="2019-03-11T04:53:51"/>
    <d v="2019-03-13T04:53:51"/>
    <x v="9"/>
    <n v="0"/>
    <n v="128"/>
    <n v="3224.7768479459237"/>
  </r>
  <r>
    <n v="612819"/>
    <x v="1"/>
    <s v="Delhi"/>
    <x v="2"/>
    <s v=" DL"/>
    <x v="1"/>
    <x v="0"/>
    <x v="1"/>
    <x v="1"/>
    <d v="2019-03-06T05:47:34"/>
    <d v="2019-03-09T05:47:34"/>
    <d v="2019-03-11T05:47:34"/>
    <x v="4"/>
    <n v="0"/>
    <n v="129"/>
    <n v="289.48218648391469"/>
  </r>
  <r>
    <n v="661486"/>
    <x v="1"/>
    <s v="Bangalore"/>
    <x v="0"/>
    <s v=" MH"/>
    <x v="2"/>
    <x v="0"/>
    <x v="0"/>
    <x v="0"/>
    <d v="2019-03-06T06:15:01"/>
    <d v="2019-03-09T06:15:01"/>
    <d v="2019-03-13T06:15:01"/>
    <x v="4"/>
    <n v="31"/>
    <n v="107"/>
    <n v="2368.3372917221523"/>
  </r>
  <r>
    <n v="59176"/>
    <x v="1"/>
    <s v="Bangalore"/>
    <x v="0"/>
    <s v=" MH"/>
    <x v="0"/>
    <x v="0"/>
    <x v="0"/>
    <x v="0"/>
    <d v="2019-03-06T06:18:28"/>
    <d v="2019-03-08T06:18:28"/>
    <d v="2019-03-11T06:18:28"/>
    <x v="0"/>
    <n v="80"/>
    <n v="86"/>
    <n v="713.27020771119896"/>
  </r>
  <r>
    <n v="909047"/>
    <x v="1"/>
    <s v="Delhi"/>
    <x v="2"/>
    <s v=" DL"/>
    <x v="1"/>
    <x v="0"/>
    <x v="1"/>
    <x v="0"/>
    <d v="2019-03-06T06:19:19"/>
    <d v="2019-03-12T06:19:19"/>
    <d v="2019-03-13T06:19:19"/>
    <x v="3"/>
    <n v="0"/>
    <n v="128"/>
    <n v="2272"/>
  </r>
  <r>
    <n v="894322"/>
    <x v="1"/>
    <s v="Delhi"/>
    <x v="4"/>
    <s v=" WB"/>
    <x v="2"/>
    <x v="0"/>
    <x v="0"/>
    <x v="0"/>
    <d v="2019-03-06T06:27:59"/>
    <d v="2019-03-08T06:27:59"/>
    <d v="2019-03-09T06:27:59"/>
    <x v="0"/>
    <n v="35"/>
    <n v="108"/>
    <n v="1848"/>
  </r>
  <r>
    <n v="932439"/>
    <x v="1"/>
    <s v="Bangalore"/>
    <x v="2"/>
    <s v=" DL"/>
    <x v="1"/>
    <x v="0"/>
    <x v="1"/>
    <x v="1"/>
    <d v="2019-03-06T06:56:50"/>
    <d v="2019-03-11T06:56:50"/>
    <d v="2019-03-12T06:56:50"/>
    <x v="9"/>
    <n v="0"/>
    <n v="125"/>
    <n v="847"/>
  </r>
  <r>
    <n v="786746"/>
    <x v="1"/>
    <s v="Delhi"/>
    <x v="0"/>
    <s v=" MH"/>
    <x v="2"/>
    <x v="0"/>
    <x v="0"/>
    <x v="0"/>
    <d v="2019-03-06T07:02:53"/>
    <d v="2019-03-13T07:02:53"/>
    <d v="2019-03-13T07:02:53"/>
    <x v="8"/>
    <n v="50"/>
    <n v="107"/>
    <n v="1260.2488990596246"/>
  </r>
  <r>
    <n v="25342"/>
    <x v="1"/>
    <s v="Delhi"/>
    <x v="1"/>
    <s v=" TN"/>
    <x v="2"/>
    <x v="0"/>
    <x v="0"/>
    <x v="0"/>
    <d v="2019-03-06T07:04:38"/>
    <d v="2019-03-13T07:04:38"/>
    <d v="2019-03-09T07:04:38"/>
    <x v="8"/>
    <n v="32"/>
    <n v="122"/>
    <n v="542.0546730858149"/>
  </r>
  <r>
    <n v="107497"/>
    <x v="1"/>
    <s v="Bangalore"/>
    <x v="0"/>
    <s v=" MH"/>
    <x v="1"/>
    <x v="0"/>
    <x v="1"/>
    <x v="0"/>
    <d v="2019-03-06T07:17:24"/>
    <d v="2019-03-14T07:17:24"/>
    <d v="2019-03-12T07:17:24"/>
    <x v="5"/>
    <n v="37"/>
    <n v="111"/>
    <n v="2816.7468133068392"/>
  </r>
  <r>
    <n v="472187"/>
    <x v="1"/>
    <s v="Delhi"/>
    <x v="4"/>
    <s v=" WB"/>
    <x v="1"/>
    <x v="0"/>
    <x v="1"/>
    <x v="0"/>
    <d v="2019-03-06T07:20:08"/>
    <d v="2019-03-13T07:20:08"/>
    <d v="2019-03-12T07:20:08"/>
    <x v="8"/>
    <n v="29"/>
    <n v="106"/>
    <n v="3154"/>
  </r>
  <r>
    <n v="326927"/>
    <x v="1"/>
    <s v="Bangalore"/>
    <x v="0"/>
    <s v=" MH"/>
    <x v="1"/>
    <x v="0"/>
    <x v="1"/>
    <x v="0"/>
    <d v="2019-03-06T07:39:59"/>
    <d v="2019-03-11T07:39:59"/>
    <d v="2019-03-12T07:39:59"/>
    <x v="9"/>
    <n v="50"/>
    <n v="114"/>
    <n v="1313"/>
  </r>
  <r>
    <n v="566161"/>
    <x v="1"/>
    <s v="Bangalore"/>
    <x v="4"/>
    <s v=" WB"/>
    <x v="1"/>
    <x v="0"/>
    <x v="1"/>
    <x v="0"/>
    <d v="2019-03-06T08:03:53"/>
    <d v="2019-03-13T08:03:53"/>
    <d v="2019-03-10T08:03:53"/>
    <x v="8"/>
    <n v="48"/>
    <n v="113"/>
    <n v="1232"/>
  </r>
  <r>
    <n v="220772"/>
    <x v="1"/>
    <s v="Bangalore"/>
    <x v="3"/>
    <s v=" KA"/>
    <x v="0"/>
    <x v="0"/>
    <x v="0"/>
    <x v="0"/>
    <d v="2019-03-06T08:07:48"/>
    <d v="2019-03-11T08:07:48"/>
    <d v="2019-03-11T08:07:48"/>
    <x v="9"/>
    <n v="0"/>
    <n v="127"/>
    <n v="821.03555371479194"/>
  </r>
  <r>
    <n v="182005"/>
    <x v="1"/>
    <s v="Delhi"/>
    <x v="0"/>
    <s v=" MH"/>
    <x v="1"/>
    <x v="0"/>
    <x v="1"/>
    <x v="0"/>
    <d v="2019-03-06T08:10:02"/>
    <d v="2019-03-09T08:10:02"/>
    <d v="2019-03-11T08:10:02"/>
    <x v="4"/>
    <n v="49"/>
    <n v="113"/>
    <n v="2756.5500674274354"/>
  </r>
  <r>
    <n v="41971"/>
    <x v="1"/>
    <s v="Delhi"/>
    <x v="3"/>
    <s v=" KA"/>
    <x v="1"/>
    <x v="0"/>
    <x v="1"/>
    <x v="0"/>
    <d v="2019-03-06T08:30:49"/>
    <d v="2019-03-10T08:30:49"/>
    <d v="2019-03-11T08:30:49"/>
    <x v="6"/>
    <n v="30"/>
    <n v="129"/>
    <n v="2054.8614815512715"/>
  </r>
  <r>
    <n v="419142"/>
    <x v="1"/>
    <s v="Delhi"/>
    <x v="2"/>
    <s v=" DL"/>
    <x v="0"/>
    <x v="0"/>
    <x v="0"/>
    <x v="1"/>
    <d v="2019-03-06T08:50:16"/>
    <d v="2019-03-07T08:50:16"/>
    <d v="2019-03-11T08:50:16"/>
    <x v="2"/>
    <n v="0"/>
    <n v="106"/>
    <n v="1891"/>
  </r>
  <r>
    <n v="724482"/>
    <x v="1"/>
    <s v="Delhi"/>
    <x v="2"/>
    <s v=" DL"/>
    <x v="2"/>
    <x v="0"/>
    <x v="0"/>
    <x v="1"/>
    <d v="2019-03-06T08:55:57"/>
    <d v="2019-03-10T08:55:57"/>
    <d v="2019-03-13T08:55:57"/>
    <x v="6"/>
    <n v="0"/>
    <n v="121"/>
    <n v="1575"/>
  </r>
  <r>
    <n v="924171"/>
    <x v="1"/>
    <s v="Bangalore"/>
    <x v="3"/>
    <s v=" KA"/>
    <x v="0"/>
    <x v="0"/>
    <x v="1"/>
    <x v="1"/>
    <d v="2019-03-06T08:57:10"/>
    <d v="2019-03-11T08:57:10"/>
    <d v="2019-03-09T08:57:10"/>
    <x v="9"/>
    <n v="0"/>
    <n v="102"/>
    <n v="2461"/>
  </r>
  <r>
    <n v="337345"/>
    <x v="1"/>
    <s v="Delhi"/>
    <x v="3"/>
    <s v=" KA"/>
    <x v="1"/>
    <x v="0"/>
    <x v="1"/>
    <x v="0"/>
    <d v="2019-03-06T10:10:04"/>
    <d v="2019-03-10T10:10:04"/>
    <d v="2019-03-13T10:10:04"/>
    <x v="6"/>
    <n v="28"/>
    <n v="122"/>
    <n v="2731"/>
  </r>
  <r>
    <n v="866026"/>
    <x v="1"/>
    <s v="Bangalore"/>
    <x v="0"/>
    <s v=" MH"/>
    <x v="2"/>
    <x v="0"/>
    <x v="0"/>
    <x v="0"/>
    <d v="2019-03-06T10:46:16"/>
    <d v="2019-03-11T10:46:16"/>
    <d v="2019-03-11T10:46:16"/>
    <x v="9"/>
    <n v="30"/>
    <n v="112"/>
    <n v="1496.2859520020306"/>
  </r>
  <r>
    <n v="384966"/>
    <x v="1"/>
    <s v="Delhi"/>
    <x v="1"/>
    <s v=" TN"/>
    <x v="0"/>
    <x v="0"/>
    <x v="0"/>
    <x v="1"/>
    <d v="2019-03-06T11:14:18"/>
    <d v="2019-03-14T11:14:18"/>
    <d v="2019-03-10T11:14:18"/>
    <x v="5"/>
    <n v="86"/>
    <n v="102"/>
    <n v="1173"/>
  </r>
  <r>
    <n v="210693"/>
    <x v="1"/>
    <s v="Delhi"/>
    <x v="2"/>
    <s v=" DL"/>
    <x v="1"/>
    <x v="0"/>
    <x v="2"/>
    <x v="1"/>
    <d v="2019-03-06T11:28:53"/>
    <d v="2019-03-09T11:28:53"/>
    <d v="2019-03-11T11:28:53"/>
    <x v="4"/>
    <n v="0"/>
    <n v="120"/>
    <n v="2155.4931576975832"/>
  </r>
  <r>
    <n v="708965"/>
    <x v="1"/>
    <s v="Delhi"/>
    <x v="3"/>
    <s v=" KA"/>
    <x v="1"/>
    <x v="0"/>
    <x v="1"/>
    <x v="0"/>
    <d v="2019-03-06T11:37:33"/>
    <d v="2019-03-16T11:37:33"/>
    <d v="2019-03-12T11:37:33"/>
    <x v="7"/>
    <n v="43"/>
    <n v="126"/>
    <n v="2635"/>
  </r>
  <r>
    <n v="314947"/>
    <x v="1"/>
    <s v="Delhi"/>
    <x v="3"/>
    <s v=" KA"/>
    <x v="1"/>
    <x v="0"/>
    <x v="1"/>
    <x v="0"/>
    <d v="2019-03-06T11:58:25"/>
    <d v="2019-03-12T11:58:25"/>
    <d v="2019-03-12T11:58:25"/>
    <x v="3"/>
    <n v="26"/>
    <n v="128"/>
    <n v="3182.3642447424454"/>
  </r>
  <r>
    <n v="807559"/>
    <x v="1"/>
    <s v="Delhi"/>
    <x v="4"/>
    <s v=" WB"/>
    <x v="1"/>
    <x v="0"/>
    <x v="1"/>
    <x v="0"/>
    <d v="2019-03-06T12:19:25"/>
    <d v="2019-03-10T12:19:25"/>
    <d v="2019-03-09T12:19:25"/>
    <x v="6"/>
    <n v="30"/>
    <n v="112"/>
    <n v="1638"/>
  </r>
  <r>
    <n v="606097"/>
    <x v="1"/>
    <s v="Bangalore"/>
    <x v="0"/>
    <s v=" MH"/>
    <x v="0"/>
    <x v="0"/>
    <x v="1"/>
    <x v="0"/>
    <d v="2019-03-06T12:28:38"/>
    <d v="2019-03-12T12:28:38"/>
    <d v="2019-03-09T12:28:38"/>
    <x v="3"/>
    <n v="66"/>
    <n v="94"/>
    <n v="3714.3244778811168"/>
  </r>
  <r>
    <n v="132007"/>
    <x v="1"/>
    <s v="Delhi"/>
    <x v="1"/>
    <s v=" TN"/>
    <x v="1"/>
    <x v="0"/>
    <x v="1"/>
    <x v="0"/>
    <d v="2019-03-06T13:32:28"/>
    <d v="2019-03-12T13:32:28"/>
    <d v="2019-03-09T13:32:28"/>
    <x v="3"/>
    <n v="45"/>
    <n v="121"/>
    <n v="1074.4589751396893"/>
  </r>
  <r>
    <n v="170422"/>
    <x v="1"/>
    <s v="Bangalore"/>
    <x v="2"/>
    <s v=" DL"/>
    <x v="2"/>
    <x v="0"/>
    <x v="0"/>
    <x v="0"/>
    <d v="2019-03-06T14:46:41"/>
    <d v="2019-03-11T14:46:41"/>
    <d v="2019-03-12T14:46:41"/>
    <x v="9"/>
    <n v="36"/>
    <n v="129"/>
    <n v="2833.6294833903567"/>
  </r>
  <r>
    <n v="203713"/>
    <x v="1"/>
    <s v="Delhi"/>
    <x v="0"/>
    <s v=" MH"/>
    <x v="1"/>
    <x v="0"/>
    <x v="1"/>
    <x v="0"/>
    <d v="2019-03-06T15:00:34"/>
    <d v="2019-03-12T15:00:34"/>
    <d v="2019-03-13T15:00:34"/>
    <x v="3"/>
    <n v="32"/>
    <n v="112"/>
    <n v="933.15800701971057"/>
  </r>
  <r>
    <n v="987898"/>
    <x v="1"/>
    <s v="Delhi"/>
    <x v="0"/>
    <s v=" MH"/>
    <x v="2"/>
    <x v="0"/>
    <x v="0"/>
    <x v="0"/>
    <d v="2019-03-06T15:19:33"/>
    <d v="2019-03-11T15:19:33"/>
    <d v="2019-03-11T15:19:33"/>
    <x v="9"/>
    <n v="45"/>
    <n v="107"/>
    <n v="2197.8944157501855"/>
  </r>
  <r>
    <n v="385690"/>
    <x v="1"/>
    <s v="Bangalore"/>
    <x v="4"/>
    <s v=" WB"/>
    <x v="2"/>
    <x v="0"/>
    <x v="0"/>
    <x v="0"/>
    <d v="2019-03-06T15:54:53"/>
    <d v="2019-03-09T15:54:53"/>
    <d v="2019-03-13T15:54:53"/>
    <x v="4"/>
    <n v="33"/>
    <n v="112"/>
    <n v="3039.5435206115912"/>
  </r>
  <r>
    <n v="114534"/>
    <x v="1"/>
    <s v="Delhi"/>
    <x v="3"/>
    <s v=" KA"/>
    <x v="0"/>
    <x v="0"/>
    <x v="0"/>
    <x v="1"/>
    <d v="2019-03-06T16:13:35"/>
    <d v="2019-03-09T16:13:35"/>
    <d v="2019-03-13T16:13:35"/>
    <x v="4"/>
    <n v="72"/>
    <n v="109"/>
    <n v="2487.7925090240929"/>
  </r>
  <r>
    <n v="848679"/>
    <x v="1"/>
    <s v="Bangalore"/>
    <x v="4"/>
    <s v=" WB"/>
    <x v="1"/>
    <x v="0"/>
    <x v="1"/>
    <x v="1"/>
    <d v="2019-03-06T16:23:04"/>
    <d v="2019-03-12T16:23:04"/>
    <d v="2019-03-13T16:23:04"/>
    <x v="3"/>
    <n v="25"/>
    <n v="113"/>
    <n v="913.21608623103805"/>
  </r>
  <r>
    <n v="546941"/>
    <x v="1"/>
    <s v="Bangalore"/>
    <x v="0"/>
    <s v=" MH"/>
    <x v="0"/>
    <x v="0"/>
    <x v="1"/>
    <x v="0"/>
    <d v="2019-03-06T16:37:28"/>
    <d v="2019-03-11T16:37:28"/>
    <d v="2019-03-13T16:37:28"/>
    <x v="9"/>
    <n v="89"/>
    <n v="89"/>
    <n v="3617.5833404919358"/>
  </r>
  <r>
    <n v="728705"/>
    <x v="1"/>
    <s v="Delhi"/>
    <x v="3"/>
    <s v=" KA"/>
    <x v="0"/>
    <x v="0"/>
    <x v="1"/>
    <x v="0"/>
    <d v="2019-03-06T16:37:51"/>
    <d v="2019-03-08T16:37:51"/>
    <d v="2019-03-10T16:37:51"/>
    <x v="0"/>
    <n v="67"/>
    <n v="101"/>
    <n v="2208"/>
  </r>
  <r>
    <n v="103691"/>
    <x v="1"/>
    <s v="Bangalore"/>
    <x v="1"/>
    <s v=" TN"/>
    <x v="0"/>
    <x v="0"/>
    <x v="2"/>
    <x v="0"/>
    <d v="2019-03-06T16:51:39"/>
    <d v="2019-03-13T16:51:39"/>
    <d v="2019-03-09T16:51:39"/>
    <x v="8"/>
    <n v="60"/>
    <n v="105"/>
    <n v="2581"/>
  </r>
  <r>
    <n v="228742"/>
    <x v="1"/>
    <s v="Delhi"/>
    <x v="3"/>
    <s v=" KA"/>
    <x v="2"/>
    <x v="0"/>
    <x v="0"/>
    <x v="0"/>
    <d v="2019-03-06T18:52:49"/>
    <d v="2019-03-14T18:52:49"/>
    <d v="2019-03-09T18:52:49"/>
    <x v="5"/>
    <n v="50"/>
    <n v="122"/>
    <n v="289"/>
  </r>
  <r>
    <n v="296319"/>
    <x v="1"/>
    <s v="Bangalore"/>
    <x v="0"/>
    <s v=" MH"/>
    <x v="1"/>
    <x v="0"/>
    <x v="1"/>
    <x v="1"/>
    <d v="2019-03-06T19:11:12"/>
    <d v="2019-03-15T19:11:12"/>
    <d v="2019-03-12T19:11:12"/>
    <x v="1"/>
    <n v="28"/>
    <n v="106"/>
    <n v="2173.4378519687816"/>
  </r>
  <r>
    <n v="122786"/>
    <x v="1"/>
    <s v="Bangalore"/>
    <x v="1"/>
    <s v=" TN"/>
    <x v="2"/>
    <x v="0"/>
    <x v="0"/>
    <x v="0"/>
    <d v="2019-03-06T19:11:48"/>
    <d v="2019-03-09T19:11:48"/>
    <d v="2019-03-10T19:11:48"/>
    <x v="4"/>
    <n v="33"/>
    <n v="124"/>
    <n v="3364.0769171499128"/>
  </r>
  <r>
    <n v="38794"/>
    <x v="1"/>
    <s v="Delhi"/>
    <x v="0"/>
    <s v=" MH"/>
    <x v="0"/>
    <x v="0"/>
    <x v="0"/>
    <x v="0"/>
    <d v="2019-03-06T19:12:46"/>
    <d v="2019-03-09T19:12:46"/>
    <d v="2019-03-11T19:12:46"/>
    <x v="4"/>
    <n v="64"/>
    <n v="92"/>
    <n v="2689.3753947441373"/>
  </r>
  <r>
    <n v="922600"/>
    <x v="1"/>
    <s v="Bangalore"/>
    <x v="2"/>
    <s v=" DL"/>
    <x v="0"/>
    <x v="0"/>
    <x v="0"/>
    <x v="0"/>
    <d v="2019-03-06T19:14:44"/>
    <d v="2019-03-09T19:14:44"/>
    <d v="2019-03-13T19:14:44"/>
    <x v="4"/>
    <n v="81"/>
    <n v="106"/>
    <n v="3770.3622776922534"/>
  </r>
  <r>
    <n v="267685"/>
    <x v="1"/>
    <s v="Delhi"/>
    <x v="2"/>
    <s v=" DL"/>
    <x v="1"/>
    <x v="0"/>
    <x v="1"/>
    <x v="0"/>
    <d v="2019-03-06T19:18:57"/>
    <d v="2019-03-10T19:18:57"/>
    <d v="2019-03-13T19:18:57"/>
    <x v="6"/>
    <n v="0"/>
    <n v="124"/>
    <n v="2125"/>
  </r>
  <r>
    <n v="107661"/>
    <x v="1"/>
    <s v="Bangalore"/>
    <x v="2"/>
    <s v=" DL"/>
    <x v="1"/>
    <x v="0"/>
    <x v="1"/>
    <x v="1"/>
    <d v="2019-03-06T19:42:00"/>
    <d v="2019-03-11T19:42:00"/>
    <d v="2019-03-13T19:42:00"/>
    <x v="9"/>
    <n v="43"/>
    <n v="121"/>
    <n v="1040.3827345038144"/>
  </r>
  <r>
    <n v="167923"/>
    <x v="1"/>
    <s v="Delhi"/>
    <x v="0"/>
    <s v=" MH"/>
    <x v="0"/>
    <x v="0"/>
    <x v="2"/>
    <x v="0"/>
    <d v="2019-03-06T19:43:33"/>
    <d v="2019-03-11T19:43:33"/>
    <d v="2019-03-12T19:43:33"/>
    <x v="9"/>
    <n v="60"/>
    <n v="91"/>
    <n v="475.05983643670697"/>
  </r>
  <r>
    <n v="93205"/>
    <x v="1"/>
    <s v="Delhi"/>
    <x v="4"/>
    <s v=" WB"/>
    <x v="0"/>
    <x v="0"/>
    <x v="2"/>
    <x v="0"/>
    <d v="2019-03-06T19:44:44"/>
    <d v="2019-03-15T19:44:44"/>
    <d v="2019-03-09T19:44:44"/>
    <x v="1"/>
    <n v="65"/>
    <n v="92"/>
    <n v="2381.2111917975462"/>
  </r>
  <r>
    <n v="978551"/>
    <x v="1"/>
    <s v="Delhi"/>
    <x v="2"/>
    <s v=" DL"/>
    <x v="1"/>
    <x v="0"/>
    <x v="2"/>
    <x v="0"/>
    <d v="2019-03-06T20:03:39"/>
    <d v="2019-03-10T20:03:39"/>
    <d v="2019-03-09T20:03:39"/>
    <x v="6"/>
    <n v="9999"/>
    <n v="123"/>
    <n v="774"/>
  </r>
  <r>
    <n v="924244"/>
    <x v="1"/>
    <s v="Delhi"/>
    <x v="1"/>
    <s v=" TN"/>
    <x v="0"/>
    <x v="0"/>
    <x v="0"/>
    <x v="0"/>
    <d v="2019-03-06T21:01:56"/>
    <d v="2019-03-13T21:01:56"/>
    <d v="2019-03-10T21:01:56"/>
    <x v="8"/>
    <n v="42"/>
    <n v="121"/>
    <n v="1847.2134551490519"/>
  </r>
  <r>
    <n v="121309"/>
    <x v="1"/>
    <s v="Bangalore"/>
    <x v="3"/>
    <s v=" KA"/>
    <x v="0"/>
    <x v="0"/>
    <x v="1"/>
    <x v="0"/>
    <d v="2019-03-06T21:35:15"/>
    <d v="2019-03-06T21:35:15"/>
    <d v="2019-03-09T21:35:15"/>
    <x v="10"/>
    <n v="0"/>
    <n v="103"/>
    <n v="3150"/>
  </r>
  <r>
    <n v="948343"/>
    <x v="1"/>
    <s v="Delhi"/>
    <x v="3"/>
    <s v=" KA"/>
    <x v="1"/>
    <x v="0"/>
    <x v="1"/>
    <x v="0"/>
    <d v="2019-03-06T21:51:13"/>
    <d v="2019-03-14T21:51:13"/>
    <d v="2019-03-10T21:51:13"/>
    <x v="5"/>
    <n v="29"/>
    <n v="123"/>
    <n v="2539.7569450574952"/>
  </r>
  <r>
    <n v="43847"/>
    <x v="1"/>
    <s v="Delhi"/>
    <x v="2"/>
    <s v=" DL"/>
    <x v="0"/>
    <x v="0"/>
    <x v="1"/>
    <x v="0"/>
    <d v="2019-03-06T21:57:48"/>
    <d v="2019-03-10T21:57:48"/>
    <d v="2019-03-12T21:57:48"/>
    <x v="6"/>
    <n v="0"/>
    <n v="107"/>
    <n v="3193.2078189486547"/>
  </r>
  <r>
    <n v="43227"/>
    <x v="1"/>
    <s v="Bangalore"/>
    <x v="0"/>
    <s v=" MH"/>
    <x v="1"/>
    <x v="0"/>
    <x v="1"/>
    <x v="1"/>
    <d v="2019-03-06T21:58:40"/>
    <d v="2019-03-11T21:58:40"/>
    <d v="2019-03-10T21:58:40"/>
    <x v="9"/>
    <n v="39"/>
    <n v="112"/>
    <n v="1617"/>
  </r>
  <r>
    <n v="340293"/>
    <x v="1"/>
    <s v="Delhi"/>
    <x v="2"/>
    <s v=" DL"/>
    <x v="1"/>
    <x v="0"/>
    <x v="1"/>
    <x v="1"/>
    <d v="2019-03-06T22:03:11"/>
    <d v="2019-03-09T22:03:11"/>
    <d v="2019-03-13T22:03:11"/>
    <x v="4"/>
    <n v="0"/>
    <n v="126"/>
    <n v="2670.0517425883781"/>
  </r>
  <r>
    <n v="394790"/>
    <x v="1"/>
    <s v="Delhi"/>
    <x v="2"/>
    <s v=" DL"/>
    <x v="0"/>
    <x v="0"/>
    <x v="0"/>
    <x v="0"/>
    <d v="2019-03-06T23:32:30"/>
    <d v="2019-03-07T23:32:30"/>
    <d v="2019-03-12T23:32:30"/>
    <x v="2"/>
    <n v="0"/>
    <n v="104"/>
    <n v="2355.2606633489222"/>
  </r>
  <r>
    <n v="291538"/>
    <x v="1"/>
    <s v="Bangalore"/>
    <x v="0"/>
    <s v=" MH"/>
    <x v="0"/>
    <x v="0"/>
    <x v="0"/>
    <x v="0"/>
    <d v="2019-03-06T23:34:58"/>
    <d v="2019-03-08T23:34:58"/>
    <d v="2019-03-10T23:34:58"/>
    <x v="0"/>
    <n v="86"/>
    <n v="92"/>
    <n v="3485.8550073220599"/>
  </r>
  <r>
    <n v="738315"/>
    <x v="1"/>
    <s v="Delhi"/>
    <x v="3"/>
    <s v=" KA"/>
    <x v="1"/>
    <x v="0"/>
    <x v="1"/>
    <x v="1"/>
    <d v="2019-03-07T00:05:38"/>
    <d v="2019-03-11T00:05:38"/>
    <d v="2019-03-12T00:05:38"/>
    <x v="6"/>
    <n v="40"/>
    <n v="127"/>
    <n v="2256.9512131584738"/>
  </r>
  <r>
    <n v="738880"/>
    <x v="1"/>
    <s v="Delhi"/>
    <x v="1"/>
    <s v=" TN"/>
    <x v="0"/>
    <x v="0"/>
    <x v="0"/>
    <x v="0"/>
    <d v="2019-03-07T00:42:20"/>
    <d v="2019-03-16T00:42:20"/>
    <d v="2019-03-10T00:42:20"/>
    <x v="1"/>
    <n v="28"/>
    <n v="123"/>
    <n v="1969"/>
  </r>
  <r>
    <n v="431296"/>
    <x v="1"/>
    <s v="Delhi"/>
    <x v="4"/>
    <s v=" WB"/>
    <x v="0"/>
    <x v="0"/>
    <x v="0"/>
    <x v="0"/>
    <d v="2019-03-07T00:55:54"/>
    <d v="2019-03-15T00:55:54"/>
    <d v="2019-03-10T00:55:54"/>
    <x v="5"/>
    <n v="47"/>
    <n v="109"/>
    <n v="1113.8913872318528"/>
  </r>
  <r>
    <n v="528131"/>
    <x v="1"/>
    <s v="Delhi"/>
    <x v="4"/>
    <s v=" WB"/>
    <x v="0"/>
    <x v="0"/>
    <x v="1"/>
    <x v="0"/>
    <d v="2019-03-07T01:46:05"/>
    <d v="2019-03-16T01:46:05"/>
    <d v="2019-03-10T01:46:05"/>
    <x v="1"/>
    <n v="68"/>
    <n v="86"/>
    <n v="1984.5716933341464"/>
  </r>
  <r>
    <n v="458305"/>
    <x v="1"/>
    <s v="Bangalore"/>
    <x v="0"/>
    <s v=" MH"/>
    <x v="1"/>
    <x v="0"/>
    <x v="1"/>
    <x v="0"/>
    <d v="2019-03-07T02:09:42"/>
    <d v="2019-03-14T02:09:42"/>
    <d v="2019-03-10T02:09:42"/>
    <x v="8"/>
    <n v="28"/>
    <n v="112"/>
    <n v="2928"/>
  </r>
  <r>
    <n v="523061"/>
    <x v="1"/>
    <s v="Delhi"/>
    <x v="4"/>
    <s v=" WB"/>
    <x v="1"/>
    <x v="0"/>
    <x v="2"/>
    <x v="0"/>
    <d v="2019-03-07T02:18:02"/>
    <d v="2019-03-09T02:18:02"/>
    <d v="2019-03-13T02:18:02"/>
    <x v="0"/>
    <n v="27"/>
    <n v="106"/>
    <n v="673"/>
  </r>
  <r>
    <n v="242070"/>
    <x v="1"/>
    <s v="Bangalore"/>
    <x v="3"/>
    <s v=" KA"/>
    <x v="2"/>
    <x v="0"/>
    <x v="0"/>
    <x v="1"/>
    <d v="2019-03-07T02:22:59"/>
    <d v="2019-03-10T02:22:59"/>
    <d v="2019-03-13T02:22:59"/>
    <x v="4"/>
    <n v="0"/>
    <n v="126"/>
    <n v="1145.6365919093746"/>
  </r>
  <r>
    <n v="544923"/>
    <x v="1"/>
    <s v="Delhi"/>
    <x v="4"/>
    <s v=" WB"/>
    <x v="1"/>
    <x v="0"/>
    <x v="1"/>
    <x v="1"/>
    <d v="2019-03-07T03:08:19"/>
    <d v="2019-03-10T03:08:19"/>
    <d v="2019-03-13T03:08:19"/>
    <x v="4"/>
    <n v="50"/>
    <n v="106"/>
    <n v="2414"/>
  </r>
  <r>
    <n v="527250"/>
    <x v="1"/>
    <s v="Bangalore"/>
    <x v="1"/>
    <s v=" TN"/>
    <x v="2"/>
    <x v="0"/>
    <x v="0"/>
    <x v="1"/>
    <d v="2019-03-07T03:17:01"/>
    <d v="2019-03-09T03:17:01"/>
    <d v="2019-03-10T03:17:01"/>
    <x v="0"/>
    <n v="42"/>
    <n v="125"/>
    <n v="1251.1484653495108"/>
  </r>
  <r>
    <n v="127767"/>
    <x v="1"/>
    <s v="Delhi"/>
    <x v="2"/>
    <s v=" DL"/>
    <x v="0"/>
    <x v="0"/>
    <x v="1"/>
    <x v="1"/>
    <d v="2019-03-07T03:25:45"/>
    <d v="2019-03-08T03:25:45"/>
    <d v="2019-03-14T03:25:45"/>
    <x v="2"/>
    <n v="0"/>
    <n v="100"/>
    <n v="1829.5683757360712"/>
  </r>
  <r>
    <n v="524822"/>
    <x v="1"/>
    <s v="Bangalore"/>
    <x v="0"/>
    <s v=" MH"/>
    <x v="0"/>
    <x v="0"/>
    <x v="0"/>
    <x v="0"/>
    <d v="2019-03-07T03:35:42"/>
    <d v="2019-03-12T03:35:42"/>
    <d v="2019-03-12T03:35:42"/>
    <x v="9"/>
    <n v="75"/>
    <n v="89"/>
    <n v="2047.7074312124264"/>
  </r>
  <r>
    <n v="415090"/>
    <x v="1"/>
    <s v="Delhi"/>
    <x v="2"/>
    <s v=" DL"/>
    <x v="2"/>
    <x v="0"/>
    <x v="0"/>
    <x v="0"/>
    <d v="2019-03-07T04:10:46"/>
    <d v="2019-03-13T04:10:46"/>
    <d v="2019-03-12T04:10:46"/>
    <x v="3"/>
    <n v="0"/>
    <n v="130"/>
    <n v="2022.9819549575743"/>
  </r>
  <r>
    <n v="84223"/>
    <x v="1"/>
    <s v="Bangalore"/>
    <x v="1"/>
    <s v=" TN"/>
    <x v="1"/>
    <x v="0"/>
    <x v="1"/>
    <x v="0"/>
    <d v="2019-03-07T04:28:15"/>
    <d v="2019-03-10T04:28:15"/>
    <d v="2019-03-10T04:28:15"/>
    <x v="4"/>
    <n v="44"/>
    <n v="127"/>
    <n v="420.63863231370277"/>
  </r>
  <r>
    <n v="970952"/>
    <x v="1"/>
    <s v="Delhi"/>
    <x v="2"/>
    <s v=" DL"/>
    <x v="0"/>
    <x v="0"/>
    <x v="0"/>
    <x v="0"/>
    <d v="2019-03-07T06:03:32"/>
    <d v="2019-03-07T06:03:32"/>
    <d v="2019-03-11T06:03:32"/>
    <x v="10"/>
    <n v="0"/>
    <n v="129"/>
    <n v="1943"/>
  </r>
  <r>
    <n v="989654"/>
    <x v="1"/>
    <s v="Bangalore"/>
    <x v="4"/>
    <s v=" WB"/>
    <x v="0"/>
    <x v="0"/>
    <x v="0"/>
    <x v="0"/>
    <d v="2019-03-07T06:14:45"/>
    <d v="2019-03-12T06:14:45"/>
    <d v="2019-03-13T06:14:45"/>
    <x v="9"/>
    <n v="69"/>
    <n v="93"/>
    <n v="1922"/>
  </r>
  <r>
    <n v="744030"/>
    <x v="1"/>
    <s v="Bangalore"/>
    <x v="3"/>
    <s v=" KA"/>
    <x v="0"/>
    <x v="0"/>
    <x v="0"/>
    <x v="1"/>
    <d v="2019-03-07T06:21:31"/>
    <d v="2019-03-07T06:21:31"/>
    <d v="2019-03-13T06:21:31"/>
    <x v="10"/>
    <n v="0"/>
    <n v="108"/>
    <n v="2466.4348648118917"/>
  </r>
  <r>
    <n v="149121"/>
    <x v="1"/>
    <s v="Delhi"/>
    <x v="2"/>
    <s v=" DL"/>
    <x v="0"/>
    <x v="0"/>
    <x v="2"/>
    <x v="1"/>
    <d v="2019-03-07T06:26:49"/>
    <d v="2019-03-08T06:26:49"/>
    <d v="2019-03-13T06:26:49"/>
    <x v="2"/>
    <n v="0"/>
    <n v="109"/>
    <n v="3107"/>
  </r>
  <r>
    <n v="313193"/>
    <x v="1"/>
    <s v="Bangalore"/>
    <x v="0"/>
    <s v=" MH"/>
    <x v="1"/>
    <x v="0"/>
    <x v="1"/>
    <x v="0"/>
    <d v="2019-03-07T06:28:47"/>
    <d v="2019-03-10T06:28:47"/>
    <d v="2019-03-11T06:28:47"/>
    <x v="4"/>
    <n v="27"/>
    <n v="113"/>
    <n v="215.93381242795363"/>
  </r>
  <r>
    <n v="303634"/>
    <x v="1"/>
    <s v="Bangalore"/>
    <x v="2"/>
    <s v=" DL"/>
    <x v="2"/>
    <x v="0"/>
    <x v="0"/>
    <x v="0"/>
    <d v="2019-03-07T06:52:47"/>
    <d v="2019-03-10T06:52:47"/>
    <d v="2019-03-14T06:52:47"/>
    <x v="4"/>
    <n v="26"/>
    <n v="130"/>
    <n v="1118"/>
  </r>
  <r>
    <n v="172323"/>
    <x v="1"/>
    <s v="Bangalore"/>
    <x v="0"/>
    <s v=" MH"/>
    <x v="1"/>
    <x v="0"/>
    <x v="1"/>
    <x v="1"/>
    <d v="2019-03-07T07:01:05"/>
    <d v="2019-03-13T07:01:05"/>
    <d v="2019-03-14T07:01:05"/>
    <x v="3"/>
    <n v="43"/>
    <n v="109"/>
    <n v="3246.5191236123924"/>
  </r>
  <r>
    <n v="385820"/>
    <x v="1"/>
    <s v="Bangalore"/>
    <x v="0"/>
    <s v=" MH"/>
    <x v="0"/>
    <x v="0"/>
    <x v="0"/>
    <x v="0"/>
    <d v="2019-03-07T08:11:14"/>
    <d v="2019-03-13T08:11:14"/>
    <d v="2019-03-13T08:11:14"/>
    <x v="3"/>
    <n v="37"/>
    <n v="111"/>
    <n v="2574.7060877145486"/>
  </r>
  <r>
    <n v="349239"/>
    <x v="1"/>
    <s v="Delhi"/>
    <x v="3"/>
    <s v=" KA"/>
    <x v="0"/>
    <x v="0"/>
    <x v="1"/>
    <x v="1"/>
    <d v="2019-03-07T09:07:38"/>
    <d v="2019-03-11T09:07:38"/>
    <d v="2019-03-11T09:07:38"/>
    <x v="6"/>
    <n v="65"/>
    <n v="107"/>
    <n v="855"/>
  </r>
  <r>
    <n v="872177"/>
    <x v="1"/>
    <s v="Bangalore"/>
    <x v="1"/>
    <s v=" TN"/>
    <x v="1"/>
    <x v="0"/>
    <x v="1"/>
    <x v="0"/>
    <d v="2019-03-07T09:10:43"/>
    <d v="2019-03-11T09:10:43"/>
    <d v="2019-03-10T09:10:43"/>
    <x v="6"/>
    <n v="50"/>
    <n v="126"/>
    <n v="1977.6703873325"/>
  </r>
  <r>
    <n v="232667"/>
    <x v="1"/>
    <s v="Delhi"/>
    <x v="2"/>
    <s v=" DL"/>
    <x v="1"/>
    <x v="0"/>
    <x v="1"/>
    <x v="0"/>
    <d v="2019-03-07T09:18:09"/>
    <d v="2019-03-11T09:18:09"/>
    <d v="2019-03-10T09:18:09"/>
    <x v="6"/>
    <n v="0"/>
    <n v="126"/>
    <n v="357"/>
  </r>
  <r>
    <n v="667529"/>
    <x v="1"/>
    <s v="Bangalore"/>
    <x v="3"/>
    <s v=" KA"/>
    <x v="1"/>
    <x v="0"/>
    <x v="1"/>
    <x v="0"/>
    <d v="2019-03-07T09:54:14"/>
    <d v="2019-03-13T09:54:14"/>
    <d v="2019-03-11T09:54:14"/>
    <x v="3"/>
    <n v="0"/>
    <n v="122"/>
    <n v="462.69802772985093"/>
  </r>
  <r>
    <n v="618784"/>
    <x v="1"/>
    <s v="Delhi"/>
    <x v="4"/>
    <s v=" WB"/>
    <x v="0"/>
    <x v="0"/>
    <x v="0"/>
    <x v="0"/>
    <d v="2019-03-07T10:11:06"/>
    <d v="2019-03-12T10:11:06"/>
    <d v="2019-03-14T10:11:06"/>
    <x v="9"/>
    <n v="49"/>
    <n v="106"/>
    <n v="3574.1731685517111"/>
  </r>
  <r>
    <n v="754841"/>
    <x v="1"/>
    <s v="Delhi"/>
    <x v="0"/>
    <s v=" MH"/>
    <x v="1"/>
    <x v="0"/>
    <x v="1"/>
    <x v="0"/>
    <d v="2019-03-07T10:12:16"/>
    <d v="2019-03-15T10:12:16"/>
    <d v="2019-03-12T10:12:16"/>
    <x v="5"/>
    <n v="25"/>
    <n v="115"/>
    <n v="1450.0968690435548"/>
  </r>
  <r>
    <n v="893027"/>
    <x v="1"/>
    <s v="Delhi"/>
    <x v="4"/>
    <s v=" WB"/>
    <x v="1"/>
    <x v="0"/>
    <x v="1"/>
    <x v="0"/>
    <d v="2019-03-07T10:26:51"/>
    <d v="2019-03-11T10:26:51"/>
    <d v="2019-03-13T10:26:51"/>
    <x v="6"/>
    <n v="39"/>
    <n v="107"/>
    <n v="3723.9051626152714"/>
  </r>
  <r>
    <n v="484284"/>
    <x v="1"/>
    <s v="Delhi"/>
    <x v="2"/>
    <s v=" DL"/>
    <x v="0"/>
    <x v="0"/>
    <x v="0"/>
    <x v="1"/>
    <d v="2019-03-07T10:34:11"/>
    <d v="2019-03-07T10:34:11"/>
    <d v="2019-03-11T10:34:11"/>
    <x v="10"/>
    <n v="0"/>
    <n v="120"/>
    <n v="650.1387086720938"/>
  </r>
  <r>
    <n v="603202"/>
    <x v="1"/>
    <s v="Delhi"/>
    <x v="2"/>
    <s v=" DL"/>
    <x v="2"/>
    <x v="0"/>
    <x v="0"/>
    <x v="0"/>
    <d v="2019-03-07T10:36:50"/>
    <d v="2019-03-08T10:36:50"/>
    <d v="2019-03-14T10:36:50"/>
    <x v="2"/>
    <n v="0"/>
    <n v="125"/>
    <n v="331.94375943886655"/>
  </r>
  <r>
    <n v="876003"/>
    <x v="1"/>
    <s v="Delhi"/>
    <x v="2"/>
    <s v=" DL"/>
    <x v="0"/>
    <x v="0"/>
    <x v="1"/>
    <x v="1"/>
    <d v="2019-03-07T11:08:24"/>
    <d v="2019-03-12T11:08:24"/>
    <d v="2019-03-10T11:08:24"/>
    <x v="9"/>
    <n v="0"/>
    <n v="106"/>
    <n v="1230"/>
  </r>
  <r>
    <n v="571610"/>
    <x v="1"/>
    <s v="Delhi"/>
    <x v="1"/>
    <s v=" TN"/>
    <x v="0"/>
    <x v="0"/>
    <x v="0"/>
    <x v="0"/>
    <d v="2019-03-07T11:28:35"/>
    <d v="2019-03-14T11:28:35"/>
    <d v="2019-03-11T11:28:35"/>
    <x v="8"/>
    <n v="74"/>
    <n v="108"/>
    <n v="3787.7347617148225"/>
  </r>
  <r>
    <n v="291732"/>
    <x v="1"/>
    <s v="Delhi"/>
    <x v="1"/>
    <s v=" TN"/>
    <x v="0"/>
    <x v="0"/>
    <x v="0"/>
    <x v="1"/>
    <d v="2019-03-07T12:01:43"/>
    <d v="2019-03-12T12:01:43"/>
    <d v="2019-03-13T12:01:43"/>
    <x v="9"/>
    <n v="38"/>
    <n v="123"/>
    <n v="3561.1498824420582"/>
  </r>
  <r>
    <n v="846794"/>
    <x v="1"/>
    <s v="Delhi"/>
    <x v="0"/>
    <s v=" MH"/>
    <x v="2"/>
    <x v="0"/>
    <x v="0"/>
    <x v="0"/>
    <d v="2019-03-07T12:29:36"/>
    <d v="2019-03-11T12:29:36"/>
    <d v="2019-03-13T12:29:36"/>
    <x v="6"/>
    <n v="34"/>
    <n v="107"/>
    <n v="3185"/>
  </r>
  <r>
    <n v="981903"/>
    <x v="1"/>
    <s v="Delhi"/>
    <x v="3"/>
    <s v=" KA"/>
    <x v="1"/>
    <x v="0"/>
    <x v="1"/>
    <x v="1"/>
    <d v="2019-03-07T12:35:03"/>
    <d v="2019-03-17T12:35:03"/>
    <d v="2019-03-13T12:35:03"/>
    <x v="7"/>
    <n v="33"/>
    <n v="126"/>
    <n v="1916"/>
  </r>
  <r>
    <n v="423134"/>
    <x v="1"/>
    <s v="Bangalore"/>
    <x v="2"/>
    <s v=" DL"/>
    <x v="0"/>
    <x v="0"/>
    <x v="0"/>
    <x v="0"/>
    <d v="2019-03-07T12:41:38"/>
    <d v="2019-03-09T12:41:38"/>
    <d v="2019-03-14T12:41:38"/>
    <x v="0"/>
    <n v="65"/>
    <n v="106"/>
    <n v="2010.9635765452747"/>
  </r>
  <r>
    <n v="436721"/>
    <x v="1"/>
    <s v="Bangalore"/>
    <x v="0"/>
    <s v=" MH"/>
    <x v="1"/>
    <x v="0"/>
    <x v="1"/>
    <x v="0"/>
    <d v="2019-03-07T13:44:14"/>
    <d v="2019-03-10T13:44:14"/>
    <d v="2019-03-10T13:44:14"/>
    <x v="4"/>
    <n v="47"/>
    <n v="109"/>
    <n v="820"/>
  </r>
  <r>
    <n v="507779"/>
    <x v="1"/>
    <s v="Bangalore"/>
    <x v="3"/>
    <s v=" KA"/>
    <x v="1"/>
    <x v="0"/>
    <x v="1"/>
    <x v="0"/>
    <d v="2019-03-07T14:46:45"/>
    <d v="2019-03-13T14:46:45"/>
    <d v="2019-03-11T14:46:45"/>
    <x v="3"/>
    <n v="0"/>
    <n v="122"/>
    <n v="1171.2864726513781"/>
  </r>
  <r>
    <n v="654871"/>
    <x v="1"/>
    <s v="Delhi"/>
    <x v="2"/>
    <s v=" DL"/>
    <x v="1"/>
    <x v="0"/>
    <x v="2"/>
    <x v="0"/>
    <d v="2019-03-07T15:08:13"/>
    <d v="2019-03-08T15:08:13"/>
    <d v="2019-03-14T15:08:13"/>
    <x v="2"/>
    <n v="0"/>
    <n v="123"/>
    <n v="807.82251373889574"/>
  </r>
  <r>
    <n v="563767"/>
    <x v="1"/>
    <s v="Bangalore"/>
    <x v="0"/>
    <s v=" MH"/>
    <x v="0"/>
    <x v="0"/>
    <x v="1"/>
    <x v="0"/>
    <d v="2019-03-07T15:28:03"/>
    <d v="2019-03-13T15:28:03"/>
    <d v="2019-03-14T15:28:03"/>
    <x v="3"/>
    <n v="74"/>
    <n v="88"/>
    <n v="1575.6480938995326"/>
  </r>
  <r>
    <n v="578422"/>
    <x v="1"/>
    <s v="Delhi"/>
    <x v="4"/>
    <s v=" WB"/>
    <x v="0"/>
    <x v="0"/>
    <x v="0"/>
    <x v="0"/>
    <d v="2019-03-07T15:43:53"/>
    <d v="2019-03-15T15:43:53"/>
    <d v="2019-03-10T15:43:53"/>
    <x v="5"/>
    <n v="77"/>
    <n v="95"/>
    <n v="3142.6431729298256"/>
  </r>
  <r>
    <n v="852773"/>
    <x v="1"/>
    <s v="Delhi"/>
    <x v="1"/>
    <s v=" TN"/>
    <x v="1"/>
    <x v="0"/>
    <x v="1"/>
    <x v="0"/>
    <d v="2019-03-07T16:03:31"/>
    <d v="2019-03-09T16:03:31"/>
    <d v="2019-03-11T16:03:31"/>
    <x v="0"/>
    <n v="27"/>
    <n v="123"/>
    <n v="1261"/>
  </r>
  <r>
    <n v="301377"/>
    <x v="1"/>
    <s v="Delhi"/>
    <x v="2"/>
    <s v=" DL"/>
    <x v="0"/>
    <x v="0"/>
    <x v="1"/>
    <x v="1"/>
    <d v="2019-03-07T16:04:31"/>
    <d v="2019-03-08T16:04:31"/>
    <d v="2019-03-13T16:04:31"/>
    <x v="2"/>
    <n v="0"/>
    <n v="104"/>
    <n v="2921.5008300576342"/>
  </r>
  <r>
    <n v="6164"/>
    <x v="1"/>
    <s v="Bangalore"/>
    <x v="0"/>
    <s v=" MH"/>
    <x v="0"/>
    <x v="0"/>
    <x v="0"/>
    <x v="0"/>
    <d v="2019-03-07T16:22:43"/>
    <d v="2019-03-11T16:22:43"/>
    <d v="2019-03-12T16:22:43"/>
    <x v="6"/>
    <n v="40"/>
    <n v="109"/>
    <n v="2609.037140246829"/>
  </r>
  <r>
    <n v="431972"/>
    <x v="1"/>
    <s v="Bangalore"/>
    <x v="2"/>
    <s v=" DL"/>
    <x v="0"/>
    <x v="0"/>
    <x v="0"/>
    <x v="0"/>
    <d v="2019-03-07T16:23:49"/>
    <d v="2019-03-12T16:23:49"/>
    <d v="2019-03-12T16:23:49"/>
    <x v="9"/>
    <n v="34"/>
    <n v="123"/>
    <n v="1635.936124144682"/>
  </r>
  <r>
    <n v="528451"/>
    <x v="1"/>
    <s v="Bangalore"/>
    <x v="3"/>
    <s v=" KA"/>
    <x v="0"/>
    <x v="0"/>
    <x v="2"/>
    <x v="0"/>
    <d v="2019-03-07T16:53:50"/>
    <d v="2019-03-07T16:53:50"/>
    <d v="2019-03-11T16:53:50"/>
    <x v="10"/>
    <n v="0"/>
    <n v="107"/>
    <n v="1629.3811243485748"/>
  </r>
  <r>
    <n v="896172"/>
    <x v="1"/>
    <s v="Bangalore"/>
    <x v="2"/>
    <s v=" DL"/>
    <x v="0"/>
    <x v="0"/>
    <x v="0"/>
    <x v="1"/>
    <d v="2019-03-07T17:04:19"/>
    <d v="2019-03-09T17:04:19"/>
    <d v="2019-03-10T17:04:19"/>
    <x v="0"/>
    <n v="26"/>
    <n v="123"/>
    <n v="1532.5705107030169"/>
  </r>
  <r>
    <n v="385764"/>
    <x v="1"/>
    <s v="Bangalore"/>
    <x v="0"/>
    <s v=" MH"/>
    <x v="0"/>
    <x v="0"/>
    <x v="0"/>
    <x v="1"/>
    <d v="2019-03-07T17:24:16"/>
    <d v="2019-03-11T17:24:16"/>
    <d v="2019-03-14T17:24:16"/>
    <x v="6"/>
    <n v="49"/>
    <n v="110"/>
    <n v="371"/>
  </r>
  <r>
    <n v="921593"/>
    <x v="1"/>
    <s v="Delhi"/>
    <x v="3"/>
    <s v=" KA"/>
    <x v="1"/>
    <x v="0"/>
    <x v="1"/>
    <x v="0"/>
    <d v="2019-03-07T17:26:29"/>
    <d v="2019-03-13T17:26:29"/>
    <d v="2019-03-10T17:26:29"/>
    <x v="3"/>
    <n v="36"/>
    <n v="129"/>
    <n v="2092.3009796203673"/>
  </r>
  <r>
    <n v="604889"/>
    <x v="1"/>
    <s v="Bangalore"/>
    <x v="4"/>
    <s v=" WB"/>
    <x v="1"/>
    <x v="0"/>
    <x v="1"/>
    <x v="0"/>
    <d v="2019-03-07T17:29:41"/>
    <d v="2019-03-11T17:29:41"/>
    <d v="2019-03-11T17:29:41"/>
    <x v="6"/>
    <n v="35"/>
    <n v="105"/>
    <n v="1989.0113221273557"/>
  </r>
  <r>
    <n v="764213"/>
    <x v="1"/>
    <s v="Delhi"/>
    <x v="0"/>
    <s v=" MH"/>
    <x v="1"/>
    <x v="0"/>
    <x v="1"/>
    <x v="0"/>
    <d v="2019-03-07T17:37:56"/>
    <d v="2019-03-16T17:37:56"/>
    <d v="2019-03-10T17:37:56"/>
    <x v="1"/>
    <n v="31"/>
    <n v="113"/>
    <n v="3421"/>
  </r>
  <r>
    <n v="283452"/>
    <x v="1"/>
    <s v="Delhi"/>
    <x v="0"/>
    <s v=" MH"/>
    <x v="0"/>
    <x v="0"/>
    <x v="0"/>
    <x v="1"/>
    <d v="2019-03-07T18:33:47"/>
    <d v="2019-03-10T18:33:47"/>
    <d v="2019-03-12T18:33:47"/>
    <x v="4"/>
    <n v="36"/>
    <n v="107"/>
    <n v="2236"/>
  </r>
  <r>
    <n v="591852"/>
    <x v="1"/>
    <s v="Delhi"/>
    <x v="2"/>
    <s v=" DL"/>
    <x v="0"/>
    <x v="0"/>
    <x v="0"/>
    <x v="1"/>
    <d v="2019-03-07T18:37:40"/>
    <d v="2019-03-07T18:37:40"/>
    <d v="2019-03-12T18:37:40"/>
    <x v="10"/>
    <n v="0"/>
    <n v="102"/>
    <n v="1245"/>
  </r>
  <r>
    <n v="184863"/>
    <x v="1"/>
    <s v="Delhi"/>
    <x v="1"/>
    <s v=" TN"/>
    <x v="1"/>
    <x v="0"/>
    <x v="2"/>
    <x v="1"/>
    <d v="2019-03-07T19:30:58"/>
    <d v="2019-03-14T19:30:58"/>
    <d v="2019-03-11T19:30:58"/>
    <x v="8"/>
    <n v="49"/>
    <n v="130"/>
    <n v="2557"/>
  </r>
  <r>
    <n v="26473"/>
    <x v="1"/>
    <s v="Delhi"/>
    <x v="0"/>
    <s v=" MH"/>
    <x v="0"/>
    <x v="0"/>
    <x v="1"/>
    <x v="0"/>
    <d v="2019-03-07T19:40:56"/>
    <d v="2019-03-09T19:40:56"/>
    <d v="2019-03-14T19:40:56"/>
    <x v="0"/>
    <n v="69"/>
    <n v="91"/>
    <n v="1765"/>
  </r>
  <r>
    <n v="697829"/>
    <x v="1"/>
    <s v="Bangalore"/>
    <x v="2"/>
    <s v=" DL"/>
    <x v="0"/>
    <x v="0"/>
    <x v="1"/>
    <x v="0"/>
    <d v="2019-03-07T19:54:53"/>
    <d v="2019-03-09T19:54:53"/>
    <d v="2019-03-11T19:54:53"/>
    <x v="0"/>
    <n v="71"/>
    <n v="106"/>
    <n v="3403"/>
  </r>
  <r>
    <n v="820203"/>
    <x v="1"/>
    <s v="Bangalore"/>
    <x v="1"/>
    <s v=" TN"/>
    <x v="1"/>
    <x v="0"/>
    <x v="1"/>
    <x v="1"/>
    <d v="2019-03-07T20:28:50"/>
    <d v="2019-03-09T20:28:50"/>
    <d v="2019-03-13T20:28:50"/>
    <x v="0"/>
    <n v="41"/>
    <n v="129"/>
    <n v="1050"/>
  </r>
  <r>
    <n v="666590"/>
    <x v="1"/>
    <s v="Delhi"/>
    <x v="3"/>
    <s v=" KA"/>
    <x v="2"/>
    <x v="0"/>
    <x v="0"/>
    <x v="0"/>
    <d v="2019-03-07T20:38:37"/>
    <d v="2019-03-14T20:38:37"/>
    <d v="2019-03-14T20:38:37"/>
    <x v="8"/>
    <n v="47"/>
    <n v="123"/>
    <n v="2175"/>
  </r>
  <r>
    <n v="135611"/>
    <x v="1"/>
    <s v="Bangalore"/>
    <x v="0"/>
    <s v=" MH"/>
    <x v="1"/>
    <x v="0"/>
    <x v="2"/>
    <x v="0"/>
    <d v="2019-03-07T21:03:31"/>
    <d v="2019-03-13T21:03:31"/>
    <d v="2019-03-14T21:03:31"/>
    <x v="3"/>
    <n v="38"/>
    <n v="108"/>
    <n v="1975"/>
  </r>
  <r>
    <n v="378548"/>
    <x v="1"/>
    <s v="Bangalore"/>
    <x v="2"/>
    <s v=" DL"/>
    <x v="0"/>
    <x v="0"/>
    <x v="0"/>
    <x v="0"/>
    <d v="2019-03-07T21:39:53"/>
    <d v="2019-03-10T21:39:53"/>
    <d v="2019-03-14T21:39:53"/>
    <x v="4"/>
    <n v="26"/>
    <n v="125"/>
    <n v="1752"/>
  </r>
  <r>
    <n v="718359"/>
    <x v="1"/>
    <s v="Delhi"/>
    <x v="3"/>
    <s v=" KA"/>
    <x v="1"/>
    <x v="0"/>
    <x v="1"/>
    <x v="1"/>
    <d v="2019-03-07T21:44:28"/>
    <d v="2019-03-16T21:44:28"/>
    <d v="2019-03-13T21:44:28"/>
    <x v="1"/>
    <n v="38"/>
    <n v="125"/>
    <n v="1286"/>
  </r>
  <r>
    <n v="410192"/>
    <x v="1"/>
    <s v="Delhi"/>
    <x v="3"/>
    <s v=" KA"/>
    <x v="0"/>
    <x v="0"/>
    <x v="0"/>
    <x v="0"/>
    <d v="2019-03-07T22:07:18"/>
    <d v="2019-03-12T22:07:18"/>
    <d v="2019-03-11T22:07:18"/>
    <x v="9"/>
    <n v="30"/>
    <n v="120"/>
    <n v="2630.6850431857652"/>
  </r>
  <r>
    <n v="993655"/>
    <x v="1"/>
    <s v="Delhi"/>
    <x v="3"/>
    <s v=" KA"/>
    <x v="1"/>
    <x v="0"/>
    <x v="1"/>
    <x v="0"/>
    <d v="2019-03-07T23:01:24"/>
    <d v="2019-03-14T23:01:24"/>
    <d v="2019-03-14T23:01:24"/>
    <x v="8"/>
    <n v="42"/>
    <n v="121"/>
    <n v="309.65050075969066"/>
  </r>
  <r>
    <n v="970715"/>
    <x v="1"/>
    <s v="Delhi"/>
    <x v="0"/>
    <s v=" MH"/>
    <x v="0"/>
    <x v="0"/>
    <x v="1"/>
    <x v="0"/>
    <d v="2019-03-07T23:02:50"/>
    <d v="2019-03-12T23:02:50"/>
    <d v="2019-03-11T23:02:50"/>
    <x v="9"/>
    <n v="82"/>
    <n v="87"/>
    <n v="3465.112962807963"/>
  </r>
  <r>
    <n v="114382"/>
    <x v="1"/>
    <s v="Delhi"/>
    <x v="4"/>
    <s v=" WB"/>
    <x v="0"/>
    <x v="0"/>
    <x v="0"/>
    <x v="0"/>
    <d v="2019-03-07T23:08:53"/>
    <d v="2019-03-16T23:08:53"/>
    <d v="2019-03-11T23:08:53"/>
    <x v="1"/>
    <n v="76"/>
    <n v="93"/>
    <n v="909"/>
  </r>
  <r>
    <n v="317695"/>
    <x v="1"/>
    <s v="Bangalore"/>
    <x v="1"/>
    <s v=" TN"/>
    <x v="1"/>
    <x v="0"/>
    <x v="2"/>
    <x v="0"/>
    <d v="2019-03-07T23:11:07"/>
    <d v="2019-03-10T23:11:07"/>
    <d v="2019-03-11T23:11:07"/>
    <x v="4"/>
    <n v="36"/>
    <n v="120"/>
    <n v="1471.5570015898463"/>
  </r>
  <r>
    <n v="807051"/>
    <x v="1"/>
    <s v="Delhi"/>
    <x v="0"/>
    <s v=" MH"/>
    <x v="1"/>
    <x v="0"/>
    <x v="2"/>
    <x v="1"/>
    <d v="2019-03-07T23:16:14"/>
    <d v="2019-03-14T23:16:14"/>
    <d v="2019-03-13T23:16:14"/>
    <x v="8"/>
    <n v="40"/>
    <n v="113"/>
    <n v="2969"/>
  </r>
  <r>
    <n v="786253"/>
    <x v="1"/>
    <s v="Delhi"/>
    <x v="0"/>
    <s v=" MH"/>
    <x v="1"/>
    <x v="0"/>
    <x v="1"/>
    <x v="0"/>
    <d v="2019-03-07T23:40:00"/>
    <d v="2019-03-16T23:40:00"/>
    <d v="2019-03-10T23:40:00"/>
    <x v="1"/>
    <n v="27"/>
    <n v="113"/>
    <n v="3007.1194981079457"/>
  </r>
  <r>
    <n v="90851"/>
    <x v="1"/>
    <s v="Bangalore"/>
    <x v="4"/>
    <s v=" WB"/>
    <x v="0"/>
    <x v="0"/>
    <x v="1"/>
    <x v="0"/>
    <d v="2019-03-07T23:51:25"/>
    <d v="2019-03-12T23:51:25"/>
    <d v="2019-03-13T23:51:25"/>
    <x v="9"/>
    <n v="85"/>
    <n v="90"/>
    <n v="3221.0666298900596"/>
  </r>
  <r>
    <n v="719402"/>
    <x v="1"/>
    <s v="Bangalore"/>
    <x v="3"/>
    <s v=" KA"/>
    <x v="0"/>
    <x v="0"/>
    <x v="0"/>
    <x v="0"/>
    <d v="2019-03-07T23:58:58"/>
    <d v="2019-03-08T23:58:58"/>
    <d v="2019-03-14T23:58:58"/>
    <x v="2"/>
    <n v="0"/>
    <n v="101"/>
    <n v="2969.7356537389383"/>
  </r>
  <r>
    <n v="931131"/>
    <x v="1"/>
    <s v="Delhi"/>
    <x v="0"/>
    <s v=" MH"/>
    <x v="1"/>
    <x v="0"/>
    <x v="1"/>
    <x v="1"/>
    <d v="2019-03-08T00:07:33"/>
    <d v="2019-03-14T00:07:33"/>
    <d v="2019-03-15T00:07:33"/>
    <x v="3"/>
    <n v="45"/>
    <n v="111"/>
    <n v="2869.3561431733101"/>
  </r>
  <r>
    <n v="62812"/>
    <x v="1"/>
    <s v="Delhi"/>
    <x v="1"/>
    <s v=" TN"/>
    <x v="0"/>
    <x v="0"/>
    <x v="0"/>
    <x v="0"/>
    <d v="2019-03-08T00:46:00"/>
    <d v="2019-03-18T00:46:00"/>
    <d v="2019-03-11T00:46:00"/>
    <x v="7"/>
    <n v="49"/>
    <n v="127"/>
    <n v="616.91054585147572"/>
  </r>
  <r>
    <n v="146104"/>
    <x v="1"/>
    <s v="Bangalore"/>
    <x v="1"/>
    <s v=" TN"/>
    <x v="0"/>
    <x v="0"/>
    <x v="0"/>
    <x v="0"/>
    <d v="2019-03-08T01:24:58"/>
    <d v="2019-03-16T01:24:58"/>
    <d v="2019-03-14T01:24:58"/>
    <x v="5"/>
    <n v="31"/>
    <n v="121"/>
    <n v="1027"/>
  </r>
  <r>
    <n v="136896"/>
    <x v="1"/>
    <s v="Delhi"/>
    <x v="1"/>
    <s v=" TN"/>
    <x v="0"/>
    <x v="0"/>
    <x v="0"/>
    <x v="1"/>
    <d v="2019-03-08T01:35:23"/>
    <d v="2019-03-13T01:35:23"/>
    <d v="2019-03-12T01:35:23"/>
    <x v="9"/>
    <n v="30"/>
    <n v="120"/>
    <n v="2722"/>
  </r>
  <r>
    <n v="345817"/>
    <x v="1"/>
    <s v="Bangalore"/>
    <x v="0"/>
    <s v=" MH"/>
    <x v="0"/>
    <x v="0"/>
    <x v="1"/>
    <x v="0"/>
    <d v="2019-03-08T02:06:56"/>
    <d v="2019-03-10T02:06:56"/>
    <d v="2019-03-15T02:06:56"/>
    <x v="0"/>
    <n v="84"/>
    <n v="91"/>
    <n v="2153.6844010536529"/>
  </r>
  <r>
    <n v="268256"/>
    <x v="1"/>
    <s v="Bangalore"/>
    <x v="2"/>
    <s v=" DL"/>
    <x v="0"/>
    <x v="0"/>
    <x v="0"/>
    <x v="0"/>
    <d v="2019-03-08T03:11:27"/>
    <d v="2019-03-13T03:11:27"/>
    <d v="2019-03-14T03:11:27"/>
    <x v="9"/>
    <n v="68"/>
    <n v="106"/>
    <n v="1111.1958866446437"/>
  </r>
  <r>
    <n v="280561"/>
    <x v="1"/>
    <s v="Delhi"/>
    <x v="2"/>
    <s v=" DL"/>
    <x v="1"/>
    <x v="0"/>
    <x v="1"/>
    <x v="0"/>
    <d v="2019-03-08T03:19:05"/>
    <d v="2019-03-12T03:19:05"/>
    <d v="2019-03-14T03:19:05"/>
    <x v="6"/>
    <n v="0"/>
    <n v="127"/>
    <n v="2767.7855831204229"/>
  </r>
  <r>
    <n v="855762"/>
    <x v="1"/>
    <s v="Delhi"/>
    <x v="3"/>
    <s v=" KA"/>
    <x v="2"/>
    <x v="0"/>
    <x v="0"/>
    <x v="1"/>
    <d v="2019-03-08T03:20:55"/>
    <d v="2019-03-16T03:20:55"/>
    <d v="2019-03-11T03:20:55"/>
    <x v="5"/>
    <n v="34"/>
    <n v="120"/>
    <n v="2948.6656812293741"/>
  </r>
  <r>
    <n v="736388"/>
    <x v="1"/>
    <s v="Delhi"/>
    <x v="3"/>
    <s v=" KA"/>
    <x v="0"/>
    <x v="0"/>
    <x v="0"/>
    <x v="0"/>
    <d v="2019-03-08T03:23:18"/>
    <d v="2019-03-12T03:23:18"/>
    <d v="2019-03-14T03:23:18"/>
    <x v="6"/>
    <n v="45"/>
    <n v="121"/>
    <n v="1791.5167143468695"/>
  </r>
  <r>
    <n v="624306"/>
    <x v="1"/>
    <s v="Bangalore"/>
    <x v="1"/>
    <s v=" TN"/>
    <x v="0"/>
    <x v="0"/>
    <x v="0"/>
    <x v="1"/>
    <d v="2019-03-08T03:53:55"/>
    <d v="2019-03-12T03:53:55"/>
    <d v="2019-03-15T03:53:55"/>
    <x v="6"/>
    <n v="0"/>
    <n v="105"/>
    <n v="3243"/>
  </r>
  <r>
    <n v="622518"/>
    <x v="1"/>
    <s v="Bangalore"/>
    <x v="3"/>
    <s v=" KA"/>
    <x v="2"/>
    <x v="0"/>
    <x v="0"/>
    <x v="1"/>
    <d v="2019-03-08T04:05:13"/>
    <d v="2019-03-12T04:05:13"/>
    <d v="2019-03-13T04:05:13"/>
    <x v="6"/>
    <n v="0"/>
    <n v="124"/>
    <n v="755"/>
  </r>
  <r>
    <n v="484056"/>
    <x v="1"/>
    <s v="Bangalore"/>
    <x v="0"/>
    <s v=" MH"/>
    <x v="0"/>
    <x v="0"/>
    <x v="0"/>
    <x v="1"/>
    <d v="2019-03-08T04:38:42"/>
    <d v="2019-03-10T04:38:42"/>
    <d v="2019-03-13T04:38:42"/>
    <x v="0"/>
    <n v="49"/>
    <n v="114"/>
    <n v="2557.085531609529"/>
  </r>
  <r>
    <n v="232541"/>
    <x v="1"/>
    <s v="Delhi"/>
    <x v="3"/>
    <s v=" KA"/>
    <x v="1"/>
    <x v="0"/>
    <x v="1"/>
    <x v="0"/>
    <d v="2019-03-08T04:40:52"/>
    <d v="2019-03-18T04:40:52"/>
    <d v="2019-03-14T04:40:52"/>
    <x v="7"/>
    <n v="49"/>
    <n v="128"/>
    <n v="3175.8648398184605"/>
  </r>
  <r>
    <n v="89234"/>
    <x v="1"/>
    <s v="Bangalore"/>
    <x v="2"/>
    <s v=" DL"/>
    <x v="2"/>
    <x v="0"/>
    <x v="0"/>
    <x v="0"/>
    <d v="2019-03-08T06:42:45"/>
    <d v="2019-03-13T06:42:45"/>
    <d v="2019-03-15T06:42:45"/>
    <x v="9"/>
    <n v="27"/>
    <n v="128"/>
    <n v="1903.9028572802481"/>
  </r>
  <r>
    <n v="277097"/>
    <x v="1"/>
    <s v="Bangalore"/>
    <x v="4"/>
    <s v=" WB"/>
    <x v="1"/>
    <x v="0"/>
    <x v="1"/>
    <x v="0"/>
    <d v="2019-03-08T06:57:37"/>
    <d v="2019-03-13T06:57:37"/>
    <d v="2019-03-11T06:57:37"/>
    <x v="9"/>
    <n v="30"/>
    <n v="111"/>
    <n v="1049.4925125170971"/>
  </r>
  <r>
    <n v="464308"/>
    <x v="1"/>
    <s v="Bangalore"/>
    <x v="0"/>
    <s v=" MH"/>
    <x v="0"/>
    <x v="0"/>
    <x v="0"/>
    <x v="0"/>
    <d v="2019-03-08T06:58:53"/>
    <d v="2019-03-11T06:58:53"/>
    <d v="2019-03-15T06:58:53"/>
    <x v="4"/>
    <n v="30"/>
    <n v="114"/>
    <n v="2975.5796153893066"/>
  </r>
  <r>
    <n v="358816"/>
    <x v="1"/>
    <s v="Bangalore"/>
    <x v="2"/>
    <s v=" DL"/>
    <x v="0"/>
    <x v="0"/>
    <x v="0"/>
    <x v="0"/>
    <d v="2019-03-08T07:01:43"/>
    <d v="2019-03-13T07:01:43"/>
    <d v="2019-03-14T07:01:43"/>
    <x v="9"/>
    <n v="63"/>
    <n v="102"/>
    <n v="3285.2963350625532"/>
  </r>
  <r>
    <n v="323659"/>
    <x v="1"/>
    <s v="Bangalore"/>
    <x v="2"/>
    <s v=" DL"/>
    <x v="1"/>
    <x v="0"/>
    <x v="2"/>
    <x v="0"/>
    <d v="2019-03-08T07:03:33"/>
    <d v="2019-03-15T07:03:33"/>
    <d v="2019-03-11T07:03:33"/>
    <x v="8"/>
    <n v="46"/>
    <n v="130"/>
    <n v="538"/>
  </r>
  <r>
    <n v="354195"/>
    <x v="1"/>
    <s v="Delhi"/>
    <x v="4"/>
    <s v=" WB"/>
    <x v="1"/>
    <x v="0"/>
    <x v="1"/>
    <x v="1"/>
    <d v="2019-03-08T07:12:36"/>
    <d v="2019-03-15T07:12:36"/>
    <d v="2019-03-13T07:12:36"/>
    <x v="8"/>
    <n v="42"/>
    <n v="111"/>
    <n v="2036.2151541608653"/>
  </r>
  <r>
    <n v="892827"/>
    <x v="1"/>
    <s v="Bangalore"/>
    <x v="2"/>
    <s v=" DL"/>
    <x v="1"/>
    <x v="0"/>
    <x v="1"/>
    <x v="1"/>
    <d v="2019-03-08T07:36:17"/>
    <d v="2019-03-11T07:36:17"/>
    <d v="2019-03-15T07:36:17"/>
    <x v="4"/>
    <n v="47"/>
    <n v="128"/>
    <n v="2428.4721845058511"/>
  </r>
  <r>
    <n v="15884"/>
    <x v="1"/>
    <s v="Bangalore"/>
    <x v="2"/>
    <s v=" DL"/>
    <x v="0"/>
    <x v="0"/>
    <x v="0"/>
    <x v="0"/>
    <d v="2019-03-08T07:48:06"/>
    <d v="2019-03-10T07:48:06"/>
    <d v="2019-03-14T07:48:06"/>
    <x v="0"/>
    <n v="40"/>
    <n v="121"/>
    <n v="3421.2088827765742"/>
  </r>
  <r>
    <n v="867683"/>
    <x v="1"/>
    <s v="Bangalore"/>
    <x v="2"/>
    <s v=" DL"/>
    <x v="1"/>
    <x v="0"/>
    <x v="1"/>
    <x v="0"/>
    <d v="2019-03-08T08:00:12"/>
    <d v="2019-03-14T08:00:12"/>
    <d v="2019-03-12T08:00:12"/>
    <x v="3"/>
    <n v="34"/>
    <n v="126"/>
    <n v="1030.9581129157943"/>
  </r>
  <r>
    <n v="692616"/>
    <x v="1"/>
    <s v="Delhi"/>
    <x v="1"/>
    <s v=" TN"/>
    <x v="0"/>
    <x v="0"/>
    <x v="0"/>
    <x v="1"/>
    <d v="2019-03-08T08:36:04"/>
    <d v="2019-03-14T08:36:04"/>
    <d v="2019-03-14T08:36:04"/>
    <x v="3"/>
    <n v="35"/>
    <n v="120"/>
    <n v="2661.3640782474195"/>
  </r>
  <r>
    <n v="915732"/>
    <x v="1"/>
    <s v="Delhi"/>
    <x v="2"/>
    <s v=" DL"/>
    <x v="0"/>
    <x v="0"/>
    <x v="0"/>
    <x v="1"/>
    <d v="2019-03-08T08:40:53"/>
    <d v="2019-03-10T08:40:53"/>
    <d v="2019-03-15T08:40:53"/>
    <x v="0"/>
    <n v="0"/>
    <n v="124"/>
    <n v="1487.1415667982942"/>
  </r>
  <r>
    <n v="19169"/>
    <x v="1"/>
    <s v="Delhi"/>
    <x v="1"/>
    <s v=" TN"/>
    <x v="1"/>
    <x v="0"/>
    <x v="1"/>
    <x v="0"/>
    <d v="2019-03-08T08:58:27"/>
    <d v="2019-03-10T08:58:27"/>
    <d v="2019-03-11T08:58:27"/>
    <x v="0"/>
    <n v="46"/>
    <n v="123"/>
    <n v="2069.1614472457113"/>
  </r>
  <r>
    <n v="360204"/>
    <x v="1"/>
    <s v="Delhi"/>
    <x v="2"/>
    <s v=" DL"/>
    <x v="0"/>
    <x v="0"/>
    <x v="0"/>
    <x v="1"/>
    <d v="2019-03-08T09:07:58"/>
    <d v="2019-03-09T09:07:58"/>
    <d v="2019-03-14T09:07:58"/>
    <x v="2"/>
    <n v="0"/>
    <n v="122"/>
    <n v="2626.68952758254"/>
  </r>
  <r>
    <n v="47932"/>
    <x v="1"/>
    <s v="Bangalore"/>
    <x v="3"/>
    <s v=" KA"/>
    <x v="0"/>
    <x v="0"/>
    <x v="0"/>
    <x v="0"/>
    <d v="2019-03-08T09:47:53"/>
    <d v="2019-03-08T09:47:53"/>
    <d v="2019-03-12T09:47:53"/>
    <x v="10"/>
    <n v="0"/>
    <n v="127"/>
    <n v="3627.461482982555"/>
  </r>
  <r>
    <n v="79087"/>
    <x v="1"/>
    <s v="Bangalore"/>
    <x v="3"/>
    <s v=" KA"/>
    <x v="1"/>
    <x v="0"/>
    <x v="1"/>
    <x v="0"/>
    <d v="2019-03-08T10:48:13"/>
    <d v="2019-03-08T10:48:13"/>
    <d v="2019-03-14T10:48:13"/>
    <x v="10"/>
    <n v="0"/>
    <n v="125"/>
    <n v="1688"/>
  </r>
  <r>
    <n v="359948"/>
    <x v="1"/>
    <s v="Delhi"/>
    <x v="0"/>
    <s v=" MH"/>
    <x v="0"/>
    <x v="0"/>
    <x v="0"/>
    <x v="0"/>
    <d v="2019-03-08T10:52:06"/>
    <d v="2019-03-10T10:52:06"/>
    <d v="2019-03-12T10:52:06"/>
    <x v="0"/>
    <n v="78"/>
    <n v="88"/>
    <n v="1457.8207734566913"/>
  </r>
  <r>
    <n v="463522"/>
    <x v="1"/>
    <s v="Delhi"/>
    <x v="1"/>
    <s v=" TN"/>
    <x v="0"/>
    <x v="0"/>
    <x v="0"/>
    <x v="0"/>
    <d v="2019-03-08T11:02:51"/>
    <d v="2019-03-18T11:02:51"/>
    <d v="2019-03-11T11:02:51"/>
    <x v="7"/>
    <n v="71"/>
    <n v="101"/>
    <n v="528"/>
  </r>
  <r>
    <n v="763204"/>
    <x v="1"/>
    <s v="Delhi"/>
    <x v="1"/>
    <s v=" TN"/>
    <x v="0"/>
    <x v="0"/>
    <x v="0"/>
    <x v="0"/>
    <d v="2019-03-08T11:04:33"/>
    <d v="2019-03-14T11:04:33"/>
    <d v="2019-03-13T11:04:33"/>
    <x v="3"/>
    <n v="39"/>
    <n v="129"/>
    <n v="1496.3388263246868"/>
  </r>
  <r>
    <n v="387870"/>
    <x v="1"/>
    <s v="Bangalore"/>
    <x v="2"/>
    <s v=" DL"/>
    <x v="0"/>
    <x v="0"/>
    <x v="0"/>
    <x v="1"/>
    <d v="2019-03-08T11:38:25"/>
    <d v="2019-03-10T11:38:25"/>
    <d v="2019-03-12T11:38:25"/>
    <x v="0"/>
    <n v="74"/>
    <n v="106"/>
    <n v="3119.9702294797667"/>
  </r>
  <r>
    <n v="867967"/>
    <x v="1"/>
    <s v="Delhi"/>
    <x v="3"/>
    <s v=" KA"/>
    <x v="0"/>
    <x v="0"/>
    <x v="1"/>
    <x v="0"/>
    <d v="2019-03-08T12:03:54"/>
    <d v="2019-03-11T12:03:54"/>
    <d v="2019-03-13T12:03:54"/>
    <x v="4"/>
    <n v="84"/>
    <n v="106"/>
    <n v="1392.4696144624843"/>
  </r>
  <r>
    <n v="527236"/>
    <x v="1"/>
    <s v="Bangalore"/>
    <x v="3"/>
    <s v=" KA"/>
    <x v="0"/>
    <x v="0"/>
    <x v="0"/>
    <x v="0"/>
    <d v="2019-03-08T12:09:47"/>
    <d v="2019-03-09T12:09:47"/>
    <d v="2019-03-14T12:09:47"/>
    <x v="2"/>
    <n v="0"/>
    <n v="128"/>
    <n v="3359.5009162572196"/>
  </r>
  <r>
    <n v="283229"/>
    <x v="1"/>
    <s v="Delhi"/>
    <x v="3"/>
    <s v=" KA"/>
    <x v="0"/>
    <x v="0"/>
    <x v="1"/>
    <x v="0"/>
    <d v="2019-03-08T13:34:37"/>
    <d v="2019-03-10T13:34:37"/>
    <d v="2019-03-11T13:34:37"/>
    <x v="0"/>
    <n v="84"/>
    <n v="102"/>
    <n v="2933"/>
  </r>
  <r>
    <n v="498283"/>
    <x v="1"/>
    <s v="Bangalore"/>
    <x v="2"/>
    <s v=" DL"/>
    <x v="1"/>
    <x v="0"/>
    <x v="1"/>
    <x v="0"/>
    <d v="2019-03-08T13:54:25"/>
    <d v="2019-03-14T13:54:25"/>
    <d v="2019-03-13T13:54:25"/>
    <x v="3"/>
    <n v="27"/>
    <n v="127"/>
    <n v="1964.461603697197"/>
  </r>
  <r>
    <n v="31668"/>
    <x v="1"/>
    <s v="Delhi"/>
    <x v="2"/>
    <s v=" DL"/>
    <x v="0"/>
    <x v="0"/>
    <x v="0"/>
    <x v="1"/>
    <d v="2019-03-08T14:05:16"/>
    <d v="2019-03-10T14:05:16"/>
    <d v="2019-03-12T14:05:16"/>
    <x v="0"/>
    <n v="0"/>
    <n v="123"/>
    <n v="2642"/>
  </r>
  <r>
    <n v="155517"/>
    <x v="1"/>
    <s v="Delhi"/>
    <x v="0"/>
    <s v=" MH"/>
    <x v="1"/>
    <x v="0"/>
    <x v="1"/>
    <x v="1"/>
    <d v="2019-03-08T14:20:09"/>
    <d v="2019-03-12T14:20:09"/>
    <d v="2019-03-12T14:20:09"/>
    <x v="6"/>
    <n v="32"/>
    <n v="108"/>
    <n v="3149.507662372283"/>
  </r>
  <r>
    <n v="759351"/>
    <x v="1"/>
    <s v="Delhi"/>
    <x v="2"/>
    <s v=" DL"/>
    <x v="1"/>
    <x v="0"/>
    <x v="1"/>
    <x v="1"/>
    <d v="2019-03-08T14:36:14"/>
    <d v="2019-03-12T14:36:14"/>
    <d v="2019-03-14T14:36:14"/>
    <x v="6"/>
    <n v="0"/>
    <n v="127"/>
    <n v="2642.6613568692433"/>
  </r>
  <r>
    <n v="304223"/>
    <x v="1"/>
    <s v="Bangalore"/>
    <x v="4"/>
    <s v=" WB"/>
    <x v="0"/>
    <x v="0"/>
    <x v="1"/>
    <x v="0"/>
    <d v="2019-03-08T15:18:32"/>
    <d v="2019-03-15T15:18:32"/>
    <d v="2019-03-11T15:18:32"/>
    <x v="8"/>
    <n v="83"/>
    <n v="86"/>
    <n v="1371.3041309861292"/>
  </r>
  <r>
    <n v="469099"/>
    <x v="1"/>
    <s v="Delhi"/>
    <x v="0"/>
    <s v=" MH"/>
    <x v="1"/>
    <x v="0"/>
    <x v="1"/>
    <x v="0"/>
    <d v="2019-03-08T15:31:17"/>
    <d v="2019-03-11T15:31:17"/>
    <d v="2019-03-12T15:31:17"/>
    <x v="4"/>
    <n v="27"/>
    <n v="111"/>
    <n v="600"/>
  </r>
  <r>
    <n v="432372"/>
    <x v="1"/>
    <s v="Bangalore"/>
    <x v="3"/>
    <s v=" KA"/>
    <x v="0"/>
    <x v="0"/>
    <x v="0"/>
    <x v="1"/>
    <d v="2019-03-08T15:34:56"/>
    <d v="2019-03-11T15:34:56"/>
    <d v="2019-03-14T15:34:56"/>
    <x v="4"/>
    <n v="0"/>
    <n v="126"/>
    <n v="1307.9267041740131"/>
  </r>
  <r>
    <n v="511497"/>
    <x v="1"/>
    <s v="Bangalore"/>
    <x v="3"/>
    <s v=" KA"/>
    <x v="1"/>
    <x v="0"/>
    <x v="2"/>
    <x v="1"/>
    <d v="2019-03-08T15:46:48"/>
    <d v="2019-03-10T15:46:48"/>
    <d v="2019-03-15T15:46:48"/>
    <x v="0"/>
    <n v="0"/>
    <n v="121"/>
    <n v="2370.6064670901892"/>
  </r>
  <r>
    <n v="551803"/>
    <x v="1"/>
    <s v="Delhi"/>
    <x v="4"/>
    <s v=" WB"/>
    <x v="1"/>
    <x v="0"/>
    <x v="2"/>
    <x v="0"/>
    <d v="2019-03-08T15:55:02"/>
    <d v="2019-03-13T15:55:02"/>
    <d v="2019-03-14T15:55:02"/>
    <x v="9"/>
    <n v="37"/>
    <n v="112"/>
    <n v="622.55968410323408"/>
  </r>
  <r>
    <n v="647923"/>
    <x v="1"/>
    <s v="Bangalore"/>
    <x v="2"/>
    <s v=" DL"/>
    <x v="1"/>
    <x v="0"/>
    <x v="1"/>
    <x v="0"/>
    <d v="2019-03-08T16:32:02"/>
    <d v="2019-03-14T16:32:02"/>
    <d v="2019-03-13T16:32:02"/>
    <x v="3"/>
    <n v="29"/>
    <n v="127"/>
    <n v="3510.0559924548188"/>
  </r>
  <r>
    <n v="324494"/>
    <x v="1"/>
    <s v="Delhi"/>
    <x v="3"/>
    <s v=" KA"/>
    <x v="0"/>
    <x v="0"/>
    <x v="0"/>
    <x v="0"/>
    <d v="2019-03-08T17:11:15"/>
    <d v="2019-03-11T17:11:15"/>
    <d v="2019-03-15T17:11:15"/>
    <x v="4"/>
    <n v="84"/>
    <n v="110"/>
    <n v="420.13665395970798"/>
  </r>
  <r>
    <n v="5605"/>
    <x v="1"/>
    <s v="Delhi"/>
    <x v="0"/>
    <s v=" MH"/>
    <x v="1"/>
    <x v="0"/>
    <x v="1"/>
    <x v="0"/>
    <d v="2019-03-08T17:12:30"/>
    <d v="2019-03-12T17:12:30"/>
    <d v="2019-03-14T17:12:30"/>
    <x v="6"/>
    <n v="32"/>
    <n v="107"/>
    <n v="3149.4679463422667"/>
  </r>
  <r>
    <n v="702899"/>
    <x v="1"/>
    <s v="Delhi"/>
    <x v="2"/>
    <s v=" DL"/>
    <x v="0"/>
    <x v="0"/>
    <x v="1"/>
    <x v="0"/>
    <d v="2019-03-08T17:14:37"/>
    <d v="2019-03-08T17:14:37"/>
    <d v="2019-03-14T17:14:37"/>
    <x v="10"/>
    <n v="0"/>
    <n v="108"/>
    <n v="2922.1573600290135"/>
  </r>
  <r>
    <n v="835191"/>
    <x v="1"/>
    <s v="Delhi"/>
    <x v="3"/>
    <s v=" KA"/>
    <x v="0"/>
    <x v="0"/>
    <x v="2"/>
    <x v="1"/>
    <d v="2019-03-08T17:24:56"/>
    <d v="2019-03-10T17:24:56"/>
    <d v="2019-03-12T17:24:56"/>
    <x v="0"/>
    <n v="79"/>
    <n v="101"/>
    <n v="1285"/>
  </r>
  <r>
    <n v="436504"/>
    <x v="1"/>
    <s v="Delhi"/>
    <x v="3"/>
    <s v=" KA"/>
    <x v="0"/>
    <x v="0"/>
    <x v="0"/>
    <x v="0"/>
    <d v="2019-03-08T17:43:08"/>
    <d v="2019-03-10T17:43:08"/>
    <d v="2019-03-14T17:43:08"/>
    <x v="0"/>
    <n v="40"/>
    <n v="121"/>
    <n v="1735.1427933880516"/>
  </r>
  <r>
    <n v="344461"/>
    <x v="1"/>
    <s v="Delhi"/>
    <x v="3"/>
    <s v=" KA"/>
    <x v="0"/>
    <x v="0"/>
    <x v="1"/>
    <x v="0"/>
    <d v="2019-03-08T18:00:05"/>
    <d v="2019-03-14T18:00:05"/>
    <d v="2019-03-15T18:00:05"/>
    <x v="3"/>
    <n v="74"/>
    <n v="105"/>
    <n v="1701.6729153385172"/>
  </r>
  <r>
    <n v="272531"/>
    <x v="1"/>
    <s v="Delhi"/>
    <x v="0"/>
    <s v=" MH"/>
    <x v="0"/>
    <x v="0"/>
    <x v="2"/>
    <x v="0"/>
    <d v="2019-03-08T18:02:58"/>
    <d v="2019-03-10T18:02:58"/>
    <d v="2019-03-13T18:02:58"/>
    <x v="0"/>
    <n v="64"/>
    <n v="90"/>
    <n v="3025.138093299769"/>
  </r>
  <r>
    <n v="679117"/>
    <x v="1"/>
    <s v="Bangalore"/>
    <x v="2"/>
    <s v=" DL"/>
    <x v="0"/>
    <x v="0"/>
    <x v="1"/>
    <x v="0"/>
    <d v="2019-03-08T18:26:54"/>
    <d v="2019-03-14T18:26:54"/>
    <d v="2019-03-15T18:26:54"/>
    <x v="3"/>
    <n v="67"/>
    <n v="104"/>
    <n v="1231.2745548861501"/>
  </r>
  <r>
    <n v="439516"/>
    <x v="1"/>
    <s v="Bangalore"/>
    <x v="0"/>
    <s v=" MH"/>
    <x v="0"/>
    <x v="0"/>
    <x v="0"/>
    <x v="0"/>
    <d v="2019-03-08T18:50:02"/>
    <d v="2019-03-14T18:50:02"/>
    <d v="2019-03-11T18:50:02"/>
    <x v="3"/>
    <n v="83"/>
    <n v="94"/>
    <n v="2348.1281191888675"/>
  </r>
  <r>
    <n v="289587"/>
    <x v="1"/>
    <s v="Delhi"/>
    <x v="0"/>
    <s v=" MH"/>
    <x v="1"/>
    <x v="0"/>
    <x v="1"/>
    <x v="1"/>
    <d v="2019-03-08T18:58:48"/>
    <d v="2019-03-11T18:58:48"/>
    <d v="2019-03-15T18:58:48"/>
    <x v="4"/>
    <n v="38"/>
    <n v="108"/>
    <n v="685"/>
  </r>
  <r>
    <n v="853817"/>
    <x v="1"/>
    <s v="Bangalore"/>
    <x v="1"/>
    <s v=" TN"/>
    <x v="1"/>
    <x v="0"/>
    <x v="1"/>
    <x v="0"/>
    <d v="2019-03-08T19:04:14"/>
    <d v="2019-03-10T19:04:14"/>
    <d v="2019-03-14T19:04:14"/>
    <x v="0"/>
    <n v="44"/>
    <n v="129"/>
    <n v="3414"/>
  </r>
  <r>
    <n v="22857"/>
    <x v="1"/>
    <s v="Delhi"/>
    <x v="1"/>
    <s v=" TN"/>
    <x v="1"/>
    <x v="0"/>
    <x v="1"/>
    <x v="1"/>
    <d v="2019-03-08T19:33:53"/>
    <d v="2019-03-15T19:33:53"/>
    <d v="2019-03-11T19:33:53"/>
    <x v="8"/>
    <n v="41"/>
    <n v="123"/>
    <n v="2527"/>
  </r>
  <r>
    <n v="315330"/>
    <x v="1"/>
    <s v="Bangalore"/>
    <x v="2"/>
    <s v=" DL"/>
    <x v="2"/>
    <x v="0"/>
    <x v="0"/>
    <x v="1"/>
    <d v="2019-03-08T19:34:00"/>
    <d v="2019-03-16T19:34:00"/>
    <d v="2019-03-11T19:34:00"/>
    <x v="5"/>
    <n v="44"/>
    <n v="125"/>
    <n v="3758.2585499724719"/>
  </r>
  <r>
    <n v="151511"/>
    <x v="1"/>
    <s v="Delhi"/>
    <x v="3"/>
    <s v=" KA"/>
    <x v="1"/>
    <x v="0"/>
    <x v="1"/>
    <x v="0"/>
    <d v="2019-03-08T19:41:46"/>
    <d v="2019-03-14T19:41:46"/>
    <d v="2019-03-11T19:41:46"/>
    <x v="3"/>
    <n v="42"/>
    <n v="122"/>
    <n v="2923.5327831123641"/>
  </r>
  <r>
    <n v="275913"/>
    <x v="1"/>
    <s v="Delhi"/>
    <x v="0"/>
    <s v=" MH"/>
    <x v="0"/>
    <x v="0"/>
    <x v="1"/>
    <x v="1"/>
    <d v="2019-03-08T19:42:27"/>
    <d v="2019-03-12T19:42:27"/>
    <d v="2019-03-12T19:42:27"/>
    <x v="6"/>
    <n v="84"/>
    <n v="89"/>
    <n v="2910"/>
  </r>
  <r>
    <n v="278393"/>
    <x v="1"/>
    <s v="Delhi"/>
    <x v="1"/>
    <s v=" TN"/>
    <x v="1"/>
    <x v="0"/>
    <x v="1"/>
    <x v="0"/>
    <d v="2019-03-08T19:52:15"/>
    <d v="2019-03-10T19:52:15"/>
    <d v="2019-03-13T19:52:15"/>
    <x v="0"/>
    <n v="30"/>
    <n v="128"/>
    <n v="833"/>
  </r>
  <r>
    <n v="600137"/>
    <x v="1"/>
    <s v="Delhi"/>
    <x v="3"/>
    <s v=" KA"/>
    <x v="0"/>
    <x v="0"/>
    <x v="1"/>
    <x v="0"/>
    <d v="2019-03-08T19:56:15"/>
    <d v="2019-03-10T19:56:15"/>
    <d v="2019-03-15T19:56:15"/>
    <x v="0"/>
    <n v="65"/>
    <n v="101"/>
    <n v="2594.4380162416778"/>
  </r>
  <r>
    <n v="350351"/>
    <x v="1"/>
    <s v="Bangalore"/>
    <x v="2"/>
    <s v=" DL"/>
    <x v="1"/>
    <x v="0"/>
    <x v="1"/>
    <x v="0"/>
    <d v="2019-03-08T21:45:02"/>
    <d v="2019-03-16T21:45:02"/>
    <d v="2019-03-11T21:45:02"/>
    <x v="5"/>
    <n v="48"/>
    <n v="123"/>
    <n v="977.59323377283681"/>
  </r>
  <r>
    <n v="368320"/>
    <x v="1"/>
    <s v="Bangalore"/>
    <x v="1"/>
    <s v=" TN"/>
    <x v="0"/>
    <x v="0"/>
    <x v="0"/>
    <x v="0"/>
    <d v="2019-03-08T21:48:20"/>
    <d v="2019-03-16T21:48:20"/>
    <d v="2019-03-12T21:48:20"/>
    <x v="5"/>
    <n v="71"/>
    <n v="105"/>
    <n v="1648.1007055804878"/>
  </r>
  <r>
    <n v="687710"/>
    <x v="1"/>
    <s v="Delhi"/>
    <x v="2"/>
    <s v=" DL"/>
    <x v="0"/>
    <x v="0"/>
    <x v="0"/>
    <x v="0"/>
    <d v="2019-03-08T21:53:21"/>
    <d v="2019-03-08T21:53:21"/>
    <d v="2019-03-15T21:53:21"/>
    <x v="10"/>
    <n v="0"/>
    <n v="102"/>
    <n v="1457.8303150055413"/>
  </r>
  <r>
    <n v="382667"/>
    <x v="1"/>
    <s v="Bangalore"/>
    <x v="2"/>
    <s v=" DL"/>
    <x v="1"/>
    <x v="0"/>
    <x v="1"/>
    <x v="0"/>
    <d v="2019-03-08T22:06:33"/>
    <d v="2019-03-14T22:06:33"/>
    <d v="2019-03-15T22:06:33"/>
    <x v="3"/>
    <n v="32"/>
    <n v="121"/>
    <n v="3266"/>
  </r>
  <r>
    <n v="755862"/>
    <x v="1"/>
    <s v="Bangalore"/>
    <x v="4"/>
    <s v=" WB"/>
    <x v="2"/>
    <x v="0"/>
    <x v="0"/>
    <x v="1"/>
    <d v="2019-03-08T22:25:17"/>
    <d v="2019-03-10T22:25:17"/>
    <d v="2019-03-14T22:25:17"/>
    <x v="0"/>
    <n v="25"/>
    <n v="114"/>
    <n v="2673.7648899100927"/>
  </r>
  <r>
    <n v="325388"/>
    <x v="1"/>
    <s v="Bangalore"/>
    <x v="2"/>
    <s v=" DL"/>
    <x v="0"/>
    <x v="0"/>
    <x v="0"/>
    <x v="0"/>
    <d v="2019-03-08T22:47:37"/>
    <d v="2019-03-14T22:47:37"/>
    <d v="2019-03-13T22:47:37"/>
    <x v="3"/>
    <n v="42"/>
    <n v="129"/>
    <n v="2934.6319690443947"/>
  </r>
  <r>
    <n v="125351"/>
    <x v="1"/>
    <s v="Delhi"/>
    <x v="2"/>
    <s v=" DL"/>
    <x v="0"/>
    <x v="0"/>
    <x v="1"/>
    <x v="0"/>
    <d v="2019-03-08T22:53:00"/>
    <d v="2019-03-11T22:53:00"/>
    <d v="2019-03-12T22:53:00"/>
    <x v="4"/>
    <n v="0"/>
    <n v="103"/>
    <n v="1849"/>
  </r>
  <r>
    <n v="114513"/>
    <x v="1"/>
    <s v="Bangalore"/>
    <x v="1"/>
    <s v=" TN"/>
    <x v="1"/>
    <x v="0"/>
    <x v="2"/>
    <x v="1"/>
    <d v="2019-03-08T23:02:29"/>
    <d v="2019-03-11T23:02:29"/>
    <d v="2019-03-12T23:02:29"/>
    <x v="4"/>
    <n v="46"/>
    <n v="126"/>
    <n v="2405.1982763952792"/>
  </r>
  <r>
    <n v="274208"/>
    <x v="1"/>
    <s v="Bangalore"/>
    <x v="3"/>
    <s v=" KA"/>
    <x v="0"/>
    <x v="0"/>
    <x v="0"/>
    <x v="0"/>
    <d v="2019-03-08T23:44:03"/>
    <d v="2019-03-09T23:44:03"/>
    <d v="2019-03-13T23:44:03"/>
    <x v="2"/>
    <n v="0"/>
    <n v="129"/>
    <n v="2289.9396811773399"/>
  </r>
  <r>
    <n v="913010"/>
    <x v="1"/>
    <s v="Delhi"/>
    <x v="2"/>
    <s v=" DL"/>
    <x v="2"/>
    <x v="0"/>
    <x v="0"/>
    <x v="0"/>
    <d v="2019-03-09T00:01:51"/>
    <d v="2019-03-14T00:01:51"/>
    <d v="2019-03-14T00:01:51"/>
    <x v="9"/>
    <n v="0"/>
    <n v="125"/>
    <n v="743.41980435774428"/>
  </r>
  <r>
    <n v="54933"/>
    <x v="1"/>
    <s v="Bangalore"/>
    <x v="1"/>
    <s v=" TN"/>
    <x v="1"/>
    <x v="0"/>
    <x v="1"/>
    <x v="1"/>
    <d v="2019-03-09T00:05:14"/>
    <d v="2019-03-11T00:05:14"/>
    <d v="2019-03-15T00:05:14"/>
    <x v="0"/>
    <n v="37"/>
    <n v="123"/>
    <n v="619.28285751723729"/>
  </r>
  <r>
    <n v="778808"/>
    <x v="1"/>
    <s v="Delhi"/>
    <x v="0"/>
    <s v=" MH"/>
    <x v="0"/>
    <x v="0"/>
    <x v="0"/>
    <x v="0"/>
    <d v="2019-03-09T00:10:11"/>
    <d v="2019-03-11T00:10:11"/>
    <d v="2019-03-12T00:10:11"/>
    <x v="0"/>
    <n v="76"/>
    <n v="85"/>
    <n v="2432.8197450039438"/>
  </r>
  <r>
    <n v="354423"/>
    <x v="1"/>
    <s v="Bangalore"/>
    <x v="1"/>
    <s v=" TN"/>
    <x v="1"/>
    <x v="0"/>
    <x v="1"/>
    <x v="1"/>
    <d v="2019-03-09T01:04:00"/>
    <d v="2019-03-11T01:04:00"/>
    <d v="2019-03-13T01:04:00"/>
    <x v="0"/>
    <n v="35"/>
    <n v="120"/>
    <n v="1026.8104180036376"/>
  </r>
  <r>
    <n v="812918"/>
    <x v="1"/>
    <s v="Delhi"/>
    <x v="2"/>
    <s v=" DL"/>
    <x v="2"/>
    <x v="0"/>
    <x v="0"/>
    <x v="0"/>
    <d v="2019-03-09T01:15:34"/>
    <d v="2019-03-16T01:15:34"/>
    <d v="2019-03-16T01:15:34"/>
    <x v="8"/>
    <n v="0"/>
    <n v="128"/>
    <n v="1668.7871956889844"/>
  </r>
  <r>
    <n v="688775"/>
    <x v="1"/>
    <s v="Bangalore"/>
    <x v="0"/>
    <s v=" MH"/>
    <x v="0"/>
    <x v="0"/>
    <x v="1"/>
    <x v="0"/>
    <d v="2019-03-09T01:25:39"/>
    <d v="2019-03-15T01:25:39"/>
    <d v="2019-03-15T01:25:39"/>
    <x v="3"/>
    <n v="86"/>
    <n v="91"/>
    <n v="1778.2445138855094"/>
  </r>
  <r>
    <n v="674980"/>
    <x v="1"/>
    <s v="Bangalore"/>
    <x v="2"/>
    <s v=" DL"/>
    <x v="0"/>
    <x v="0"/>
    <x v="0"/>
    <x v="0"/>
    <d v="2019-03-09T01:33:46"/>
    <d v="2019-03-14T01:33:46"/>
    <d v="2019-03-14T01:33:46"/>
    <x v="9"/>
    <n v="35"/>
    <n v="128"/>
    <n v="3516.2725753645777"/>
  </r>
  <r>
    <n v="855006"/>
    <x v="1"/>
    <s v="Bangalore"/>
    <x v="2"/>
    <s v=" DL"/>
    <x v="2"/>
    <x v="0"/>
    <x v="0"/>
    <x v="1"/>
    <d v="2019-03-09T02:36:19"/>
    <d v="2019-03-14T02:36:19"/>
    <d v="2019-03-12T02:36:19"/>
    <x v="9"/>
    <n v="49"/>
    <n v="129"/>
    <n v="573"/>
  </r>
  <r>
    <n v="556303"/>
    <x v="1"/>
    <s v="Delhi"/>
    <x v="3"/>
    <s v=" KA"/>
    <x v="1"/>
    <x v="0"/>
    <x v="1"/>
    <x v="0"/>
    <d v="2019-03-09T03:27:14"/>
    <d v="2019-03-19T03:27:14"/>
    <d v="2019-03-16T03:27:14"/>
    <x v="7"/>
    <n v="32"/>
    <n v="130"/>
    <n v="727"/>
  </r>
  <r>
    <n v="409268"/>
    <x v="1"/>
    <s v="Delhi"/>
    <x v="2"/>
    <s v=" DL"/>
    <x v="0"/>
    <x v="0"/>
    <x v="0"/>
    <x v="0"/>
    <d v="2019-03-09T04:01:05"/>
    <d v="2019-03-09T04:01:05"/>
    <d v="2019-03-16T04:01:05"/>
    <x v="10"/>
    <n v="0"/>
    <n v="100"/>
    <n v="891.35275813044507"/>
  </r>
  <r>
    <n v="357659"/>
    <x v="1"/>
    <s v="Bangalore"/>
    <x v="0"/>
    <s v=" MH"/>
    <x v="1"/>
    <x v="0"/>
    <x v="1"/>
    <x v="0"/>
    <d v="2019-03-09T04:13:47"/>
    <d v="2019-03-14T04:13:47"/>
    <d v="2019-03-15T04:13:47"/>
    <x v="9"/>
    <n v="44"/>
    <n v="112"/>
    <n v="3399"/>
  </r>
  <r>
    <n v="47631"/>
    <x v="1"/>
    <s v="Delhi"/>
    <x v="3"/>
    <s v=" KA"/>
    <x v="0"/>
    <x v="0"/>
    <x v="1"/>
    <x v="1"/>
    <d v="2019-03-09T04:16:31"/>
    <d v="2019-03-11T04:16:31"/>
    <d v="2019-03-12T04:16:31"/>
    <x v="0"/>
    <n v="63"/>
    <n v="106"/>
    <n v="2421"/>
  </r>
  <r>
    <n v="191631"/>
    <x v="1"/>
    <s v="Bangalore"/>
    <x v="0"/>
    <s v=" MH"/>
    <x v="1"/>
    <x v="0"/>
    <x v="1"/>
    <x v="1"/>
    <d v="2019-03-09T04:23:00"/>
    <d v="2019-03-13T04:23:00"/>
    <d v="2019-03-15T04:23:00"/>
    <x v="6"/>
    <n v="44"/>
    <n v="105"/>
    <n v="2323.5631213022311"/>
  </r>
  <r>
    <n v="336063"/>
    <x v="1"/>
    <s v="Delhi"/>
    <x v="4"/>
    <s v=" WB"/>
    <x v="1"/>
    <x v="0"/>
    <x v="2"/>
    <x v="1"/>
    <d v="2019-03-09T04:31:37"/>
    <d v="2019-03-14T04:31:37"/>
    <d v="2019-03-13T04:31:37"/>
    <x v="9"/>
    <n v="33"/>
    <n v="113"/>
    <n v="312"/>
  </r>
  <r>
    <n v="186519"/>
    <x v="1"/>
    <s v="Bangalore"/>
    <x v="2"/>
    <s v=" DL"/>
    <x v="1"/>
    <x v="0"/>
    <x v="1"/>
    <x v="1"/>
    <d v="2019-03-09T04:51:15"/>
    <d v="2019-03-13T04:51:15"/>
    <d v="2019-03-14T04:51:15"/>
    <x v="6"/>
    <n v="35"/>
    <n v="127"/>
    <n v="2940.9286407443005"/>
  </r>
  <r>
    <n v="365173"/>
    <x v="1"/>
    <s v="Delhi"/>
    <x v="2"/>
    <s v=" DL"/>
    <x v="1"/>
    <x v="0"/>
    <x v="1"/>
    <x v="0"/>
    <d v="2019-03-09T04:58:41"/>
    <d v="2019-03-12T04:58:41"/>
    <d v="2019-03-13T04:58:41"/>
    <x v="4"/>
    <n v="0"/>
    <n v="127"/>
    <n v="739.33335597154644"/>
  </r>
  <r>
    <n v="277932"/>
    <x v="1"/>
    <s v="Delhi"/>
    <x v="4"/>
    <s v=" WB"/>
    <x v="0"/>
    <x v="0"/>
    <x v="0"/>
    <x v="1"/>
    <d v="2019-03-09T05:10:00"/>
    <d v="2019-03-12T05:10:00"/>
    <d v="2019-03-15T05:10:00"/>
    <x v="4"/>
    <n v="39"/>
    <n v="105"/>
    <n v="1288.1100594791478"/>
  </r>
  <r>
    <n v="202497"/>
    <x v="1"/>
    <s v="Delhi"/>
    <x v="2"/>
    <s v=" DL"/>
    <x v="1"/>
    <x v="0"/>
    <x v="1"/>
    <x v="1"/>
    <d v="2019-03-09T05:10:06"/>
    <d v="2019-03-15T05:10:06"/>
    <d v="2019-03-14T05:10:06"/>
    <x v="3"/>
    <n v="0"/>
    <n v="125"/>
    <n v="1390.2291866375192"/>
  </r>
  <r>
    <n v="13723"/>
    <x v="1"/>
    <s v="Delhi"/>
    <x v="0"/>
    <s v=" MH"/>
    <x v="1"/>
    <x v="0"/>
    <x v="1"/>
    <x v="0"/>
    <d v="2019-03-09T05:33:14"/>
    <d v="2019-03-13T05:33:14"/>
    <d v="2019-03-12T05:33:14"/>
    <x v="6"/>
    <n v="48"/>
    <n v="115"/>
    <n v="1275.0814732536749"/>
  </r>
  <r>
    <n v="478624"/>
    <x v="1"/>
    <s v="Bangalore"/>
    <x v="3"/>
    <s v=" KA"/>
    <x v="0"/>
    <x v="0"/>
    <x v="0"/>
    <x v="0"/>
    <d v="2019-03-09T06:08:17"/>
    <d v="2019-03-09T06:08:17"/>
    <d v="2019-03-13T06:08:17"/>
    <x v="10"/>
    <n v="0"/>
    <n v="130"/>
    <n v="1841.7929268255425"/>
  </r>
  <r>
    <n v="122920"/>
    <x v="1"/>
    <s v="Bangalore"/>
    <x v="0"/>
    <s v=" MH"/>
    <x v="0"/>
    <x v="0"/>
    <x v="0"/>
    <x v="0"/>
    <d v="2019-03-09T06:15:12"/>
    <d v="2019-03-15T06:15:12"/>
    <d v="2019-03-13T06:15:12"/>
    <x v="3"/>
    <n v="33"/>
    <n v="112"/>
    <n v="3001"/>
  </r>
  <r>
    <n v="81040"/>
    <x v="1"/>
    <s v="Bangalore"/>
    <x v="2"/>
    <s v=" DL"/>
    <x v="0"/>
    <x v="0"/>
    <x v="0"/>
    <x v="0"/>
    <d v="2019-03-09T06:25:19"/>
    <d v="2019-03-12T06:25:19"/>
    <d v="2019-03-16T06:25:19"/>
    <x v="4"/>
    <n v="67"/>
    <n v="105"/>
    <n v="2996"/>
  </r>
  <r>
    <n v="269017"/>
    <x v="1"/>
    <s v="Delhi"/>
    <x v="0"/>
    <s v=" MH"/>
    <x v="1"/>
    <x v="0"/>
    <x v="2"/>
    <x v="0"/>
    <d v="2019-03-09T06:33:01"/>
    <d v="2019-03-16T06:33:01"/>
    <d v="2019-03-15T06:33:01"/>
    <x v="8"/>
    <n v="47"/>
    <n v="110"/>
    <n v="1288.9401985567581"/>
  </r>
  <r>
    <n v="126178"/>
    <x v="1"/>
    <s v="Bangalore"/>
    <x v="0"/>
    <s v=" MH"/>
    <x v="0"/>
    <x v="0"/>
    <x v="0"/>
    <x v="0"/>
    <d v="2019-03-09T06:49:33"/>
    <d v="2019-03-11T06:49:33"/>
    <d v="2019-03-15T06:49:33"/>
    <x v="0"/>
    <n v="82"/>
    <n v="93"/>
    <n v="1259.369677211507"/>
  </r>
  <r>
    <n v="174434"/>
    <x v="1"/>
    <s v="Delhi"/>
    <x v="4"/>
    <s v=" WB"/>
    <x v="2"/>
    <x v="0"/>
    <x v="0"/>
    <x v="0"/>
    <d v="2019-03-09T06:57:06"/>
    <d v="2019-03-16T06:57:06"/>
    <d v="2019-03-12T06:57:06"/>
    <x v="8"/>
    <n v="26"/>
    <n v="111"/>
    <n v="2350.22488762802"/>
  </r>
  <r>
    <n v="926119"/>
    <x v="1"/>
    <s v="Delhi"/>
    <x v="3"/>
    <s v=" KA"/>
    <x v="0"/>
    <x v="0"/>
    <x v="1"/>
    <x v="0"/>
    <d v="2019-03-09T06:59:35"/>
    <d v="2019-03-11T06:59:35"/>
    <d v="2019-03-14T06:59:35"/>
    <x v="0"/>
    <n v="79"/>
    <n v="102"/>
    <n v="3259"/>
  </r>
  <r>
    <n v="903545"/>
    <x v="1"/>
    <s v="Delhi"/>
    <x v="3"/>
    <s v=" KA"/>
    <x v="1"/>
    <x v="0"/>
    <x v="1"/>
    <x v="0"/>
    <d v="2019-03-09T07:11:16"/>
    <d v="2019-03-13T07:11:16"/>
    <d v="2019-03-14T07:11:16"/>
    <x v="6"/>
    <n v="42"/>
    <n v="126"/>
    <n v="1807.629155512438"/>
  </r>
  <r>
    <n v="470578"/>
    <x v="1"/>
    <s v="Delhi"/>
    <x v="1"/>
    <s v=" TN"/>
    <x v="0"/>
    <x v="0"/>
    <x v="0"/>
    <x v="0"/>
    <d v="2019-03-09T07:20:18"/>
    <d v="2019-03-15T07:20:18"/>
    <d v="2019-03-15T07:20:18"/>
    <x v="3"/>
    <n v="61"/>
    <n v="105"/>
    <n v="1070.6354973782641"/>
  </r>
  <r>
    <n v="83938"/>
    <x v="1"/>
    <s v="Delhi"/>
    <x v="3"/>
    <s v=" KA"/>
    <x v="2"/>
    <x v="0"/>
    <x v="0"/>
    <x v="0"/>
    <d v="2019-03-09T07:57:50"/>
    <d v="2019-03-14T07:57:50"/>
    <d v="2019-03-13T07:57:50"/>
    <x v="9"/>
    <n v="43"/>
    <n v="129"/>
    <n v="3155.395465574391"/>
  </r>
  <r>
    <n v="303852"/>
    <x v="1"/>
    <s v="Bangalore"/>
    <x v="0"/>
    <s v=" MH"/>
    <x v="0"/>
    <x v="0"/>
    <x v="0"/>
    <x v="1"/>
    <d v="2019-03-09T07:58:11"/>
    <d v="2019-03-11T07:58:11"/>
    <d v="2019-03-12T07:58:11"/>
    <x v="0"/>
    <n v="61"/>
    <n v="95"/>
    <n v="2223.6346179815682"/>
  </r>
  <r>
    <n v="145223"/>
    <x v="1"/>
    <s v="Delhi"/>
    <x v="3"/>
    <s v=" KA"/>
    <x v="1"/>
    <x v="0"/>
    <x v="1"/>
    <x v="0"/>
    <d v="2019-03-09T08:28:08"/>
    <d v="2019-03-15T08:28:08"/>
    <d v="2019-03-13T08:28:08"/>
    <x v="3"/>
    <n v="26"/>
    <n v="122"/>
    <n v="2393.0162788382368"/>
  </r>
  <r>
    <n v="918485"/>
    <x v="1"/>
    <s v="Bangalore"/>
    <x v="0"/>
    <s v=" MH"/>
    <x v="0"/>
    <x v="0"/>
    <x v="1"/>
    <x v="0"/>
    <d v="2019-03-09T08:47:28"/>
    <d v="2019-03-11T08:47:28"/>
    <d v="2019-03-14T08:47:28"/>
    <x v="0"/>
    <n v="76"/>
    <n v="95"/>
    <n v="3064"/>
  </r>
  <r>
    <n v="887587"/>
    <x v="1"/>
    <s v="Delhi"/>
    <x v="0"/>
    <s v=" MH"/>
    <x v="1"/>
    <x v="0"/>
    <x v="1"/>
    <x v="0"/>
    <d v="2019-03-09T08:52:07"/>
    <d v="2019-03-12T08:52:07"/>
    <d v="2019-03-16T08:52:07"/>
    <x v="4"/>
    <n v="38"/>
    <n v="106"/>
    <n v="3529.6326949534819"/>
  </r>
  <r>
    <n v="240427"/>
    <x v="1"/>
    <s v="Delhi"/>
    <x v="4"/>
    <s v=" WB"/>
    <x v="1"/>
    <x v="0"/>
    <x v="1"/>
    <x v="0"/>
    <d v="2019-03-09T08:53:54"/>
    <d v="2019-03-13T08:53:54"/>
    <d v="2019-03-13T08:53:54"/>
    <x v="6"/>
    <n v="50"/>
    <n v="109"/>
    <n v="235"/>
  </r>
  <r>
    <n v="480909"/>
    <x v="1"/>
    <s v="Delhi"/>
    <x v="3"/>
    <s v=" KA"/>
    <x v="1"/>
    <x v="0"/>
    <x v="1"/>
    <x v="1"/>
    <d v="2019-03-09T09:09:24"/>
    <d v="2019-03-17T09:09:24"/>
    <d v="2019-03-15T09:09:24"/>
    <x v="5"/>
    <n v="38"/>
    <n v="127"/>
    <n v="1844"/>
  </r>
  <r>
    <n v="994134"/>
    <x v="1"/>
    <s v="Bangalore"/>
    <x v="3"/>
    <s v=" KA"/>
    <x v="2"/>
    <x v="0"/>
    <x v="0"/>
    <x v="1"/>
    <d v="2019-03-09T09:09:38"/>
    <d v="2019-03-13T09:09:38"/>
    <d v="2019-03-15T09:09:38"/>
    <x v="6"/>
    <n v="0"/>
    <n v="126"/>
    <n v="2344.1579573408026"/>
  </r>
  <r>
    <n v="892314"/>
    <x v="1"/>
    <s v="Bangalore"/>
    <x v="4"/>
    <s v=" WB"/>
    <x v="0"/>
    <x v="0"/>
    <x v="0"/>
    <x v="1"/>
    <d v="2019-03-09T09:18:09"/>
    <d v="2019-03-14T09:18:09"/>
    <d v="2019-03-13T09:18:09"/>
    <x v="9"/>
    <n v="77"/>
    <n v="92"/>
    <n v="2595.4634280644468"/>
  </r>
  <r>
    <n v="543790"/>
    <x v="1"/>
    <s v="Delhi"/>
    <x v="1"/>
    <s v=" TN"/>
    <x v="2"/>
    <x v="0"/>
    <x v="0"/>
    <x v="0"/>
    <d v="2019-03-09T10:14:16"/>
    <d v="2019-03-12T10:14:16"/>
    <d v="2019-03-15T10:14:16"/>
    <x v="4"/>
    <n v="46"/>
    <n v="121"/>
    <n v="2815"/>
  </r>
  <r>
    <n v="71162"/>
    <x v="1"/>
    <s v="Bangalore"/>
    <x v="0"/>
    <s v=" MH"/>
    <x v="0"/>
    <x v="0"/>
    <x v="0"/>
    <x v="0"/>
    <d v="2019-03-09T10:29:31"/>
    <d v="2019-03-11T10:29:31"/>
    <d v="2019-03-15T10:29:31"/>
    <x v="0"/>
    <n v="81"/>
    <n v="92"/>
    <n v="1743.8836769561665"/>
  </r>
  <r>
    <n v="201775"/>
    <x v="1"/>
    <s v="Bangalore"/>
    <x v="0"/>
    <s v=" MH"/>
    <x v="1"/>
    <x v="0"/>
    <x v="2"/>
    <x v="0"/>
    <d v="2019-03-09T10:32:59"/>
    <d v="2019-03-17T10:32:59"/>
    <d v="2019-03-12T10:32:59"/>
    <x v="5"/>
    <n v="41"/>
    <n v="105"/>
    <n v="1752.452129387055"/>
  </r>
  <r>
    <n v="287768"/>
    <x v="1"/>
    <s v="Delhi"/>
    <x v="4"/>
    <s v=" WB"/>
    <x v="0"/>
    <x v="0"/>
    <x v="0"/>
    <x v="0"/>
    <d v="2019-03-09T11:02:56"/>
    <d v="2019-03-14T11:02:56"/>
    <d v="2019-03-12T11:02:56"/>
    <x v="9"/>
    <n v="30"/>
    <n v="114"/>
    <n v="3496.5886036894954"/>
  </r>
  <r>
    <n v="768095"/>
    <x v="1"/>
    <s v="Delhi"/>
    <x v="2"/>
    <s v=" DL"/>
    <x v="1"/>
    <x v="0"/>
    <x v="1"/>
    <x v="0"/>
    <d v="2019-03-09T11:39:28"/>
    <d v="2019-03-15T11:39:28"/>
    <d v="2019-03-12T11:39:28"/>
    <x v="3"/>
    <n v="0"/>
    <n v="125"/>
    <n v="2083.961930801996"/>
  </r>
  <r>
    <n v="836375"/>
    <x v="1"/>
    <s v="Bangalore"/>
    <x v="0"/>
    <s v=" MH"/>
    <x v="0"/>
    <x v="0"/>
    <x v="1"/>
    <x v="0"/>
    <d v="2019-03-09T12:00:48"/>
    <d v="2019-03-11T12:00:48"/>
    <d v="2019-03-12T12:00:48"/>
    <x v="0"/>
    <n v="62"/>
    <n v="85"/>
    <n v="1873.571431860433"/>
  </r>
  <r>
    <n v="784128"/>
    <x v="1"/>
    <s v="Delhi"/>
    <x v="2"/>
    <s v=" DL"/>
    <x v="0"/>
    <x v="0"/>
    <x v="0"/>
    <x v="1"/>
    <d v="2019-03-09T12:17:36"/>
    <d v="2019-03-14T12:17:36"/>
    <d v="2019-03-16T12:17:36"/>
    <x v="9"/>
    <n v="0"/>
    <n v="127"/>
    <n v="3270.2688064260105"/>
  </r>
  <r>
    <n v="286199"/>
    <x v="1"/>
    <s v="Bangalore"/>
    <x v="2"/>
    <s v=" DL"/>
    <x v="1"/>
    <x v="0"/>
    <x v="1"/>
    <x v="0"/>
    <d v="2019-03-09T12:33:24"/>
    <d v="2019-03-16T12:33:24"/>
    <d v="2019-03-14T12:33:24"/>
    <x v="8"/>
    <n v="37"/>
    <n v="124"/>
    <n v="2130.4308079346274"/>
  </r>
  <r>
    <n v="385326"/>
    <x v="1"/>
    <s v="Delhi"/>
    <x v="3"/>
    <s v=" KA"/>
    <x v="2"/>
    <x v="0"/>
    <x v="0"/>
    <x v="1"/>
    <d v="2019-03-09T12:36:21"/>
    <d v="2019-03-15T12:36:21"/>
    <d v="2019-03-14T12:36:21"/>
    <x v="3"/>
    <n v="26"/>
    <n v="124"/>
    <n v="2461.3379141657347"/>
  </r>
  <r>
    <n v="54091"/>
    <x v="1"/>
    <s v="Delhi"/>
    <x v="0"/>
    <s v=" MH"/>
    <x v="1"/>
    <x v="0"/>
    <x v="1"/>
    <x v="0"/>
    <d v="2019-03-09T12:55:08"/>
    <d v="2019-03-12T12:55:08"/>
    <d v="2019-03-13T12:55:08"/>
    <x v="4"/>
    <n v="43"/>
    <n v="114"/>
    <n v="3534"/>
  </r>
  <r>
    <n v="889324"/>
    <x v="1"/>
    <s v="Bangalore"/>
    <x v="4"/>
    <s v=" WB"/>
    <x v="0"/>
    <x v="0"/>
    <x v="0"/>
    <x v="0"/>
    <d v="2019-03-09T13:43:35"/>
    <d v="2019-03-14T13:43:35"/>
    <d v="2019-03-16T13:43:35"/>
    <x v="9"/>
    <n v="25"/>
    <n v="110"/>
    <n v="1043.7699941814667"/>
  </r>
  <r>
    <n v="168930"/>
    <x v="1"/>
    <s v="Delhi"/>
    <x v="3"/>
    <s v=" KA"/>
    <x v="2"/>
    <x v="0"/>
    <x v="0"/>
    <x v="1"/>
    <d v="2019-03-09T13:57:27"/>
    <d v="2019-03-16T13:57:27"/>
    <d v="2019-03-16T13:57:27"/>
    <x v="8"/>
    <n v="28"/>
    <n v="129"/>
    <n v="2726"/>
  </r>
  <r>
    <n v="652769"/>
    <x v="1"/>
    <s v="Delhi"/>
    <x v="0"/>
    <s v=" MH"/>
    <x v="1"/>
    <x v="0"/>
    <x v="1"/>
    <x v="0"/>
    <d v="2019-03-09T14:02:00"/>
    <d v="2019-03-12T14:02:00"/>
    <d v="2019-03-13T14:02:00"/>
    <x v="4"/>
    <n v="40"/>
    <n v="113"/>
    <n v="2458"/>
  </r>
  <r>
    <n v="110957"/>
    <x v="1"/>
    <s v="Delhi"/>
    <x v="0"/>
    <s v=" MH"/>
    <x v="1"/>
    <x v="0"/>
    <x v="2"/>
    <x v="0"/>
    <d v="2019-03-09T14:44:47"/>
    <d v="2019-03-13T14:44:47"/>
    <d v="2019-03-14T14:44:47"/>
    <x v="6"/>
    <n v="47"/>
    <n v="108"/>
    <n v="2136.2075230428377"/>
  </r>
  <r>
    <n v="324474"/>
    <x v="1"/>
    <s v="Delhi"/>
    <x v="3"/>
    <s v=" KA"/>
    <x v="2"/>
    <x v="0"/>
    <x v="0"/>
    <x v="1"/>
    <d v="2019-03-09T15:00:13"/>
    <d v="2019-03-15T15:00:13"/>
    <d v="2019-03-13T15:00:13"/>
    <x v="3"/>
    <n v="37"/>
    <n v="125"/>
    <n v="2183"/>
  </r>
  <r>
    <n v="158413"/>
    <x v="1"/>
    <s v="Delhi"/>
    <x v="0"/>
    <s v=" MH"/>
    <x v="1"/>
    <x v="0"/>
    <x v="1"/>
    <x v="0"/>
    <d v="2019-03-09T15:19:43"/>
    <d v="2019-03-12T15:19:43"/>
    <d v="2019-03-15T15:19:43"/>
    <x v="4"/>
    <n v="28"/>
    <n v="109"/>
    <n v="2639.674260228875"/>
  </r>
  <r>
    <n v="309636"/>
    <x v="1"/>
    <s v="Delhi"/>
    <x v="2"/>
    <s v=" DL"/>
    <x v="0"/>
    <x v="0"/>
    <x v="0"/>
    <x v="1"/>
    <d v="2019-03-09T15:30:23"/>
    <d v="2019-03-12T15:30:23"/>
    <d v="2019-03-16T15:30:23"/>
    <x v="4"/>
    <n v="0"/>
    <n v="108"/>
    <n v="1842.0328313604784"/>
  </r>
  <r>
    <n v="828436"/>
    <x v="1"/>
    <s v="Bangalore"/>
    <x v="3"/>
    <s v=" KA"/>
    <x v="0"/>
    <x v="0"/>
    <x v="0"/>
    <x v="0"/>
    <d v="2019-03-09T15:44:44"/>
    <d v="2019-03-10T15:44:44"/>
    <d v="2019-03-13T15:44:44"/>
    <x v="2"/>
    <n v="0"/>
    <n v="107"/>
    <n v="385"/>
  </r>
  <r>
    <n v="727736"/>
    <x v="1"/>
    <s v="Delhi"/>
    <x v="2"/>
    <s v=" DL"/>
    <x v="0"/>
    <x v="0"/>
    <x v="0"/>
    <x v="0"/>
    <d v="2019-03-09T15:57:09"/>
    <d v="2019-03-13T15:57:09"/>
    <d v="2019-03-12T15:57:09"/>
    <x v="6"/>
    <n v="0"/>
    <n v="105"/>
    <n v="2464.816116230827"/>
  </r>
  <r>
    <n v="838788"/>
    <x v="1"/>
    <s v="Delhi"/>
    <x v="2"/>
    <s v=" DL"/>
    <x v="0"/>
    <x v="0"/>
    <x v="0"/>
    <x v="1"/>
    <d v="2019-03-09T15:58:33"/>
    <d v="2019-03-09T15:58:33"/>
    <d v="2019-03-15T15:58:33"/>
    <x v="10"/>
    <n v="0"/>
    <n v="106"/>
    <n v="1239.8447573285523"/>
  </r>
  <r>
    <n v="491186"/>
    <x v="1"/>
    <s v="Bangalore"/>
    <x v="3"/>
    <s v=" KA"/>
    <x v="2"/>
    <x v="0"/>
    <x v="0"/>
    <x v="0"/>
    <d v="2019-03-09T16:07:09"/>
    <d v="2019-03-12T16:07:09"/>
    <d v="2019-03-12T16:07:09"/>
    <x v="4"/>
    <n v="0"/>
    <n v="122"/>
    <n v="979"/>
  </r>
  <r>
    <n v="585781"/>
    <x v="1"/>
    <s v="Delhi"/>
    <x v="0"/>
    <s v=" MH"/>
    <x v="1"/>
    <x v="0"/>
    <x v="2"/>
    <x v="0"/>
    <d v="2019-03-09T16:15:19"/>
    <d v="2019-03-15T16:15:19"/>
    <d v="2019-03-13T16:15:19"/>
    <x v="3"/>
    <n v="28"/>
    <n v="106"/>
    <n v="1612"/>
  </r>
  <r>
    <n v="645576"/>
    <x v="1"/>
    <s v="Delhi"/>
    <x v="4"/>
    <s v=" WB"/>
    <x v="0"/>
    <x v="0"/>
    <x v="0"/>
    <x v="1"/>
    <d v="2019-03-09T17:27:11"/>
    <d v="2019-03-13T17:27:11"/>
    <d v="2019-03-12T17:27:11"/>
    <x v="6"/>
    <n v="35"/>
    <n v="107"/>
    <n v="1924.3759482014041"/>
  </r>
  <r>
    <n v="51751"/>
    <x v="1"/>
    <s v="Bangalore"/>
    <x v="0"/>
    <s v=" MH"/>
    <x v="1"/>
    <x v="0"/>
    <x v="2"/>
    <x v="0"/>
    <d v="2019-03-09T18:30:03"/>
    <d v="2019-03-13T18:30:03"/>
    <d v="2019-03-12T18:30:03"/>
    <x v="6"/>
    <n v="48"/>
    <n v="113"/>
    <n v="1082.4260856587878"/>
  </r>
  <r>
    <n v="627017"/>
    <x v="1"/>
    <s v="Bangalore"/>
    <x v="3"/>
    <s v=" KA"/>
    <x v="0"/>
    <x v="0"/>
    <x v="1"/>
    <x v="0"/>
    <d v="2019-03-09T18:51:24"/>
    <d v="2019-03-10T18:51:24"/>
    <d v="2019-03-12T18:51:24"/>
    <x v="2"/>
    <n v="0"/>
    <n v="107"/>
    <n v="543.67511992787036"/>
  </r>
  <r>
    <n v="567590"/>
    <x v="1"/>
    <s v="Bangalore"/>
    <x v="0"/>
    <s v=" MH"/>
    <x v="2"/>
    <x v="0"/>
    <x v="0"/>
    <x v="0"/>
    <d v="2019-03-09T19:03:21"/>
    <d v="2019-03-16T19:03:21"/>
    <d v="2019-03-12T19:03:21"/>
    <x v="8"/>
    <n v="27"/>
    <n v="111"/>
    <n v="3126.6724983769273"/>
  </r>
  <r>
    <n v="484114"/>
    <x v="1"/>
    <s v="Delhi"/>
    <x v="1"/>
    <s v=" TN"/>
    <x v="2"/>
    <x v="0"/>
    <x v="0"/>
    <x v="0"/>
    <d v="2019-03-09T19:17:02"/>
    <d v="2019-03-12T19:17:02"/>
    <d v="2019-03-13T19:17:02"/>
    <x v="4"/>
    <n v="37"/>
    <n v="125"/>
    <n v="1952"/>
  </r>
  <r>
    <n v="555445"/>
    <x v="1"/>
    <s v="Delhi"/>
    <x v="0"/>
    <s v=" MH"/>
    <x v="1"/>
    <x v="0"/>
    <x v="1"/>
    <x v="0"/>
    <d v="2019-03-09T19:17:56"/>
    <d v="2019-03-15T19:17:56"/>
    <d v="2019-03-14T19:17:56"/>
    <x v="3"/>
    <n v="46"/>
    <n v="108"/>
    <n v="2078"/>
  </r>
  <r>
    <n v="846736"/>
    <x v="1"/>
    <s v="Bangalore"/>
    <x v="4"/>
    <s v=" WB"/>
    <x v="0"/>
    <x v="0"/>
    <x v="0"/>
    <x v="0"/>
    <d v="2019-03-09T19:26:31"/>
    <d v="2019-03-14T19:26:31"/>
    <d v="2019-03-13T19:26:31"/>
    <x v="9"/>
    <n v="63"/>
    <n v="92"/>
    <n v="3452"/>
  </r>
  <r>
    <n v="986696"/>
    <x v="1"/>
    <s v="Bangalore"/>
    <x v="1"/>
    <s v=" TN"/>
    <x v="0"/>
    <x v="0"/>
    <x v="0"/>
    <x v="0"/>
    <d v="2019-03-09T19:51:27"/>
    <d v="2019-03-19T19:51:27"/>
    <d v="2019-03-12T19:51:27"/>
    <x v="7"/>
    <n v="33"/>
    <n v="129"/>
    <n v="1024"/>
  </r>
  <r>
    <n v="402094"/>
    <x v="1"/>
    <s v="Delhi"/>
    <x v="3"/>
    <s v=" KA"/>
    <x v="2"/>
    <x v="0"/>
    <x v="0"/>
    <x v="0"/>
    <d v="2019-03-09T19:56:18"/>
    <d v="2019-03-17T19:56:18"/>
    <d v="2019-03-16T19:56:18"/>
    <x v="5"/>
    <n v="35"/>
    <n v="130"/>
    <n v="2442"/>
  </r>
  <r>
    <n v="397695"/>
    <x v="1"/>
    <s v="Delhi"/>
    <x v="2"/>
    <s v=" DL"/>
    <x v="1"/>
    <x v="0"/>
    <x v="1"/>
    <x v="1"/>
    <d v="2019-03-09T19:59:50"/>
    <d v="2019-03-15T19:59:50"/>
    <d v="2019-03-15T19:59:50"/>
    <x v="3"/>
    <n v="0"/>
    <n v="121"/>
    <n v="3033.6101128247565"/>
  </r>
  <r>
    <n v="86146"/>
    <x v="1"/>
    <s v="Delhi"/>
    <x v="2"/>
    <s v=" DL"/>
    <x v="0"/>
    <x v="0"/>
    <x v="0"/>
    <x v="0"/>
    <d v="2019-03-09T20:34:56"/>
    <d v="2019-03-11T20:34:56"/>
    <d v="2019-03-12T20:34:56"/>
    <x v="0"/>
    <n v="0"/>
    <n v="100"/>
    <n v="1320.2346141435439"/>
  </r>
  <r>
    <n v="177756"/>
    <x v="1"/>
    <s v="Delhi"/>
    <x v="3"/>
    <s v=" KA"/>
    <x v="0"/>
    <x v="0"/>
    <x v="0"/>
    <x v="1"/>
    <d v="2019-03-09T20:50:46"/>
    <d v="2019-03-15T20:50:46"/>
    <d v="2019-03-15T20:50:46"/>
    <x v="3"/>
    <n v="29"/>
    <n v="123"/>
    <n v="3349"/>
  </r>
  <r>
    <n v="81154"/>
    <x v="1"/>
    <s v="Delhi"/>
    <x v="1"/>
    <s v=" TN"/>
    <x v="2"/>
    <x v="0"/>
    <x v="0"/>
    <x v="0"/>
    <d v="2019-03-09T20:51:57"/>
    <d v="2019-03-11T20:51:57"/>
    <d v="2019-03-14T20:51:57"/>
    <x v="0"/>
    <n v="25"/>
    <n v="128"/>
    <n v="2102.8536381688691"/>
  </r>
  <r>
    <n v="404490"/>
    <x v="1"/>
    <s v="Bangalore"/>
    <x v="2"/>
    <s v=" DL"/>
    <x v="2"/>
    <x v="0"/>
    <x v="0"/>
    <x v="1"/>
    <d v="2019-03-09T20:58:23"/>
    <d v="2019-03-12T20:58:23"/>
    <d v="2019-03-12T20:58:23"/>
    <x v="4"/>
    <n v="28"/>
    <n v="127"/>
    <n v="752.96393665020764"/>
  </r>
  <r>
    <n v="859022"/>
    <x v="1"/>
    <s v="Bangalore"/>
    <x v="4"/>
    <s v=" WB"/>
    <x v="2"/>
    <x v="0"/>
    <x v="0"/>
    <x v="0"/>
    <d v="2019-03-09T21:09:45"/>
    <d v="2019-03-14T21:09:45"/>
    <d v="2019-03-13T21:09:45"/>
    <x v="9"/>
    <n v="39"/>
    <n v="110"/>
    <n v="2616.29954766419"/>
  </r>
  <r>
    <n v="723388"/>
    <x v="1"/>
    <s v="Bangalore"/>
    <x v="0"/>
    <s v=" MH"/>
    <x v="0"/>
    <x v="0"/>
    <x v="0"/>
    <x v="0"/>
    <d v="2019-03-09T21:28:04"/>
    <d v="2019-03-15T21:28:04"/>
    <d v="2019-03-14T21:28:04"/>
    <x v="3"/>
    <n v="46"/>
    <n v="115"/>
    <n v="2958.8257918405625"/>
  </r>
  <r>
    <n v="360864"/>
    <x v="1"/>
    <s v="Delhi"/>
    <x v="0"/>
    <s v=" MH"/>
    <x v="0"/>
    <x v="0"/>
    <x v="0"/>
    <x v="1"/>
    <d v="2019-03-09T22:29:42"/>
    <d v="2019-03-12T22:29:42"/>
    <d v="2019-03-14T22:29:42"/>
    <x v="4"/>
    <n v="32"/>
    <n v="111"/>
    <n v="324.03079178590338"/>
  </r>
  <r>
    <n v="789882"/>
    <x v="1"/>
    <s v="Bangalore"/>
    <x v="1"/>
    <s v=" TN"/>
    <x v="2"/>
    <x v="0"/>
    <x v="0"/>
    <x v="1"/>
    <d v="2019-03-09T22:32:52"/>
    <d v="2019-03-13T22:32:52"/>
    <d v="2019-03-13T22:32:52"/>
    <x v="6"/>
    <n v="40"/>
    <n v="125"/>
    <n v="3226"/>
  </r>
  <r>
    <n v="582918"/>
    <x v="1"/>
    <s v="Delhi"/>
    <x v="1"/>
    <s v=" TN"/>
    <x v="0"/>
    <x v="0"/>
    <x v="0"/>
    <x v="1"/>
    <d v="2019-03-09T22:50:07"/>
    <d v="2019-03-15T22:50:07"/>
    <d v="2019-03-14T22:50:07"/>
    <x v="3"/>
    <n v="68"/>
    <n v="109"/>
    <n v="1907"/>
  </r>
  <r>
    <n v="706281"/>
    <x v="1"/>
    <s v="Bangalore"/>
    <x v="4"/>
    <s v=" WB"/>
    <x v="0"/>
    <x v="0"/>
    <x v="1"/>
    <x v="1"/>
    <d v="2019-03-09T22:50:34"/>
    <d v="2019-03-13T22:50:34"/>
    <d v="2019-03-14T22:50:34"/>
    <x v="6"/>
    <n v="68"/>
    <n v="87"/>
    <n v="872.52864494782261"/>
  </r>
  <r>
    <n v="571925"/>
    <x v="1"/>
    <s v="Bangalore"/>
    <x v="1"/>
    <s v=" TN"/>
    <x v="1"/>
    <x v="0"/>
    <x v="1"/>
    <x v="0"/>
    <d v="2019-03-09T23:05:53"/>
    <d v="2019-03-13T23:05:53"/>
    <d v="2019-03-15T23:05:53"/>
    <x v="6"/>
    <n v="25"/>
    <n v="128"/>
    <n v="1383"/>
  </r>
  <r>
    <n v="574821"/>
    <x v="1"/>
    <s v="Bangalore"/>
    <x v="0"/>
    <s v=" MH"/>
    <x v="1"/>
    <x v="0"/>
    <x v="1"/>
    <x v="1"/>
    <d v="2019-03-09T23:10:19"/>
    <d v="2019-03-14T23:10:19"/>
    <d v="2019-03-15T23:10:19"/>
    <x v="9"/>
    <n v="44"/>
    <n v="109"/>
    <n v="3628.2111106715888"/>
  </r>
  <r>
    <n v="700636"/>
    <x v="1"/>
    <s v="Bangalore"/>
    <x v="2"/>
    <s v=" DL"/>
    <x v="0"/>
    <x v="0"/>
    <x v="0"/>
    <x v="0"/>
    <d v="2019-03-09T23:37:21"/>
    <d v="2019-03-11T23:37:21"/>
    <d v="2019-03-13T23:37:21"/>
    <x v="0"/>
    <n v="76"/>
    <n v="101"/>
    <n v="3147.9639062208244"/>
  </r>
  <r>
    <n v="363603"/>
    <x v="1"/>
    <s v="Delhi"/>
    <x v="4"/>
    <s v=" WB"/>
    <x v="1"/>
    <x v="0"/>
    <x v="1"/>
    <x v="1"/>
    <d v="2019-03-10T00:02:42"/>
    <d v="2019-03-12T00:02:42"/>
    <d v="2019-03-14T00:02:42"/>
    <x v="0"/>
    <n v="50"/>
    <n v="107"/>
    <n v="2534.2933054211826"/>
  </r>
  <r>
    <n v="29357"/>
    <x v="1"/>
    <s v="Bangalore"/>
    <x v="4"/>
    <s v=" WB"/>
    <x v="1"/>
    <x v="0"/>
    <x v="1"/>
    <x v="0"/>
    <d v="2019-03-10T00:21:30"/>
    <d v="2019-03-13T00:21:30"/>
    <d v="2019-03-17T00:21:30"/>
    <x v="4"/>
    <n v="41"/>
    <n v="109"/>
    <n v="2504.0036306160719"/>
  </r>
  <r>
    <n v="93666"/>
    <x v="1"/>
    <s v="Bangalore"/>
    <x v="2"/>
    <s v=" DL"/>
    <x v="2"/>
    <x v="0"/>
    <x v="0"/>
    <x v="1"/>
    <d v="2019-03-10T00:54:35"/>
    <d v="2019-03-13T00:54:35"/>
    <d v="2019-03-16T00:54:35"/>
    <x v="4"/>
    <n v="0"/>
    <n v="126"/>
    <n v="502.7200671714981"/>
  </r>
  <r>
    <n v="236884"/>
    <x v="1"/>
    <s v="Delhi"/>
    <x v="4"/>
    <s v=" WB"/>
    <x v="0"/>
    <x v="0"/>
    <x v="0"/>
    <x v="0"/>
    <d v="2019-03-10T01:28:19"/>
    <d v="2019-03-14T01:28:19"/>
    <d v="2019-03-16T01:28:19"/>
    <x v="6"/>
    <n v="34"/>
    <n v="112"/>
    <n v="3492.2951536255732"/>
  </r>
  <r>
    <n v="307015"/>
    <x v="1"/>
    <s v="Bangalore"/>
    <x v="0"/>
    <s v=" MH"/>
    <x v="0"/>
    <x v="0"/>
    <x v="1"/>
    <x v="0"/>
    <d v="2019-03-10T01:37:44"/>
    <d v="2019-03-12T01:37:44"/>
    <d v="2019-03-17T01:37:44"/>
    <x v="0"/>
    <n v="78"/>
    <n v="85"/>
    <n v="2024.7111885958973"/>
  </r>
  <r>
    <n v="470126"/>
    <x v="1"/>
    <s v="Delhi"/>
    <x v="2"/>
    <s v=" DL"/>
    <x v="2"/>
    <x v="0"/>
    <x v="0"/>
    <x v="0"/>
    <d v="2019-03-10T02:25:10"/>
    <d v="2019-03-12T02:25:10"/>
    <d v="2019-03-16T02:25:10"/>
    <x v="0"/>
    <n v="0"/>
    <n v="127"/>
    <n v="943"/>
  </r>
  <r>
    <n v="772648"/>
    <x v="1"/>
    <s v="Delhi"/>
    <x v="2"/>
    <s v=" DL"/>
    <x v="0"/>
    <x v="0"/>
    <x v="0"/>
    <x v="0"/>
    <d v="2019-03-10T03:04:38"/>
    <d v="2019-03-10T03:04:38"/>
    <d v="2019-03-16T03:04:38"/>
    <x v="10"/>
    <n v="0"/>
    <n v="122"/>
    <n v="3541"/>
  </r>
  <r>
    <n v="3761"/>
    <x v="1"/>
    <s v="Delhi"/>
    <x v="2"/>
    <s v=" DL"/>
    <x v="1"/>
    <x v="0"/>
    <x v="1"/>
    <x v="0"/>
    <d v="2019-03-10T03:06:33"/>
    <d v="2019-03-14T03:06:33"/>
    <d v="2019-03-13T03:06:33"/>
    <x v="6"/>
    <n v="0"/>
    <n v="125"/>
    <n v="3386.2631885817204"/>
  </r>
  <r>
    <n v="80630"/>
    <x v="1"/>
    <s v="Bangalore"/>
    <x v="2"/>
    <s v=" DL"/>
    <x v="2"/>
    <x v="0"/>
    <x v="0"/>
    <x v="0"/>
    <d v="2019-03-10T03:35:53"/>
    <d v="2019-03-16T03:35:53"/>
    <d v="2019-03-17T03:35:53"/>
    <x v="3"/>
    <n v="32"/>
    <n v="123"/>
    <n v="1729.6345510860554"/>
  </r>
  <r>
    <n v="635133"/>
    <x v="1"/>
    <s v="Delhi"/>
    <x v="2"/>
    <s v=" DL"/>
    <x v="1"/>
    <x v="0"/>
    <x v="1"/>
    <x v="1"/>
    <d v="2019-03-10T03:41:14"/>
    <d v="2019-03-15T03:41:14"/>
    <d v="2019-03-15T03:41:14"/>
    <x v="9"/>
    <n v="0"/>
    <n v="128"/>
    <n v="2394"/>
  </r>
  <r>
    <n v="562988"/>
    <x v="1"/>
    <s v="Bangalore"/>
    <x v="3"/>
    <s v=" KA"/>
    <x v="0"/>
    <x v="0"/>
    <x v="0"/>
    <x v="0"/>
    <d v="2019-03-10T04:01:29"/>
    <d v="2019-03-14T04:01:29"/>
    <d v="2019-03-13T04:01:29"/>
    <x v="6"/>
    <n v="0"/>
    <n v="121"/>
    <n v="2227.3146157222109"/>
  </r>
  <r>
    <n v="544286"/>
    <x v="1"/>
    <s v="Delhi"/>
    <x v="2"/>
    <s v=" DL"/>
    <x v="0"/>
    <x v="0"/>
    <x v="0"/>
    <x v="0"/>
    <d v="2019-03-10T04:25:53"/>
    <d v="2019-03-10T04:25:53"/>
    <d v="2019-03-13T04:25:53"/>
    <x v="10"/>
    <n v="0"/>
    <n v="101"/>
    <n v="1683.4433489273829"/>
  </r>
  <r>
    <n v="647376"/>
    <x v="1"/>
    <s v="Bangalore"/>
    <x v="2"/>
    <s v=" DL"/>
    <x v="0"/>
    <x v="0"/>
    <x v="0"/>
    <x v="1"/>
    <d v="2019-03-10T05:07:20"/>
    <d v="2019-03-16T05:07:20"/>
    <d v="2019-03-16T05:07:20"/>
    <x v="3"/>
    <n v="32"/>
    <n v="127"/>
    <n v="1607"/>
  </r>
  <r>
    <n v="759044"/>
    <x v="1"/>
    <s v="Delhi"/>
    <x v="4"/>
    <s v=" WB"/>
    <x v="0"/>
    <x v="0"/>
    <x v="0"/>
    <x v="0"/>
    <d v="2019-03-10T05:20:37"/>
    <d v="2019-03-14T05:20:37"/>
    <d v="2019-03-16T05:20:37"/>
    <x v="6"/>
    <n v="67"/>
    <n v="91"/>
    <n v="1497.6803877717066"/>
  </r>
  <r>
    <n v="964254"/>
    <x v="1"/>
    <s v="Delhi"/>
    <x v="2"/>
    <s v=" DL"/>
    <x v="2"/>
    <x v="0"/>
    <x v="0"/>
    <x v="1"/>
    <d v="2019-03-10T05:32:34"/>
    <d v="2019-03-16T05:32:34"/>
    <d v="2019-03-15T05:32:34"/>
    <x v="3"/>
    <n v="0"/>
    <n v="122"/>
    <n v="3339.3146843787763"/>
  </r>
  <r>
    <n v="881086"/>
    <x v="1"/>
    <s v="Delhi"/>
    <x v="1"/>
    <s v=" TN"/>
    <x v="2"/>
    <x v="0"/>
    <x v="0"/>
    <x v="0"/>
    <d v="2019-03-10T05:39:40"/>
    <d v="2019-03-15T05:39:40"/>
    <d v="2019-03-17T05:39:40"/>
    <x v="9"/>
    <n v="50"/>
    <n v="122"/>
    <n v="2059.4553187446354"/>
  </r>
  <r>
    <n v="521202"/>
    <x v="1"/>
    <s v="Bangalore"/>
    <x v="0"/>
    <s v=" MH"/>
    <x v="2"/>
    <x v="0"/>
    <x v="0"/>
    <x v="1"/>
    <d v="2019-03-10T06:18:31"/>
    <d v="2019-03-13T06:18:31"/>
    <d v="2019-03-16T06:18:31"/>
    <x v="4"/>
    <n v="41"/>
    <n v="112"/>
    <n v="1177"/>
  </r>
  <r>
    <n v="394357"/>
    <x v="1"/>
    <s v="Bangalore"/>
    <x v="2"/>
    <s v=" DL"/>
    <x v="1"/>
    <x v="0"/>
    <x v="1"/>
    <x v="0"/>
    <d v="2019-03-10T06:24:54"/>
    <d v="2019-03-18T06:24:54"/>
    <d v="2019-03-14T06:24:54"/>
    <x v="5"/>
    <n v="29"/>
    <n v="124"/>
    <n v="581"/>
  </r>
  <r>
    <n v="51958"/>
    <x v="1"/>
    <s v="Bangalore"/>
    <x v="0"/>
    <s v=" MH"/>
    <x v="0"/>
    <x v="0"/>
    <x v="0"/>
    <x v="0"/>
    <d v="2019-03-10T06:31:12"/>
    <d v="2019-03-14T06:31:12"/>
    <d v="2019-03-14T06:31:12"/>
    <x v="6"/>
    <n v="69"/>
    <n v="90"/>
    <n v="2809.0677305997324"/>
  </r>
  <r>
    <n v="573408"/>
    <x v="1"/>
    <s v="Delhi"/>
    <x v="3"/>
    <s v=" KA"/>
    <x v="0"/>
    <x v="0"/>
    <x v="0"/>
    <x v="1"/>
    <d v="2019-03-10T07:09:33"/>
    <d v="2019-03-16T07:09:33"/>
    <d v="2019-03-15T07:09:33"/>
    <x v="3"/>
    <n v="65"/>
    <n v="107"/>
    <n v="3368.0337590871154"/>
  </r>
  <r>
    <n v="116805"/>
    <x v="1"/>
    <s v="Bangalore"/>
    <x v="3"/>
    <s v=" KA"/>
    <x v="1"/>
    <x v="0"/>
    <x v="1"/>
    <x v="1"/>
    <d v="2019-03-10T07:43:25"/>
    <d v="2019-03-16T07:43:25"/>
    <d v="2019-03-13T07:43:25"/>
    <x v="3"/>
    <n v="0"/>
    <n v="129"/>
    <n v="3160.8841505998016"/>
  </r>
  <r>
    <n v="265692"/>
    <x v="1"/>
    <s v="Bangalore"/>
    <x v="0"/>
    <s v=" MH"/>
    <x v="0"/>
    <x v="0"/>
    <x v="0"/>
    <x v="1"/>
    <d v="2019-03-10T07:54:46"/>
    <d v="2019-03-13T07:54:46"/>
    <d v="2019-03-16T07:54:46"/>
    <x v="4"/>
    <n v="29"/>
    <n v="108"/>
    <n v="3467"/>
  </r>
  <r>
    <n v="81837"/>
    <x v="1"/>
    <s v="Delhi"/>
    <x v="1"/>
    <s v=" TN"/>
    <x v="1"/>
    <x v="0"/>
    <x v="2"/>
    <x v="1"/>
    <d v="2019-03-10T08:24:20"/>
    <d v="2019-03-12T08:24:20"/>
    <d v="2019-03-14T08:24:20"/>
    <x v="0"/>
    <n v="43"/>
    <n v="125"/>
    <n v="1307"/>
  </r>
  <r>
    <n v="909853"/>
    <x v="1"/>
    <s v="Delhi"/>
    <x v="0"/>
    <s v=" MH"/>
    <x v="1"/>
    <x v="0"/>
    <x v="2"/>
    <x v="0"/>
    <d v="2019-03-10T08:29:56"/>
    <d v="2019-03-13T08:29:56"/>
    <d v="2019-03-13T08:29:56"/>
    <x v="4"/>
    <n v="33"/>
    <n v="111"/>
    <n v="615.87014535204423"/>
  </r>
  <r>
    <n v="859483"/>
    <x v="1"/>
    <s v="Delhi"/>
    <x v="4"/>
    <s v=" WB"/>
    <x v="1"/>
    <x v="0"/>
    <x v="1"/>
    <x v="0"/>
    <d v="2019-03-10T08:53:50"/>
    <d v="2019-03-17T08:53:50"/>
    <d v="2019-03-17T08:53:50"/>
    <x v="8"/>
    <n v="39"/>
    <n v="110"/>
    <n v="2479.7253503996408"/>
  </r>
  <r>
    <n v="521074"/>
    <x v="1"/>
    <s v="Bangalore"/>
    <x v="4"/>
    <s v=" WB"/>
    <x v="2"/>
    <x v="0"/>
    <x v="0"/>
    <x v="0"/>
    <d v="2019-03-10T09:12:01"/>
    <d v="2019-03-13T09:12:01"/>
    <d v="2019-03-15T09:12:01"/>
    <x v="4"/>
    <n v="36"/>
    <n v="107"/>
    <n v="1594.5324041368794"/>
  </r>
  <r>
    <n v="753268"/>
    <x v="1"/>
    <s v="Delhi"/>
    <x v="1"/>
    <s v=" TN"/>
    <x v="0"/>
    <x v="0"/>
    <x v="0"/>
    <x v="0"/>
    <d v="2019-03-10T09:20:28"/>
    <d v="2019-03-16T09:20:28"/>
    <d v="2019-03-17T09:20:28"/>
    <x v="3"/>
    <n v="35"/>
    <n v="121"/>
    <n v="2499"/>
  </r>
  <r>
    <n v="96609"/>
    <x v="1"/>
    <s v="Delhi"/>
    <x v="0"/>
    <s v=" MH"/>
    <x v="1"/>
    <x v="0"/>
    <x v="1"/>
    <x v="1"/>
    <d v="2019-03-10T09:56:59"/>
    <d v="2019-03-18T09:56:59"/>
    <d v="2019-03-14T09:56:59"/>
    <x v="5"/>
    <n v="39"/>
    <n v="113"/>
    <n v="3617.2687640677136"/>
  </r>
  <r>
    <n v="980413"/>
    <x v="1"/>
    <s v="Delhi"/>
    <x v="3"/>
    <s v=" KA"/>
    <x v="0"/>
    <x v="0"/>
    <x v="2"/>
    <x v="0"/>
    <d v="2019-03-10T10:16:45"/>
    <d v="2019-03-13T10:16:45"/>
    <d v="2019-03-16T10:16:45"/>
    <x v="4"/>
    <n v="81"/>
    <n v="102"/>
    <n v="1855.9404255516183"/>
  </r>
  <r>
    <n v="603836"/>
    <x v="1"/>
    <s v="Delhi"/>
    <x v="2"/>
    <s v=" DL"/>
    <x v="0"/>
    <x v="0"/>
    <x v="0"/>
    <x v="0"/>
    <d v="2019-03-10T10:18:15"/>
    <d v="2019-03-11T10:18:15"/>
    <d v="2019-03-14T10:18:15"/>
    <x v="2"/>
    <n v="0"/>
    <n v="109"/>
    <n v="610.06832553668301"/>
  </r>
  <r>
    <n v="723763"/>
    <x v="1"/>
    <s v="Delhi"/>
    <x v="3"/>
    <s v=" KA"/>
    <x v="1"/>
    <x v="0"/>
    <x v="1"/>
    <x v="0"/>
    <d v="2019-03-10T11:06:54"/>
    <d v="2019-03-17T11:06:54"/>
    <d v="2019-03-15T11:06:54"/>
    <x v="8"/>
    <n v="38"/>
    <n v="123"/>
    <n v="652.72058071927825"/>
  </r>
  <r>
    <n v="937434"/>
    <x v="1"/>
    <s v="Delhi"/>
    <x v="0"/>
    <s v=" MH"/>
    <x v="2"/>
    <x v="0"/>
    <x v="0"/>
    <x v="1"/>
    <d v="2019-03-10T11:13:51"/>
    <d v="2019-03-14T11:13:51"/>
    <d v="2019-03-15T11:13:51"/>
    <x v="6"/>
    <n v="43"/>
    <n v="106"/>
    <n v="1623.883698467921"/>
  </r>
  <r>
    <n v="915235"/>
    <x v="1"/>
    <s v="Delhi"/>
    <x v="2"/>
    <s v=" DL"/>
    <x v="1"/>
    <x v="0"/>
    <x v="1"/>
    <x v="0"/>
    <d v="2019-03-10T11:16:40"/>
    <d v="2019-03-13T11:16:40"/>
    <d v="2019-03-14T11:16:40"/>
    <x v="4"/>
    <n v="0"/>
    <n v="122"/>
    <n v="2901"/>
  </r>
  <r>
    <n v="852412"/>
    <x v="1"/>
    <s v="Delhi"/>
    <x v="0"/>
    <s v=" MH"/>
    <x v="0"/>
    <x v="0"/>
    <x v="0"/>
    <x v="0"/>
    <d v="2019-03-10T12:02:11"/>
    <d v="2019-03-13T12:02:11"/>
    <d v="2019-03-16T12:02:11"/>
    <x v="4"/>
    <n v="27"/>
    <n v="114"/>
    <n v="926.83005703399499"/>
  </r>
  <r>
    <n v="522690"/>
    <x v="1"/>
    <s v="Delhi"/>
    <x v="2"/>
    <s v=" DL"/>
    <x v="2"/>
    <x v="0"/>
    <x v="0"/>
    <x v="1"/>
    <d v="2019-03-10T12:39:48"/>
    <d v="2019-03-12T12:39:48"/>
    <d v="2019-03-13T12:39:48"/>
    <x v="0"/>
    <n v="0"/>
    <n v="120"/>
    <n v="2620"/>
  </r>
  <r>
    <n v="186322"/>
    <x v="1"/>
    <s v="Bangalore"/>
    <x v="3"/>
    <s v=" KA"/>
    <x v="0"/>
    <x v="0"/>
    <x v="0"/>
    <x v="0"/>
    <d v="2019-03-10T12:45:43"/>
    <d v="2019-03-10T12:45:43"/>
    <d v="2019-03-17T12:45:43"/>
    <x v="10"/>
    <n v="0"/>
    <n v="104"/>
    <n v="789"/>
  </r>
  <r>
    <n v="409793"/>
    <x v="1"/>
    <s v="Bangalore"/>
    <x v="4"/>
    <s v=" WB"/>
    <x v="1"/>
    <x v="0"/>
    <x v="1"/>
    <x v="0"/>
    <d v="2019-03-10T13:51:49"/>
    <d v="2019-03-16T13:51:49"/>
    <d v="2019-03-15T13:51:49"/>
    <x v="3"/>
    <n v="47"/>
    <n v="106"/>
    <n v="1886.6533012537193"/>
  </r>
  <r>
    <n v="227232"/>
    <x v="1"/>
    <s v="Delhi"/>
    <x v="3"/>
    <s v=" KA"/>
    <x v="0"/>
    <x v="0"/>
    <x v="0"/>
    <x v="1"/>
    <d v="2019-03-10T14:02:39"/>
    <d v="2019-03-15T14:02:39"/>
    <d v="2019-03-16T14:02:39"/>
    <x v="9"/>
    <n v="49"/>
    <n v="125"/>
    <n v="3098"/>
  </r>
  <r>
    <n v="577897"/>
    <x v="1"/>
    <s v="Delhi"/>
    <x v="2"/>
    <s v=" DL"/>
    <x v="1"/>
    <x v="0"/>
    <x v="1"/>
    <x v="0"/>
    <d v="2019-03-10T14:05:36"/>
    <d v="2019-03-14T14:05:36"/>
    <d v="2019-03-13T14:05:36"/>
    <x v="6"/>
    <n v="0"/>
    <n v="126"/>
    <n v="3392.5514221265662"/>
  </r>
  <r>
    <n v="537936"/>
    <x v="1"/>
    <s v="Bangalore"/>
    <x v="2"/>
    <s v=" DL"/>
    <x v="0"/>
    <x v="0"/>
    <x v="0"/>
    <x v="1"/>
    <d v="2019-03-10T14:08:01"/>
    <d v="2019-03-12T14:08:01"/>
    <d v="2019-03-15T14:08:01"/>
    <x v="0"/>
    <n v="64"/>
    <n v="102"/>
    <n v="1634.8523452543263"/>
  </r>
  <r>
    <n v="111371"/>
    <x v="1"/>
    <s v="Delhi"/>
    <x v="1"/>
    <s v=" TN"/>
    <x v="0"/>
    <x v="0"/>
    <x v="1"/>
    <x v="0"/>
    <d v="2019-03-10T14:25:37"/>
    <d v="2019-03-18T14:25:37"/>
    <d v="2019-03-14T14:25:37"/>
    <x v="5"/>
    <n v="78"/>
    <n v="101"/>
    <n v="805.3010815830595"/>
  </r>
  <r>
    <n v="415249"/>
    <x v="1"/>
    <s v="Delhi"/>
    <x v="1"/>
    <s v=" TN"/>
    <x v="0"/>
    <x v="0"/>
    <x v="1"/>
    <x v="0"/>
    <d v="2019-03-10T15:08:43"/>
    <d v="2019-03-20T15:08:43"/>
    <d v="2019-03-16T15:08:43"/>
    <x v="7"/>
    <n v="65"/>
    <n v="102"/>
    <n v="212"/>
  </r>
  <r>
    <n v="920509"/>
    <x v="1"/>
    <s v="Delhi"/>
    <x v="1"/>
    <s v=" TN"/>
    <x v="1"/>
    <x v="0"/>
    <x v="1"/>
    <x v="0"/>
    <d v="2019-03-10T15:54:22"/>
    <d v="2019-03-17T15:54:22"/>
    <d v="2019-03-14T15:54:22"/>
    <x v="8"/>
    <n v="44"/>
    <n v="129"/>
    <n v="461"/>
  </r>
  <r>
    <n v="251007"/>
    <x v="1"/>
    <s v="Bangalore"/>
    <x v="0"/>
    <s v=" MH"/>
    <x v="1"/>
    <x v="0"/>
    <x v="1"/>
    <x v="1"/>
    <d v="2019-03-10T16:22:15"/>
    <d v="2019-03-17T16:22:15"/>
    <d v="2019-03-17T16:22:15"/>
    <x v="8"/>
    <n v="27"/>
    <n v="114"/>
    <n v="1168.1610064271331"/>
  </r>
  <r>
    <n v="551444"/>
    <x v="1"/>
    <s v="Bangalore"/>
    <x v="2"/>
    <s v=" DL"/>
    <x v="0"/>
    <x v="0"/>
    <x v="0"/>
    <x v="0"/>
    <d v="2019-03-10T17:08:41"/>
    <d v="2019-03-16T17:08:41"/>
    <d v="2019-03-16T17:08:41"/>
    <x v="3"/>
    <n v="31"/>
    <n v="125"/>
    <n v="2941.2791830395845"/>
  </r>
  <r>
    <n v="159062"/>
    <x v="1"/>
    <s v="Delhi"/>
    <x v="2"/>
    <s v=" DL"/>
    <x v="2"/>
    <x v="0"/>
    <x v="0"/>
    <x v="0"/>
    <d v="2019-03-10T17:10:22"/>
    <d v="2019-03-14T17:10:22"/>
    <d v="2019-03-14T17:10:22"/>
    <x v="6"/>
    <n v="0"/>
    <n v="125"/>
    <n v="3542.0681664937783"/>
  </r>
  <r>
    <n v="572860"/>
    <x v="1"/>
    <s v="Bangalore"/>
    <x v="0"/>
    <s v=" MH"/>
    <x v="0"/>
    <x v="0"/>
    <x v="0"/>
    <x v="0"/>
    <d v="2019-03-10T17:13:54"/>
    <d v="2019-03-12T17:13:54"/>
    <d v="2019-03-15T17:13:54"/>
    <x v="0"/>
    <n v="35"/>
    <n v="112"/>
    <n v="3606.3215856611423"/>
  </r>
  <r>
    <n v="871095"/>
    <x v="1"/>
    <s v="Delhi"/>
    <x v="0"/>
    <s v=" MH"/>
    <x v="1"/>
    <x v="0"/>
    <x v="1"/>
    <x v="1"/>
    <d v="2019-03-10T18:03:52"/>
    <d v="2019-03-16T18:03:52"/>
    <d v="2019-03-17T18:03:52"/>
    <x v="3"/>
    <n v="30"/>
    <n v="112"/>
    <n v="872"/>
  </r>
  <r>
    <n v="944001"/>
    <x v="1"/>
    <s v="Delhi"/>
    <x v="3"/>
    <s v=" KA"/>
    <x v="0"/>
    <x v="0"/>
    <x v="1"/>
    <x v="1"/>
    <d v="2019-03-10T18:17:46"/>
    <d v="2019-03-12T18:17:46"/>
    <d v="2019-03-17T18:17:46"/>
    <x v="0"/>
    <n v="71"/>
    <n v="103"/>
    <n v="2130.4217888266539"/>
  </r>
  <r>
    <n v="11492"/>
    <x v="1"/>
    <s v="Delhi"/>
    <x v="1"/>
    <s v=" TN"/>
    <x v="0"/>
    <x v="0"/>
    <x v="0"/>
    <x v="0"/>
    <d v="2019-03-10T19:05:57"/>
    <d v="2019-03-19T19:05:57"/>
    <d v="2019-03-15T19:05:57"/>
    <x v="1"/>
    <n v="25"/>
    <n v="130"/>
    <n v="931.11734211358271"/>
  </r>
  <r>
    <n v="601164"/>
    <x v="1"/>
    <s v="Delhi"/>
    <x v="3"/>
    <s v=" KA"/>
    <x v="0"/>
    <x v="0"/>
    <x v="0"/>
    <x v="1"/>
    <d v="2019-03-10T19:39:41"/>
    <d v="2019-03-12T19:39:41"/>
    <d v="2019-03-16T19:39:41"/>
    <x v="0"/>
    <n v="75"/>
    <n v="110"/>
    <n v="1520"/>
  </r>
  <r>
    <n v="20224"/>
    <x v="1"/>
    <s v="Delhi"/>
    <x v="3"/>
    <s v=" KA"/>
    <x v="0"/>
    <x v="0"/>
    <x v="0"/>
    <x v="0"/>
    <d v="2019-03-10T19:45:17"/>
    <d v="2019-03-15T19:45:17"/>
    <d v="2019-03-15T19:45:17"/>
    <x v="9"/>
    <n v="48"/>
    <n v="120"/>
    <n v="3105.8750520792532"/>
  </r>
  <r>
    <n v="349160"/>
    <x v="1"/>
    <s v="Delhi"/>
    <x v="3"/>
    <s v=" KA"/>
    <x v="0"/>
    <x v="0"/>
    <x v="0"/>
    <x v="0"/>
    <d v="2019-03-10T20:09:39"/>
    <d v="2019-03-16T20:09:39"/>
    <d v="2019-03-13T20:09:39"/>
    <x v="3"/>
    <n v="9999"/>
    <n v="109"/>
    <n v="3674.4417457147806"/>
  </r>
  <r>
    <n v="628553"/>
    <x v="1"/>
    <s v="Bangalore"/>
    <x v="2"/>
    <s v=" DL"/>
    <x v="0"/>
    <x v="0"/>
    <x v="1"/>
    <x v="0"/>
    <d v="2019-03-10T20:23:18"/>
    <d v="2019-03-12T20:23:18"/>
    <d v="2019-03-14T20:23:18"/>
    <x v="0"/>
    <n v="76"/>
    <n v="107"/>
    <n v="1981.3565075380968"/>
  </r>
  <r>
    <n v="250908"/>
    <x v="1"/>
    <s v="Bangalore"/>
    <x v="4"/>
    <s v=" WB"/>
    <x v="0"/>
    <x v="0"/>
    <x v="0"/>
    <x v="1"/>
    <d v="2019-03-10T20:31:27"/>
    <d v="2019-03-16T20:31:27"/>
    <d v="2019-03-14T20:31:27"/>
    <x v="3"/>
    <n v="35"/>
    <n v="105"/>
    <n v="2993.0656441163073"/>
  </r>
  <r>
    <n v="991544"/>
    <x v="1"/>
    <s v="Delhi"/>
    <x v="2"/>
    <s v=" DL"/>
    <x v="0"/>
    <x v="0"/>
    <x v="0"/>
    <x v="0"/>
    <d v="2019-03-10T20:37:15"/>
    <d v="2019-03-13T20:37:15"/>
    <d v="2019-03-15T20:37:15"/>
    <x v="4"/>
    <n v="0"/>
    <n v="124"/>
    <n v="1464.9925696506464"/>
  </r>
  <r>
    <n v="309611"/>
    <x v="1"/>
    <s v="Delhi"/>
    <x v="4"/>
    <s v=" WB"/>
    <x v="1"/>
    <x v="0"/>
    <x v="1"/>
    <x v="0"/>
    <d v="2019-03-10T21:03:05"/>
    <d v="2019-03-12T21:03:05"/>
    <d v="2019-03-17T21:03:05"/>
    <x v="0"/>
    <n v="29"/>
    <n v="107"/>
    <n v="2858.4899322973379"/>
  </r>
  <r>
    <n v="945112"/>
    <x v="1"/>
    <s v="Delhi"/>
    <x v="3"/>
    <s v=" KA"/>
    <x v="0"/>
    <x v="0"/>
    <x v="0"/>
    <x v="0"/>
    <d v="2019-03-10T21:05:49"/>
    <d v="2019-03-12T21:05:49"/>
    <d v="2019-03-14T21:05:49"/>
    <x v="0"/>
    <n v="29"/>
    <n v="129"/>
    <n v="2004"/>
  </r>
  <r>
    <n v="445867"/>
    <x v="1"/>
    <s v="Bangalore"/>
    <x v="2"/>
    <s v=" DL"/>
    <x v="0"/>
    <x v="0"/>
    <x v="1"/>
    <x v="0"/>
    <d v="2019-03-10T21:32:06"/>
    <d v="2019-03-12T21:32:06"/>
    <d v="2019-03-17T21:32:06"/>
    <x v="0"/>
    <n v="89"/>
    <n v="109"/>
    <n v="3705.042311806787"/>
  </r>
  <r>
    <n v="476171"/>
    <x v="1"/>
    <s v="Bangalore"/>
    <x v="1"/>
    <s v=" TN"/>
    <x v="0"/>
    <x v="0"/>
    <x v="1"/>
    <x v="0"/>
    <d v="2019-03-10T21:37:56"/>
    <d v="2019-03-17T21:37:56"/>
    <d v="2019-03-15T21:37:56"/>
    <x v="8"/>
    <n v="79"/>
    <n v="101"/>
    <n v="2888"/>
  </r>
  <r>
    <n v="189272"/>
    <x v="1"/>
    <s v="Bangalore"/>
    <x v="2"/>
    <s v=" DL"/>
    <x v="0"/>
    <x v="0"/>
    <x v="0"/>
    <x v="0"/>
    <d v="2019-03-10T22:03:58"/>
    <d v="2019-03-16T22:03:58"/>
    <d v="2019-03-17T22:03:58"/>
    <x v="3"/>
    <n v="71"/>
    <n v="104"/>
    <n v="1956.5192795043097"/>
  </r>
  <r>
    <n v="577234"/>
    <x v="1"/>
    <s v="Bangalore"/>
    <x v="4"/>
    <s v=" WB"/>
    <x v="2"/>
    <x v="0"/>
    <x v="0"/>
    <x v="0"/>
    <d v="2019-03-10T22:20:38"/>
    <d v="2019-03-16T22:20:38"/>
    <d v="2019-03-17T22:20:38"/>
    <x v="3"/>
    <n v="40"/>
    <n v="112"/>
    <n v="2802.3919362698502"/>
  </r>
  <r>
    <n v="829022"/>
    <x v="1"/>
    <s v="Bangalore"/>
    <x v="0"/>
    <s v=" MH"/>
    <x v="0"/>
    <x v="0"/>
    <x v="0"/>
    <x v="0"/>
    <d v="2019-03-10T22:46:28"/>
    <d v="2019-03-12T22:46:28"/>
    <d v="2019-03-13T22:46:28"/>
    <x v="0"/>
    <n v="72"/>
    <n v="94"/>
    <n v="707.4160772548463"/>
  </r>
  <r>
    <n v="132017"/>
    <x v="1"/>
    <s v="Delhi"/>
    <x v="2"/>
    <s v=" DL"/>
    <x v="0"/>
    <x v="0"/>
    <x v="1"/>
    <x v="0"/>
    <d v="2019-03-10T23:05:57"/>
    <d v="2019-03-11T23:05:57"/>
    <d v="2019-03-15T23:05:57"/>
    <x v="2"/>
    <n v="0"/>
    <n v="100"/>
    <n v="601.13501289636361"/>
  </r>
  <r>
    <n v="98995"/>
    <x v="1"/>
    <s v="Delhi"/>
    <x v="2"/>
    <s v=" DL"/>
    <x v="1"/>
    <x v="0"/>
    <x v="1"/>
    <x v="0"/>
    <d v="2019-03-10T23:13:38"/>
    <d v="2019-03-13T23:13:38"/>
    <d v="2019-03-15T23:13:38"/>
    <x v="4"/>
    <n v="0"/>
    <n v="121"/>
    <n v="1985.6791253891488"/>
  </r>
  <r>
    <n v="981925"/>
    <x v="1"/>
    <s v="Delhi"/>
    <x v="1"/>
    <s v=" TN"/>
    <x v="0"/>
    <x v="0"/>
    <x v="2"/>
    <x v="0"/>
    <d v="2019-03-10T23:29:49"/>
    <d v="2019-03-17T23:29:49"/>
    <d v="2019-03-17T23:29:49"/>
    <x v="8"/>
    <n v="72"/>
    <n v="105"/>
    <n v="1977"/>
  </r>
  <r>
    <n v="493070"/>
    <x v="1"/>
    <s v="Delhi"/>
    <x v="1"/>
    <s v=" TN"/>
    <x v="2"/>
    <x v="0"/>
    <x v="0"/>
    <x v="0"/>
    <d v="2019-03-11T00:36:42"/>
    <d v="2019-03-13T00:36:42"/>
    <d v="2019-03-14T00:36:42"/>
    <x v="0"/>
    <n v="28"/>
    <n v="128"/>
    <n v="1998.1223096872577"/>
  </r>
  <r>
    <n v="415498"/>
    <x v="1"/>
    <s v="Delhi"/>
    <x v="2"/>
    <s v=" DL"/>
    <x v="2"/>
    <x v="0"/>
    <x v="0"/>
    <x v="0"/>
    <d v="2019-03-11T01:28:56"/>
    <d v="2019-03-15T01:28:56"/>
    <d v="2019-03-16T01:28:56"/>
    <x v="6"/>
    <n v="0"/>
    <n v="127"/>
    <n v="702.73704661521435"/>
  </r>
  <r>
    <n v="791682"/>
    <x v="1"/>
    <s v="Delhi"/>
    <x v="0"/>
    <s v=" MH"/>
    <x v="2"/>
    <x v="0"/>
    <x v="0"/>
    <x v="1"/>
    <d v="2019-03-11T01:58:20"/>
    <d v="2019-03-16T01:58:20"/>
    <d v="2019-03-18T01:58:20"/>
    <x v="9"/>
    <n v="48"/>
    <n v="110"/>
    <n v="1374.9090151549417"/>
  </r>
  <r>
    <n v="279435"/>
    <x v="1"/>
    <s v="Delhi"/>
    <x v="0"/>
    <s v=" MH"/>
    <x v="0"/>
    <x v="0"/>
    <x v="1"/>
    <x v="1"/>
    <d v="2019-03-11T03:24:03"/>
    <d v="2019-03-13T03:24:03"/>
    <d v="2019-03-17T03:24:03"/>
    <x v="0"/>
    <n v="78"/>
    <n v="89"/>
    <n v="818.85600266756637"/>
  </r>
  <r>
    <n v="336209"/>
    <x v="1"/>
    <s v="Bangalore"/>
    <x v="1"/>
    <s v=" TN"/>
    <x v="0"/>
    <x v="0"/>
    <x v="1"/>
    <x v="0"/>
    <d v="2019-03-11T03:47:23"/>
    <d v="2019-03-16T03:47:23"/>
    <d v="2019-03-16T03:47:23"/>
    <x v="9"/>
    <n v="79"/>
    <n v="108"/>
    <n v="3102.7472848364023"/>
  </r>
  <r>
    <n v="787177"/>
    <x v="1"/>
    <s v="Delhi"/>
    <x v="2"/>
    <s v=" DL"/>
    <x v="1"/>
    <x v="0"/>
    <x v="1"/>
    <x v="0"/>
    <d v="2019-03-11T04:10:06"/>
    <d v="2019-03-18T04:10:06"/>
    <d v="2019-03-14T04:10:06"/>
    <x v="8"/>
    <n v="0"/>
    <n v="120"/>
    <n v="3068.0246916498245"/>
  </r>
  <r>
    <n v="565529"/>
    <x v="1"/>
    <s v="Delhi"/>
    <x v="2"/>
    <s v=" DL"/>
    <x v="1"/>
    <x v="0"/>
    <x v="1"/>
    <x v="0"/>
    <d v="2019-03-11T04:28:43"/>
    <d v="2019-03-15T04:28:43"/>
    <d v="2019-03-18T04:28:43"/>
    <x v="6"/>
    <n v="0"/>
    <n v="124"/>
    <n v="3704.3922169575817"/>
  </r>
  <r>
    <n v="893588"/>
    <x v="1"/>
    <s v="Bangalore"/>
    <x v="0"/>
    <s v=" MH"/>
    <x v="0"/>
    <x v="0"/>
    <x v="0"/>
    <x v="0"/>
    <d v="2019-03-11T04:33:21"/>
    <d v="2019-03-13T04:33:21"/>
    <d v="2019-03-16T04:33:21"/>
    <x v="0"/>
    <n v="35"/>
    <n v="112"/>
    <n v="1963.5860886932485"/>
  </r>
  <r>
    <n v="979991"/>
    <x v="1"/>
    <s v="Delhi"/>
    <x v="2"/>
    <s v=" DL"/>
    <x v="1"/>
    <x v="0"/>
    <x v="1"/>
    <x v="0"/>
    <d v="2019-03-11T05:13:07"/>
    <d v="2019-03-12T05:13:07"/>
    <d v="2019-03-16T05:13:07"/>
    <x v="2"/>
    <n v="0"/>
    <n v="128"/>
    <n v="2976.5354587695588"/>
  </r>
  <r>
    <n v="164696"/>
    <x v="1"/>
    <s v="Delhi"/>
    <x v="3"/>
    <s v=" KA"/>
    <x v="0"/>
    <x v="0"/>
    <x v="0"/>
    <x v="0"/>
    <d v="2019-03-11T05:14:37"/>
    <d v="2019-03-13T05:14:37"/>
    <d v="2019-03-18T05:14:37"/>
    <x v="0"/>
    <n v="73"/>
    <n v="108"/>
    <n v="1005"/>
  </r>
  <r>
    <n v="89458"/>
    <x v="1"/>
    <s v="Bangalore"/>
    <x v="4"/>
    <s v=" WB"/>
    <x v="2"/>
    <x v="0"/>
    <x v="0"/>
    <x v="0"/>
    <d v="2019-03-11T05:53:07"/>
    <d v="2019-03-13T05:53:07"/>
    <d v="2019-03-17T05:53:07"/>
    <x v="0"/>
    <n v="36"/>
    <n v="112"/>
    <n v="2005"/>
  </r>
  <r>
    <n v="768859"/>
    <x v="1"/>
    <s v="Delhi"/>
    <x v="4"/>
    <s v=" WB"/>
    <x v="1"/>
    <x v="0"/>
    <x v="2"/>
    <x v="0"/>
    <d v="2019-03-11T05:56:50"/>
    <d v="2019-03-18T05:56:50"/>
    <d v="2019-03-16T05:56:50"/>
    <x v="8"/>
    <n v="50"/>
    <n v="108"/>
    <n v="505.32842408397926"/>
  </r>
  <r>
    <n v="71739"/>
    <x v="1"/>
    <s v="Bangalore"/>
    <x v="0"/>
    <s v=" MH"/>
    <x v="1"/>
    <x v="0"/>
    <x v="1"/>
    <x v="1"/>
    <d v="2019-03-11T06:45:21"/>
    <d v="2019-03-14T06:45:21"/>
    <d v="2019-03-15T06:45:21"/>
    <x v="4"/>
    <n v="34"/>
    <n v="112"/>
    <n v="1422"/>
  </r>
  <r>
    <n v="341561"/>
    <x v="1"/>
    <s v="Bangalore"/>
    <x v="4"/>
    <s v=" WB"/>
    <x v="1"/>
    <x v="0"/>
    <x v="1"/>
    <x v="0"/>
    <d v="2019-03-11T07:34:06"/>
    <d v="2019-03-13T07:34:06"/>
    <d v="2019-03-15T07:34:06"/>
    <x v="0"/>
    <n v="43"/>
    <n v="113"/>
    <n v="3170.0995659397058"/>
  </r>
  <r>
    <n v="996653"/>
    <x v="1"/>
    <s v="Delhi"/>
    <x v="0"/>
    <s v=" MH"/>
    <x v="1"/>
    <x v="0"/>
    <x v="2"/>
    <x v="0"/>
    <d v="2019-03-11T07:51:23"/>
    <d v="2019-03-16T07:51:23"/>
    <d v="2019-03-17T07:51:23"/>
    <x v="9"/>
    <n v="27"/>
    <n v="111"/>
    <n v="3386.1694624604188"/>
  </r>
  <r>
    <n v="264283"/>
    <x v="1"/>
    <s v="Delhi"/>
    <x v="0"/>
    <s v=" MH"/>
    <x v="0"/>
    <x v="0"/>
    <x v="1"/>
    <x v="0"/>
    <d v="2019-03-11T08:07:41"/>
    <d v="2019-03-13T08:07:41"/>
    <d v="2019-03-14T08:07:41"/>
    <x v="0"/>
    <n v="75"/>
    <n v="95"/>
    <n v="1723.9075871921348"/>
  </r>
  <r>
    <n v="315058"/>
    <x v="1"/>
    <s v="Delhi"/>
    <x v="0"/>
    <s v=" MH"/>
    <x v="2"/>
    <x v="0"/>
    <x v="0"/>
    <x v="0"/>
    <d v="2019-03-11T08:15:25"/>
    <d v="2019-03-17T08:15:25"/>
    <d v="2019-03-18T08:15:25"/>
    <x v="3"/>
    <n v="27"/>
    <n v="106"/>
    <n v="1682.8108442219411"/>
  </r>
  <r>
    <n v="509596"/>
    <x v="1"/>
    <s v="Bangalore"/>
    <x v="3"/>
    <s v=" KA"/>
    <x v="0"/>
    <x v="0"/>
    <x v="0"/>
    <x v="0"/>
    <d v="2019-03-11T08:22:22"/>
    <d v="2019-03-11T08:22:22"/>
    <d v="2019-03-15T08:22:22"/>
    <x v="10"/>
    <n v="0"/>
    <n v="107"/>
    <n v="3374.3493822879905"/>
  </r>
  <r>
    <n v="946613"/>
    <x v="1"/>
    <s v="Bangalore"/>
    <x v="3"/>
    <s v=" KA"/>
    <x v="1"/>
    <x v="0"/>
    <x v="1"/>
    <x v="0"/>
    <d v="2019-03-11T08:38:15"/>
    <d v="2019-03-17T08:38:15"/>
    <d v="2019-03-18T08:38:15"/>
    <x v="3"/>
    <n v="0"/>
    <n v="120"/>
    <n v="817.03797749137141"/>
  </r>
  <r>
    <n v="121132"/>
    <x v="1"/>
    <s v="Delhi"/>
    <x v="0"/>
    <s v=" MH"/>
    <x v="0"/>
    <x v="0"/>
    <x v="0"/>
    <x v="0"/>
    <d v="2019-03-11T08:38:26"/>
    <d v="2019-03-14T08:38:26"/>
    <d v="2019-03-17T08:38:26"/>
    <x v="4"/>
    <n v="45"/>
    <n v="114"/>
    <n v="3570.2893188170374"/>
  </r>
  <r>
    <n v="19848"/>
    <x v="1"/>
    <s v="Bangalore"/>
    <x v="0"/>
    <s v=" MH"/>
    <x v="0"/>
    <x v="0"/>
    <x v="0"/>
    <x v="1"/>
    <d v="2019-03-11T09:05:57"/>
    <d v="2019-03-13T09:05:57"/>
    <d v="2019-03-17T09:05:57"/>
    <x v="0"/>
    <n v="47"/>
    <n v="109"/>
    <n v="780.73729157703292"/>
  </r>
  <r>
    <n v="744966"/>
    <x v="1"/>
    <s v="Delhi"/>
    <x v="3"/>
    <s v=" KA"/>
    <x v="2"/>
    <x v="0"/>
    <x v="0"/>
    <x v="1"/>
    <d v="2019-03-11T09:28:32"/>
    <d v="2019-03-17T09:28:32"/>
    <d v="2019-03-18T09:28:32"/>
    <x v="3"/>
    <n v="42"/>
    <n v="123"/>
    <n v="704.30688090665581"/>
  </r>
  <r>
    <n v="9825"/>
    <x v="1"/>
    <s v="Delhi"/>
    <x v="0"/>
    <s v=" MH"/>
    <x v="0"/>
    <x v="0"/>
    <x v="1"/>
    <x v="1"/>
    <d v="2019-03-11T09:54:00"/>
    <d v="2019-03-16T09:54:00"/>
    <d v="2019-03-15T09:54:00"/>
    <x v="9"/>
    <n v="77"/>
    <n v="89"/>
    <n v="2728.8360389475438"/>
  </r>
  <r>
    <n v="20188"/>
    <x v="1"/>
    <s v="Delhi"/>
    <x v="4"/>
    <s v=" WB"/>
    <x v="0"/>
    <x v="0"/>
    <x v="0"/>
    <x v="0"/>
    <d v="2019-03-11T10:06:31"/>
    <d v="2019-03-14T10:06:31"/>
    <d v="2019-03-16T10:06:31"/>
    <x v="4"/>
    <n v="78"/>
    <n v="90"/>
    <n v="1528.4317560947509"/>
  </r>
  <r>
    <n v="489423"/>
    <x v="1"/>
    <s v="Bangalore"/>
    <x v="0"/>
    <s v=" MH"/>
    <x v="1"/>
    <x v="0"/>
    <x v="1"/>
    <x v="1"/>
    <d v="2019-03-11T10:23:04"/>
    <d v="2019-03-17T10:23:04"/>
    <d v="2019-03-14T10:23:04"/>
    <x v="3"/>
    <n v="42"/>
    <n v="114"/>
    <n v="2062"/>
  </r>
  <r>
    <n v="260314"/>
    <x v="1"/>
    <s v="Delhi"/>
    <x v="4"/>
    <s v=" WB"/>
    <x v="0"/>
    <x v="0"/>
    <x v="0"/>
    <x v="0"/>
    <d v="2019-03-11T10:25:02"/>
    <d v="2019-03-20T10:25:02"/>
    <d v="2019-03-14T10:25:02"/>
    <x v="1"/>
    <n v="78"/>
    <n v="91"/>
    <n v="640.45225092922112"/>
  </r>
  <r>
    <n v="679030"/>
    <x v="1"/>
    <s v="Bangalore"/>
    <x v="1"/>
    <s v=" TN"/>
    <x v="0"/>
    <x v="0"/>
    <x v="0"/>
    <x v="0"/>
    <d v="2019-03-11T10:35:50"/>
    <d v="2019-03-21T10:35:50"/>
    <d v="2019-03-16T10:35:50"/>
    <x v="7"/>
    <n v="84"/>
    <n v="103"/>
    <n v="2861"/>
  </r>
  <r>
    <n v="589275"/>
    <x v="1"/>
    <s v="Bangalore"/>
    <x v="0"/>
    <s v=" MH"/>
    <x v="1"/>
    <x v="0"/>
    <x v="1"/>
    <x v="1"/>
    <d v="2019-03-11T11:20:12"/>
    <d v="2019-03-17T11:20:12"/>
    <d v="2019-03-18T11:20:12"/>
    <x v="3"/>
    <n v="34"/>
    <n v="115"/>
    <n v="602"/>
  </r>
  <r>
    <n v="456122"/>
    <x v="1"/>
    <s v="Delhi"/>
    <x v="1"/>
    <s v=" TN"/>
    <x v="0"/>
    <x v="0"/>
    <x v="0"/>
    <x v="0"/>
    <d v="2019-03-11T11:31:27"/>
    <d v="2019-03-18T11:31:27"/>
    <d v="2019-03-14T11:31:27"/>
    <x v="8"/>
    <n v="83"/>
    <n v="106"/>
    <n v="585.20812590422156"/>
  </r>
  <r>
    <n v="901197"/>
    <x v="1"/>
    <s v="Delhi"/>
    <x v="0"/>
    <s v=" MH"/>
    <x v="1"/>
    <x v="0"/>
    <x v="1"/>
    <x v="1"/>
    <d v="2019-03-11T11:59:32"/>
    <d v="2019-03-16T11:59:32"/>
    <d v="2019-03-17T11:59:32"/>
    <x v="9"/>
    <n v="49"/>
    <n v="112"/>
    <n v="2018"/>
  </r>
  <r>
    <n v="875687"/>
    <x v="1"/>
    <s v="Bangalore"/>
    <x v="1"/>
    <s v=" TN"/>
    <x v="1"/>
    <x v="0"/>
    <x v="1"/>
    <x v="0"/>
    <d v="2019-03-11T12:11:56"/>
    <d v="2019-03-17T12:11:56"/>
    <d v="2019-03-14T12:11:56"/>
    <x v="3"/>
    <n v="32"/>
    <n v="129"/>
    <n v="1125.4414164735715"/>
  </r>
  <r>
    <n v="52979"/>
    <x v="1"/>
    <s v="Bangalore"/>
    <x v="4"/>
    <s v=" WB"/>
    <x v="1"/>
    <x v="0"/>
    <x v="1"/>
    <x v="0"/>
    <d v="2019-03-11T12:12:34"/>
    <d v="2019-03-18T12:12:34"/>
    <d v="2019-03-16T12:12:34"/>
    <x v="8"/>
    <n v="34"/>
    <n v="114"/>
    <n v="2601"/>
  </r>
  <r>
    <n v="636124"/>
    <x v="1"/>
    <s v="Bangalore"/>
    <x v="0"/>
    <s v=" MH"/>
    <x v="0"/>
    <x v="0"/>
    <x v="0"/>
    <x v="0"/>
    <d v="2019-03-11T13:07:41"/>
    <d v="2019-03-17T13:07:41"/>
    <d v="2019-03-16T13:07:41"/>
    <x v="3"/>
    <n v="39"/>
    <n v="110"/>
    <n v="3482.9765488001831"/>
  </r>
  <r>
    <n v="488519"/>
    <x v="1"/>
    <s v="Bangalore"/>
    <x v="4"/>
    <s v=" WB"/>
    <x v="1"/>
    <x v="0"/>
    <x v="1"/>
    <x v="0"/>
    <d v="2019-03-11T13:30:33"/>
    <d v="2019-03-13T13:30:33"/>
    <d v="2019-03-14T13:30:33"/>
    <x v="0"/>
    <n v="42"/>
    <n v="114"/>
    <n v="1999"/>
  </r>
  <r>
    <n v="738437"/>
    <x v="1"/>
    <s v="Delhi"/>
    <x v="4"/>
    <s v=" WB"/>
    <x v="1"/>
    <x v="0"/>
    <x v="2"/>
    <x v="0"/>
    <d v="2019-03-11T14:06:19"/>
    <d v="2019-03-13T14:06:19"/>
    <d v="2019-03-16T14:06:19"/>
    <x v="0"/>
    <n v="33"/>
    <n v="106"/>
    <n v="1048.9472619526796"/>
  </r>
  <r>
    <n v="166951"/>
    <x v="1"/>
    <s v="Delhi"/>
    <x v="0"/>
    <s v=" MH"/>
    <x v="1"/>
    <x v="0"/>
    <x v="1"/>
    <x v="0"/>
    <d v="2019-03-11T14:06:55"/>
    <d v="2019-03-19T14:06:55"/>
    <d v="2019-03-17T14:06:55"/>
    <x v="5"/>
    <n v="47"/>
    <n v="112"/>
    <n v="3532"/>
  </r>
  <r>
    <n v="406327"/>
    <x v="1"/>
    <s v="Delhi"/>
    <x v="3"/>
    <s v=" KA"/>
    <x v="1"/>
    <x v="0"/>
    <x v="1"/>
    <x v="0"/>
    <d v="2019-03-11T14:15:17"/>
    <d v="2019-03-20T14:15:17"/>
    <d v="2019-03-16T14:15:17"/>
    <x v="1"/>
    <n v="40"/>
    <n v="126"/>
    <n v="3773.9263092632946"/>
  </r>
  <r>
    <n v="57928"/>
    <x v="1"/>
    <s v="Delhi"/>
    <x v="1"/>
    <s v=" TN"/>
    <x v="0"/>
    <x v="0"/>
    <x v="0"/>
    <x v="0"/>
    <d v="2019-03-11T15:53:45"/>
    <d v="2019-03-19T15:53:45"/>
    <d v="2019-03-16T15:53:45"/>
    <x v="5"/>
    <n v="33"/>
    <n v="121"/>
    <n v="3061"/>
  </r>
  <r>
    <n v="60636"/>
    <x v="1"/>
    <s v="Bangalore"/>
    <x v="1"/>
    <s v=" TN"/>
    <x v="0"/>
    <x v="0"/>
    <x v="0"/>
    <x v="1"/>
    <d v="2019-03-11T16:55:44"/>
    <d v="2019-03-19T16:55:44"/>
    <d v="2019-03-16T16:55:44"/>
    <x v="5"/>
    <n v="47"/>
    <n v="127"/>
    <n v="3498.6541487581435"/>
  </r>
  <r>
    <n v="465640"/>
    <x v="1"/>
    <s v="Delhi"/>
    <x v="1"/>
    <s v=" TN"/>
    <x v="0"/>
    <x v="0"/>
    <x v="0"/>
    <x v="0"/>
    <d v="2019-03-11T17:00:21"/>
    <d v="2019-03-16T17:00:21"/>
    <d v="2019-03-16T17:00:21"/>
    <x v="9"/>
    <n v="27"/>
    <n v="120"/>
    <n v="794.38380104168596"/>
  </r>
  <r>
    <n v="265301"/>
    <x v="1"/>
    <s v="Bangalore"/>
    <x v="2"/>
    <s v=" DL"/>
    <x v="0"/>
    <x v="0"/>
    <x v="1"/>
    <x v="0"/>
    <d v="2019-03-11T17:29:33"/>
    <d v="2019-03-16T17:29:33"/>
    <d v="2019-03-15T17:29:33"/>
    <x v="9"/>
    <n v="59"/>
    <n v="104"/>
    <n v="2213"/>
  </r>
  <r>
    <n v="96300"/>
    <x v="1"/>
    <s v="Delhi"/>
    <x v="0"/>
    <s v=" MH"/>
    <x v="0"/>
    <x v="0"/>
    <x v="0"/>
    <x v="1"/>
    <d v="2019-03-11T18:01:19"/>
    <d v="2019-03-16T18:01:19"/>
    <d v="2019-03-18T18:01:19"/>
    <x v="9"/>
    <n v="36"/>
    <n v="114"/>
    <n v="2704"/>
  </r>
  <r>
    <n v="691427"/>
    <x v="1"/>
    <s v="Delhi"/>
    <x v="3"/>
    <s v=" KA"/>
    <x v="0"/>
    <x v="0"/>
    <x v="1"/>
    <x v="0"/>
    <d v="2019-03-11T18:27:48"/>
    <d v="2019-03-13T18:27:48"/>
    <d v="2019-03-18T18:27:48"/>
    <x v="0"/>
    <n v="81"/>
    <n v="101"/>
    <n v="1650"/>
  </r>
  <r>
    <n v="855381"/>
    <x v="1"/>
    <s v="Delhi"/>
    <x v="0"/>
    <s v=" MH"/>
    <x v="1"/>
    <x v="0"/>
    <x v="1"/>
    <x v="1"/>
    <d v="2019-03-11T18:44:46"/>
    <d v="2019-03-20T18:44:46"/>
    <d v="2019-03-16T18:44:46"/>
    <x v="1"/>
    <n v="42"/>
    <n v="114"/>
    <n v="2627.3259289560265"/>
  </r>
  <r>
    <n v="515003"/>
    <x v="1"/>
    <s v="Delhi"/>
    <x v="2"/>
    <s v=" DL"/>
    <x v="0"/>
    <x v="0"/>
    <x v="1"/>
    <x v="0"/>
    <d v="2019-03-11T19:13:39"/>
    <d v="2019-03-15T19:13:39"/>
    <d v="2019-03-14T19:13:39"/>
    <x v="6"/>
    <n v="0"/>
    <n v="109"/>
    <n v="540.44631392976953"/>
  </r>
  <r>
    <n v="35111"/>
    <x v="1"/>
    <s v="Delhi"/>
    <x v="4"/>
    <s v=" WB"/>
    <x v="1"/>
    <x v="0"/>
    <x v="1"/>
    <x v="0"/>
    <d v="2019-03-11T19:18:20"/>
    <d v="2019-03-17T19:18:20"/>
    <d v="2019-03-14T19:18:20"/>
    <x v="3"/>
    <n v="32"/>
    <n v="108"/>
    <n v="687.68965894255575"/>
  </r>
  <r>
    <n v="493740"/>
    <x v="1"/>
    <s v="Bangalore"/>
    <x v="0"/>
    <s v=" MH"/>
    <x v="0"/>
    <x v="0"/>
    <x v="0"/>
    <x v="1"/>
    <d v="2019-03-11T19:27:29"/>
    <d v="2019-03-13T19:27:29"/>
    <d v="2019-03-17T19:27:29"/>
    <x v="0"/>
    <n v="48"/>
    <n v="106"/>
    <n v="1595"/>
  </r>
  <r>
    <n v="774476"/>
    <x v="1"/>
    <s v="Delhi"/>
    <x v="0"/>
    <s v=" MH"/>
    <x v="0"/>
    <x v="0"/>
    <x v="0"/>
    <x v="0"/>
    <d v="2019-03-11T20:28:15"/>
    <d v="2019-03-16T20:28:15"/>
    <d v="2019-03-17T20:28:15"/>
    <x v="9"/>
    <n v="65"/>
    <n v="94"/>
    <n v="3485"/>
  </r>
  <r>
    <n v="778341"/>
    <x v="1"/>
    <s v="Delhi"/>
    <x v="0"/>
    <s v=" MH"/>
    <x v="0"/>
    <x v="0"/>
    <x v="1"/>
    <x v="1"/>
    <d v="2019-03-11T20:48:08"/>
    <d v="2019-03-13T20:48:08"/>
    <d v="2019-03-16T20:48:08"/>
    <x v="0"/>
    <n v="74"/>
    <n v="92"/>
    <n v="2698.9469218405793"/>
  </r>
  <r>
    <n v="924550"/>
    <x v="1"/>
    <s v="Delhi"/>
    <x v="4"/>
    <s v=" WB"/>
    <x v="2"/>
    <x v="0"/>
    <x v="0"/>
    <x v="0"/>
    <d v="2019-03-11T21:36:00"/>
    <d v="2019-03-18T21:36:00"/>
    <d v="2019-03-14T21:36:00"/>
    <x v="8"/>
    <n v="35"/>
    <n v="114"/>
    <n v="2894.5621238306567"/>
  </r>
  <r>
    <n v="763884"/>
    <x v="1"/>
    <s v="Delhi"/>
    <x v="2"/>
    <s v=" DL"/>
    <x v="0"/>
    <x v="0"/>
    <x v="0"/>
    <x v="1"/>
    <d v="2019-03-11T21:55:53"/>
    <d v="2019-03-16T21:55:53"/>
    <d v="2019-03-17T21:55:53"/>
    <x v="9"/>
    <n v="0"/>
    <n v="123"/>
    <n v="3586"/>
  </r>
  <r>
    <n v="95869"/>
    <x v="1"/>
    <s v="Delhi"/>
    <x v="1"/>
    <s v=" TN"/>
    <x v="0"/>
    <x v="0"/>
    <x v="1"/>
    <x v="0"/>
    <d v="2019-03-11T22:14:24"/>
    <d v="2019-03-16T22:14:24"/>
    <d v="2019-03-17T22:14:24"/>
    <x v="9"/>
    <n v="89"/>
    <n v="104"/>
    <n v="1902.6802493922571"/>
  </r>
  <r>
    <n v="604867"/>
    <x v="1"/>
    <s v="Bangalore"/>
    <x v="0"/>
    <s v=" MH"/>
    <x v="1"/>
    <x v="0"/>
    <x v="1"/>
    <x v="0"/>
    <d v="2019-03-11T22:14:45"/>
    <d v="2019-03-17T22:14:45"/>
    <d v="2019-03-16T22:14:45"/>
    <x v="3"/>
    <n v="40"/>
    <n v="113"/>
    <n v="541.91054022427056"/>
  </r>
  <r>
    <n v="157716"/>
    <x v="1"/>
    <s v="Delhi"/>
    <x v="2"/>
    <s v=" DL"/>
    <x v="0"/>
    <x v="0"/>
    <x v="0"/>
    <x v="1"/>
    <d v="2019-03-11T22:15:53"/>
    <d v="2019-03-13T22:15:53"/>
    <d v="2019-03-17T22:15:53"/>
    <x v="0"/>
    <n v="0"/>
    <n v="124"/>
    <n v="3088.0545839229653"/>
  </r>
  <r>
    <n v="749257"/>
    <x v="1"/>
    <s v="Delhi"/>
    <x v="4"/>
    <s v=" WB"/>
    <x v="0"/>
    <x v="0"/>
    <x v="1"/>
    <x v="0"/>
    <d v="2019-03-11T22:18:27"/>
    <d v="2019-03-17T22:18:27"/>
    <d v="2019-03-16T22:18:27"/>
    <x v="3"/>
    <n v="60"/>
    <n v="95"/>
    <n v="2069.9865423559595"/>
  </r>
  <r>
    <n v="182315"/>
    <x v="1"/>
    <s v="Delhi"/>
    <x v="1"/>
    <s v=" TN"/>
    <x v="1"/>
    <x v="0"/>
    <x v="2"/>
    <x v="0"/>
    <d v="2019-03-11T22:55:50"/>
    <d v="2019-03-16T22:55:50"/>
    <d v="2019-03-14T22:55:50"/>
    <x v="9"/>
    <n v="43"/>
    <n v="127"/>
    <n v="3560.8531457249642"/>
  </r>
  <r>
    <n v="779650"/>
    <x v="1"/>
    <s v="Delhi"/>
    <x v="2"/>
    <s v=" DL"/>
    <x v="2"/>
    <x v="0"/>
    <x v="0"/>
    <x v="0"/>
    <d v="2019-03-11T22:59:23"/>
    <d v="2019-03-17T22:59:23"/>
    <d v="2019-03-15T22:59:23"/>
    <x v="3"/>
    <n v="0"/>
    <n v="122"/>
    <n v="1089.8944967647155"/>
  </r>
  <r>
    <n v="127246"/>
    <x v="1"/>
    <s v="Bangalore"/>
    <x v="3"/>
    <s v=" KA"/>
    <x v="2"/>
    <x v="0"/>
    <x v="0"/>
    <x v="0"/>
    <d v="2019-03-11T23:52:37"/>
    <d v="2019-03-17T23:52:37"/>
    <d v="2019-03-15T23:52:37"/>
    <x v="3"/>
    <n v="0"/>
    <n v="122"/>
    <n v="1959"/>
  </r>
  <r>
    <n v="381904"/>
    <x v="1"/>
    <s v="Bangalore"/>
    <x v="2"/>
    <s v=" DL"/>
    <x v="0"/>
    <x v="0"/>
    <x v="0"/>
    <x v="0"/>
    <d v="2019-03-11T23:59:45"/>
    <d v="2019-03-15T23:59:45"/>
    <d v="2019-03-15T23:59:45"/>
    <x v="6"/>
    <n v="80"/>
    <n v="109"/>
    <n v="3674.9996857994106"/>
  </r>
  <r>
    <n v="402949"/>
    <x v="1"/>
    <s v="Delhi"/>
    <x v="1"/>
    <s v=" TN"/>
    <x v="1"/>
    <x v="0"/>
    <x v="1"/>
    <x v="0"/>
    <d v="2019-03-12T00:33:34"/>
    <d v="2019-03-18T00:33:34"/>
    <d v="2019-03-17T00:33:34"/>
    <x v="3"/>
    <n v="28"/>
    <n v="128"/>
    <n v="3522"/>
  </r>
  <r>
    <n v="465258"/>
    <x v="1"/>
    <s v="Delhi"/>
    <x v="1"/>
    <s v=" TN"/>
    <x v="2"/>
    <x v="0"/>
    <x v="0"/>
    <x v="1"/>
    <d v="2019-03-12T01:18:37"/>
    <d v="2019-03-14T01:18:37"/>
    <d v="2019-03-16T01:18:37"/>
    <x v="0"/>
    <n v="31"/>
    <n v="120"/>
    <n v="749.17971709846165"/>
  </r>
  <r>
    <n v="725925"/>
    <x v="1"/>
    <s v="Bangalore"/>
    <x v="0"/>
    <s v=" MH"/>
    <x v="1"/>
    <x v="0"/>
    <x v="1"/>
    <x v="1"/>
    <d v="2019-03-12T01:26:38"/>
    <d v="2019-03-19T01:26:38"/>
    <d v="2019-03-19T01:26:38"/>
    <x v="8"/>
    <n v="36"/>
    <n v="113"/>
    <n v="2097.024034074665"/>
  </r>
  <r>
    <n v="884681"/>
    <x v="1"/>
    <s v="Delhi"/>
    <x v="2"/>
    <s v=" DL"/>
    <x v="0"/>
    <x v="0"/>
    <x v="2"/>
    <x v="0"/>
    <d v="2019-03-12T02:01:33"/>
    <d v="2019-03-17T02:01:33"/>
    <d v="2019-03-16T02:01:33"/>
    <x v="9"/>
    <n v="0"/>
    <n v="103"/>
    <n v="1823"/>
  </r>
  <r>
    <n v="865631"/>
    <x v="1"/>
    <s v="Bangalore"/>
    <x v="2"/>
    <s v=" DL"/>
    <x v="1"/>
    <x v="0"/>
    <x v="1"/>
    <x v="0"/>
    <d v="2019-03-12T02:13:10"/>
    <d v="2019-03-21T02:13:10"/>
    <d v="2019-03-15T02:13:10"/>
    <x v="1"/>
    <n v="25"/>
    <n v="128"/>
    <n v="3611.1875919166105"/>
  </r>
  <r>
    <n v="899277"/>
    <x v="1"/>
    <s v="Bangalore"/>
    <x v="4"/>
    <s v=" WB"/>
    <x v="0"/>
    <x v="0"/>
    <x v="1"/>
    <x v="1"/>
    <d v="2019-03-12T02:39:47"/>
    <d v="2019-03-20T02:39:47"/>
    <d v="2019-03-17T02:39:47"/>
    <x v="5"/>
    <n v="85"/>
    <n v="91"/>
    <n v="2373"/>
  </r>
  <r>
    <n v="106695"/>
    <x v="1"/>
    <s v="Bangalore"/>
    <x v="4"/>
    <s v=" WB"/>
    <x v="1"/>
    <x v="0"/>
    <x v="1"/>
    <x v="1"/>
    <d v="2019-03-12T02:55:29"/>
    <d v="2019-03-18T02:55:29"/>
    <d v="2019-03-18T02:55:29"/>
    <x v="3"/>
    <n v="31"/>
    <n v="111"/>
    <n v="1548.4645561545617"/>
  </r>
  <r>
    <n v="684198"/>
    <x v="1"/>
    <s v="Bangalore"/>
    <x v="2"/>
    <s v=" DL"/>
    <x v="2"/>
    <x v="0"/>
    <x v="0"/>
    <x v="1"/>
    <d v="2019-03-12T02:58:13"/>
    <d v="2019-03-20T02:58:13"/>
    <d v="2019-03-15T02:58:13"/>
    <x v="5"/>
    <n v="45"/>
    <n v="122"/>
    <n v="2167.1098319210619"/>
  </r>
  <r>
    <n v="319481"/>
    <x v="1"/>
    <s v="Delhi"/>
    <x v="4"/>
    <s v=" WB"/>
    <x v="1"/>
    <x v="0"/>
    <x v="1"/>
    <x v="0"/>
    <d v="2019-03-12T03:10:27"/>
    <d v="2019-03-18T03:10:27"/>
    <d v="2019-03-19T03:10:27"/>
    <x v="3"/>
    <n v="26"/>
    <n v="110"/>
    <n v="1527"/>
  </r>
  <r>
    <n v="192073"/>
    <x v="1"/>
    <s v="Delhi"/>
    <x v="1"/>
    <s v=" TN"/>
    <x v="1"/>
    <x v="0"/>
    <x v="2"/>
    <x v="0"/>
    <d v="2019-03-12T03:11:56"/>
    <d v="2019-03-17T03:11:56"/>
    <d v="2019-03-19T03:11:56"/>
    <x v="9"/>
    <n v="43"/>
    <n v="125"/>
    <n v="2805.5409228710846"/>
  </r>
  <r>
    <n v="823565"/>
    <x v="1"/>
    <s v="Delhi"/>
    <x v="4"/>
    <s v=" WB"/>
    <x v="1"/>
    <x v="0"/>
    <x v="1"/>
    <x v="0"/>
    <d v="2019-03-12T03:30:38"/>
    <d v="2019-03-19T03:30:38"/>
    <d v="2019-03-18T03:30:38"/>
    <x v="8"/>
    <n v="37"/>
    <n v="108"/>
    <n v="2836"/>
  </r>
  <r>
    <n v="639456"/>
    <x v="1"/>
    <s v="Delhi"/>
    <x v="3"/>
    <s v=" KA"/>
    <x v="0"/>
    <x v="0"/>
    <x v="0"/>
    <x v="1"/>
    <d v="2019-03-12T05:56:07"/>
    <d v="2019-03-15T05:56:07"/>
    <d v="2019-03-19T05:56:07"/>
    <x v="4"/>
    <n v="29"/>
    <n v="129"/>
    <n v="883.70578614469139"/>
  </r>
  <r>
    <n v="45775"/>
    <x v="1"/>
    <s v="Delhi"/>
    <x v="1"/>
    <s v=" TN"/>
    <x v="1"/>
    <x v="0"/>
    <x v="1"/>
    <x v="0"/>
    <d v="2019-03-12T06:04:48"/>
    <d v="2019-03-14T06:04:48"/>
    <d v="2019-03-18T06:04:48"/>
    <x v="0"/>
    <n v="33"/>
    <n v="122"/>
    <n v="878.08658434334939"/>
  </r>
  <r>
    <n v="387790"/>
    <x v="1"/>
    <s v="Delhi"/>
    <x v="2"/>
    <s v=" DL"/>
    <x v="0"/>
    <x v="0"/>
    <x v="0"/>
    <x v="0"/>
    <d v="2019-03-12T07:02:06"/>
    <d v="2019-03-16T07:02:06"/>
    <d v="2019-03-15T07:02:06"/>
    <x v="6"/>
    <n v="0"/>
    <n v="101"/>
    <n v="3605.7505608851384"/>
  </r>
  <r>
    <n v="168867"/>
    <x v="1"/>
    <s v="Delhi"/>
    <x v="2"/>
    <s v=" DL"/>
    <x v="1"/>
    <x v="0"/>
    <x v="1"/>
    <x v="1"/>
    <d v="2019-03-12T07:03:51"/>
    <d v="2019-03-16T07:03:51"/>
    <d v="2019-03-17T07:03:51"/>
    <x v="6"/>
    <n v="0"/>
    <n v="123"/>
    <n v="732"/>
  </r>
  <r>
    <n v="593652"/>
    <x v="1"/>
    <s v="Bangalore"/>
    <x v="3"/>
    <s v=" KA"/>
    <x v="0"/>
    <x v="0"/>
    <x v="0"/>
    <x v="1"/>
    <d v="2019-03-12T07:41:38"/>
    <d v="2019-03-13T07:41:38"/>
    <d v="2019-03-17T07:41:38"/>
    <x v="2"/>
    <n v="0"/>
    <n v="127"/>
    <n v="1052.4429818056915"/>
  </r>
  <r>
    <n v="728699"/>
    <x v="1"/>
    <s v="Delhi"/>
    <x v="0"/>
    <s v=" MH"/>
    <x v="1"/>
    <x v="0"/>
    <x v="1"/>
    <x v="0"/>
    <d v="2019-03-12T08:10:09"/>
    <d v="2019-03-21T08:10:09"/>
    <d v="2019-03-19T08:10:09"/>
    <x v="1"/>
    <n v="39"/>
    <n v="109"/>
    <n v="3151.0515790733275"/>
  </r>
  <r>
    <n v="494181"/>
    <x v="1"/>
    <s v="Bangalore"/>
    <x v="3"/>
    <s v=" KA"/>
    <x v="0"/>
    <x v="0"/>
    <x v="1"/>
    <x v="1"/>
    <d v="2019-03-12T08:50:18"/>
    <d v="2019-03-12T08:50:18"/>
    <d v="2019-03-18T08:50:18"/>
    <x v="10"/>
    <n v="0"/>
    <n v="105"/>
    <n v="701"/>
  </r>
  <r>
    <n v="881019"/>
    <x v="1"/>
    <s v="Delhi"/>
    <x v="1"/>
    <s v=" TN"/>
    <x v="1"/>
    <x v="0"/>
    <x v="1"/>
    <x v="1"/>
    <d v="2019-03-12T09:04:42"/>
    <d v="2019-03-16T09:04:42"/>
    <d v="2019-03-16T09:04:42"/>
    <x v="6"/>
    <n v="49"/>
    <n v="129"/>
    <n v="1977.9439841227845"/>
  </r>
  <r>
    <n v="893506"/>
    <x v="1"/>
    <s v="Delhi"/>
    <x v="0"/>
    <s v=" MH"/>
    <x v="2"/>
    <x v="0"/>
    <x v="0"/>
    <x v="0"/>
    <d v="2019-03-12T09:15:58"/>
    <d v="2019-03-17T09:15:58"/>
    <d v="2019-03-16T09:15:58"/>
    <x v="9"/>
    <n v="50"/>
    <n v="111"/>
    <n v="2267.8300853026453"/>
  </r>
  <r>
    <n v="396696"/>
    <x v="1"/>
    <s v="Delhi"/>
    <x v="0"/>
    <s v=" MH"/>
    <x v="0"/>
    <x v="0"/>
    <x v="0"/>
    <x v="1"/>
    <d v="2019-03-12T09:59:31"/>
    <d v="2019-03-14T09:59:31"/>
    <d v="2019-03-16T09:59:31"/>
    <x v="0"/>
    <n v="47"/>
    <n v="106"/>
    <n v="2464"/>
  </r>
  <r>
    <n v="83513"/>
    <x v="1"/>
    <s v="Delhi"/>
    <x v="1"/>
    <s v=" TN"/>
    <x v="1"/>
    <x v="0"/>
    <x v="1"/>
    <x v="0"/>
    <d v="2019-03-12T10:49:25"/>
    <d v="2019-03-18T10:49:25"/>
    <d v="2019-03-19T10:49:25"/>
    <x v="3"/>
    <n v="45"/>
    <n v="130"/>
    <n v="3107.1290011333854"/>
  </r>
  <r>
    <n v="794195"/>
    <x v="1"/>
    <s v="Delhi"/>
    <x v="0"/>
    <s v=" MH"/>
    <x v="1"/>
    <x v="0"/>
    <x v="1"/>
    <x v="0"/>
    <d v="2019-03-12T11:01:51"/>
    <d v="2019-03-19T11:01:51"/>
    <d v="2019-03-18T11:01:51"/>
    <x v="8"/>
    <n v="47"/>
    <n v="114"/>
    <n v="1760.3950175727618"/>
  </r>
  <r>
    <n v="704023"/>
    <x v="1"/>
    <s v="Bangalore"/>
    <x v="3"/>
    <s v=" KA"/>
    <x v="1"/>
    <x v="0"/>
    <x v="1"/>
    <x v="0"/>
    <d v="2019-03-12T11:05:19"/>
    <d v="2019-03-13T11:05:19"/>
    <d v="2019-03-16T11:05:19"/>
    <x v="2"/>
    <n v="0"/>
    <n v="129"/>
    <n v="2678.0171420584129"/>
  </r>
  <r>
    <n v="884221"/>
    <x v="1"/>
    <s v="Delhi"/>
    <x v="0"/>
    <s v=" MH"/>
    <x v="1"/>
    <x v="0"/>
    <x v="1"/>
    <x v="0"/>
    <d v="2019-03-12T11:29:48"/>
    <d v="2019-03-19T11:29:48"/>
    <d v="2019-03-18T11:29:48"/>
    <x v="8"/>
    <n v="43"/>
    <n v="112"/>
    <n v="423.22318432551015"/>
  </r>
  <r>
    <n v="332995"/>
    <x v="1"/>
    <s v="Delhi"/>
    <x v="2"/>
    <s v=" DL"/>
    <x v="0"/>
    <x v="0"/>
    <x v="1"/>
    <x v="0"/>
    <d v="2019-03-12T11:30:57"/>
    <d v="2019-03-13T11:30:57"/>
    <d v="2019-03-19T11:30:57"/>
    <x v="2"/>
    <n v="0"/>
    <n v="104"/>
    <n v="2528.8510394388964"/>
  </r>
  <r>
    <n v="78259"/>
    <x v="1"/>
    <s v="Bangalore"/>
    <x v="1"/>
    <s v=" TN"/>
    <x v="1"/>
    <x v="0"/>
    <x v="1"/>
    <x v="0"/>
    <d v="2019-03-12T11:50:52"/>
    <d v="2019-03-15T11:50:52"/>
    <d v="2019-03-19T11:50:52"/>
    <x v="4"/>
    <n v="35"/>
    <n v="129"/>
    <n v="1327.80611086969"/>
  </r>
  <r>
    <n v="601721"/>
    <x v="1"/>
    <s v="Bangalore"/>
    <x v="3"/>
    <s v=" KA"/>
    <x v="0"/>
    <x v="0"/>
    <x v="1"/>
    <x v="0"/>
    <d v="2019-03-12T12:01:40"/>
    <d v="2019-03-15T12:01:40"/>
    <d v="2019-03-19T12:01:40"/>
    <x v="4"/>
    <n v="0"/>
    <n v="101"/>
    <n v="2052.3109560061498"/>
  </r>
  <r>
    <n v="212105"/>
    <x v="1"/>
    <s v="Bangalore"/>
    <x v="2"/>
    <s v=" DL"/>
    <x v="1"/>
    <x v="0"/>
    <x v="1"/>
    <x v="0"/>
    <d v="2019-03-12T12:16:28"/>
    <d v="2019-03-15T12:16:28"/>
    <d v="2019-03-17T12:16:28"/>
    <x v="4"/>
    <n v="50"/>
    <n v="120"/>
    <n v="3148.3082108376011"/>
  </r>
  <r>
    <n v="123955"/>
    <x v="1"/>
    <s v="Bangalore"/>
    <x v="2"/>
    <s v=" DL"/>
    <x v="1"/>
    <x v="0"/>
    <x v="1"/>
    <x v="0"/>
    <d v="2019-03-12T12:20:58"/>
    <d v="2019-03-16T12:20:58"/>
    <d v="2019-03-17T12:20:58"/>
    <x v="6"/>
    <n v="44"/>
    <n v="127"/>
    <n v="1623.5494116383263"/>
  </r>
  <r>
    <n v="639883"/>
    <x v="1"/>
    <s v="Delhi"/>
    <x v="0"/>
    <s v=" MH"/>
    <x v="1"/>
    <x v="0"/>
    <x v="1"/>
    <x v="0"/>
    <d v="2019-03-12T12:21:50"/>
    <d v="2019-03-20T12:21:50"/>
    <d v="2019-03-17T12:21:50"/>
    <x v="5"/>
    <n v="36"/>
    <n v="108"/>
    <n v="2504"/>
  </r>
  <r>
    <n v="38030"/>
    <x v="1"/>
    <s v="Bangalore"/>
    <x v="0"/>
    <s v=" MH"/>
    <x v="0"/>
    <x v="0"/>
    <x v="0"/>
    <x v="0"/>
    <d v="2019-03-12T12:34:19"/>
    <d v="2019-03-16T12:34:19"/>
    <d v="2019-03-17T12:34:19"/>
    <x v="6"/>
    <n v="70"/>
    <n v="87"/>
    <n v="2141.2090388012762"/>
  </r>
  <r>
    <n v="602202"/>
    <x v="1"/>
    <s v="Delhi"/>
    <x v="3"/>
    <s v=" KA"/>
    <x v="2"/>
    <x v="0"/>
    <x v="0"/>
    <x v="1"/>
    <d v="2019-03-12T12:48:01"/>
    <d v="2019-03-22T12:48:01"/>
    <d v="2019-03-16T12:48:01"/>
    <x v="7"/>
    <n v="40"/>
    <n v="123"/>
    <n v="1684"/>
  </r>
  <r>
    <n v="327178"/>
    <x v="1"/>
    <s v="Delhi"/>
    <x v="3"/>
    <s v=" KA"/>
    <x v="2"/>
    <x v="0"/>
    <x v="0"/>
    <x v="0"/>
    <d v="2019-03-12T13:36:33"/>
    <d v="2019-03-19T13:36:33"/>
    <d v="2019-03-18T13:36:33"/>
    <x v="8"/>
    <n v="45"/>
    <n v="123"/>
    <n v="2959.0705107236795"/>
  </r>
  <r>
    <n v="510672"/>
    <x v="1"/>
    <s v="Bangalore"/>
    <x v="3"/>
    <s v=" KA"/>
    <x v="0"/>
    <x v="0"/>
    <x v="0"/>
    <x v="1"/>
    <d v="2019-03-12T13:55:47"/>
    <d v="2019-03-12T13:55:47"/>
    <d v="2019-03-19T13:55:47"/>
    <x v="10"/>
    <n v="0"/>
    <n v="105"/>
    <n v="1209.4655341703203"/>
  </r>
  <r>
    <n v="70565"/>
    <x v="1"/>
    <s v="Delhi"/>
    <x v="4"/>
    <s v=" WB"/>
    <x v="1"/>
    <x v="0"/>
    <x v="1"/>
    <x v="0"/>
    <d v="2019-03-12T14:07:14"/>
    <d v="2019-03-14T14:07:14"/>
    <d v="2019-03-17T14:07:14"/>
    <x v="0"/>
    <n v="36"/>
    <n v="115"/>
    <n v="1330.3184540311324"/>
  </r>
  <r>
    <n v="373430"/>
    <x v="1"/>
    <s v="Bangalore"/>
    <x v="0"/>
    <s v=" MH"/>
    <x v="2"/>
    <x v="0"/>
    <x v="0"/>
    <x v="0"/>
    <d v="2019-03-12T14:57:50"/>
    <d v="2019-03-17T14:57:50"/>
    <d v="2019-03-19T14:57:50"/>
    <x v="9"/>
    <n v="26"/>
    <n v="111"/>
    <n v="3052"/>
  </r>
  <r>
    <n v="227542"/>
    <x v="1"/>
    <s v="Delhi"/>
    <x v="3"/>
    <s v=" KA"/>
    <x v="0"/>
    <x v="0"/>
    <x v="0"/>
    <x v="0"/>
    <d v="2019-03-12T15:13:49"/>
    <d v="2019-03-14T15:13:49"/>
    <d v="2019-03-17T15:13:49"/>
    <x v="0"/>
    <n v="74"/>
    <n v="103"/>
    <n v="2582.2079085394489"/>
  </r>
  <r>
    <n v="39350"/>
    <x v="1"/>
    <s v="Delhi"/>
    <x v="4"/>
    <s v=" WB"/>
    <x v="0"/>
    <x v="0"/>
    <x v="0"/>
    <x v="0"/>
    <d v="2019-03-12T15:44:30"/>
    <d v="2019-03-21T15:44:30"/>
    <d v="2019-03-19T15:44:30"/>
    <x v="1"/>
    <n v="62"/>
    <n v="93"/>
    <n v="3579.7441150345926"/>
  </r>
  <r>
    <n v="618741"/>
    <x v="1"/>
    <s v="Bangalore"/>
    <x v="4"/>
    <s v=" WB"/>
    <x v="1"/>
    <x v="0"/>
    <x v="1"/>
    <x v="1"/>
    <d v="2019-03-12T16:19:22"/>
    <d v="2019-03-17T16:19:22"/>
    <d v="2019-03-17T16:19:22"/>
    <x v="9"/>
    <n v="39"/>
    <n v="105"/>
    <n v="1115.1095612217412"/>
  </r>
  <r>
    <n v="599432"/>
    <x v="1"/>
    <s v="Bangalore"/>
    <x v="0"/>
    <s v=" MH"/>
    <x v="0"/>
    <x v="0"/>
    <x v="0"/>
    <x v="0"/>
    <d v="2019-03-12T16:20:07"/>
    <d v="2019-03-17T16:20:07"/>
    <d v="2019-03-18T16:20:07"/>
    <x v="9"/>
    <n v="65"/>
    <n v="93"/>
    <n v="3708.709242445861"/>
  </r>
  <r>
    <n v="727326"/>
    <x v="1"/>
    <s v="Delhi"/>
    <x v="2"/>
    <s v=" DL"/>
    <x v="2"/>
    <x v="0"/>
    <x v="0"/>
    <x v="1"/>
    <d v="2019-03-12T16:33:19"/>
    <d v="2019-03-14T16:33:19"/>
    <d v="2019-03-19T16:33:19"/>
    <x v="0"/>
    <n v="0"/>
    <n v="129"/>
    <n v="708"/>
  </r>
  <r>
    <n v="575680"/>
    <x v="1"/>
    <s v="Bangalore"/>
    <x v="1"/>
    <s v=" TN"/>
    <x v="0"/>
    <x v="0"/>
    <x v="0"/>
    <x v="0"/>
    <d v="2019-03-12T16:51:40"/>
    <d v="2019-03-17T16:51:40"/>
    <d v="2019-03-18T16:51:40"/>
    <x v="9"/>
    <n v="45"/>
    <n v="123"/>
    <n v="2714.4480129187536"/>
  </r>
  <r>
    <n v="245147"/>
    <x v="1"/>
    <s v="Delhi"/>
    <x v="0"/>
    <s v=" MH"/>
    <x v="1"/>
    <x v="0"/>
    <x v="2"/>
    <x v="0"/>
    <d v="2019-03-12T16:52:59"/>
    <d v="2019-03-16T16:52:59"/>
    <d v="2019-03-19T16:52:59"/>
    <x v="6"/>
    <n v="33"/>
    <n v="114"/>
    <n v="279.93769076565309"/>
  </r>
  <r>
    <n v="810701"/>
    <x v="1"/>
    <s v="Delhi"/>
    <x v="2"/>
    <s v=" DL"/>
    <x v="1"/>
    <x v="0"/>
    <x v="1"/>
    <x v="0"/>
    <d v="2019-03-12T16:55:41"/>
    <d v="2019-03-19T16:55:41"/>
    <d v="2019-03-15T16:55:41"/>
    <x v="8"/>
    <n v="0"/>
    <n v="129"/>
    <n v="767.33564928548037"/>
  </r>
  <r>
    <n v="812696"/>
    <x v="1"/>
    <s v="Delhi"/>
    <x v="2"/>
    <s v=" DL"/>
    <x v="0"/>
    <x v="0"/>
    <x v="0"/>
    <x v="0"/>
    <d v="2019-03-12T17:39:59"/>
    <d v="2019-03-16T17:39:59"/>
    <d v="2019-03-16T17:39:59"/>
    <x v="6"/>
    <n v="0"/>
    <n v="122"/>
    <n v="3197.9213572176081"/>
  </r>
  <r>
    <n v="209416"/>
    <x v="1"/>
    <s v="Bangalore"/>
    <x v="0"/>
    <s v=" MH"/>
    <x v="0"/>
    <x v="0"/>
    <x v="0"/>
    <x v="0"/>
    <d v="2019-03-12T17:54:56"/>
    <d v="2019-03-14T17:54:56"/>
    <d v="2019-03-17T17:54:56"/>
    <x v="0"/>
    <n v="88"/>
    <n v="93"/>
    <n v="603.91240335279394"/>
  </r>
  <r>
    <n v="694400"/>
    <x v="1"/>
    <s v="Delhi"/>
    <x v="4"/>
    <s v=" WB"/>
    <x v="0"/>
    <x v="0"/>
    <x v="0"/>
    <x v="0"/>
    <d v="2019-03-12T17:59:29"/>
    <d v="2019-03-15T17:59:29"/>
    <d v="2019-03-18T17:59:29"/>
    <x v="4"/>
    <n v="35"/>
    <n v="113"/>
    <n v="304"/>
  </r>
  <r>
    <n v="111770"/>
    <x v="1"/>
    <s v="Delhi"/>
    <x v="1"/>
    <s v=" TN"/>
    <x v="2"/>
    <x v="0"/>
    <x v="0"/>
    <x v="0"/>
    <d v="2019-03-12T18:16:59"/>
    <d v="2019-03-16T18:16:59"/>
    <d v="2019-03-19T18:16:59"/>
    <x v="6"/>
    <n v="35"/>
    <n v="129"/>
    <n v="2681.0938280661517"/>
  </r>
  <r>
    <n v="451508"/>
    <x v="1"/>
    <s v="Delhi"/>
    <x v="4"/>
    <s v=" WB"/>
    <x v="0"/>
    <x v="0"/>
    <x v="0"/>
    <x v="0"/>
    <d v="2019-03-12T18:22:39"/>
    <d v="2019-03-21T18:22:39"/>
    <d v="2019-03-16T18:22:39"/>
    <x v="1"/>
    <n v="78"/>
    <n v="85"/>
    <n v="1459.9455353714131"/>
  </r>
  <r>
    <n v="613003"/>
    <x v="1"/>
    <s v="Delhi"/>
    <x v="0"/>
    <s v=" MH"/>
    <x v="1"/>
    <x v="0"/>
    <x v="1"/>
    <x v="0"/>
    <d v="2019-03-12T18:44:35"/>
    <d v="2019-03-20T18:44:35"/>
    <d v="2019-03-17T18:44:35"/>
    <x v="5"/>
    <n v="33"/>
    <n v="110"/>
    <n v="1851"/>
  </r>
  <r>
    <n v="17421"/>
    <x v="1"/>
    <s v="Delhi"/>
    <x v="1"/>
    <s v=" TN"/>
    <x v="1"/>
    <x v="0"/>
    <x v="1"/>
    <x v="1"/>
    <d v="2019-03-12T19:28:08"/>
    <d v="2019-03-16T19:28:08"/>
    <d v="2019-03-19T19:28:08"/>
    <x v="6"/>
    <n v="46"/>
    <n v="128"/>
    <n v="2233.5280691730859"/>
  </r>
  <r>
    <n v="837754"/>
    <x v="1"/>
    <s v="Delhi"/>
    <x v="2"/>
    <s v=" DL"/>
    <x v="2"/>
    <x v="0"/>
    <x v="0"/>
    <x v="0"/>
    <d v="2019-03-12T19:44:54"/>
    <d v="2019-03-18T19:44:54"/>
    <d v="2019-03-17T19:44:54"/>
    <x v="3"/>
    <n v="0"/>
    <n v="130"/>
    <n v="669.01813494316798"/>
  </r>
  <r>
    <n v="674253"/>
    <x v="1"/>
    <s v="Delhi"/>
    <x v="4"/>
    <s v=" WB"/>
    <x v="1"/>
    <x v="0"/>
    <x v="1"/>
    <x v="1"/>
    <d v="2019-03-12T20:24:53"/>
    <d v="2019-03-15T20:24:53"/>
    <d v="2019-03-19T20:24:53"/>
    <x v="4"/>
    <n v="42"/>
    <n v="106"/>
    <n v="2423.9630630926395"/>
  </r>
  <r>
    <n v="397066"/>
    <x v="1"/>
    <s v="Delhi"/>
    <x v="2"/>
    <s v=" DL"/>
    <x v="2"/>
    <x v="0"/>
    <x v="0"/>
    <x v="0"/>
    <d v="2019-03-12T20:31:38"/>
    <d v="2019-03-16T20:31:38"/>
    <d v="2019-03-17T20:31:38"/>
    <x v="6"/>
    <n v="0"/>
    <n v="120"/>
    <n v="840"/>
  </r>
  <r>
    <n v="282345"/>
    <x v="1"/>
    <s v="Delhi"/>
    <x v="4"/>
    <s v=" WB"/>
    <x v="0"/>
    <x v="0"/>
    <x v="2"/>
    <x v="1"/>
    <d v="2019-03-12T21:06:23"/>
    <d v="2019-03-20T21:06:23"/>
    <d v="2019-03-15T21:06:23"/>
    <x v="5"/>
    <n v="60"/>
    <n v="85"/>
    <n v="737.48744098361124"/>
  </r>
  <r>
    <n v="736527"/>
    <x v="1"/>
    <s v="Bangalore"/>
    <x v="4"/>
    <s v=" WB"/>
    <x v="0"/>
    <x v="0"/>
    <x v="1"/>
    <x v="1"/>
    <d v="2019-03-12T21:06:57"/>
    <d v="2019-03-18T21:06:57"/>
    <d v="2019-03-18T21:06:57"/>
    <x v="3"/>
    <n v="71"/>
    <n v="94"/>
    <n v="1325.5255417271253"/>
  </r>
  <r>
    <n v="557885"/>
    <x v="1"/>
    <s v="Bangalore"/>
    <x v="0"/>
    <s v=" MH"/>
    <x v="1"/>
    <x v="0"/>
    <x v="1"/>
    <x v="0"/>
    <d v="2019-03-12T21:19:21"/>
    <d v="2019-03-21T21:19:21"/>
    <d v="2019-03-15T21:19:21"/>
    <x v="1"/>
    <n v="26"/>
    <n v="114"/>
    <n v="3132.1493294976963"/>
  </r>
  <r>
    <n v="272525"/>
    <x v="1"/>
    <s v="Delhi"/>
    <x v="3"/>
    <s v=" KA"/>
    <x v="1"/>
    <x v="0"/>
    <x v="1"/>
    <x v="0"/>
    <d v="2019-03-12T21:31:40"/>
    <d v="2019-03-16T21:31:40"/>
    <d v="2019-03-17T21:31:40"/>
    <x v="6"/>
    <n v="45"/>
    <n v="125"/>
    <n v="2904.2783370593729"/>
  </r>
  <r>
    <n v="229716"/>
    <x v="1"/>
    <s v="Delhi"/>
    <x v="0"/>
    <s v=" MH"/>
    <x v="0"/>
    <x v="0"/>
    <x v="0"/>
    <x v="1"/>
    <d v="2019-03-12T21:42:33"/>
    <d v="2019-03-15T21:42:33"/>
    <d v="2019-03-19T21:42:33"/>
    <x v="4"/>
    <n v="37"/>
    <n v="112"/>
    <n v="1791.5690366705535"/>
  </r>
  <r>
    <n v="192049"/>
    <x v="1"/>
    <s v="Bangalore"/>
    <x v="0"/>
    <s v=" MH"/>
    <x v="1"/>
    <x v="0"/>
    <x v="1"/>
    <x v="0"/>
    <d v="2019-03-12T21:47:33"/>
    <d v="2019-03-16T21:47:33"/>
    <d v="2019-03-16T21:47:33"/>
    <x v="6"/>
    <n v="31"/>
    <n v="106"/>
    <n v="2323"/>
  </r>
  <r>
    <n v="516065"/>
    <x v="1"/>
    <s v="Bangalore"/>
    <x v="4"/>
    <s v=" WB"/>
    <x v="1"/>
    <x v="0"/>
    <x v="1"/>
    <x v="0"/>
    <d v="2019-03-12T21:49:21"/>
    <d v="2019-03-18T21:49:21"/>
    <d v="2019-03-16T21:49:21"/>
    <x v="3"/>
    <n v="31"/>
    <n v="107"/>
    <n v="904"/>
  </r>
  <r>
    <n v="227918"/>
    <x v="1"/>
    <s v="Bangalore"/>
    <x v="2"/>
    <s v=" DL"/>
    <x v="2"/>
    <x v="0"/>
    <x v="0"/>
    <x v="0"/>
    <d v="2019-03-12T21:51:32"/>
    <d v="2019-03-16T21:51:32"/>
    <d v="2019-03-19T21:51:32"/>
    <x v="6"/>
    <n v="42"/>
    <n v="124"/>
    <n v="3104.7533941435254"/>
  </r>
  <r>
    <n v="735398"/>
    <x v="1"/>
    <s v="Delhi"/>
    <x v="0"/>
    <s v=" MH"/>
    <x v="0"/>
    <x v="0"/>
    <x v="0"/>
    <x v="0"/>
    <d v="2019-03-12T22:03:55"/>
    <d v="2019-03-16T22:03:55"/>
    <d v="2019-03-17T22:03:55"/>
    <x v="6"/>
    <n v="73"/>
    <n v="91"/>
    <n v="2254"/>
  </r>
  <r>
    <n v="913347"/>
    <x v="1"/>
    <s v="Delhi"/>
    <x v="4"/>
    <s v=" WB"/>
    <x v="0"/>
    <x v="0"/>
    <x v="1"/>
    <x v="1"/>
    <d v="2019-03-12T22:37:34"/>
    <d v="2019-03-20T22:37:34"/>
    <d v="2019-03-19T22:37:34"/>
    <x v="5"/>
    <n v="79"/>
    <n v="94"/>
    <n v="3175.2337755193448"/>
  </r>
  <r>
    <n v="131387"/>
    <x v="1"/>
    <s v="Delhi"/>
    <x v="2"/>
    <s v=" DL"/>
    <x v="1"/>
    <x v="0"/>
    <x v="1"/>
    <x v="0"/>
    <d v="2019-03-12T22:41:39"/>
    <d v="2019-03-17T22:41:39"/>
    <d v="2019-03-15T22:41:39"/>
    <x v="9"/>
    <n v="0"/>
    <n v="123"/>
    <n v="2642.7446101459082"/>
  </r>
  <r>
    <n v="246580"/>
    <x v="1"/>
    <s v="Bangalore"/>
    <x v="1"/>
    <s v=" TN"/>
    <x v="0"/>
    <x v="0"/>
    <x v="0"/>
    <x v="0"/>
    <d v="2019-03-12T22:51:22"/>
    <d v="2019-03-22T22:51:22"/>
    <d v="2019-03-19T22:51:22"/>
    <x v="7"/>
    <n v="67"/>
    <n v="104"/>
    <n v="1256"/>
  </r>
  <r>
    <n v="41719"/>
    <x v="1"/>
    <s v="Bangalore"/>
    <x v="4"/>
    <s v=" WB"/>
    <x v="1"/>
    <x v="0"/>
    <x v="1"/>
    <x v="0"/>
    <d v="2019-03-12T22:53:22"/>
    <d v="2019-03-15T22:53:22"/>
    <d v="2019-03-15T22:53:22"/>
    <x v="4"/>
    <n v="48"/>
    <n v="114"/>
    <n v="3432.4283558847092"/>
  </r>
  <r>
    <n v="549168"/>
    <x v="1"/>
    <s v="Bangalore"/>
    <x v="4"/>
    <s v=" WB"/>
    <x v="0"/>
    <x v="0"/>
    <x v="0"/>
    <x v="1"/>
    <d v="2019-03-12T23:04:27"/>
    <d v="2019-03-19T23:04:27"/>
    <d v="2019-03-16T23:04:27"/>
    <x v="8"/>
    <n v="78"/>
    <n v="95"/>
    <n v="532.28438075126849"/>
  </r>
  <r>
    <n v="236677"/>
    <x v="1"/>
    <s v="Delhi"/>
    <x v="0"/>
    <s v=" MH"/>
    <x v="1"/>
    <x v="0"/>
    <x v="2"/>
    <x v="0"/>
    <d v="2019-03-12T23:47:39"/>
    <d v="2019-03-21T23:47:39"/>
    <d v="2019-03-17T23:47:39"/>
    <x v="1"/>
    <n v="33"/>
    <n v="108"/>
    <n v="2131"/>
  </r>
  <r>
    <n v="50683"/>
    <x v="1"/>
    <s v="Delhi"/>
    <x v="4"/>
    <s v=" WB"/>
    <x v="0"/>
    <x v="0"/>
    <x v="1"/>
    <x v="0"/>
    <d v="2019-03-13T00:43:21"/>
    <d v="2019-03-19T00:43:21"/>
    <d v="2019-03-16T00:43:21"/>
    <x v="3"/>
    <n v="80"/>
    <n v="92"/>
    <n v="2531"/>
  </r>
  <r>
    <n v="905663"/>
    <x v="1"/>
    <s v="Bangalore"/>
    <x v="4"/>
    <s v=" WB"/>
    <x v="1"/>
    <x v="0"/>
    <x v="1"/>
    <x v="0"/>
    <d v="2019-03-13T00:59:52"/>
    <d v="2019-03-20T00:59:52"/>
    <d v="2019-03-19T00:59:52"/>
    <x v="8"/>
    <n v="28"/>
    <n v="110"/>
    <n v="3019"/>
  </r>
  <r>
    <n v="459004"/>
    <x v="1"/>
    <s v="Bangalore"/>
    <x v="3"/>
    <s v=" KA"/>
    <x v="0"/>
    <x v="0"/>
    <x v="0"/>
    <x v="0"/>
    <d v="2019-03-13T01:03:20"/>
    <d v="2019-03-16T01:03:20"/>
    <d v="2019-03-16T01:03:20"/>
    <x v="4"/>
    <n v="0"/>
    <n v="125"/>
    <n v="1150"/>
  </r>
  <r>
    <n v="927591"/>
    <x v="1"/>
    <s v="Bangalore"/>
    <x v="2"/>
    <s v=" DL"/>
    <x v="1"/>
    <x v="0"/>
    <x v="2"/>
    <x v="1"/>
    <d v="2019-03-13T02:39:07"/>
    <d v="2019-03-17T02:39:07"/>
    <d v="2019-03-16T02:39:07"/>
    <x v="6"/>
    <n v="48"/>
    <n v="126"/>
    <n v="3091"/>
  </r>
  <r>
    <n v="148951"/>
    <x v="1"/>
    <s v="Bangalore"/>
    <x v="2"/>
    <s v=" DL"/>
    <x v="1"/>
    <x v="0"/>
    <x v="1"/>
    <x v="0"/>
    <d v="2019-03-13T02:56:14"/>
    <d v="2019-03-17T02:56:14"/>
    <d v="2019-03-20T02:56:14"/>
    <x v="6"/>
    <n v="47"/>
    <n v="123"/>
    <n v="2822.9095694185453"/>
  </r>
  <r>
    <n v="419409"/>
    <x v="1"/>
    <s v="Delhi"/>
    <x v="4"/>
    <s v=" WB"/>
    <x v="1"/>
    <x v="0"/>
    <x v="1"/>
    <x v="1"/>
    <d v="2019-03-13T03:34:02"/>
    <d v="2019-03-16T03:34:02"/>
    <d v="2019-03-18T03:34:02"/>
    <x v="4"/>
    <n v="40"/>
    <n v="110"/>
    <n v="1212"/>
  </r>
  <r>
    <n v="259875"/>
    <x v="1"/>
    <s v="Delhi"/>
    <x v="3"/>
    <s v=" KA"/>
    <x v="1"/>
    <x v="0"/>
    <x v="2"/>
    <x v="1"/>
    <d v="2019-03-13T03:42:46"/>
    <d v="2019-03-23T03:42:46"/>
    <d v="2019-03-16T03:42:46"/>
    <x v="7"/>
    <n v="46"/>
    <n v="124"/>
    <n v="2547"/>
  </r>
  <r>
    <n v="645951"/>
    <x v="1"/>
    <s v="Bangalore"/>
    <x v="3"/>
    <s v=" KA"/>
    <x v="0"/>
    <x v="0"/>
    <x v="1"/>
    <x v="1"/>
    <d v="2019-03-13T03:51:57"/>
    <d v="2019-03-17T03:51:57"/>
    <d v="2019-03-16T03:51:57"/>
    <x v="6"/>
    <n v="0"/>
    <n v="104"/>
    <n v="3642.9686775668447"/>
  </r>
  <r>
    <n v="333335"/>
    <x v="1"/>
    <s v="Delhi"/>
    <x v="1"/>
    <s v=" TN"/>
    <x v="1"/>
    <x v="0"/>
    <x v="1"/>
    <x v="0"/>
    <d v="2019-03-13T04:09:01"/>
    <d v="2019-03-18T04:09:01"/>
    <d v="2019-03-17T04:09:01"/>
    <x v="9"/>
    <n v="35"/>
    <n v="121"/>
    <n v="3284"/>
  </r>
  <r>
    <n v="549927"/>
    <x v="1"/>
    <s v="Bangalore"/>
    <x v="2"/>
    <s v=" DL"/>
    <x v="0"/>
    <x v="0"/>
    <x v="2"/>
    <x v="1"/>
    <d v="2019-03-13T04:18:07"/>
    <d v="2019-03-18T04:18:07"/>
    <d v="2019-03-16T04:18:07"/>
    <x v="9"/>
    <n v="9999"/>
    <n v="107"/>
    <n v="3560.065300316327"/>
  </r>
  <r>
    <n v="644176"/>
    <x v="1"/>
    <s v="Delhi"/>
    <x v="2"/>
    <s v=" DL"/>
    <x v="0"/>
    <x v="0"/>
    <x v="0"/>
    <x v="0"/>
    <d v="2019-03-13T04:57:12"/>
    <d v="2019-03-14T04:57:12"/>
    <d v="2019-03-18T04:57:12"/>
    <x v="2"/>
    <n v="0"/>
    <n v="125"/>
    <n v="1245.8566481347746"/>
  </r>
  <r>
    <n v="4836"/>
    <x v="1"/>
    <s v="Bangalore"/>
    <x v="1"/>
    <s v=" TN"/>
    <x v="0"/>
    <x v="0"/>
    <x v="0"/>
    <x v="1"/>
    <d v="2019-03-13T05:01:16"/>
    <d v="2019-03-21T05:01:16"/>
    <d v="2019-03-18T05:01:16"/>
    <x v="5"/>
    <n v="35"/>
    <n v="121"/>
    <n v="3137.7045980096382"/>
  </r>
  <r>
    <n v="414926"/>
    <x v="1"/>
    <s v="Delhi"/>
    <x v="4"/>
    <s v=" WB"/>
    <x v="2"/>
    <x v="0"/>
    <x v="0"/>
    <x v="0"/>
    <d v="2019-03-13T05:10:21"/>
    <d v="2019-03-15T05:10:21"/>
    <d v="2019-03-17T05:10:21"/>
    <x v="0"/>
    <n v="35"/>
    <n v="112"/>
    <n v="3120.8732778799922"/>
  </r>
  <r>
    <n v="169288"/>
    <x v="1"/>
    <s v="Delhi"/>
    <x v="2"/>
    <s v=" DL"/>
    <x v="0"/>
    <x v="0"/>
    <x v="0"/>
    <x v="0"/>
    <d v="2019-03-13T05:35:57"/>
    <d v="2019-03-17T05:35:57"/>
    <d v="2019-03-19T05:35:57"/>
    <x v="6"/>
    <n v="0"/>
    <n v="122"/>
    <n v="2463.4276673297318"/>
  </r>
  <r>
    <n v="166760"/>
    <x v="1"/>
    <s v="Delhi"/>
    <x v="3"/>
    <s v=" KA"/>
    <x v="0"/>
    <x v="0"/>
    <x v="0"/>
    <x v="0"/>
    <d v="2019-03-13T06:00:21"/>
    <d v="2019-03-16T06:00:21"/>
    <d v="2019-03-16T06:00:21"/>
    <x v="4"/>
    <n v="47"/>
    <n v="123"/>
    <n v="1226"/>
  </r>
  <r>
    <n v="665651"/>
    <x v="1"/>
    <s v="Delhi"/>
    <x v="2"/>
    <s v=" DL"/>
    <x v="0"/>
    <x v="0"/>
    <x v="2"/>
    <x v="0"/>
    <d v="2019-03-13T06:00:31"/>
    <d v="2019-03-15T06:00:31"/>
    <d v="2019-03-19T06:00:31"/>
    <x v="0"/>
    <n v="0"/>
    <n v="105"/>
    <n v="1105.49291973501"/>
  </r>
  <r>
    <n v="937727"/>
    <x v="1"/>
    <s v="Delhi"/>
    <x v="1"/>
    <s v=" TN"/>
    <x v="1"/>
    <x v="0"/>
    <x v="2"/>
    <x v="0"/>
    <d v="2019-03-13T06:04:17"/>
    <d v="2019-03-16T06:04:17"/>
    <d v="2019-03-20T06:04:17"/>
    <x v="4"/>
    <n v="31"/>
    <n v="125"/>
    <n v="376"/>
  </r>
  <r>
    <n v="131776"/>
    <x v="1"/>
    <s v="Bangalore"/>
    <x v="3"/>
    <s v=" KA"/>
    <x v="0"/>
    <x v="0"/>
    <x v="0"/>
    <x v="0"/>
    <d v="2019-03-13T06:36:05"/>
    <d v="2019-03-16T06:36:05"/>
    <d v="2019-03-19T06:36:05"/>
    <x v="4"/>
    <n v="0"/>
    <n v="127"/>
    <n v="1094.098786603638"/>
  </r>
  <r>
    <n v="858535"/>
    <x v="1"/>
    <s v="Bangalore"/>
    <x v="2"/>
    <s v=" DL"/>
    <x v="1"/>
    <x v="0"/>
    <x v="1"/>
    <x v="0"/>
    <d v="2019-03-13T06:57:42"/>
    <d v="2019-03-19T06:57:42"/>
    <d v="2019-03-16T06:57:42"/>
    <x v="3"/>
    <n v="43"/>
    <n v="129"/>
    <n v="3607.6607287041575"/>
  </r>
  <r>
    <n v="224830"/>
    <x v="1"/>
    <s v="Delhi"/>
    <x v="4"/>
    <s v=" WB"/>
    <x v="2"/>
    <x v="0"/>
    <x v="0"/>
    <x v="0"/>
    <d v="2019-03-13T07:07:28"/>
    <d v="2019-03-15T07:07:28"/>
    <d v="2019-03-19T07:07:28"/>
    <x v="0"/>
    <n v="46"/>
    <n v="109"/>
    <n v="436"/>
  </r>
  <r>
    <n v="933987"/>
    <x v="1"/>
    <s v="Bangalore"/>
    <x v="4"/>
    <s v=" WB"/>
    <x v="1"/>
    <x v="0"/>
    <x v="1"/>
    <x v="1"/>
    <d v="2019-03-13T07:08:46"/>
    <d v="2019-03-15T07:08:46"/>
    <d v="2019-03-16T07:08:46"/>
    <x v="0"/>
    <n v="28"/>
    <n v="109"/>
    <n v="2384.3284859919854"/>
  </r>
  <r>
    <n v="368993"/>
    <x v="1"/>
    <s v="Bangalore"/>
    <x v="1"/>
    <s v=" TN"/>
    <x v="1"/>
    <x v="0"/>
    <x v="1"/>
    <x v="0"/>
    <d v="2019-03-13T07:12:16"/>
    <d v="2019-03-15T07:12:16"/>
    <d v="2019-03-17T07:12:16"/>
    <x v="0"/>
    <n v="42"/>
    <n v="127"/>
    <n v="1325"/>
  </r>
  <r>
    <n v="929811"/>
    <x v="1"/>
    <s v="Bangalore"/>
    <x v="2"/>
    <s v=" DL"/>
    <x v="0"/>
    <x v="0"/>
    <x v="1"/>
    <x v="1"/>
    <d v="2019-03-13T07:14:00"/>
    <d v="2019-03-17T07:14:00"/>
    <d v="2019-03-16T07:14:00"/>
    <x v="6"/>
    <n v="70"/>
    <n v="109"/>
    <n v="1429.416648670928"/>
  </r>
  <r>
    <n v="865524"/>
    <x v="1"/>
    <s v="Bangalore"/>
    <x v="4"/>
    <s v=" WB"/>
    <x v="0"/>
    <x v="0"/>
    <x v="0"/>
    <x v="1"/>
    <d v="2019-03-13T07:42:21"/>
    <d v="2019-03-21T07:42:21"/>
    <d v="2019-03-16T07:42:21"/>
    <x v="5"/>
    <n v="44"/>
    <n v="114"/>
    <n v="3166.5901836139542"/>
  </r>
  <r>
    <n v="585254"/>
    <x v="1"/>
    <s v="Delhi"/>
    <x v="2"/>
    <s v=" DL"/>
    <x v="2"/>
    <x v="0"/>
    <x v="0"/>
    <x v="0"/>
    <d v="2019-03-13T08:30:43"/>
    <d v="2019-03-20T08:30:43"/>
    <d v="2019-03-16T08:30:43"/>
    <x v="8"/>
    <n v="0"/>
    <n v="123"/>
    <n v="1494"/>
  </r>
  <r>
    <n v="220025"/>
    <x v="1"/>
    <s v="Delhi"/>
    <x v="0"/>
    <s v=" MH"/>
    <x v="0"/>
    <x v="0"/>
    <x v="1"/>
    <x v="0"/>
    <d v="2019-03-13T08:47:48"/>
    <d v="2019-03-15T08:47:48"/>
    <d v="2019-03-19T08:47:48"/>
    <x v="0"/>
    <n v="73"/>
    <n v="85"/>
    <n v="2449.7208948297898"/>
  </r>
  <r>
    <n v="966122"/>
    <x v="1"/>
    <s v="Bangalore"/>
    <x v="0"/>
    <s v=" MH"/>
    <x v="0"/>
    <x v="0"/>
    <x v="0"/>
    <x v="0"/>
    <d v="2019-03-13T09:05:21"/>
    <d v="2019-03-15T09:05:21"/>
    <d v="2019-03-18T09:05:21"/>
    <x v="0"/>
    <n v="67"/>
    <n v="91"/>
    <n v="1743.2832178578508"/>
  </r>
  <r>
    <n v="939152"/>
    <x v="1"/>
    <s v="Bangalore"/>
    <x v="2"/>
    <s v=" DL"/>
    <x v="0"/>
    <x v="0"/>
    <x v="0"/>
    <x v="0"/>
    <d v="2019-03-13T09:31:42"/>
    <d v="2019-03-15T09:31:42"/>
    <d v="2019-03-20T09:31:42"/>
    <x v="0"/>
    <n v="30"/>
    <n v="123"/>
    <n v="1303"/>
  </r>
  <r>
    <n v="660443"/>
    <x v="1"/>
    <s v="Bangalore"/>
    <x v="4"/>
    <s v=" WB"/>
    <x v="1"/>
    <x v="0"/>
    <x v="2"/>
    <x v="0"/>
    <d v="2019-03-13T09:42:45"/>
    <d v="2019-03-15T09:42:45"/>
    <d v="2019-03-16T09:42:45"/>
    <x v="0"/>
    <n v="39"/>
    <n v="108"/>
    <n v="1855.5245392952604"/>
  </r>
  <r>
    <n v="2139"/>
    <x v="1"/>
    <s v="Delhi"/>
    <x v="2"/>
    <s v=" DL"/>
    <x v="1"/>
    <x v="0"/>
    <x v="1"/>
    <x v="1"/>
    <d v="2019-03-13T09:50:23"/>
    <d v="2019-03-20T09:50:23"/>
    <d v="2019-03-16T09:50:23"/>
    <x v="8"/>
    <n v="0"/>
    <n v="127"/>
    <n v="406.64692478323474"/>
  </r>
  <r>
    <n v="762809"/>
    <x v="1"/>
    <s v="Delhi"/>
    <x v="0"/>
    <s v=" MH"/>
    <x v="1"/>
    <x v="0"/>
    <x v="1"/>
    <x v="0"/>
    <d v="2019-03-13T10:01:47"/>
    <d v="2019-03-19T10:01:47"/>
    <d v="2019-03-17T10:01:47"/>
    <x v="3"/>
    <n v="34"/>
    <n v="114"/>
    <n v="1147.5538725293272"/>
  </r>
  <r>
    <n v="401122"/>
    <x v="1"/>
    <s v="Delhi"/>
    <x v="0"/>
    <s v=" MH"/>
    <x v="2"/>
    <x v="0"/>
    <x v="0"/>
    <x v="0"/>
    <d v="2019-03-13T10:28:15"/>
    <d v="2019-03-18T10:28:15"/>
    <d v="2019-03-20T10:28:15"/>
    <x v="9"/>
    <n v="36"/>
    <n v="108"/>
    <n v="794"/>
  </r>
  <r>
    <n v="146166"/>
    <x v="1"/>
    <s v="Delhi"/>
    <x v="3"/>
    <s v=" KA"/>
    <x v="2"/>
    <x v="0"/>
    <x v="0"/>
    <x v="1"/>
    <d v="2019-03-13T11:02:51"/>
    <d v="2019-03-20T11:02:51"/>
    <d v="2019-03-19T11:02:51"/>
    <x v="8"/>
    <n v="29"/>
    <n v="128"/>
    <n v="2994.2550435725248"/>
  </r>
  <r>
    <n v="309072"/>
    <x v="1"/>
    <s v="Delhi"/>
    <x v="0"/>
    <s v=" MH"/>
    <x v="0"/>
    <x v="0"/>
    <x v="0"/>
    <x v="1"/>
    <d v="2019-03-13T11:09:39"/>
    <d v="2019-03-16T11:09:39"/>
    <d v="2019-03-19T11:09:39"/>
    <x v="4"/>
    <n v="81"/>
    <n v="87"/>
    <n v="2841"/>
  </r>
  <r>
    <n v="918570"/>
    <x v="1"/>
    <s v="Bangalore"/>
    <x v="0"/>
    <s v=" MH"/>
    <x v="2"/>
    <x v="0"/>
    <x v="0"/>
    <x v="1"/>
    <d v="2019-03-13T11:50:32"/>
    <d v="2019-03-21T11:50:32"/>
    <d v="2019-03-17T11:50:32"/>
    <x v="5"/>
    <n v="0"/>
    <n v="115"/>
    <n v="3074"/>
  </r>
  <r>
    <n v="192024"/>
    <x v="1"/>
    <s v="Delhi"/>
    <x v="1"/>
    <s v=" TN"/>
    <x v="0"/>
    <x v="0"/>
    <x v="0"/>
    <x v="1"/>
    <d v="2019-03-13T12:43:34"/>
    <d v="2019-03-18T12:43:34"/>
    <d v="2019-03-17T12:43:34"/>
    <x v="9"/>
    <n v="43"/>
    <n v="125"/>
    <n v="1540"/>
  </r>
  <r>
    <n v="896986"/>
    <x v="1"/>
    <s v="Delhi"/>
    <x v="1"/>
    <s v=" TN"/>
    <x v="0"/>
    <x v="0"/>
    <x v="0"/>
    <x v="0"/>
    <d v="2019-03-13T12:48:55"/>
    <d v="2019-03-21T12:48:55"/>
    <d v="2019-03-17T12:48:55"/>
    <x v="5"/>
    <n v="71"/>
    <n v="106"/>
    <n v="2414.3857053658485"/>
  </r>
  <r>
    <n v="778219"/>
    <x v="1"/>
    <s v="Delhi"/>
    <x v="2"/>
    <s v=" DL"/>
    <x v="0"/>
    <x v="0"/>
    <x v="1"/>
    <x v="0"/>
    <d v="2019-03-13T13:57:11"/>
    <d v="2019-03-13T13:57:11"/>
    <d v="2019-03-20T13:57:11"/>
    <x v="10"/>
    <n v="0"/>
    <n v="101"/>
    <n v="3103.1337374114278"/>
  </r>
  <r>
    <n v="705727"/>
    <x v="1"/>
    <s v="Delhi"/>
    <x v="0"/>
    <s v=" MH"/>
    <x v="1"/>
    <x v="0"/>
    <x v="1"/>
    <x v="0"/>
    <d v="2019-03-13T14:07:49"/>
    <d v="2019-03-21T14:07:49"/>
    <d v="2019-03-20T14:07:49"/>
    <x v="5"/>
    <n v="45"/>
    <n v="112"/>
    <n v="2559"/>
  </r>
  <r>
    <n v="716420"/>
    <x v="1"/>
    <s v="Delhi"/>
    <x v="0"/>
    <s v=" MH"/>
    <x v="0"/>
    <x v="0"/>
    <x v="0"/>
    <x v="0"/>
    <d v="2019-03-13T14:14:37"/>
    <d v="2019-03-18T14:14:37"/>
    <d v="2019-03-16T14:14:37"/>
    <x v="9"/>
    <n v="65"/>
    <n v="89"/>
    <n v="2535.3835361002339"/>
  </r>
  <r>
    <n v="186824"/>
    <x v="1"/>
    <s v="Delhi"/>
    <x v="2"/>
    <s v=" DL"/>
    <x v="0"/>
    <x v="0"/>
    <x v="0"/>
    <x v="0"/>
    <d v="2019-03-13T14:38:44"/>
    <d v="2019-03-14T14:38:44"/>
    <d v="2019-03-20T14:38:44"/>
    <x v="2"/>
    <n v="0"/>
    <n v="126"/>
    <n v="883"/>
  </r>
  <r>
    <n v="229262"/>
    <x v="1"/>
    <s v="Bangalore"/>
    <x v="2"/>
    <s v=" DL"/>
    <x v="2"/>
    <x v="0"/>
    <x v="0"/>
    <x v="0"/>
    <d v="2019-03-13T14:57:30"/>
    <d v="2019-03-20T14:57:30"/>
    <d v="2019-03-19T14:57:30"/>
    <x v="8"/>
    <n v="34"/>
    <n v="124"/>
    <n v="3639.429414758034"/>
  </r>
  <r>
    <n v="351704"/>
    <x v="1"/>
    <s v="Bangalore"/>
    <x v="3"/>
    <s v=" KA"/>
    <x v="0"/>
    <x v="0"/>
    <x v="0"/>
    <x v="0"/>
    <d v="2019-03-13T15:00:30"/>
    <d v="2019-03-13T15:00:30"/>
    <d v="2019-03-19T15:00:30"/>
    <x v="10"/>
    <n v="0"/>
    <n v="129"/>
    <n v="519"/>
  </r>
  <r>
    <n v="372892"/>
    <x v="1"/>
    <s v="Delhi"/>
    <x v="1"/>
    <s v=" TN"/>
    <x v="0"/>
    <x v="0"/>
    <x v="0"/>
    <x v="0"/>
    <d v="2019-03-13T15:31:11"/>
    <d v="2019-03-17T15:31:11"/>
    <d v="2019-03-17T15:31:11"/>
    <x v="6"/>
    <n v="31"/>
    <n v="129"/>
    <n v="1356"/>
  </r>
  <r>
    <n v="466025"/>
    <x v="1"/>
    <s v="Delhi"/>
    <x v="1"/>
    <s v=" TN"/>
    <x v="1"/>
    <x v="0"/>
    <x v="2"/>
    <x v="0"/>
    <d v="2019-03-13T15:33:30"/>
    <d v="2019-03-17T15:33:30"/>
    <d v="2019-03-16T15:33:30"/>
    <x v="6"/>
    <n v="28"/>
    <n v="128"/>
    <n v="1430"/>
  </r>
  <r>
    <n v="756597"/>
    <x v="1"/>
    <s v="Bangalore"/>
    <x v="0"/>
    <s v=" MH"/>
    <x v="1"/>
    <x v="0"/>
    <x v="1"/>
    <x v="1"/>
    <d v="2019-03-13T16:08:02"/>
    <d v="2019-03-20T16:08:02"/>
    <d v="2019-03-18T16:08:02"/>
    <x v="8"/>
    <n v="27"/>
    <n v="106"/>
    <n v="2026.7149752317723"/>
  </r>
  <r>
    <n v="765191"/>
    <x v="1"/>
    <s v="Delhi"/>
    <x v="0"/>
    <s v=" MH"/>
    <x v="1"/>
    <x v="0"/>
    <x v="2"/>
    <x v="0"/>
    <d v="2019-03-13T16:30:47"/>
    <d v="2019-03-17T16:30:47"/>
    <d v="2019-03-19T16:30:47"/>
    <x v="6"/>
    <n v="45"/>
    <n v="111"/>
    <n v="2312"/>
  </r>
  <r>
    <n v="645308"/>
    <x v="1"/>
    <s v="Delhi"/>
    <x v="4"/>
    <s v=" WB"/>
    <x v="0"/>
    <x v="0"/>
    <x v="0"/>
    <x v="0"/>
    <d v="2019-03-13T16:55:25"/>
    <d v="2019-03-22T16:55:25"/>
    <d v="2019-03-16T16:55:25"/>
    <x v="1"/>
    <n v="49"/>
    <n v="109"/>
    <n v="3062.3732491866917"/>
  </r>
  <r>
    <n v="220747"/>
    <x v="1"/>
    <s v="Delhi"/>
    <x v="1"/>
    <s v=" TN"/>
    <x v="0"/>
    <x v="0"/>
    <x v="1"/>
    <x v="0"/>
    <d v="2019-03-13T16:56:16"/>
    <d v="2019-03-21T16:56:16"/>
    <d v="2019-03-20T16:56:16"/>
    <x v="5"/>
    <n v="69"/>
    <n v="109"/>
    <n v="980"/>
  </r>
  <r>
    <n v="309094"/>
    <x v="1"/>
    <s v="Delhi"/>
    <x v="4"/>
    <s v=" WB"/>
    <x v="2"/>
    <x v="0"/>
    <x v="0"/>
    <x v="0"/>
    <d v="2019-03-13T17:05:51"/>
    <d v="2019-03-19T17:05:51"/>
    <d v="2019-03-17T17:05:51"/>
    <x v="3"/>
    <n v="44"/>
    <n v="114"/>
    <n v="308.42167536845835"/>
  </r>
  <r>
    <n v="882741"/>
    <x v="1"/>
    <s v="Bangalore"/>
    <x v="4"/>
    <s v=" WB"/>
    <x v="1"/>
    <x v="0"/>
    <x v="1"/>
    <x v="1"/>
    <d v="2019-03-13T17:30:10"/>
    <d v="2019-03-15T17:30:10"/>
    <d v="2019-03-19T17:30:10"/>
    <x v="0"/>
    <n v="45"/>
    <n v="107"/>
    <n v="441.2648704673453"/>
  </r>
  <r>
    <n v="354469"/>
    <x v="1"/>
    <s v="Bangalore"/>
    <x v="4"/>
    <s v=" WB"/>
    <x v="1"/>
    <x v="0"/>
    <x v="1"/>
    <x v="0"/>
    <d v="2019-03-13T18:24:49"/>
    <d v="2019-03-20T18:24:49"/>
    <d v="2019-03-16T18:24:49"/>
    <x v="8"/>
    <n v="40"/>
    <n v="110"/>
    <n v="1077"/>
  </r>
  <r>
    <n v="509355"/>
    <x v="1"/>
    <s v="Bangalore"/>
    <x v="2"/>
    <s v=" DL"/>
    <x v="1"/>
    <x v="0"/>
    <x v="2"/>
    <x v="1"/>
    <d v="2019-03-13T18:42:14"/>
    <d v="2019-03-19T18:42:14"/>
    <d v="2019-03-17T18:42:14"/>
    <x v="3"/>
    <n v="26"/>
    <n v="128"/>
    <n v="2371"/>
  </r>
  <r>
    <n v="451145"/>
    <x v="1"/>
    <s v="Delhi"/>
    <x v="2"/>
    <s v=" DL"/>
    <x v="1"/>
    <x v="0"/>
    <x v="1"/>
    <x v="0"/>
    <d v="2019-03-13T18:57:56"/>
    <d v="2019-03-16T18:57:56"/>
    <d v="2019-03-19T18:57:56"/>
    <x v="4"/>
    <n v="0"/>
    <n v="121"/>
    <n v="2428"/>
  </r>
  <r>
    <n v="788790"/>
    <x v="1"/>
    <s v="Delhi"/>
    <x v="4"/>
    <s v=" WB"/>
    <x v="0"/>
    <x v="0"/>
    <x v="0"/>
    <x v="1"/>
    <d v="2019-03-13T19:14:22"/>
    <d v="2019-03-17T19:14:22"/>
    <d v="2019-03-19T19:14:22"/>
    <x v="6"/>
    <n v="79"/>
    <n v="92"/>
    <n v="1160.0039530296433"/>
  </r>
  <r>
    <n v="133306"/>
    <x v="1"/>
    <s v="Bangalore"/>
    <x v="0"/>
    <s v=" MH"/>
    <x v="2"/>
    <x v="0"/>
    <x v="0"/>
    <x v="0"/>
    <d v="2019-03-13T19:24:59"/>
    <d v="2019-03-19T19:24:59"/>
    <d v="2019-03-18T19:24:59"/>
    <x v="3"/>
    <n v="50"/>
    <n v="113"/>
    <n v="1910.9247965833652"/>
  </r>
  <r>
    <n v="216925"/>
    <x v="1"/>
    <s v="Bangalore"/>
    <x v="0"/>
    <s v=" MH"/>
    <x v="1"/>
    <x v="0"/>
    <x v="1"/>
    <x v="0"/>
    <d v="2019-03-13T19:41:43"/>
    <d v="2019-03-18T19:41:43"/>
    <d v="2019-03-18T19:41:43"/>
    <x v="9"/>
    <n v="46"/>
    <n v="110"/>
    <n v="1434.0836658864491"/>
  </r>
  <r>
    <n v="885360"/>
    <x v="1"/>
    <s v="Bangalore"/>
    <x v="4"/>
    <s v=" WB"/>
    <x v="0"/>
    <x v="0"/>
    <x v="0"/>
    <x v="1"/>
    <d v="2019-03-13T19:44:49"/>
    <d v="2019-03-20T19:44:49"/>
    <d v="2019-03-17T19:44:49"/>
    <x v="8"/>
    <n v="26"/>
    <n v="109"/>
    <n v="3561.9157014781917"/>
  </r>
  <r>
    <n v="811306"/>
    <x v="1"/>
    <s v="Delhi"/>
    <x v="4"/>
    <s v=" WB"/>
    <x v="0"/>
    <x v="0"/>
    <x v="0"/>
    <x v="0"/>
    <d v="2019-03-13T19:58:22"/>
    <d v="2019-03-22T19:58:22"/>
    <d v="2019-03-20T19:58:22"/>
    <x v="1"/>
    <n v="67"/>
    <n v="90"/>
    <n v="1972.566558519093"/>
  </r>
  <r>
    <n v="439996"/>
    <x v="1"/>
    <s v="Bangalore"/>
    <x v="0"/>
    <s v=" MH"/>
    <x v="0"/>
    <x v="0"/>
    <x v="0"/>
    <x v="0"/>
    <d v="2019-03-13T19:59:13"/>
    <d v="2019-03-19T19:59:13"/>
    <d v="2019-03-19T19:59:13"/>
    <x v="3"/>
    <n v="42"/>
    <n v="109"/>
    <n v="1845.419614320112"/>
  </r>
  <r>
    <n v="71395"/>
    <x v="1"/>
    <s v="Delhi"/>
    <x v="0"/>
    <s v=" MH"/>
    <x v="1"/>
    <x v="0"/>
    <x v="1"/>
    <x v="0"/>
    <d v="2019-03-13T20:13:27"/>
    <d v="2019-03-21T20:13:27"/>
    <d v="2019-03-16T20:13:27"/>
    <x v="5"/>
    <n v="33"/>
    <n v="107"/>
    <n v="3301"/>
  </r>
  <r>
    <n v="102565"/>
    <x v="1"/>
    <s v="Delhi"/>
    <x v="2"/>
    <s v=" DL"/>
    <x v="1"/>
    <x v="0"/>
    <x v="1"/>
    <x v="0"/>
    <d v="2019-03-13T20:14:30"/>
    <d v="2019-03-19T20:14:30"/>
    <d v="2019-03-19T20:14:30"/>
    <x v="3"/>
    <n v="0"/>
    <n v="123"/>
    <n v="732.78784707782245"/>
  </r>
  <r>
    <n v="429289"/>
    <x v="1"/>
    <s v="Delhi"/>
    <x v="3"/>
    <s v=" KA"/>
    <x v="1"/>
    <x v="0"/>
    <x v="2"/>
    <x v="0"/>
    <d v="2019-03-13T20:15:52"/>
    <d v="2019-03-19T20:15:52"/>
    <d v="2019-03-19T20:15:52"/>
    <x v="3"/>
    <n v="27"/>
    <n v="120"/>
    <n v="3368"/>
  </r>
  <r>
    <n v="969823"/>
    <x v="1"/>
    <s v="Delhi"/>
    <x v="0"/>
    <s v=" MH"/>
    <x v="1"/>
    <x v="0"/>
    <x v="1"/>
    <x v="0"/>
    <d v="2019-03-13T20:29:16"/>
    <d v="2019-03-19T20:29:16"/>
    <d v="2019-03-18T20:29:16"/>
    <x v="3"/>
    <n v="28"/>
    <n v="105"/>
    <n v="3215.5457342917457"/>
  </r>
  <r>
    <n v="79708"/>
    <x v="1"/>
    <s v="Delhi"/>
    <x v="2"/>
    <s v=" DL"/>
    <x v="0"/>
    <x v="0"/>
    <x v="0"/>
    <x v="0"/>
    <d v="2019-03-13T21:23:17"/>
    <d v="2019-03-18T21:23:17"/>
    <d v="2019-03-19T21:23:17"/>
    <x v="9"/>
    <n v="0"/>
    <n v="129"/>
    <n v="1053"/>
  </r>
  <r>
    <n v="194884"/>
    <x v="1"/>
    <s v="Bangalore"/>
    <x v="0"/>
    <s v=" MH"/>
    <x v="0"/>
    <x v="0"/>
    <x v="0"/>
    <x v="0"/>
    <d v="2019-03-13T21:34:13"/>
    <d v="2019-03-15T21:34:13"/>
    <d v="2019-03-19T21:34:13"/>
    <x v="0"/>
    <n v="50"/>
    <n v="114"/>
    <n v="2713.1076306692503"/>
  </r>
  <r>
    <n v="537846"/>
    <x v="1"/>
    <s v="Delhi"/>
    <x v="0"/>
    <s v=" MH"/>
    <x v="0"/>
    <x v="0"/>
    <x v="0"/>
    <x v="1"/>
    <d v="2019-03-13T21:42:08"/>
    <d v="2019-03-19T21:42:08"/>
    <d v="2019-03-19T21:42:08"/>
    <x v="3"/>
    <n v="59"/>
    <n v="88"/>
    <n v="2090"/>
  </r>
  <r>
    <n v="724320"/>
    <x v="1"/>
    <s v="Delhi"/>
    <x v="0"/>
    <s v=" MH"/>
    <x v="0"/>
    <x v="0"/>
    <x v="0"/>
    <x v="1"/>
    <d v="2019-03-13T22:02:41"/>
    <d v="2019-03-19T22:02:41"/>
    <d v="2019-03-18T22:02:41"/>
    <x v="3"/>
    <n v="26"/>
    <n v="106"/>
    <n v="991.5595497917036"/>
  </r>
  <r>
    <n v="564307"/>
    <x v="1"/>
    <s v="Bangalore"/>
    <x v="2"/>
    <s v=" DL"/>
    <x v="1"/>
    <x v="0"/>
    <x v="1"/>
    <x v="0"/>
    <d v="2019-03-13T22:08:59"/>
    <d v="2019-03-21T22:08:59"/>
    <d v="2019-03-17T22:08:59"/>
    <x v="5"/>
    <n v="30"/>
    <n v="123"/>
    <n v="342.95722289472104"/>
  </r>
  <r>
    <n v="247049"/>
    <x v="1"/>
    <s v="Bangalore"/>
    <x v="3"/>
    <s v=" KA"/>
    <x v="0"/>
    <x v="0"/>
    <x v="1"/>
    <x v="0"/>
    <d v="2019-03-13T22:13:57"/>
    <d v="2019-03-14T22:13:57"/>
    <d v="2019-03-16T22:13:57"/>
    <x v="2"/>
    <n v="0"/>
    <n v="103"/>
    <n v="1239.2893642382542"/>
  </r>
  <r>
    <n v="932908"/>
    <x v="1"/>
    <s v="Delhi"/>
    <x v="3"/>
    <s v=" KA"/>
    <x v="0"/>
    <x v="0"/>
    <x v="0"/>
    <x v="0"/>
    <d v="2019-03-13T22:59:48"/>
    <d v="2019-03-19T22:59:48"/>
    <d v="2019-03-16T22:59:48"/>
    <x v="3"/>
    <n v="40"/>
    <n v="122"/>
    <n v="379.64664426716183"/>
  </r>
  <r>
    <n v="686141"/>
    <x v="1"/>
    <s v="Delhi"/>
    <x v="0"/>
    <s v=" MH"/>
    <x v="1"/>
    <x v="0"/>
    <x v="1"/>
    <x v="0"/>
    <d v="2019-03-13T23:01:59"/>
    <d v="2019-03-19T23:01:59"/>
    <d v="2019-03-16T23:01:59"/>
    <x v="3"/>
    <n v="35"/>
    <n v="112"/>
    <n v="3246.7561007138092"/>
  </r>
  <r>
    <n v="590938"/>
    <x v="1"/>
    <s v="Delhi"/>
    <x v="4"/>
    <s v=" WB"/>
    <x v="2"/>
    <x v="0"/>
    <x v="0"/>
    <x v="0"/>
    <d v="2019-03-13T23:22:24"/>
    <d v="2019-03-15T23:22:24"/>
    <d v="2019-03-19T23:22:24"/>
    <x v="0"/>
    <n v="26"/>
    <n v="114"/>
    <n v="3450.1197369873057"/>
  </r>
  <r>
    <n v="221709"/>
    <x v="1"/>
    <s v="Delhi"/>
    <x v="0"/>
    <s v=" MH"/>
    <x v="1"/>
    <x v="0"/>
    <x v="1"/>
    <x v="1"/>
    <d v="2019-03-13T23:52:15"/>
    <d v="2019-03-20T23:52:15"/>
    <d v="2019-03-18T23:52:15"/>
    <x v="8"/>
    <n v="43"/>
    <n v="106"/>
    <n v="557.53992586331071"/>
  </r>
  <r>
    <n v="275466"/>
    <x v="1"/>
    <s v="Delhi"/>
    <x v="0"/>
    <s v=" MH"/>
    <x v="2"/>
    <x v="0"/>
    <x v="0"/>
    <x v="1"/>
    <d v="2019-03-13T23:59:57"/>
    <d v="2019-03-18T23:59:57"/>
    <d v="2019-03-16T23:59:57"/>
    <x v="9"/>
    <n v="48"/>
    <n v="108"/>
    <n v="2951.4576141534276"/>
  </r>
  <r>
    <n v="667504"/>
    <x v="1"/>
    <s v="Bangalore"/>
    <x v="3"/>
    <s v=" KA"/>
    <x v="0"/>
    <x v="0"/>
    <x v="0"/>
    <x v="0"/>
    <d v="2019-03-14T00:07:20"/>
    <d v="2019-03-19T00:07:20"/>
    <d v="2019-03-19T00:07:20"/>
    <x v="9"/>
    <n v="0"/>
    <n v="129"/>
    <n v="2006"/>
  </r>
  <r>
    <n v="399058"/>
    <x v="1"/>
    <s v="Bangalore"/>
    <x v="1"/>
    <s v=" TN"/>
    <x v="0"/>
    <x v="0"/>
    <x v="0"/>
    <x v="0"/>
    <d v="2019-03-14T00:07:54"/>
    <d v="2019-03-21T00:07:54"/>
    <d v="2019-03-17T00:07:54"/>
    <x v="8"/>
    <n v="80"/>
    <n v="107"/>
    <n v="1794"/>
  </r>
  <r>
    <n v="325328"/>
    <x v="1"/>
    <s v="Delhi"/>
    <x v="4"/>
    <s v=" WB"/>
    <x v="0"/>
    <x v="0"/>
    <x v="0"/>
    <x v="0"/>
    <d v="2019-03-14T00:20:32"/>
    <d v="2019-03-19T00:20:32"/>
    <d v="2019-03-17T00:20:32"/>
    <x v="9"/>
    <n v="64"/>
    <n v="87"/>
    <n v="2168"/>
  </r>
  <r>
    <n v="121518"/>
    <x v="1"/>
    <s v="Bangalore"/>
    <x v="2"/>
    <s v=" DL"/>
    <x v="2"/>
    <x v="0"/>
    <x v="0"/>
    <x v="1"/>
    <d v="2019-03-14T00:28:31"/>
    <d v="2019-03-18T00:28:31"/>
    <d v="2019-03-19T00:28:31"/>
    <x v="6"/>
    <n v="46"/>
    <n v="121"/>
    <n v="1748.0401041869577"/>
  </r>
  <r>
    <n v="544293"/>
    <x v="1"/>
    <s v="Delhi"/>
    <x v="0"/>
    <s v=" MH"/>
    <x v="1"/>
    <x v="0"/>
    <x v="1"/>
    <x v="1"/>
    <d v="2019-03-14T02:48:43"/>
    <d v="2019-03-23T02:48:43"/>
    <d v="2019-03-19T02:48:43"/>
    <x v="1"/>
    <n v="47"/>
    <n v="109"/>
    <n v="2073"/>
  </r>
  <r>
    <n v="818010"/>
    <x v="1"/>
    <s v="Delhi"/>
    <x v="0"/>
    <s v=" MH"/>
    <x v="2"/>
    <x v="0"/>
    <x v="0"/>
    <x v="1"/>
    <d v="2019-03-14T02:52:30"/>
    <d v="2019-03-17T02:52:30"/>
    <d v="2019-03-19T02:52:30"/>
    <x v="4"/>
    <n v="31"/>
    <n v="113"/>
    <n v="3768.1192276212946"/>
  </r>
  <r>
    <n v="908050"/>
    <x v="1"/>
    <s v="Delhi"/>
    <x v="2"/>
    <s v=" DL"/>
    <x v="0"/>
    <x v="0"/>
    <x v="0"/>
    <x v="0"/>
    <d v="2019-03-14T02:59:26"/>
    <d v="2019-03-14T02:59:26"/>
    <d v="2019-03-17T02:59:26"/>
    <x v="10"/>
    <n v="0"/>
    <n v="104"/>
    <n v="2982.5911933703724"/>
  </r>
  <r>
    <n v="800151"/>
    <x v="1"/>
    <s v="Delhi"/>
    <x v="1"/>
    <s v=" TN"/>
    <x v="1"/>
    <x v="0"/>
    <x v="1"/>
    <x v="1"/>
    <d v="2019-03-14T03:19:45"/>
    <d v="2019-03-16T03:19:45"/>
    <d v="2019-03-18T03:19:45"/>
    <x v="0"/>
    <n v="33"/>
    <n v="124"/>
    <n v="3598"/>
  </r>
  <r>
    <n v="82942"/>
    <x v="1"/>
    <s v="Bangalore"/>
    <x v="0"/>
    <s v=" MH"/>
    <x v="0"/>
    <x v="0"/>
    <x v="0"/>
    <x v="0"/>
    <d v="2019-03-14T03:41:12"/>
    <d v="2019-03-19T03:41:12"/>
    <d v="2019-03-21T03:41:12"/>
    <x v="9"/>
    <n v="70"/>
    <n v="86"/>
    <n v="3490"/>
  </r>
  <r>
    <n v="706660"/>
    <x v="1"/>
    <s v="Delhi"/>
    <x v="4"/>
    <s v=" WB"/>
    <x v="0"/>
    <x v="0"/>
    <x v="0"/>
    <x v="0"/>
    <d v="2019-03-14T03:43:20"/>
    <d v="2019-03-23T03:43:20"/>
    <d v="2019-03-18T03:43:20"/>
    <x v="1"/>
    <n v="35"/>
    <n v="110"/>
    <n v="1492.0448092387339"/>
  </r>
  <r>
    <n v="123588"/>
    <x v="1"/>
    <s v="Delhi"/>
    <x v="4"/>
    <s v=" WB"/>
    <x v="0"/>
    <x v="0"/>
    <x v="0"/>
    <x v="1"/>
    <d v="2019-03-14T05:29:43"/>
    <d v="2019-03-19T05:29:43"/>
    <d v="2019-03-20T05:29:43"/>
    <x v="9"/>
    <n v="82"/>
    <n v="92"/>
    <n v="876"/>
  </r>
  <r>
    <n v="732363"/>
    <x v="1"/>
    <s v="Bangalore"/>
    <x v="0"/>
    <s v=" MH"/>
    <x v="1"/>
    <x v="0"/>
    <x v="1"/>
    <x v="1"/>
    <d v="2019-03-14T06:44:46"/>
    <d v="2019-03-21T06:44:46"/>
    <d v="2019-03-17T06:44:46"/>
    <x v="8"/>
    <n v="26"/>
    <n v="111"/>
    <n v="2915"/>
  </r>
  <r>
    <n v="35524"/>
    <x v="1"/>
    <s v="Bangalore"/>
    <x v="2"/>
    <s v=" DL"/>
    <x v="0"/>
    <x v="0"/>
    <x v="0"/>
    <x v="0"/>
    <d v="2019-03-14T07:01:18"/>
    <d v="2019-03-16T07:01:18"/>
    <d v="2019-03-20T07:01:18"/>
    <x v="0"/>
    <n v="32"/>
    <n v="129"/>
    <n v="1137.601870171424"/>
  </r>
  <r>
    <n v="873669"/>
    <x v="1"/>
    <s v="Delhi"/>
    <x v="1"/>
    <s v=" TN"/>
    <x v="1"/>
    <x v="0"/>
    <x v="1"/>
    <x v="1"/>
    <d v="2019-03-14T07:25:40"/>
    <d v="2019-03-18T07:25:40"/>
    <d v="2019-03-20T07:25:40"/>
    <x v="6"/>
    <n v="25"/>
    <n v="122"/>
    <n v="2647.7169959641324"/>
  </r>
  <r>
    <n v="588587"/>
    <x v="1"/>
    <s v="Bangalore"/>
    <x v="2"/>
    <s v=" DL"/>
    <x v="1"/>
    <x v="0"/>
    <x v="1"/>
    <x v="0"/>
    <d v="2019-03-14T07:29:20"/>
    <d v="2019-03-22T07:29:20"/>
    <d v="2019-03-20T07:29:20"/>
    <x v="5"/>
    <n v="38"/>
    <n v="123"/>
    <n v="2330"/>
  </r>
  <r>
    <n v="882701"/>
    <x v="1"/>
    <s v="Delhi"/>
    <x v="1"/>
    <s v=" TN"/>
    <x v="1"/>
    <x v="0"/>
    <x v="1"/>
    <x v="0"/>
    <d v="2019-03-14T08:05:36"/>
    <d v="2019-03-17T08:05:36"/>
    <d v="2019-03-20T08:05:36"/>
    <x v="4"/>
    <n v="45"/>
    <n v="125"/>
    <n v="1474.0669769471981"/>
  </r>
  <r>
    <n v="177852"/>
    <x v="1"/>
    <s v="Bangalore"/>
    <x v="0"/>
    <s v=" MH"/>
    <x v="0"/>
    <x v="0"/>
    <x v="0"/>
    <x v="1"/>
    <d v="2019-03-14T08:21:11"/>
    <d v="2019-03-20T08:21:11"/>
    <d v="2019-03-18T08:21:11"/>
    <x v="3"/>
    <n v="29"/>
    <n v="111"/>
    <n v="2746"/>
  </r>
  <r>
    <n v="31702"/>
    <x v="1"/>
    <s v="Bangalore"/>
    <x v="3"/>
    <s v=" KA"/>
    <x v="2"/>
    <x v="0"/>
    <x v="0"/>
    <x v="0"/>
    <d v="2019-03-14T08:56:13"/>
    <d v="2019-03-20T08:56:13"/>
    <d v="2019-03-19T08:56:13"/>
    <x v="3"/>
    <n v="0"/>
    <n v="121"/>
    <n v="1192.4088161996308"/>
  </r>
  <r>
    <n v="26051"/>
    <x v="1"/>
    <s v="Bangalore"/>
    <x v="0"/>
    <s v=" MH"/>
    <x v="1"/>
    <x v="0"/>
    <x v="1"/>
    <x v="0"/>
    <d v="2019-03-14T09:58:48"/>
    <d v="2019-03-23T09:58:48"/>
    <d v="2019-03-18T09:58:48"/>
    <x v="1"/>
    <n v="33"/>
    <n v="112"/>
    <n v="1370.009544975215"/>
  </r>
  <r>
    <n v="764179"/>
    <x v="1"/>
    <s v="Delhi"/>
    <x v="2"/>
    <s v=" DL"/>
    <x v="1"/>
    <x v="0"/>
    <x v="1"/>
    <x v="0"/>
    <d v="2019-03-14T10:09:29"/>
    <d v="2019-03-15T10:09:29"/>
    <d v="2019-03-20T10:09:29"/>
    <x v="2"/>
    <n v="0"/>
    <n v="130"/>
    <n v="1346.7708850689564"/>
  </r>
  <r>
    <n v="341082"/>
    <x v="1"/>
    <s v="Bangalore"/>
    <x v="3"/>
    <s v=" KA"/>
    <x v="0"/>
    <x v="0"/>
    <x v="0"/>
    <x v="1"/>
    <d v="2019-03-14T11:26:56"/>
    <d v="2019-03-14T11:26:56"/>
    <d v="2019-03-21T11:26:56"/>
    <x v="10"/>
    <n v="0"/>
    <n v="110"/>
    <n v="1978.7792956232031"/>
  </r>
  <r>
    <n v="572705"/>
    <x v="1"/>
    <s v="Bangalore"/>
    <x v="4"/>
    <s v=" WB"/>
    <x v="1"/>
    <x v="0"/>
    <x v="2"/>
    <x v="0"/>
    <d v="2019-03-14T11:51:13"/>
    <d v="2019-03-16T11:51:13"/>
    <d v="2019-03-20T11:51:13"/>
    <x v="0"/>
    <n v="41"/>
    <n v="108"/>
    <n v="1910"/>
  </r>
  <r>
    <n v="285284"/>
    <x v="1"/>
    <s v="Bangalore"/>
    <x v="0"/>
    <s v=" MH"/>
    <x v="0"/>
    <x v="0"/>
    <x v="0"/>
    <x v="0"/>
    <d v="2019-03-14T11:57:41"/>
    <d v="2019-03-20T11:57:41"/>
    <d v="2019-03-20T11:57:41"/>
    <x v="3"/>
    <n v="27"/>
    <n v="110"/>
    <n v="3066"/>
  </r>
  <r>
    <n v="458600"/>
    <x v="1"/>
    <s v="Delhi"/>
    <x v="2"/>
    <s v=" DL"/>
    <x v="0"/>
    <x v="0"/>
    <x v="0"/>
    <x v="0"/>
    <d v="2019-03-14T12:27:23"/>
    <d v="2019-03-15T12:27:23"/>
    <d v="2019-03-18T12:27:23"/>
    <x v="2"/>
    <n v="0"/>
    <n v="121"/>
    <n v="2830.0752392883724"/>
  </r>
  <r>
    <n v="567766"/>
    <x v="1"/>
    <s v="Bangalore"/>
    <x v="4"/>
    <s v=" WB"/>
    <x v="2"/>
    <x v="0"/>
    <x v="0"/>
    <x v="0"/>
    <d v="2019-03-14T12:36:42"/>
    <d v="2019-03-18T12:36:42"/>
    <d v="2019-03-18T12:36:42"/>
    <x v="6"/>
    <n v="28"/>
    <n v="106"/>
    <n v="2118.8797068795143"/>
  </r>
  <r>
    <n v="872028"/>
    <x v="1"/>
    <s v="Delhi"/>
    <x v="0"/>
    <s v=" MH"/>
    <x v="0"/>
    <x v="0"/>
    <x v="0"/>
    <x v="1"/>
    <d v="2019-03-14T13:09:29"/>
    <d v="2019-03-18T13:09:29"/>
    <d v="2019-03-19T13:09:29"/>
    <x v="6"/>
    <n v="77"/>
    <n v="86"/>
    <n v="1478.2498086536016"/>
  </r>
  <r>
    <n v="380560"/>
    <x v="1"/>
    <s v="Delhi"/>
    <x v="4"/>
    <s v=" WB"/>
    <x v="0"/>
    <x v="0"/>
    <x v="0"/>
    <x v="0"/>
    <d v="2019-03-14T13:16:34"/>
    <d v="2019-03-18T13:16:34"/>
    <d v="2019-03-17T13:16:34"/>
    <x v="6"/>
    <n v="38"/>
    <n v="114"/>
    <n v="218.53266109888116"/>
  </r>
  <r>
    <n v="968320"/>
    <x v="1"/>
    <s v="Delhi"/>
    <x v="4"/>
    <s v=" WB"/>
    <x v="0"/>
    <x v="0"/>
    <x v="0"/>
    <x v="0"/>
    <d v="2019-03-14T13:51:46"/>
    <d v="2019-03-22T13:51:46"/>
    <d v="2019-03-18T13:51:46"/>
    <x v="5"/>
    <n v="45"/>
    <n v="110"/>
    <n v="2718.5722734654064"/>
  </r>
  <r>
    <n v="793238"/>
    <x v="1"/>
    <s v="Delhi"/>
    <x v="0"/>
    <s v=" MH"/>
    <x v="2"/>
    <x v="0"/>
    <x v="0"/>
    <x v="0"/>
    <d v="2019-03-14T14:43:32"/>
    <d v="2019-03-19T14:43:32"/>
    <d v="2019-03-18T14:43:32"/>
    <x v="9"/>
    <n v="49"/>
    <n v="113"/>
    <n v="3604.0786395137743"/>
  </r>
  <r>
    <n v="521006"/>
    <x v="1"/>
    <s v="Bangalore"/>
    <x v="0"/>
    <s v=" MH"/>
    <x v="2"/>
    <x v="0"/>
    <x v="0"/>
    <x v="0"/>
    <d v="2019-03-14T15:23:31"/>
    <d v="2019-03-18T15:23:31"/>
    <d v="2019-03-18T15:23:31"/>
    <x v="6"/>
    <n v="42"/>
    <n v="108"/>
    <n v="1424.5950035216283"/>
  </r>
  <r>
    <n v="558026"/>
    <x v="1"/>
    <s v="Bangalore"/>
    <x v="4"/>
    <s v=" WB"/>
    <x v="0"/>
    <x v="0"/>
    <x v="0"/>
    <x v="0"/>
    <d v="2019-03-14T15:26:31"/>
    <d v="2019-03-21T15:26:31"/>
    <d v="2019-03-21T15:26:31"/>
    <x v="8"/>
    <n v="71"/>
    <n v="85"/>
    <n v="1965"/>
  </r>
  <r>
    <n v="451605"/>
    <x v="1"/>
    <s v="Bangalore"/>
    <x v="2"/>
    <s v=" DL"/>
    <x v="0"/>
    <x v="0"/>
    <x v="2"/>
    <x v="1"/>
    <d v="2019-03-14T15:47:01"/>
    <d v="2019-03-16T15:47:01"/>
    <d v="2019-03-18T15:47:01"/>
    <x v="0"/>
    <n v="68"/>
    <n v="104"/>
    <n v="3017.7284179809276"/>
  </r>
  <r>
    <n v="585333"/>
    <x v="1"/>
    <s v="Delhi"/>
    <x v="3"/>
    <s v=" KA"/>
    <x v="1"/>
    <x v="0"/>
    <x v="2"/>
    <x v="1"/>
    <d v="2019-03-14T16:10:43"/>
    <d v="2019-03-23T16:10:43"/>
    <d v="2019-03-17T16:10:43"/>
    <x v="1"/>
    <n v="47"/>
    <n v="129"/>
    <n v="1697"/>
  </r>
  <r>
    <n v="196425"/>
    <x v="1"/>
    <s v="Delhi"/>
    <x v="0"/>
    <s v=" MH"/>
    <x v="1"/>
    <x v="0"/>
    <x v="1"/>
    <x v="1"/>
    <d v="2019-03-14T16:12:04"/>
    <d v="2019-03-21T16:12:04"/>
    <d v="2019-03-21T16:12:04"/>
    <x v="8"/>
    <n v="38"/>
    <n v="111"/>
    <n v="2276.8135746010244"/>
  </r>
  <r>
    <n v="427447"/>
    <x v="1"/>
    <s v="Bangalore"/>
    <x v="3"/>
    <s v=" KA"/>
    <x v="1"/>
    <x v="0"/>
    <x v="1"/>
    <x v="0"/>
    <d v="2019-03-14T16:21:12"/>
    <d v="2019-03-19T16:21:12"/>
    <d v="2019-03-21T16:21:12"/>
    <x v="9"/>
    <n v="0"/>
    <n v="127"/>
    <n v="313.82090790600273"/>
  </r>
  <r>
    <n v="112038"/>
    <x v="1"/>
    <s v="Bangalore"/>
    <x v="2"/>
    <s v=" DL"/>
    <x v="2"/>
    <x v="0"/>
    <x v="0"/>
    <x v="1"/>
    <d v="2019-03-14T17:08:42"/>
    <d v="2019-03-23T17:08:42"/>
    <d v="2019-03-17T17:08:42"/>
    <x v="1"/>
    <n v="40"/>
    <n v="130"/>
    <n v="3120"/>
  </r>
  <r>
    <n v="866153"/>
    <x v="1"/>
    <s v="Delhi"/>
    <x v="4"/>
    <s v=" WB"/>
    <x v="1"/>
    <x v="0"/>
    <x v="1"/>
    <x v="0"/>
    <d v="2019-03-14T17:18:22"/>
    <d v="2019-03-16T17:18:22"/>
    <d v="2019-03-21T17:18:22"/>
    <x v="0"/>
    <n v="37"/>
    <n v="114"/>
    <n v="1141"/>
  </r>
  <r>
    <n v="803551"/>
    <x v="1"/>
    <s v="Delhi"/>
    <x v="3"/>
    <s v=" KA"/>
    <x v="0"/>
    <x v="0"/>
    <x v="2"/>
    <x v="0"/>
    <d v="2019-03-14T17:25:15"/>
    <d v="2019-03-17T17:25:15"/>
    <d v="2019-03-19T17:25:15"/>
    <x v="4"/>
    <n v="90"/>
    <n v="105"/>
    <n v="473.17080412412719"/>
  </r>
  <r>
    <n v="83159"/>
    <x v="1"/>
    <s v="Bangalore"/>
    <x v="4"/>
    <s v=" WB"/>
    <x v="0"/>
    <x v="0"/>
    <x v="1"/>
    <x v="0"/>
    <d v="2019-03-14T17:34:42"/>
    <d v="2019-03-20T17:34:42"/>
    <d v="2019-03-19T17:34:42"/>
    <x v="3"/>
    <n v="81"/>
    <n v="88"/>
    <n v="930.42010041215451"/>
  </r>
  <r>
    <n v="249981"/>
    <x v="1"/>
    <s v="Bangalore"/>
    <x v="0"/>
    <s v=" MH"/>
    <x v="1"/>
    <x v="0"/>
    <x v="1"/>
    <x v="1"/>
    <d v="2019-03-14T18:09:42"/>
    <d v="2019-03-19T18:09:42"/>
    <d v="2019-03-19T18:09:42"/>
    <x v="9"/>
    <n v="44"/>
    <n v="111"/>
    <n v="2068"/>
  </r>
  <r>
    <n v="528870"/>
    <x v="1"/>
    <s v="Bangalore"/>
    <x v="0"/>
    <s v=" MH"/>
    <x v="2"/>
    <x v="0"/>
    <x v="0"/>
    <x v="1"/>
    <d v="2019-03-14T18:52:13"/>
    <d v="2019-03-18T18:52:13"/>
    <d v="2019-03-19T18:52:13"/>
    <x v="6"/>
    <n v="45"/>
    <n v="105"/>
    <n v="2619"/>
  </r>
  <r>
    <n v="104249"/>
    <x v="1"/>
    <s v="Bangalore"/>
    <x v="3"/>
    <s v=" KA"/>
    <x v="1"/>
    <x v="0"/>
    <x v="1"/>
    <x v="0"/>
    <d v="2019-03-14T19:13:05"/>
    <d v="2019-03-14T19:13:05"/>
    <d v="2019-03-18T19:13:05"/>
    <x v="10"/>
    <n v="0"/>
    <n v="128"/>
    <n v="302.46858451130419"/>
  </r>
  <r>
    <n v="818149"/>
    <x v="1"/>
    <s v="Delhi"/>
    <x v="1"/>
    <s v=" TN"/>
    <x v="1"/>
    <x v="0"/>
    <x v="1"/>
    <x v="0"/>
    <d v="2019-03-14T19:32:25"/>
    <d v="2019-03-21T19:32:25"/>
    <d v="2019-03-21T19:32:25"/>
    <x v="8"/>
    <n v="27"/>
    <n v="127"/>
    <n v="1576"/>
  </r>
  <r>
    <n v="729866"/>
    <x v="1"/>
    <s v="Delhi"/>
    <x v="3"/>
    <s v=" KA"/>
    <x v="0"/>
    <x v="0"/>
    <x v="0"/>
    <x v="0"/>
    <d v="2019-03-14T19:49:05"/>
    <d v="2019-03-20T19:49:05"/>
    <d v="2019-03-21T19:49:05"/>
    <x v="3"/>
    <n v="70"/>
    <n v="100"/>
    <n v="350.41731971340158"/>
  </r>
  <r>
    <n v="553751"/>
    <x v="1"/>
    <s v="Bangalore"/>
    <x v="0"/>
    <s v=" MH"/>
    <x v="1"/>
    <x v="0"/>
    <x v="1"/>
    <x v="0"/>
    <d v="2019-03-14T19:57:00"/>
    <d v="2019-03-23T19:57:00"/>
    <d v="2019-03-18T19:57:00"/>
    <x v="1"/>
    <n v="37"/>
    <n v="113"/>
    <n v="1255"/>
  </r>
  <r>
    <n v="908951"/>
    <x v="1"/>
    <s v="Delhi"/>
    <x v="2"/>
    <s v=" DL"/>
    <x v="0"/>
    <x v="0"/>
    <x v="1"/>
    <x v="0"/>
    <d v="2019-03-14T20:07:55"/>
    <d v="2019-03-15T20:07:55"/>
    <d v="2019-03-17T20:07:55"/>
    <x v="2"/>
    <n v="0"/>
    <n v="103"/>
    <n v="3321.2256462776845"/>
  </r>
  <r>
    <n v="322668"/>
    <x v="1"/>
    <s v="Delhi"/>
    <x v="2"/>
    <s v=" DL"/>
    <x v="0"/>
    <x v="0"/>
    <x v="0"/>
    <x v="1"/>
    <d v="2019-03-14T20:16:50"/>
    <d v="2019-03-19T20:16:50"/>
    <d v="2019-03-20T20:16:50"/>
    <x v="9"/>
    <n v="0"/>
    <n v="130"/>
    <n v="617.78270929982205"/>
  </r>
  <r>
    <n v="989760"/>
    <x v="1"/>
    <s v="Delhi"/>
    <x v="2"/>
    <s v=" DL"/>
    <x v="0"/>
    <x v="0"/>
    <x v="0"/>
    <x v="1"/>
    <d v="2019-03-14T20:21:19"/>
    <d v="2019-03-16T20:21:19"/>
    <d v="2019-03-18T20:21:19"/>
    <x v="0"/>
    <n v="0"/>
    <n v="109"/>
    <n v="2173.1637416739022"/>
  </r>
  <r>
    <n v="460919"/>
    <x v="1"/>
    <s v="Bangalore"/>
    <x v="2"/>
    <s v=" DL"/>
    <x v="1"/>
    <x v="0"/>
    <x v="1"/>
    <x v="0"/>
    <d v="2019-03-14T20:23:35"/>
    <d v="2019-03-20T20:23:35"/>
    <d v="2019-03-19T20:23:35"/>
    <x v="3"/>
    <n v="38"/>
    <n v="125"/>
    <n v="2101.2926862348668"/>
  </r>
  <r>
    <n v="62181"/>
    <x v="1"/>
    <s v="Delhi"/>
    <x v="3"/>
    <s v=" KA"/>
    <x v="0"/>
    <x v="0"/>
    <x v="2"/>
    <x v="1"/>
    <d v="2019-03-14T20:42:57"/>
    <d v="2019-03-16T20:42:57"/>
    <d v="2019-03-19T20:42:57"/>
    <x v="0"/>
    <n v="69"/>
    <n v="105"/>
    <n v="3367.5849373930296"/>
  </r>
  <r>
    <n v="875700"/>
    <x v="1"/>
    <s v="Bangalore"/>
    <x v="4"/>
    <s v=" WB"/>
    <x v="0"/>
    <x v="0"/>
    <x v="0"/>
    <x v="1"/>
    <d v="2019-03-14T20:50:02"/>
    <d v="2019-03-23T20:50:02"/>
    <d v="2019-03-21T20:50:02"/>
    <x v="1"/>
    <n v="27"/>
    <n v="113"/>
    <n v="511.53216369815561"/>
  </r>
  <r>
    <n v="530586"/>
    <x v="1"/>
    <s v="Delhi"/>
    <x v="2"/>
    <s v=" DL"/>
    <x v="0"/>
    <x v="0"/>
    <x v="0"/>
    <x v="1"/>
    <d v="2019-03-14T20:52:23"/>
    <d v="2019-03-15T20:52:23"/>
    <d v="2019-03-21T20:52:23"/>
    <x v="2"/>
    <n v="0"/>
    <n v="106"/>
    <n v="1013.0825655996556"/>
  </r>
  <r>
    <n v="904073"/>
    <x v="1"/>
    <s v="Delhi"/>
    <x v="3"/>
    <s v=" KA"/>
    <x v="1"/>
    <x v="0"/>
    <x v="1"/>
    <x v="0"/>
    <d v="2019-03-14T21:15:24"/>
    <d v="2019-03-24T21:15:24"/>
    <d v="2019-03-20T21:15:24"/>
    <x v="7"/>
    <n v="31"/>
    <n v="120"/>
    <n v="3155.8027159462645"/>
  </r>
  <r>
    <n v="505084"/>
    <x v="1"/>
    <s v="Bangalore"/>
    <x v="2"/>
    <s v=" DL"/>
    <x v="0"/>
    <x v="0"/>
    <x v="0"/>
    <x v="0"/>
    <d v="2019-03-14T21:32:26"/>
    <d v="2019-03-18T21:32:26"/>
    <d v="2019-03-21T21:32:26"/>
    <x v="6"/>
    <n v="59"/>
    <n v="103"/>
    <n v="1209.7410922284134"/>
  </r>
  <r>
    <n v="826874"/>
    <x v="1"/>
    <s v="Delhi"/>
    <x v="2"/>
    <s v=" DL"/>
    <x v="0"/>
    <x v="0"/>
    <x v="0"/>
    <x v="0"/>
    <d v="2019-03-14T21:34:16"/>
    <d v="2019-03-14T21:34:16"/>
    <d v="2019-03-21T21:34:16"/>
    <x v="10"/>
    <n v="0"/>
    <n v="108"/>
    <n v="1835.6696434846424"/>
  </r>
  <r>
    <n v="126040"/>
    <x v="1"/>
    <s v="Delhi"/>
    <x v="3"/>
    <s v=" KA"/>
    <x v="0"/>
    <x v="0"/>
    <x v="0"/>
    <x v="0"/>
    <d v="2019-03-14T21:39:44"/>
    <d v="2019-03-19T21:39:44"/>
    <d v="2019-03-20T21:39:44"/>
    <x v="9"/>
    <n v="48"/>
    <n v="121"/>
    <n v="489"/>
  </r>
  <r>
    <n v="781937"/>
    <x v="1"/>
    <s v="Delhi"/>
    <x v="0"/>
    <s v=" MH"/>
    <x v="1"/>
    <x v="0"/>
    <x v="1"/>
    <x v="0"/>
    <d v="2019-03-14T21:53:18"/>
    <d v="2019-03-18T21:53:18"/>
    <d v="2019-03-17T21:53:18"/>
    <x v="6"/>
    <n v="26"/>
    <n v="111"/>
    <n v="1212.9566426027859"/>
  </r>
  <r>
    <n v="251026"/>
    <x v="1"/>
    <s v="Bangalore"/>
    <x v="2"/>
    <s v=" DL"/>
    <x v="2"/>
    <x v="0"/>
    <x v="0"/>
    <x v="0"/>
    <d v="2019-03-14T22:23:00"/>
    <d v="2019-03-20T22:23:00"/>
    <d v="2019-03-19T22:23:00"/>
    <x v="3"/>
    <n v="34"/>
    <n v="128"/>
    <n v="1547.0322194002604"/>
  </r>
  <r>
    <n v="406146"/>
    <x v="1"/>
    <s v="Bangalore"/>
    <x v="2"/>
    <s v=" DL"/>
    <x v="2"/>
    <x v="1"/>
    <x v="0"/>
    <x v="1"/>
    <d v="2019-03-01T01:42:47"/>
    <d v="2019-03-08T01:42:47"/>
    <d v="2019-03-04T01:42:47"/>
    <x v="8"/>
    <n v="41"/>
    <n v="121"/>
    <n v="919.47829556170109"/>
  </r>
  <r>
    <n v="783549"/>
    <x v="1"/>
    <s v="Delhi"/>
    <x v="2"/>
    <s v=" DL"/>
    <x v="0"/>
    <x v="1"/>
    <x v="1"/>
    <x v="1"/>
    <d v="2019-03-01T08:13:22"/>
    <d v="2019-03-01T08:13:22"/>
    <d v="2019-03-08T08:13:22"/>
    <x v="10"/>
    <n v="0"/>
    <n v="103"/>
    <n v="2763.7690658599654"/>
  </r>
  <r>
    <n v="320236"/>
    <x v="1"/>
    <s v="Bangalore"/>
    <x v="0"/>
    <s v=" MH"/>
    <x v="0"/>
    <x v="1"/>
    <x v="0"/>
    <x v="0"/>
    <d v="2019-03-01T08:28:46"/>
    <d v="2019-03-05T08:28:46"/>
    <d v="2019-03-07T08:28:46"/>
    <x v="6"/>
    <n v="38"/>
    <n v="115"/>
    <n v="632.45500378117595"/>
  </r>
  <r>
    <n v="453971"/>
    <x v="1"/>
    <s v="Bangalore"/>
    <x v="3"/>
    <s v=" KA"/>
    <x v="1"/>
    <x v="1"/>
    <x v="2"/>
    <x v="0"/>
    <d v="2019-03-01T09:16:30"/>
    <d v="2019-03-04T09:16:30"/>
    <d v="2019-03-06T09:16:30"/>
    <x v="4"/>
    <n v="0"/>
    <n v="127"/>
    <n v="3115.4662212335961"/>
  </r>
  <r>
    <n v="717941"/>
    <x v="1"/>
    <s v="Bangalore"/>
    <x v="2"/>
    <s v=" DL"/>
    <x v="0"/>
    <x v="1"/>
    <x v="2"/>
    <x v="0"/>
    <d v="2019-03-02T00:56:34"/>
    <d v="2019-03-07T00:56:34"/>
    <d v="2019-03-05T00:56:34"/>
    <x v="9"/>
    <n v="74"/>
    <n v="102"/>
    <n v="2928.4456717349867"/>
  </r>
  <r>
    <n v="201129"/>
    <x v="1"/>
    <s v="Bangalore"/>
    <x v="2"/>
    <s v=" DL"/>
    <x v="0"/>
    <x v="1"/>
    <x v="1"/>
    <x v="1"/>
    <d v="2019-03-02T05:55:05"/>
    <d v="2019-03-06T05:55:05"/>
    <d v="2019-03-07T05:55:05"/>
    <x v="6"/>
    <n v="62"/>
    <n v="106"/>
    <n v="2891.5231247157212"/>
  </r>
  <r>
    <n v="147245"/>
    <x v="1"/>
    <s v="Delhi"/>
    <x v="0"/>
    <s v=" MH"/>
    <x v="0"/>
    <x v="1"/>
    <x v="2"/>
    <x v="0"/>
    <d v="2019-03-02T20:30:52"/>
    <d v="2019-03-05T20:30:52"/>
    <d v="2019-03-09T20:30:52"/>
    <x v="4"/>
    <n v="78"/>
    <n v="93"/>
    <n v="1800.9702141377368"/>
  </r>
  <r>
    <n v="277207"/>
    <x v="1"/>
    <s v="Bangalore"/>
    <x v="0"/>
    <s v=" MH"/>
    <x v="0"/>
    <x v="1"/>
    <x v="2"/>
    <x v="0"/>
    <d v="2019-03-03T08:53:37"/>
    <d v="2019-03-05T08:53:37"/>
    <d v="2019-03-06T08:53:37"/>
    <x v="0"/>
    <n v="62"/>
    <n v="86"/>
    <n v="1615.7257537661317"/>
  </r>
  <r>
    <n v="759550"/>
    <x v="1"/>
    <s v="Delhi"/>
    <x v="2"/>
    <s v=" DL"/>
    <x v="2"/>
    <x v="1"/>
    <x v="0"/>
    <x v="0"/>
    <d v="2019-03-04T09:07:55"/>
    <d v="2019-03-07T09:07:55"/>
    <d v="2019-03-08T09:07:55"/>
    <x v="4"/>
    <n v="0"/>
    <n v="122"/>
    <n v="1551.9382498822824"/>
  </r>
  <r>
    <n v="728907"/>
    <x v="1"/>
    <s v="Delhi"/>
    <x v="3"/>
    <s v=" KA"/>
    <x v="1"/>
    <x v="1"/>
    <x v="1"/>
    <x v="1"/>
    <d v="2019-03-05T08:10:40"/>
    <d v="2019-03-12T08:10:40"/>
    <d v="2019-03-08T08:10:40"/>
    <x v="8"/>
    <n v="38"/>
    <n v="127"/>
    <n v="2225"/>
  </r>
  <r>
    <n v="142333"/>
    <x v="1"/>
    <s v="Bangalore"/>
    <x v="4"/>
    <s v=" WB"/>
    <x v="0"/>
    <x v="1"/>
    <x v="1"/>
    <x v="0"/>
    <d v="2019-03-05T15:13:26"/>
    <d v="2019-03-08T15:13:26"/>
    <d v="2019-03-09T15:13:26"/>
    <x v="4"/>
    <n v="64"/>
    <n v="94"/>
    <n v="1363"/>
  </r>
  <r>
    <n v="542119"/>
    <x v="1"/>
    <s v="Bangalore"/>
    <x v="2"/>
    <s v=" DL"/>
    <x v="0"/>
    <x v="1"/>
    <x v="1"/>
    <x v="0"/>
    <d v="2019-03-06T00:26:53"/>
    <d v="2019-03-12T00:26:53"/>
    <d v="2019-03-13T00:26:53"/>
    <x v="3"/>
    <n v="84"/>
    <n v="106"/>
    <n v="2160.9730803910979"/>
  </r>
  <r>
    <n v="907874"/>
    <x v="1"/>
    <s v="Delhi"/>
    <x v="2"/>
    <s v=" DL"/>
    <x v="2"/>
    <x v="1"/>
    <x v="0"/>
    <x v="0"/>
    <d v="2019-03-06T05:27:48"/>
    <d v="2019-03-08T05:27:48"/>
    <d v="2019-03-12T05:27:48"/>
    <x v="0"/>
    <n v="0"/>
    <n v="129"/>
    <n v="1074.741786664069"/>
  </r>
  <r>
    <n v="197754"/>
    <x v="1"/>
    <s v="Delhi"/>
    <x v="2"/>
    <s v=" DL"/>
    <x v="2"/>
    <x v="1"/>
    <x v="0"/>
    <x v="1"/>
    <d v="2019-03-06T06:49:56"/>
    <d v="2019-03-08T06:49:56"/>
    <d v="2019-03-12T06:49:56"/>
    <x v="0"/>
    <n v="0"/>
    <n v="126"/>
    <n v="2723.1482181703791"/>
  </r>
  <r>
    <n v="947835"/>
    <x v="1"/>
    <s v="Bangalore"/>
    <x v="3"/>
    <s v=" KA"/>
    <x v="0"/>
    <x v="1"/>
    <x v="2"/>
    <x v="1"/>
    <d v="2019-03-06T08:27:14"/>
    <d v="2019-03-06T08:27:14"/>
    <d v="2019-03-12T08:27:14"/>
    <x v="10"/>
    <n v="0"/>
    <n v="102"/>
    <n v="1549.8450579396535"/>
  </r>
  <r>
    <n v="485916"/>
    <x v="1"/>
    <s v="Delhi"/>
    <x v="2"/>
    <s v=" DL"/>
    <x v="0"/>
    <x v="1"/>
    <x v="0"/>
    <x v="1"/>
    <d v="2019-03-06T20:37:31"/>
    <d v="2019-03-09T20:37:31"/>
    <d v="2019-03-10T20:37:31"/>
    <x v="4"/>
    <n v="0"/>
    <n v="125"/>
    <n v="1548.7591977243917"/>
  </r>
  <r>
    <n v="575210"/>
    <x v="1"/>
    <s v="Delhi"/>
    <x v="3"/>
    <s v=" KA"/>
    <x v="2"/>
    <x v="1"/>
    <x v="0"/>
    <x v="0"/>
    <d v="2019-03-08T00:58:38"/>
    <d v="2019-03-18T00:58:38"/>
    <d v="2019-03-14T00:58:38"/>
    <x v="7"/>
    <n v="32"/>
    <n v="124"/>
    <n v="3393.3876578015697"/>
  </r>
  <r>
    <n v="81343"/>
    <x v="1"/>
    <s v="Bangalore"/>
    <x v="0"/>
    <s v=" MH"/>
    <x v="1"/>
    <x v="1"/>
    <x v="1"/>
    <x v="0"/>
    <d v="2019-03-08T09:07:55"/>
    <d v="2019-03-11T09:07:55"/>
    <d v="2019-03-11T09:07:55"/>
    <x v="4"/>
    <n v="30"/>
    <n v="113"/>
    <n v="2031"/>
  </r>
  <r>
    <n v="611782"/>
    <x v="1"/>
    <s v="Delhi"/>
    <x v="2"/>
    <s v=" DL"/>
    <x v="2"/>
    <x v="1"/>
    <x v="0"/>
    <x v="0"/>
    <d v="2019-03-10T00:27:37"/>
    <d v="2019-03-11T00:27:37"/>
    <d v="2019-03-13T00:27:37"/>
    <x v="2"/>
    <n v="0"/>
    <n v="126"/>
    <n v="824.8708992529007"/>
  </r>
  <r>
    <n v="435376"/>
    <x v="1"/>
    <s v="Delhi"/>
    <x v="1"/>
    <s v=" TN"/>
    <x v="0"/>
    <x v="1"/>
    <x v="0"/>
    <x v="0"/>
    <d v="2019-03-10T01:16:02"/>
    <d v="2019-03-16T01:16:02"/>
    <d v="2019-03-17T01:16:02"/>
    <x v="3"/>
    <n v="34"/>
    <n v="121"/>
    <n v="1742.0261247297817"/>
  </r>
  <r>
    <n v="473763"/>
    <x v="1"/>
    <s v="Delhi"/>
    <x v="3"/>
    <s v=" KA"/>
    <x v="1"/>
    <x v="1"/>
    <x v="1"/>
    <x v="1"/>
    <d v="2019-03-10T01:16:10"/>
    <d v="2019-03-20T01:16:10"/>
    <d v="2019-03-15T01:16:10"/>
    <x v="7"/>
    <n v="38"/>
    <n v="121"/>
    <n v="1522.3155534712289"/>
  </r>
  <r>
    <n v="793384"/>
    <x v="1"/>
    <s v="Bangalore"/>
    <x v="0"/>
    <s v=" MH"/>
    <x v="0"/>
    <x v="1"/>
    <x v="0"/>
    <x v="0"/>
    <d v="2019-03-10T08:18:53"/>
    <d v="2019-03-12T08:18:53"/>
    <d v="2019-03-17T08:18:53"/>
    <x v="0"/>
    <n v="79"/>
    <n v="90"/>
    <n v="2832.8209963146278"/>
  </r>
  <r>
    <n v="170466"/>
    <x v="1"/>
    <s v="Bangalore"/>
    <x v="3"/>
    <s v=" KA"/>
    <x v="2"/>
    <x v="1"/>
    <x v="0"/>
    <x v="1"/>
    <d v="2019-03-10T15:01:56"/>
    <d v="2019-03-16T15:01:56"/>
    <d v="2019-03-15T15:01:56"/>
    <x v="3"/>
    <n v="0"/>
    <n v="126"/>
    <n v="3497.597050057313"/>
  </r>
  <r>
    <n v="777396"/>
    <x v="1"/>
    <s v="Delhi"/>
    <x v="2"/>
    <s v=" DL"/>
    <x v="0"/>
    <x v="1"/>
    <x v="0"/>
    <x v="1"/>
    <d v="2019-03-10T22:05:50"/>
    <d v="2019-03-10T22:05:50"/>
    <d v="2019-03-16T22:05:50"/>
    <x v="10"/>
    <n v="0"/>
    <n v="109"/>
    <n v="2652.7968086742339"/>
  </r>
  <r>
    <n v="849307"/>
    <x v="1"/>
    <s v="Delhi"/>
    <x v="0"/>
    <s v=" MH"/>
    <x v="1"/>
    <x v="1"/>
    <x v="1"/>
    <x v="0"/>
    <d v="2019-03-11T03:23:21"/>
    <d v="2019-03-14T03:23:21"/>
    <d v="2019-03-16T03:23:21"/>
    <x v="4"/>
    <n v="42"/>
    <n v="107"/>
    <n v="1837"/>
  </r>
  <r>
    <n v="109542"/>
    <x v="1"/>
    <s v="Delhi"/>
    <x v="2"/>
    <s v=" DL"/>
    <x v="2"/>
    <x v="1"/>
    <x v="0"/>
    <x v="1"/>
    <d v="2019-03-11T18:24:07"/>
    <d v="2019-03-16T18:24:07"/>
    <d v="2019-03-15T18:24:07"/>
    <x v="9"/>
    <n v="0"/>
    <n v="129"/>
    <n v="1184.5029727366782"/>
  </r>
  <r>
    <n v="732325"/>
    <x v="1"/>
    <s v="Bangalore"/>
    <x v="2"/>
    <s v=" DL"/>
    <x v="0"/>
    <x v="1"/>
    <x v="1"/>
    <x v="0"/>
    <d v="2019-03-11T20:17:30"/>
    <d v="2019-03-14T20:17:30"/>
    <d v="2019-03-16T20:17:30"/>
    <x v="4"/>
    <n v="85"/>
    <n v="105"/>
    <n v="1568.089769788314"/>
  </r>
  <r>
    <n v="394994"/>
    <x v="1"/>
    <s v="Delhi"/>
    <x v="3"/>
    <s v=" KA"/>
    <x v="0"/>
    <x v="1"/>
    <x v="0"/>
    <x v="0"/>
    <d v="2019-03-11T23:33:52"/>
    <d v="2019-03-17T23:33:52"/>
    <d v="2019-03-14T23:33:52"/>
    <x v="3"/>
    <n v="81"/>
    <n v="101"/>
    <n v="1085.8414794920996"/>
  </r>
  <r>
    <n v="55945"/>
    <x v="1"/>
    <s v="Delhi"/>
    <x v="1"/>
    <s v=" TN"/>
    <x v="0"/>
    <x v="1"/>
    <x v="1"/>
    <x v="0"/>
    <d v="2019-03-12T02:01:24"/>
    <d v="2019-03-18T02:01:24"/>
    <d v="2019-03-16T02:01:24"/>
    <x v="3"/>
    <n v="73"/>
    <n v="106"/>
    <n v="1554.4077142918727"/>
  </r>
  <r>
    <n v="952744"/>
    <x v="1"/>
    <s v="Delhi"/>
    <x v="1"/>
    <s v=" TN"/>
    <x v="0"/>
    <x v="1"/>
    <x v="0"/>
    <x v="0"/>
    <d v="2019-03-12T05:05:27"/>
    <d v="2019-03-20T05:05:27"/>
    <d v="2019-03-17T05:05:27"/>
    <x v="5"/>
    <n v="43"/>
    <n v="122"/>
    <n v="1456.8887428294838"/>
  </r>
  <r>
    <n v="44655"/>
    <x v="1"/>
    <s v="Bangalore"/>
    <x v="2"/>
    <s v=" DL"/>
    <x v="1"/>
    <x v="1"/>
    <x v="1"/>
    <x v="1"/>
    <d v="2019-03-12T13:20:29"/>
    <d v="2019-03-19T13:20:29"/>
    <d v="2019-03-18T13:20:29"/>
    <x v="8"/>
    <n v="26"/>
    <n v="122"/>
    <n v="3484.1374167046906"/>
  </r>
  <r>
    <n v="905249"/>
    <x v="1"/>
    <s v="Delhi"/>
    <x v="2"/>
    <s v=" DL"/>
    <x v="0"/>
    <x v="1"/>
    <x v="1"/>
    <x v="0"/>
    <d v="2019-03-14T01:58:44"/>
    <d v="2019-03-14T01:58:44"/>
    <d v="2019-03-21T01:58:44"/>
    <x v="10"/>
    <n v="0"/>
    <n v="108"/>
    <n v="726.55160141648469"/>
  </r>
  <r>
    <n v="92432"/>
    <x v="1"/>
    <s v="Bangalore"/>
    <x v="1"/>
    <s v=" TN"/>
    <x v="0"/>
    <x v="1"/>
    <x v="0"/>
    <x v="0"/>
    <d v="2019-03-14T13:53:00"/>
    <d v="2019-03-22T13:53:00"/>
    <d v="2019-03-18T13:53:00"/>
    <x v="5"/>
    <n v="68"/>
    <n v="104"/>
    <n v="1483.4357182774816"/>
  </r>
  <r>
    <n v="783527"/>
    <x v="1"/>
    <s v="Bangalore"/>
    <x v="3"/>
    <s v=" KA"/>
    <x v="1"/>
    <x v="1"/>
    <x v="1"/>
    <x v="0"/>
    <d v="2019-03-14T21:25:04"/>
    <d v="2019-03-19T21:25:04"/>
    <d v="2019-03-21T21:25:04"/>
    <x v="9"/>
    <n v="0"/>
    <n v="124"/>
    <n v="339"/>
  </r>
  <r>
    <n v="719174"/>
    <x v="2"/>
    <s v="Delhi"/>
    <x v="4"/>
    <s v=" WB"/>
    <x v="2"/>
    <x v="0"/>
    <x v="0"/>
    <x v="0"/>
    <d v="2019-03-01T00:14:26"/>
    <d v="2019-03-07T00:14:26"/>
    <d v="2019-03-04T00:14:26"/>
    <x v="3"/>
    <n v="38"/>
    <n v="114"/>
    <n v="703.9813722719116"/>
  </r>
  <r>
    <n v="482982"/>
    <x v="2"/>
    <s v="Delhi"/>
    <x v="2"/>
    <s v=" DL"/>
    <x v="2"/>
    <x v="0"/>
    <x v="0"/>
    <x v="1"/>
    <d v="2019-03-01T00:14:32"/>
    <d v="2019-03-05T00:14:32"/>
    <d v="2019-03-06T00:14:32"/>
    <x v="6"/>
    <n v="0"/>
    <n v="129"/>
    <n v="1646.06"/>
  </r>
  <r>
    <n v="189148"/>
    <x v="2"/>
    <s v="Delhi"/>
    <x v="2"/>
    <s v=" DL"/>
    <x v="0"/>
    <x v="0"/>
    <x v="0"/>
    <x v="0"/>
    <d v="2019-03-01T00:33:29"/>
    <d v="2019-03-03T00:33:29"/>
    <d v="2019-03-07T00:33:29"/>
    <x v="0"/>
    <n v="0"/>
    <n v="125"/>
    <n v="2031.388653272013"/>
  </r>
  <r>
    <n v="19039"/>
    <x v="2"/>
    <s v="Delhi"/>
    <x v="0"/>
    <s v=" MH"/>
    <x v="1"/>
    <x v="0"/>
    <x v="1"/>
    <x v="0"/>
    <d v="2019-03-01T00:36:08"/>
    <d v="2019-03-09T00:36:08"/>
    <d v="2019-03-04T00:36:08"/>
    <x v="5"/>
    <n v="42"/>
    <n v="113"/>
    <n v="2136.280823123137"/>
  </r>
  <r>
    <n v="105661"/>
    <x v="2"/>
    <s v="Bangalore"/>
    <x v="2"/>
    <s v=" DL"/>
    <x v="0"/>
    <x v="0"/>
    <x v="1"/>
    <x v="0"/>
    <d v="2019-03-01T00:45:20"/>
    <d v="2019-03-03T00:45:20"/>
    <d v="2019-03-05T00:45:20"/>
    <x v="0"/>
    <n v="84"/>
    <n v="104"/>
    <n v="2527.8748075693293"/>
  </r>
  <r>
    <n v="166730"/>
    <x v="2"/>
    <s v="Bangalore"/>
    <x v="0"/>
    <s v=" MH"/>
    <x v="0"/>
    <x v="0"/>
    <x v="0"/>
    <x v="0"/>
    <d v="2019-03-01T01:01:53"/>
    <d v="2019-03-06T01:01:53"/>
    <d v="2019-03-06T01:01:53"/>
    <x v="9"/>
    <n v="60"/>
    <n v="91"/>
    <n v="542.37293098796238"/>
  </r>
  <r>
    <n v="601258"/>
    <x v="2"/>
    <s v="Bangalore"/>
    <x v="1"/>
    <s v=" TN"/>
    <x v="0"/>
    <x v="0"/>
    <x v="0"/>
    <x v="0"/>
    <d v="2019-03-01T01:02:25"/>
    <d v="2019-03-06T01:02:25"/>
    <d v="2019-03-06T01:02:25"/>
    <x v="9"/>
    <n v="64"/>
    <n v="105"/>
    <n v="928.60105605262015"/>
  </r>
  <r>
    <n v="473646"/>
    <x v="2"/>
    <s v="Bangalore"/>
    <x v="0"/>
    <s v=" MH"/>
    <x v="0"/>
    <x v="0"/>
    <x v="0"/>
    <x v="1"/>
    <d v="2019-03-01T01:37:23"/>
    <d v="2019-03-04T01:37:23"/>
    <d v="2019-03-04T01:37:23"/>
    <x v="4"/>
    <n v="82"/>
    <n v="90"/>
    <n v="347.33"/>
  </r>
  <r>
    <n v="736361"/>
    <x v="2"/>
    <s v="Bangalore"/>
    <x v="0"/>
    <s v=" MH"/>
    <x v="1"/>
    <x v="0"/>
    <x v="1"/>
    <x v="0"/>
    <d v="2019-03-01T01:41:56"/>
    <d v="2019-03-05T01:41:56"/>
    <d v="2019-03-07T01:41:56"/>
    <x v="6"/>
    <n v="48"/>
    <n v="110"/>
    <n v="1096.3860892159437"/>
  </r>
  <r>
    <n v="998273"/>
    <x v="2"/>
    <s v="Bangalore"/>
    <x v="2"/>
    <s v=" DL"/>
    <x v="1"/>
    <x v="0"/>
    <x v="1"/>
    <x v="0"/>
    <d v="2019-03-01T01:51:56"/>
    <d v="2019-03-10T01:51:56"/>
    <d v="2019-03-08T01:51:56"/>
    <x v="1"/>
    <n v="36"/>
    <n v="129"/>
    <n v="1608.4491998628337"/>
  </r>
  <r>
    <n v="639610"/>
    <x v="2"/>
    <s v="Delhi"/>
    <x v="3"/>
    <s v=" KA"/>
    <x v="0"/>
    <x v="0"/>
    <x v="0"/>
    <x v="0"/>
    <d v="2019-03-01T02:00:12"/>
    <d v="2019-03-03T02:00:12"/>
    <d v="2019-03-05T02:00:12"/>
    <x v="0"/>
    <n v="71"/>
    <n v="105"/>
    <n v="2378.4858681774981"/>
  </r>
  <r>
    <n v="661516"/>
    <x v="2"/>
    <s v="Delhi"/>
    <x v="3"/>
    <s v=" KA"/>
    <x v="0"/>
    <x v="0"/>
    <x v="0"/>
    <x v="0"/>
    <d v="2019-03-01T02:17:32"/>
    <d v="2019-03-06T02:17:32"/>
    <d v="2019-03-04T02:17:32"/>
    <x v="9"/>
    <n v="31"/>
    <n v="130"/>
    <n v="198.55768274982287"/>
  </r>
  <r>
    <n v="168953"/>
    <x v="2"/>
    <s v="Delhi"/>
    <x v="0"/>
    <s v=" MH"/>
    <x v="1"/>
    <x v="0"/>
    <x v="1"/>
    <x v="0"/>
    <d v="2019-03-01T02:28:05"/>
    <d v="2019-03-05T02:28:05"/>
    <d v="2019-03-07T02:28:05"/>
    <x v="6"/>
    <n v="40"/>
    <n v="108"/>
    <n v="1567.892727702671"/>
  </r>
  <r>
    <n v="600660"/>
    <x v="2"/>
    <s v="Delhi"/>
    <x v="4"/>
    <s v=" WB"/>
    <x v="0"/>
    <x v="0"/>
    <x v="0"/>
    <x v="1"/>
    <d v="2019-03-01T02:29:41"/>
    <d v="2019-03-07T02:29:41"/>
    <d v="2019-03-06T02:29:41"/>
    <x v="3"/>
    <n v="37"/>
    <n v="108"/>
    <n v="2512.17"/>
  </r>
  <r>
    <n v="314572"/>
    <x v="2"/>
    <s v="Delhi"/>
    <x v="0"/>
    <s v=" MH"/>
    <x v="0"/>
    <x v="0"/>
    <x v="0"/>
    <x v="0"/>
    <d v="2019-03-01T03:09:05"/>
    <d v="2019-03-03T03:09:05"/>
    <d v="2019-03-05T03:09:05"/>
    <x v="0"/>
    <n v="40"/>
    <n v="109"/>
    <n v="3366.4890395571751"/>
  </r>
  <r>
    <n v="984089"/>
    <x v="2"/>
    <s v="Delhi"/>
    <x v="3"/>
    <s v=" KA"/>
    <x v="1"/>
    <x v="0"/>
    <x v="1"/>
    <x v="0"/>
    <d v="2019-03-01T03:16:28"/>
    <d v="2019-03-07T03:16:28"/>
    <d v="2019-03-08T03:16:28"/>
    <x v="3"/>
    <n v="50"/>
    <n v="123"/>
    <n v="1800.694927578802"/>
  </r>
  <r>
    <n v="100740"/>
    <x v="2"/>
    <s v="Bangalore"/>
    <x v="3"/>
    <s v=" KA"/>
    <x v="0"/>
    <x v="0"/>
    <x v="0"/>
    <x v="1"/>
    <d v="2019-03-01T03:35:29"/>
    <d v="2019-03-03T03:35:29"/>
    <d v="2019-03-07T03:35:29"/>
    <x v="0"/>
    <n v="0"/>
    <n v="128"/>
    <n v="315.45"/>
  </r>
  <r>
    <n v="850659"/>
    <x v="2"/>
    <s v="Delhi"/>
    <x v="2"/>
    <s v=" DL"/>
    <x v="1"/>
    <x v="0"/>
    <x v="1"/>
    <x v="1"/>
    <d v="2019-03-01T03:48:04"/>
    <d v="2019-03-08T03:48:04"/>
    <d v="2019-03-08T03:48:04"/>
    <x v="8"/>
    <n v="0"/>
    <n v="122"/>
    <n v="847.43"/>
  </r>
  <r>
    <n v="125124"/>
    <x v="2"/>
    <s v="Bangalore"/>
    <x v="4"/>
    <s v=" WB"/>
    <x v="0"/>
    <x v="0"/>
    <x v="0"/>
    <x v="1"/>
    <d v="2019-03-01T04:15:16"/>
    <d v="2019-03-04T04:15:16"/>
    <d v="2019-03-08T04:15:16"/>
    <x v="4"/>
    <n v="35"/>
    <n v="109"/>
    <n v="3522.52"/>
  </r>
  <r>
    <n v="819185"/>
    <x v="2"/>
    <s v="Delhi"/>
    <x v="3"/>
    <s v=" KA"/>
    <x v="1"/>
    <x v="0"/>
    <x v="1"/>
    <x v="0"/>
    <d v="2019-03-01T04:25:59"/>
    <d v="2019-03-09T04:25:59"/>
    <d v="2019-03-04T04:25:59"/>
    <x v="5"/>
    <n v="47"/>
    <n v="125"/>
    <n v="3280.7149123403519"/>
  </r>
  <r>
    <n v="774781"/>
    <x v="2"/>
    <s v="Bangalore"/>
    <x v="0"/>
    <s v=" MH"/>
    <x v="1"/>
    <x v="0"/>
    <x v="2"/>
    <x v="0"/>
    <d v="2019-03-01T04:58:02"/>
    <d v="2019-03-10T04:58:02"/>
    <d v="2019-03-08T04:58:02"/>
    <x v="1"/>
    <n v="25"/>
    <n v="108"/>
    <n v="3530.6112168289774"/>
  </r>
  <r>
    <n v="809959"/>
    <x v="2"/>
    <s v="Bangalore"/>
    <x v="2"/>
    <s v=" DL"/>
    <x v="0"/>
    <x v="0"/>
    <x v="1"/>
    <x v="0"/>
    <d v="2019-03-01T05:12:03"/>
    <d v="2019-03-05T05:12:03"/>
    <d v="2019-03-08T05:12:03"/>
    <x v="6"/>
    <n v="64"/>
    <n v="107"/>
    <n v="2487.6386767337835"/>
  </r>
  <r>
    <n v="494989"/>
    <x v="2"/>
    <s v="Delhi"/>
    <x v="1"/>
    <s v=" TN"/>
    <x v="1"/>
    <x v="0"/>
    <x v="1"/>
    <x v="0"/>
    <d v="2019-03-01T05:36:40"/>
    <d v="2019-03-08T05:36:40"/>
    <d v="2019-03-08T05:36:40"/>
    <x v="8"/>
    <n v="41"/>
    <n v="122"/>
    <n v="3432.568836527747"/>
  </r>
  <r>
    <n v="561312"/>
    <x v="2"/>
    <s v="Delhi"/>
    <x v="3"/>
    <s v=" KA"/>
    <x v="0"/>
    <x v="0"/>
    <x v="0"/>
    <x v="1"/>
    <d v="2019-03-01T05:43:01"/>
    <d v="2019-03-07T05:43:01"/>
    <d v="2019-03-04T05:43:01"/>
    <x v="3"/>
    <n v="58"/>
    <n v="106"/>
    <n v="2552.2600000000002"/>
  </r>
  <r>
    <n v="579090"/>
    <x v="2"/>
    <s v="Bangalore"/>
    <x v="1"/>
    <s v=" TN"/>
    <x v="2"/>
    <x v="0"/>
    <x v="0"/>
    <x v="1"/>
    <d v="2019-03-01T05:45:07"/>
    <d v="2019-03-05T05:45:07"/>
    <d v="2019-03-04T05:45:07"/>
    <x v="6"/>
    <n v="25"/>
    <n v="127"/>
    <n v="2244.2399999999998"/>
  </r>
  <r>
    <n v="722663"/>
    <x v="2"/>
    <s v="Delhi"/>
    <x v="1"/>
    <s v=" TN"/>
    <x v="1"/>
    <x v="0"/>
    <x v="1"/>
    <x v="0"/>
    <d v="2019-03-01T05:53:51"/>
    <d v="2019-03-08T05:53:51"/>
    <d v="2019-03-04T05:53:51"/>
    <x v="8"/>
    <n v="49"/>
    <n v="124"/>
    <n v="852.66204704617394"/>
  </r>
  <r>
    <n v="656940"/>
    <x v="2"/>
    <s v="Delhi"/>
    <x v="4"/>
    <s v=" WB"/>
    <x v="0"/>
    <x v="0"/>
    <x v="0"/>
    <x v="1"/>
    <d v="2019-03-01T06:20:15"/>
    <d v="2019-03-04T06:20:15"/>
    <d v="2019-03-06T06:20:15"/>
    <x v="4"/>
    <n v="39"/>
    <n v="111"/>
    <n v="1948.41"/>
  </r>
  <r>
    <n v="75493"/>
    <x v="2"/>
    <s v="Delhi"/>
    <x v="3"/>
    <s v=" KA"/>
    <x v="1"/>
    <x v="0"/>
    <x v="1"/>
    <x v="0"/>
    <d v="2019-03-01T07:11:44"/>
    <d v="2019-03-11T07:11:44"/>
    <d v="2019-03-08T07:11:44"/>
    <x v="7"/>
    <n v="47"/>
    <n v="129"/>
    <n v="459.7725947437583"/>
  </r>
  <r>
    <n v="164897"/>
    <x v="2"/>
    <s v="Delhi"/>
    <x v="4"/>
    <s v=" WB"/>
    <x v="1"/>
    <x v="0"/>
    <x v="1"/>
    <x v="0"/>
    <d v="2019-03-01T07:16:46"/>
    <d v="2019-03-03T07:16:46"/>
    <d v="2019-03-05T07:16:46"/>
    <x v="0"/>
    <n v="29"/>
    <n v="108"/>
    <n v="721.72886800276206"/>
  </r>
  <r>
    <n v="703560"/>
    <x v="2"/>
    <s v="Delhi"/>
    <x v="2"/>
    <s v=" DL"/>
    <x v="0"/>
    <x v="0"/>
    <x v="0"/>
    <x v="1"/>
    <d v="2019-03-01T07:18:36"/>
    <d v="2019-03-01T07:18:36"/>
    <d v="2019-03-05T07:18:36"/>
    <x v="10"/>
    <n v="0"/>
    <n v="123"/>
    <n v="766"/>
  </r>
  <r>
    <n v="565130"/>
    <x v="2"/>
    <s v="Bangalore"/>
    <x v="4"/>
    <s v=" WB"/>
    <x v="2"/>
    <x v="0"/>
    <x v="0"/>
    <x v="0"/>
    <d v="2019-03-01T07:23:46"/>
    <d v="2019-03-05T07:23:46"/>
    <d v="2019-03-04T07:23:46"/>
    <x v="6"/>
    <n v="46"/>
    <n v="107"/>
    <n v="1268.5838834113767"/>
  </r>
  <r>
    <n v="325374"/>
    <x v="2"/>
    <s v="Bangalore"/>
    <x v="4"/>
    <s v=" WB"/>
    <x v="2"/>
    <x v="0"/>
    <x v="0"/>
    <x v="1"/>
    <d v="2019-03-01T07:23:50"/>
    <d v="2019-03-03T07:23:50"/>
    <d v="2019-03-07T07:23:50"/>
    <x v="0"/>
    <n v="41"/>
    <n v="112"/>
    <n v="1481.24"/>
  </r>
  <r>
    <n v="390519"/>
    <x v="2"/>
    <s v="Delhi"/>
    <x v="0"/>
    <s v=" MH"/>
    <x v="0"/>
    <x v="0"/>
    <x v="1"/>
    <x v="1"/>
    <d v="2019-03-01T08:05:29"/>
    <d v="2019-03-06T08:05:29"/>
    <d v="2019-03-05T08:05:29"/>
    <x v="9"/>
    <n v="80"/>
    <n v="89"/>
    <n v="2661.06"/>
  </r>
  <r>
    <n v="731550"/>
    <x v="2"/>
    <s v="Bangalore"/>
    <x v="3"/>
    <s v=" KA"/>
    <x v="0"/>
    <x v="0"/>
    <x v="0"/>
    <x v="1"/>
    <d v="2019-03-01T09:18:56"/>
    <d v="2019-03-01T09:18:56"/>
    <d v="2019-03-08T09:18:56"/>
    <x v="10"/>
    <n v="0"/>
    <n v="108"/>
    <n v="1684.43"/>
  </r>
  <r>
    <n v="248281"/>
    <x v="2"/>
    <s v="Bangalore"/>
    <x v="3"/>
    <s v=" KA"/>
    <x v="1"/>
    <x v="0"/>
    <x v="1"/>
    <x v="0"/>
    <d v="2019-03-01T09:38:01"/>
    <d v="2019-03-04T09:38:01"/>
    <d v="2019-03-05T09:38:01"/>
    <x v="4"/>
    <n v="0"/>
    <n v="127"/>
    <n v="1459.7654616162638"/>
  </r>
  <r>
    <n v="92063"/>
    <x v="2"/>
    <s v="Delhi"/>
    <x v="4"/>
    <s v=" WB"/>
    <x v="1"/>
    <x v="0"/>
    <x v="1"/>
    <x v="0"/>
    <d v="2019-03-01T09:39:10"/>
    <d v="2019-03-03T09:39:10"/>
    <d v="2019-03-06T09:39:10"/>
    <x v="0"/>
    <n v="44"/>
    <n v="110"/>
    <n v="3113.4306722175993"/>
  </r>
  <r>
    <n v="64842"/>
    <x v="2"/>
    <s v="Bangalore"/>
    <x v="4"/>
    <s v=" WB"/>
    <x v="2"/>
    <x v="0"/>
    <x v="0"/>
    <x v="1"/>
    <d v="2019-03-01T09:54:35"/>
    <d v="2019-03-04T09:54:35"/>
    <d v="2019-03-08T09:54:35"/>
    <x v="4"/>
    <n v="25"/>
    <n v="114"/>
    <n v="1729.68"/>
  </r>
  <r>
    <n v="574176"/>
    <x v="2"/>
    <s v="Bangalore"/>
    <x v="2"/>
    <s v=" DL"/>
    <x v="0"/>
    <x v="0"/>
    <x v="0"/>
    <x v="1"/>
    <d v="2019-03-01T09:58:52"/>
    <d v="2019-03-06T09:58:52"/>
    <d v="2019-03-06T09:58:52"/>
    <x v="9"/>
    <n v="41"/>
    <n v="129"/>
    <n v="2485.37"/>
  </r>
  <r>
    <n v="961218"/>
    <x v="2"/>
    <s v="Bangalore"/>
    <x v="2"/>
    <s v=" DL"/>
    <x v="2"/>
    <x v="0"/>
    <x v="0"/>
    <x v="1"/>
    <d v="2019-03-01T10:02:32"/>
    <d v="2019-03-08T10:02:32"/>
    <d v="2019-03-06T10:02:32"/>
    <x v="8"/>
    <n v="33"/>
    <n v="126"/>
    <n v="2363.7600000000002"/>
  </r>
  <r>
    <n v="843676"/>
    <x v="2"/>
    <s v="Delhi"/>
    <x v="2"/>
    <s v=" DL"/>
    <x v="0"/>
    <x v="0"/>
    <x v="0"/>
    <x v="0"/>
    <d v="2019-03-01T10:02:41"/>
    <d v="2019-03-03T10:02:41"/>
    <d v="2019-03-07T10:02:41"/>
    <x v="0"/>
    <n v="0"/>
    <n v="125"/>
    <n v="1126.2632504213025"/>
  </r>
  <r>
    <n v="833374"/>
    <x v="2"/>
    <s v="Delhi"/>
    <x v="2"/>
    <s v=" DL"/>
    <x v="2"/>
    <x v="0"/>
    <x v="0"/>
    <x v="0"/>
    <d v="2019-03-01T10:16:25"/>
    <d v="2019-03-08T10:16:25"/>
    <d v="2019-03-04T10:16:25"/>
    <x v="8"/>
    <n v="0"/>
    <n v="129"/>
    <n v="2014.3320703055524"/>
  </r>
  <r>
    <n v="584841"/>
    <x v="2"/>
    <s v="Bangalore"/>
    <x v="3"/>
    <s v=" KA"/>
    <x v="1"/>
    <x v="0"/>
    <x v="1"/>
    <x v="1"/>
    <d v="2019-03-01T10:25:46"/>
    <d v="2019-03-07T10:25:46"/>
    <d v="2019-03-06T10:25:46"/>
    <x v="3"/>
    <n v="0"/>
    <n v="128"/>
    <n v="2585.9299999999998"/>
  </r>
  <r>
    <n v="242520"/>
    <x v="2"/>
    <s v="Delhi"/>
    <x v="1"/>
    <s v=" TN"/>
    <x v="0"/>
    <x v="0"/>
    <x v="0"/>
    <x v="1"/>
    <d v="2019-03-01T10:39:35"/>
    <d v="2019-03-08T10:39:35"/>
    <d v="2019-03-06T10:39:35"/>
    <x v="8"/>
    <n v="73"/>
    <n v="107"/>
    <n v="3336.06"/>
  </r>
  <r>
    <n v="526095"/>
    <x v="2"/>
    <s v="Delhi"/>
    <x v="2"/>
    <s v=" DL"/>
    <x v="0"/>
    <x v="0"/>
    <x v="1"/>
    <x v="1"/>
    <d v="2019-03-01T10:53:46"/>
    <d v="2019-03-01T10:53:46"/>
    <d v="2019-03-06T10:53:46"/>
    <x v="10"/>
    <n v="0"/>
    <n v="104"/>
    <n v="3387.3"/>
  </r>
  <r>
    <n v="469838"/>
    <x v="2"/>
    <s v="Bangalore"/>
    <x v="3"/>
    <s v=" KA"/>
    <x v="2"/>
    <x v="0"/>
    <x v="0"/>
    <x v="0"/>
    <d v="2019-03-01T10:55:05"/>
    <d v="2019-03-01T10:55:05"/>
    <d v="2019-03-08T10:55:05"/>
    <x v="10"/>
    <n v="0"/>
    <n v="130"/>
    <n v="3461.6870500868608"/>
  </r>
  <r>
    <n v="980559"/>
    <x v="2"/>
    <s v="Delhi"/>
    <x v="1"/>
    <s v=" TN"/>
    <x v="1"/>
    <x v="0"/>
    <x v="1"/>
    <x v="1"/>
    <d v="2019-03-01T10:58:26"/>
    <d v="2019-03-04T10:58:26"/>
    <d v="2019-03-07T10:58:26"/>
    <x v="4"/>
    <n v="43"/>
    <n v="128"/>
    <n v="1910.38"/>
  </r>
  <r>
    <n v="594383"/>
    <x v="2"/>
    <s v="Delhi"/>
    <x v="1"/>
    <s v=" TN"/>
    <x v="0"/>
    <x v="0"/>
    <x v="1"/>
    <x v="0"/>
    <d v="2019-03-01T11:33:04"/>
    <d v="2019-03-11T11:33:04"/>
    <d v="2019-03-04T11:33:04"/>
    <x v="7"/>
    <n v="75"/>
    <n v="103"/>
    <n v="2333.7079908525261"/>
  </r>
  <r>
    <n v="167284"/>
    <x v="2"/>
    <s v="Bangalore"/>
    <x v="3"/>
    <s v=" KA"/>
    <x v="0"/>
    <x v="0"/>
    <x v="0"/>
    <x v="0"/>
    <d v="2019-03-01T11:35:34"/>
    <d v="2019-03-05T11:35:34"/>
    <d v="2019-03-06T11:35:34"/>
    <x v="6"/>
    <n v="0"/>
    <n v="127"/>
    <n v="2706.0239055729785"/>
  </r>
  <r>
    <n v="926775"/>
    <x v="2"/>
    <s v="Bangalore"/>
    <x v="2"/>
    <s v=" DL"/>
    <x v="1"/>
    <x v="0"/>
    <x v="1"/>
    <x v="1"/>
    <d v="2019-03-01T11:36:34"/>
    <d v="2019-03-10T11:36:34"/>
    <d v="2019-03-06T11:36:34"/>
    <x v="1"/>
    <n v="39"/>
    <n v="128"/>
    <n v="2267.5100000000002"/>
  </r>
  <r>
    <n v="481749"/>
    <x v="2"/>
    <s v="Delhi"/>
    <x v="2"/>
    <s v=" DL"/>
    <x v="1"/>
    <x v="0"/>
    <x v="1"/>
    <x v="1"/>
    <d v="2019-03-01T12:18:19"/>
    <d v="2019-03-07T12:18:19"/>
    <d v="2019-03-04T12:18:19"/>
    <x v="3"/>
    <n v="0"/>
    <n v="127"/>
    <n v="3289.93"/>
  </r>
  <r>
    <n v="892168"/>
    <x v="2"/>
    <s v="Bangalore"/>
    <x v="2"/>
    <s v=" DL"/>
    <x v="0"/>
    <x v="0"/>
    <x v="0"/>
    <x v="0"/>
    <d v="2019-03-01T12:22:29"/>
    <d v="2019-03-05T12:22:29"/>
    <d v="2019-03-08T12:22:29"/>
    <x v="6"/>
    <n v="57"/>
    <n v="102"/>
    <n v="1539.7660558628886"/>
  </r>
  <r>
    <n v="443781"/>
    <x v="2"/>
    <s v="Delhi"/>
    <x v="4"/>
    <s v=" WB"/>
    <x v="1"/>
    <x v="0"/>
    <x v="1"/>
    <x v="1"/>
    <d v="2019-03-01T12:29:20"/>
    <d v="2019-03-03T12:29:20"/>
    <d v="2019-03-04T12:29:20"/>
    <x v="0"/>
    <n v="25"/>
    <n v="115"/>
    <n v="1397.95"/>
  </r>
  <r>
    <n v="199403"/>
    <x v="2"/>
    <s v="Delhi"/>
    <x v="3"/>
    <s v=" KA"/>
    <x v="1"/>
    <x v="0"/>
    <x v="1"/>
    <x v="0"/>
    <d v="2019-03-01T12:34:03"/>
    <d v="2019-03-07T12:34:03"/>
    <d v="2019-03-04T12:34:03"/>
    <x v="3"/>
    <n v="50"/>
    <n v="123"/>
    <n v="1127.2167494618018"/>
  </r>
  <r>
    <n v="171108"/>
    <x v="2"/>
    <s v="Bangalore"/>
    <x v="4"/>
    <s v=" WB"/>
    <x v="0"/>
    <x v="0"/>
    <x v="0"/>
    <x v="1"/>
    <d v="2019-03-01T12:44:48"/>
    <d v="2019-03-10T12:44:48"/>
    <d v="2019-03-07T12:44:48"/>
    <x v="1"/>
    <n v="37"/>
    <n v="111"/>
    <n v="2014.67"/>
  </r>
  <r>
    <n v="671707"/>
    <x v="2"/>
    <s v="Delhi"/>
    <x v="0"/>
    <s v=" MH"/>
    <x v="0"/>
    <x v="0"/>
    <x v="1"/>
    <x v="0"/>
    <d v="2019-03-01T12:48:20"/>
    <d v="2019-03-03T12:48:20"/>
    <d v="2019-03-08T12:48:20"/>
    <x v="0"/>
    <n v="66"/>
    <n v="89"/>
    <n v="1674.1508155947397"/>
  </r>
  <r>
    <n v="6297"/>
    <x v="2"/>
    <s v="Bangalore"/>
    <x v="2"/>
    <s v=" DL"/>
    <x v="1"/>
    <x v="0"/>
    <x v="1"/>
    <x v="1"/>
    <d v="2019-03-01T12:57:58"/>
    <d v="2019-03-06T12:57:58"/>
    <d v="2019-03-06T12:57:58"/>
    <x v="9"/>
    <n v="32"/>
    <n v="125"/>
    <n v="3069.91"/>
  </r>
  <r>
    <n v="54798"/>
    <x v="2"/>
    <s v="Bangalore"/>
    <x v="2"/>
    <s v=" DL"/>
    <x v="2"/>
    <x v="0"/>
    <x v="0"/>
    <x v="1"/>
    <d v="2019-03-01T13:20:06"/>
    <d v="2019-03-08T13:20:06"/>
    <d v="2019-03-05T13:20:06"/>
    <x v="8"/>
    <n v="30"/>
    <n v="121"/>
    <n v="1667.4"/>
  </r>
  <r>
    <n v="154810"/>
    <x v="2"/>
    <s v="Delhi"/>
    <x v="4"/>
    <s v=" WB"/>
    <x v="2"/>
    <x v="0"/>
    <x v="0"/>
    <x v="0"/>
    <d v="2019-03-01T14:08:22"/>
    <d v="2019-03-05T14:08:22"/>
    <d v="2019-03-07T14:08:22"/>
    <x v="6"/>
    <n v="39"/>
    <n v="111"/>
    <n v="463.95680545034497"/>
  </r>
  <r>
    <n v="544262"/>
    <x v="2"/>
    <s v="Bangalore"/>
    <x v="1"/>
    <s v=" TN"/>
    <x v="2"/>
    <x v="0"/>
    <x v="0"/>
    <x v="0"/>
    <d v="2019-03-01T14:12:58"/>
    <d v="2019-03-03T14:12:58"/>
    <d v="2019-03-07T14:12:58"/>
    <x v="0"/>
    <n v="27"/>
    <n v="129"/>
    <n v="3088.643057369557"/>
  </r>
  <r>
    <n v="365857"/>
    <x v="2"/>
    <s v="Delhi"/>
    <x v="3"/>
    <s v=" KA"/>
    <x v="1"/>
    <x v="0"/>
    <x v="1"/>
    <x v="0"/>
    <d v="2019-03-01T14:33:26"/>
    <d v="2019-03-11T14:33:26"/>
    <d v="2019-03-06T14:33:26"/>
    <x v="7"/>
    <n v="35"/>
    <n v="124"/>
    <n v="3726.8285981350464"/>
  </r>
  <r>
    <n v="481588"/>
    <x v="2"/>
    <s v="Delhi"/>
    <x v="3"/>
    <s v=" KA"/>
    <x v="0"/>
    <x v="0"/>
    <x v="0"/>
    <x v="0"/>
    <d v="2019-03-01T14:53:11"/>
    <d v="2019-03-03T14:53:11"/>
    <d v="2019-03-06T14:53:11"/>
    <x v="0"/>
    <n v="47"/>
    <n v="121"/>
    <n v="2678.3523585647913"/>
  </r>
  <r>
    <n v="690490"/>
    <x v="2"/>
    <s v="Delhi"/>
    <x v="2"/>
    <s v=" DL"/>
    <x v="2"/>
    <x v="0"/>
    <x v="0"/>
    <x v="0"/>
    <d v="2019-03-01T14:58:52"/>
    <d v="2019-03-06T14:58:52"/>
    <d v="2019-03-08T14:58:52"/>
    <x v="9"/>
    <n v="0"/>
    <n v="127"/>
    <n v="1395.1251086060397"/>
  </r>
  <r>
    <n v="810473"/>
    <x v="2"/>
    <s v="Delhi"/>
    <x v="3"/>
    <s v=" KA"/>
    <x v="1"/>
    <x v="0"/>
    <x v="1"/>
    <x v="0"/>
    <d v="2019-03-01T15:55:01"/>
    <d v="2019-03-08T15:55:01"/>
    <d v="2019-03-06T15:55:01"/>
    <x v="8"/>
    <n v="44"/>
    <n v="127"/>
    <n v="3602.5135543880583"/>
  </r>
  <r>
    <n v="18987"/>
    <x v="2"/>
    <s v="Bangalore"/>
    <x v="0"/>
    <s v=" MH"/>
    <x v="1"/>
    <x v="0"/>
    <x v="1"/>
    <x v="1"/>
    <d v="2019-03-01T16:03:57"/>
    <d v="2019-03-05T16:03:57"/>
    <d v="2019-03-07T16:03:57"/>
    <x v="6"/>
    <n v="37"/>
    <n v="110"/>
    <n v="265.76"/>
  </r>
  <r>
    <n v="992406"/>
    <x v="2"/>
    <s v="Bangalore"/>
    <x v="3"/>
    <s v=" KA"/>
    <x v="0"/>
    <x v="0"/>
    <x v="0"/>
    <x v="1"/>
    <d v="2019-03-01T16:13:48"/>
    <d v="2019-03-06T16:13:48"/>
    <d v="2019-03-07T16:13:48"/>
    <x v="9"/>
    <n v="0"/>
    <n v="105"/>
    <n v="1219.75"/>
  </r>
  <r>
    <n v="836208"/>
    <x v="2"/>
    <s v="Delhi"/>
    <x v="3"/>
    <s v=" KA"/>
    <x v="0"/>
    <x v="0"/>
    <x v="0"/>
    <x v="1"/>
    <d v="2019-03-01T16:59:07"/>
    <d v="2019-03-04T16:59:07"/>
    <d v="2019-03-08T16:59:07"/>
    <x v="4"/>
    <n v="35"/>
    <n v="129"/>
    <n v="2520.21"/>
  </r>
  <r>
    <n v="229369"/>
    <x v="2"/>
    <s v="Delhi"/>
    <x v="2"/>
    <s v=" DL"/>
    <x v="1"/>
    <x v="0"/>
    <x v="2"/>
    <x v="0"/>
    <d v="2019-03-01T17:01:58"/>
    <d v="2019-03-02T17:01:58"/>
    <d v="2019-03-06T17:01:58"/>
    <x v="2"/>
    <n v="0"/>
    <n v="129"/>
    <n v="3613.3457387762064"/>
  </r>
  <r>
    <n v="415864"/>
    <x v="2"/>
    <s v="Delhi"/>
    <x v="1"/>
    <s v=" TN"/>
    <x v="0"/>
    <x v="0"/>
    <x v="0"/>
    <x v="0"/>
    <d v="2019-03-01T17:02:48"/>
    <d v="2019-03-09T17:02:48"/>
    <d v="2019-03-04T17:02:48"/>
    <x v="5"/>
    <n v="78"/>
    <n v="102"/>
    <n v="532.38139655092084"/>
  </r>
  <r>
    <n v="799696"/>
    <x v="2"/>
    <s v="Delhi"/>
    <x v="0"/>
    <s v=" MH"/>
    <x v="0"/>
    <x v="0"/>
    <x v="0"/>
    <x v="0"/>
    <d v="2019-03-01T17:15:34"/>
    <d v="2019-03-03T17:15:34"/>
    <d v="2019-03-08T17:15:34"/>
    <x v="0"/>
    <n v="35"/>
    <n v="110"/>
    <n v="571.55567552321963"/>
  </r>
  <r>
    <n v="758002"/>
    <x v="2"/>
    <s v="Bangalore"/>
    <x v="2"/>
    <s v=" DL"/>
    <x v="2"/>
    <x v="0"/>
    <x v="0"/>
    <x v="0"/>
    <d v="2019-03-01T17:17:22"/>
    <d v="2019-03-10T17:17:22"/>
    <d v="2019-03-08T17:17:22"/>
    <x v="1"/>
    <n v="47"/>
    <n v="127"/>
    <n v="2767.8271836183958"/>
  </r>
  <r>
    <n v="389991"/>
    <x v="2"/>
    <s v="Bangalore"/>
    <x v="0"/>
    <s v=" MH"/>
    <x v="1"/>
    <x v="0"/>
    <x v="2"/>
    <x v="1"/>
    <d v="2019-03-01T17:46:28"/>
    <d v="2019-03-10T17:46:28"/>
    <d v="2019-03-08T17:46:28"/>
    <x v="1"/>
    <n v="45"/>
    <n v="109"/>
    <n v="1909.8"/>
  </r>
  <r>
    <n v="208180"/>
    <x v="2"/>
    <s v="Bangalore"/>
    <x v="3"/>
    <s v=" KA"/>
    <x v="0"/>
    <x v="0"/>
    <x v="0"/>
    <x v="0"/>
    <d v="2019-03-01T17:55:52"/>
    <d v="2019-03-01T17:55:52"/>
    <d v="2019-03-07T17:55:52"/>
    <x v="10"/>
    <n v="0"/>
    <n v="125"/>
    <n v="2910.9519162466622"/>
  </r>
  <r>
    <n v="695456"/>
    <x v="2"/>
    <s v="Delhi"/>
    <x v="3"/>
    <s v=" KA"/>
    <x v="0"/>
    <x v="0"/>
    <x v="0"/>
    <x v="0"/>
    <d v="2019-03-01T18:18:38"/>
    <d v="2019-03-05T18:18:38"/>
    <d v="2019-03-04T18:18:38"/>
    <x v="6"/>
    <n v="29"/>
    <n v="127"/>
    <n v="2673.4121325757678"/>
  </r>
  <r>
    <n v="179264"/>
    <x v="2"/>
    <s v="Bangalore"/>
    <x v="1"/>
    <s v=" TN"/>
    <x v="0"/>
    <x v="0"/>
    <x v="0"/>
    <x v="0"/>
    <d v="2019-03-01T18:25:28"/>
    <d v="2019-03-07T18:25:28"/>
    <d v="2019-03-05T18:25:28"/>
    <x v="3"/>
    <n v="30"/>
    <n v="129"/>
    <n v="1901.4094949189544"/>
  </r>
  <r>
    <n v="311678"/>
    <x v="2"/>
    <s v="Delhi"/>
    <x v="2"/>
    <s v=" DL"/>
    <x v="2"/>
    <x v="0"/>
    <x v="0"/>
    <x v="0"/>
    <d v="2019-03-01T18:55:38"/>
    <d v="2019-03-04T18:55:38"/>
    <d v="2019-03-04T18:55:38"/>
    <x v="4"/>
    <n v="0"/>
    <n v="122"/>
    <n v="2117.9318878788099"/>
  </r>
  <r>
    <n v="800128"/>
    <x v="2"/>
    <s v="Bangalore"/>
    <x v="2"/>
    <s v=" DL"/>
    <x v="0"/>
    <x v="0"/>
    <x v="0"/>
    <x v="0"/>
    <d v="2019-03-01T19:05:45"/>
    <d v="2019-03-05T19:05:45"/>
    <d v="2019-03-07T19:05:45"/>
    <x v="6"/>
    <n v="60"/>
    <n v="108"/>
    <n v="1505.6173423178832"/>
  </r>
  <r>
    <n v="624780"/>
    <x v="2"/>
    <s v="Bangalore"/>
    <x v="2"/>
    <s v=" DL"/>
    <x v="0"/>
    <x v="0"/>
    <x v="0"/>
    <x v="1"/>
    <d v="2019-03-01T19:06:24"/>
    <d v="2019-03-03T19:06:24"/>
    <d v="2019-03-08T19:06:24"/>
    <x v="0"/>
    <n v="43"/>
    <n v="123"/>
    <n v="1031.21"/>
  </r>
  <r>
    <n v="435718"/>
    <x v="2"/>
    <s v="Bangalore"/>
    <x v="1"/>
    <s v=" TN"/>
    <x v="2"/>
    <x v="0"/>
    <x v="0"/>
    <x v="0"/>
    <d v="2019-03-01T19:51:16"/>
    <d v="2019-03-07T19:51:16"/>
    <d v="2019-03-07T19:51:16"/>
    <x v="3"/>
    <n v="38"/>
    <n v="125"/>
    <n v="1568.7186429144183"/>
  </r>
  <r>
    <n v="814969"/>
    <x v="2"/>
    <s v="Bangalore"/>
    <x v="1"/>
    <s v=" TN"/>
    <x v="1"/>
    <x v="0"/>
    <x v="1"/>
    <x v="0"/>
    <d v="2019-03-01T20:30:26"/>
    <d v="2019-03-06T20:30:26"/>
    <d v="2019-03-07T20:30:26"/>
    <x v="9"/>
    <n v="27"/>
    <n v="123"/>
    <n v="3701.5364974770719"/>
  </r>
  <r>
    <n v="153613"/>
    <x v="2"/>
    <s v="Delhi"/>
    <x v="0"/>
    <s v=" MH"/>
    <x v="0"/>
    <x v="0"/>
    <x v="1"/>
    <x v="0"/>
    <d v="2019-03-01T20:30:32"/>
    <d v="2019-03-04T20:30:32"/>
    <d v="2019-03-06T20:30:32"/>
    <x v="4"/>
    <n v="87"/>
    <n v="94"/>
    <n v="1778.6387091650568"/>
  </r>
  <r>
    <n v="728942"/>
    <x v="2"/>
    <s v="Bangalore"/>
    <x v="0"/>
    <s v=" MH"/>
    <x v="2"/>
    <x v="0"/>
    <x v="0"/>
    <x v="0"/>
    <d v="2019-03-01T20:43:53"/>
    <d v="2019-03-09T20:43:53"/>
    <d v="2019-03-07T20:43:53"/>
    <x v="5"/>
    <n v="37"/>
    <n v="106"/>
    <n v="3069.3277555739533"/>
  </r>
  <r>
    <n v="253533"/>
    <x v="2"/>
    <s v="Bangalore"/>
    <x v="3"/>
    <s v=" KA"/>
    <x v="0"/>
    <x v="0"/>
    <x v="2"/>
    <x v="1"/>
    <d v="2019-03-01T20:47:36"/>
    <d v="2019-03-01T20:47:36"/>
    <d v="2019-03-07T20:47:36"/>
    <x v="10"/>
    <n v="0"/>
    <n v="101"/>
    <n v="3254.26"/>
  </r>
  <r>
    <n v="37351"/>
    <x v="2"/>
    <s v="Delhi"/>
    <x v="3"/>
    <s v=" KA"/>
    <x v="1"/>
    <x v="0"/>
    <x v="1"/>
    <x v="0"/>
    <d v="2019-03-01T20:54:44"/>
    <d v="2019-03-10T20:54:44"/>
    <d v="2019-03-08T20:54:44"/>
    <x v="1"/>
    <n v="25"/>
    <n v="123"/>
    <n v="1441.5954486681319"/>
  </r>
  <r>
    <n v="430814"/>
    <x v="2"/>
    <s v="Delhi"/>
    <x v="3"/>
    <s v=" KA"/>
    <x v="0"/>
    <x v="0"/>
    <x v="0"/>
    <x v="0"/>
    <d v="2019-03-01T21:04:17"/>
    <d v="2019-03-06T21:04:17"/>
    <d v="2019-03-04T21:04:17"/>
    <x v="9"/>
    <n v="69"/>
    <n v="100"/>
    <n v="2059.7923013637683"/>
  </r>
  <r>
    <n v="704883"/>
    <x v="2"/>
    <s v="Bangalore"/>
    <x v="0"/>
    <s v=" MH"/>
    <x v="1"/>
    <x v="0"/>
    <x v="1"/>
    <x v="1"/>
    <d v="2019-03-01T21:12:04"/>
    <d v="2019-03-07T21:12:04"/>
    <d v="2019-03-07T21:12:04"/>
    <x v="3"/>
    <n v="44"/>
    <n v="113"/>
    <n v="1794.48"/>
  </r>
  <r>
    <n v="479236"/>
    <x v="2"/>
    <s v="Bangalore"/>
    <x v="2"/>
    <s v=" DL"/>
    <x v="0"/>
    <x v="0"/>
    <x v="0"/>
    <x v="0"/>
    <d v="2019-03-01T21:14:01"/>
    <d v="2019-03-04T21:14:01"/>
    <d v="2019-03-06T21:14:01"/>
    <x v="4"/>
    <n v="34"/>
    <n v="127"/>
    <n v="2789.2556630080094"/>
  </r>
  <r>
    <n v="62344"/>
    <x v="2"/>
    <s v="Delhi"/>
    <x v="2"/>
    <s v=" DL"/>
    <x v="0"/>
    <x v="0"/>
    <x v="0"/>
    <x v="0"/>
    <d v="2019-03-01T21:17:41"/>
    <d v="2019-03-06T21:17:41"/>
    <d v="2019-03-07T21:17:41"/>
    <x v="9"/>
    <n v="0"/>
    <n v="126"/>
    <n v="1938.9989960438045"/>
  </r>
  <r>
    <n v="688410"/>
    <x v="2"/>
    <s v="Bangalore"/>
    <x v="0"/>
    <s v=" MH"/>
    <x v="2"/>
    <x v="0"/>
    <x v="0"/>
    <x v="1"/>
    <d v="2019-03-01T21:18:11"/>
    <d v="2019-03-10T21:18:11"/>
    <d v="2019-03-08T21:18:11"/>
    <x v="1"/>
    <n v="27"/>
    <n v="108"/>
    <n v="1061.55"/>
  </r>
  <r>
    <n v="235626"/>
    <x v="2"/>
    <s v="Bangalore"/>
    <x v="2"/>
    <s v=" DL"/>
    <x v="2"/>
    <x v="0"/>
    <x v="0"/>
    <x v="1"/>
    <d v="2019-03-01T21:24:26"/>
    <d v="2019-03-09T21:24:26"/>
    <d v="2019-03-07T21:24:26"/>
    <x v="5"/>
    <n v="50"/>
    <n v="130"/>
    <n v="1151.01"/>
  </r>
  <r>
    <n v="257505"/>
    <x v="2"/>
    <s v="Delhi"/>
    <x v="2"/>
    <s v=" DL"/>
    <x v="1"/>
    <x v="0"/>
    <x v="1"/>
    <x v="1"/>
    <d v="2019-03-01T21:54:49"/>
    <d v="2019-03-08T21:54:49"/>
    <d v="2019-03-05T21:54:49"/>
    <x v="8"/>
    <n v="0"/>
    <n v="129"/>
    <n v="2058.7600000000002"/>
  </r>
  <r>
    <n v="805979"/>
    <x v="2"/>
    <s v="Delhi"/>
    <x v="3"/>
    <s v=" KA"/>
    <x v="1"/>
    <x v="0"/>
    <x v="1"/>
    <x v="0"/>
    <d v="2019-03-01T21:59:03"/>
    <d v="2019-03-11T21:59:03"/>
    <d v="2019-03-07T21:59:03"/>
    <x v="7"/>
    <n v="31"/>
    <n v="128"/>
    <n v="1248.304392535978"/>
  </r>
  <r>
    <n v="129090"/>
    <x v="2"/>
    <s v="Bangalore"/>
    <x v="3"/>
    <s v=" KA"/>
    <x v="2"/>
    <x v="0"/>
    <x v="0"/>
    <x v="1"/>
    <d v="2019-03-01T22:09:23"/>
    <d v="2019-03-07T22:09:23"/>
    <d v="2019-03-06T22:09:23"/>
    <x v="3"/>
    <n v="0"/>
    <n v="129"/>
    <n v="1575.12"/>
  </r>
  <r>
    <n v="192350"/>
    <x v="2"/>
    <s v="Bangalore"/>
    <x v="0"/>
    <s v=" MH"/>
    <x v="2"/>
    <x v="0"/>
    <x v="0"/>
    <x v="0"/>
    <d v="2019-03-01T22:48:48"/>
    <d v="2019-03-10T22:48:48"/>
    <d v="2019-03-07T22:48:48"/>
    <x v="1"/>
    <n v="46"/>
    <n v="109"/>
    <n v="3087.9371739785856"/>
  </r>
  <r>
    <n v="789290"/>
    <x v="2"/>
    <s v="Bangalore"/>
    <x v="1"/>
    <s v=" TN"/>
    <x v="2"/>
    <x v="0"/>
    <x v="0"/>
    <x v="0"/>
    <d v="2019-03-01T22:51:34"/>
    <d v="2019-03-05T22:51:34"/>
    <d v="2019-03-05T22:51:34"/>
    <x v="6"/>
    <n v="44"/>
    <n v="123"/>
    <n v="3280.1773938286183"/>
  </r>
  <r>
    <n v="892248"/>
    <x v="2"/>
    <s v="Delhi"/>
    <x v="0"/>
    <s v=" MH"/>
    <x v="0"/>
    <x v="0"/>
    <x v="0"/>
    <x v="1"/>
    <d v="2019-03-01T23:04:30"/>
    <d v="2019-03-06T23:04:30"/>
    <d v="2019-03-08T23:04:30"/>
    <x v="9"/>
    <n v="45"/>
    <n v="110"/>
    <n v="1394.16"/>
  </r>
  <r>
    <n v="91517"/>
    <x v="2"/>
    <s v="Delhi"/>
    <x v="4"/>
    <s v=" WB"/>
    <x v="1"/>
    <x v="0"/>
    <x v="1"/>
    <x v="0"/>
    <d v="2019-03-01T23:07:08"/>
    <d v="2019-03-04T23:07:08"/>
    <d v="2019-03-08T23:07:08"/>
    <x v="4"/>
    <n v="29"/>
    <n v="114"/>
    <n v="2617.2367662417828"/>
  </r>
  <r>
    <n v="245704"/>
    <x v="2"/>
    <s v="Bangalore"/>
    <x v="2"/>
    <s v=" DL"/>
    <x v="0"/>
    <x v="0"/>
    <x v="0"/>
    <x v="0"/>
    <d v="2019-03-01T23:19:21"/>
    <d v="2019-03-05T23:19:21"/>
    <d v="2019-03-08T23:19:21"/>
    <x v="6"/>
    <n v="88"/>
    <n v="102"/>
    <n v="859.11180675581852"/>
  </r>
  <r>
    <n v="687978"/>
    <x v="2"/>
    <s v="Delhi"/>
    <x v="1"/>
    <s v=" TN"/>
    <x v="2"/>
    <x v="0"/>
    <x v="0"/>
    <x v="1"/>
    <d v="2019-03-01T23:52:09"/>
    <d v="2019-03-06T23:52:09"/>
    <d v="2019-03-04T23:52:09"/>
    <x v="9"/>
    <n v="37"/>
    <n v="123"/>
    <n v="3007.98"/>
  </r>
  <r>
    <n v="603066"/>
    <x v="2"/>
    <s v="Bangalore"/>
    <x v="2"/>
    <s v=" DL"/>
    <x v="2"/>
    <x v="0"/>
    <x v="0"/>
    <x v="1"/>
    <d v="2019-03-01T23:56:01"/>
    <d v="2019-03-07T23:56:01"/>
    <d v="2019-03-06T23:56:01"/>
    <x v="3"/>
    <n v="27"/>
    <n v="122"/>
    <n v="626.46"/>
  </r>
  <r>
    <n v="111750"/>
    <x v="2"/>
    <s v="Delhi"/>
    <x v="4"/>
    <s v=" WB"/>
    <x v="2"/>
    <x v="0"/>
    <x v="0"/>
    <x v="1"/>
    <d v="2019-03-02T00:55:39"/>
    <d v="2019-03-06T00:55:39"/>
    <d v="2019-03-07T00:55:39"/>
    <x v="6"/>
    <n v="38"/>
    <n v="112"/>
    <n v="3594.08"/>
  </r>
  <r>
    <n v="464813"/>
    <x v="2"/>
    <s v="Delhi"/>
    <x v="0"/>
    <s v=" MH"/>
    <x v="1"/>
    <x v="0"/>
    <x v="1"/>
    <x v="0"/>
    <d v="2019-03-02T01:12:50"/>
    <d v="2019-03-06T01:12:50"/>
    <d v="2019-03-09T01:12:50"/>
    <x v="6"/>
    <n v="47"/>
    <n v="113"/>
    <n v="2535.082187254834"/>
  </r>
  <r>
    <n v="170265"/>
    <x v="2"/>
    <s v="Bangalore"/>
    <x v="1"/>
    <s v=" TN"/>
    <x v="1"/>
    <x v="0"/>
    <x v="1"/>
    <x v="1"/>
    <d v="2019-03-02T01:24:47"/>
    <d v="2019-03-04T01:24:47"/>
    <d v="2019-03-06T01:24:47"/>
    <x v="0"/>
    <n v="26"/>
    <n v="123"/>
    <n v="794.76"/>
  </r>
  <r>
    <n v="701325"/>
    <x v="2"/>
    <s v="Bangalore"/>
    <x v="4"/>
    <s v=" WB"/>
    <x v="1"/>
    <x v="0"/>
    <x v="1"/>
    <x v="1"/>
    <d v="2019-03-02T01:34:22"/>
    <d v="2019-03-09T01:34:22"/>
    <d v="2019-03-09T01:34:22"/>
    <x v="8"/>
    <n v="36"/>
    <n v="109"/>
    <n v="2654.17"/>
  </r>
  <r>
    <n v="665747"/>
    <x v="2"/>
    <s v="Delhi"/>
    <x v="0"/>
    <s v=" MH"/>
    <x v="1"/>
    <x v="0"/>
    <x v="1"/>
    <x v="0"/>
    <d v="2019-03-02T01:53:43"/>
    <d v="2019-03-05T01:53:43"/>
    <d v="2019-03-07T01:53:43"/>
    <x v="4"/>
    <n v="46"/>
    <n v="113"/>
    <n v="1145.1373437022214"/>
  </r>
  <r>
    <n v="417466"/>
    <x v="2"/>
    <s v="Bangalore"/>
    <x v="3"/>
    <s v=" KA"/>
    <x v="2"/>
    <x v="0"/>
    <x v="0"/>
    <x v="0"/>
    <d v="2019-03-02T01:55:55"/>
    <d v="2019-03-06T01:55:55"/>
    <d v="2019-03-09T01:55:55"/>
    <x v="6"/>
    <n v="0"/>
    <n v="121"/>
    <n v="925.65716178761284"/>
  </r>
  <r>
    <n v="404624"/>
    <x v="2"/>
    <s v="Delhi"/>
    <x v="2"/>
    <s v=" DL"/>
    <x v="0"/>
    <x v="0"/>
    <x v="0"/>
    <x v="0"/>
    <d v="2019-03-02T02:02:57"/>
    <d v="2019-03-02T02:02:57"/>
    <d v="2019-03-07T02:02:57"/>
    <x v="10"/>
    <n v="0"/>
    <n v="125"/>
    <n v="2530.684099360526"/>
  </r>
  <r>
    <n v="213474"/>
    <x v="2"/>
    <s v="Bangalore"/>
    <x v="2"/>
    <s v=" DL"/>
    <x v="0"/>
    <x v="0"/>
    <x v="0"/>
    <x v="1"/>
    <d v="2019-03-02T02:29:02"/>
    <d v="2019-03-05T02:29:02"/>
    <d v="2019-03-06T02:29:02"/>
    <x v="4"/>
    <n v="64"/>
    <n v="107"/>
    <n v="357.61"/>
  </r>
  <r>
    <n v="156670"/>
    <x v="2"/>
    <s v="Bangalore"/>
    <x v="3"/>
    <s v=" KA"/>
    <x v="0"/>
    <x v="0"/>
    <x v="0"/>
    <x v="0"/>
    <d v="2019-03-02T02:38:55"/>
    <d v="2019-03-07T02:38:55"/>
    <d v="2019-03-05T02:38:55"/>
    <x v="9"/>
    <n v="0"/>
    <n v="105"/>
    <n v="1900.3467798298425"/>
  </r>
  <r>
    <n v="205752"/>
    <x v="2"/>
    <s v="Delhi"/>
    <x v="2"/>
    <s v=" DL"/>
    <x v="0"/>
    <x v="0"/>
    <x v="0"/>
    <x v="1"/>
    <d v="2019-03-02T02:58:38"/>
    <d v="2019-03-06T02:58:38"/>
    <d v="2019-03-08T02:58:38"/>
    <x v="6"/>
    <n v="0"/>
    <n v="125"/>
    <n v="1187.21"/>
  </r>
  <r>
    <n v="43859"/>
    <x v="2"/>
    <s v="Delhi"/>
    <x v="1"/>
    <s v=" TN"/>
    <x v="1"/>
    <x v="0"/>
    <x v="1"/>
    <x v="0"/>
    <d v="2019-03-02T03:25:03"/>
    <d v="2019-03-05T03:25:03"/>
    <d v="2019-03-07T03:25:03"/>
    <x v="4"/>
    <n v="29"/>
    <n v="126"/>
    <n v="1342.8817445164673"/>
  </r>
  <r>
    <n v="401286"/>
    <x v="2"/>
    <s v="Bangalore"/>
    <x v="2"/>
    <s v=" DL"/>
    <x v="2"/>
    <x v="0"/>
    <x v="0"/>
    <x v="1"/>
    <d v="2019-03-02T03:44:22"/>
    <d v="2019-03-11T03:44:22"/>
    <d v="2019-03-05T03:44:22"/>
    <x v="1"/>
    <n v="40"/>
    <n v="120"/>
    <n v="3348.69"/>
  </r>
  <r>
    <n v="698299"/>
    <x v="2"/>
    <s v="Delhi"/>
    <x v="4"/>
    <s v=" WB"/>
    <x v="0"/>
    <x v="0"/>
    <x v="2"/>
    <x v="0"/>
    <d v="2019-03-02T03:45:15"/>
    <d v="2019-03-11T03:45:15"/>
    <d v="2019-03-08T03:45:15"/>
    <x v="1"/>
    <n v="79"/>
    <n v="95"/>
    <n v="2531.3042656379403"/>
  </r>
  <r>
    <n v="368432"/>
    <x v="2"/>
    <s v="Bangalore"/>
    <x v="0"/>
    <s v=" MH"/>
    <x v="0"/>
    <x v="0"/>
    <x v="0"/>
    <x v="0"/>
    <d v="2019-03-02T03:57:59"/>
    <d v="2019-03-04T03:57:59"/>
    <d v="2019-03-08T03:57:59"/>
    <x v="0"/>
    <n v="43"/>
    <n v="114"/>
    <n v="2078.1512909701291"/>
  </r>
  <r>
    <n v="341485"/>
    <x v="2"/>
    <s v="Delhi"/>
    <x v="0"/>
    <s v=" MH"/>
    <x v="1"/>
    <x v="0"/>
    <x v="1"/>
    <x v="0"/>
    <d v="2019-03-02T04:03:44"/>
    <d v="2019-03-09T04:03:44"/>
    <d v="2019-03-09T04:03:44"/>
    <x v="8"/>
    <n v="35"/>
    <n v="109"/>
    <n v="3102.0244686152723"/>
  </r>
  <r>
    <n v="799280"/>
    <x v="2"/>
    <s v="Bangalore"/>
    <x v="1"/>
    <s v=" TN"/>
    <x v="0"/>
    <x v="0"/>
    <x v="0"/>
    <x v="0"/>
    <d v="2019-03-02T04:31:28"/>
    <d v="2019-03-12T04:31:28"/>
    <d v="2019-03-07T04:31:28"/>
    <x v="7"/>
    <n v="31"/>
    <n v="125"/>
    <n v="2573.6383707269742"/>
  </r>
  <r>
    <n v="181459"/>
    <x v="2"/>
    <s v="Bangalore"/>
    <x v="0"/>
    <s v=" MH"/>
    <x v="0"/>
    <x v="0"/>
    <x v="1"/>
    <x v="0"/>
    <d v="2019-03-02T04:39:56"/>
    <d v="2019-03-04T04:39:56"/>
    <d v="2019-03-07T04:39:56"/>
    <x v="0"/>
    <n v="65"/>
    <n v="85"/>
    <n v="592.69795073760906"/>
  </r>
  <r>
    <n v="816797"/>
    <x v="2"/>
    <s v="Delhi"/>
    <x v="0"/>
    <s v=" MH"/>
    <x v="0"/>
    <x v="0"/>
    <x v="1"/>
    <x v="0"/>
    <d v="2019-03-02T05:09:04"/>
    <d v="2019-03-08T05:09:04"/>
    <d v="2019-03-05T05:09:04"/>
    <x v="3"/>
    <n v="82"/>
    <n v="91"/>
    <n v="1360.3842644573774"/>
  </r>
  <r>
    <n v="808094"/>
    <x v="2"/>
    <s v="Bangalore"/>
    <x v="3"/>
    <s v=" KA"/>
    <x v="2"/>
    <x v="0"/>
    <x v="0"/>
    <x v="0"/>
    <d v="2019-03-02T05:16:29"/>
    <d v="2019-03-03T05:16:29"/>
    <d v="2019-03-08T05:16:29"/>
    <x v="2"/>
    <n v="0"/>
    <n v="124"/>
    <n v="485.23012727467182"/>
  </r>
  <r>
    <n v="441907"/>
    <x v="2"/>
    <s v="Delhi"/>
    <x v="3"/>
    <s v=" KA"/>
    <x v="1"/>
    <x v="0"/>
    <x v="1"/>
    <x v="0"/>
    <d v="2019-03-02T05:22:52"/>
    <d v="2019-03-10T05:22:52"/>
    <d v="2019-03-07T05:22:52"/>
    <x v="5"/>
    <n v="27"/>
    <n v="125"/>
    <n v="888.36806748359152"/>
  </r>
  <r>
    <n v="9361"/>
    <x v="2"/>
    <s v="Delhi"/>
    <x v="4"/>
    <s v=" WB"/>
    <x v="0"/>
    <x v="0"/>
    <x v="1"/>
    <x v="0"/>
    <d v="2019-03-02T05:48:45"/>
    <d v="2019-03-08T05:48:45"/>
    <d v="2019-03-09T05:48:45"/>
    <x v="3"/>
    <n v="79"/>
    <n v="88"/>
    <n v="2173.9079489202823"/>
  </r>
  <r>
    <n v="518458"/>
    <x v="2"/>
    <s v="Delhi"/>
    <x v="1"/>
    <s v=" TN"/>
    <x v="0"/>
    <x v="0"/>
    <x v="0"/>
    <x v="0"/>
    <d v="2019-03-02T06:06:29"/>
    <d v="2019-03-08T06:06:29"/>
    <d v="2019-03-08T06:06:29"/>
    <x v="3"/>
    <n v="74"/>
    <n v="103"/>
    <n v="2729.4218893373072"/>
  </r>
  <r>
    <n v="47642"/>
    <x v="2"/>
    <s v="Delhi"/>
    <x v="4"/>
    <s v=" WB"/>
    <x v="0"/>
    <x v="0"/>
    <x v="0"/>
    <x v="0"/>
    <d v="2019-03-02T06:32:24"/>
    <d v="2019-03-09T06:32:24"/>
    <d v="2019-03-09T06:32:24"/>
    <x v="8"/>
    <n v="78"/>
    <n v="87"/>
    <n v="2113.8706669081776"/>
  </r>
  <r>
    <n v="77227"/>
    <x v="2"/>
    <s v="Bangalore"/>
    <x v="3"/>
    <s v=" KA"/>
    <x v="1"/>
    <x v="0"/>
    <x v="1"/>
    <x v="0"/>
    <d v="2019-03-02T06:55:24"/>
    <d v="2019-03-05T06:55:24"/>
    <d v="2019-03-07T06:55:24"/>
    <x v="4"/>
    <n v="0"/>
    <n v="130"/>
    <n v="1645.612297046443"/>
  </r>
  <r>
    <n v="42972"/>
    <x v="2"/>
    <s v="Delhi"/>
    <x v="4"/>
    <s v=" WB"/>
    <x v="0"/>
    <x v="0"/>
    <x v="0"/>
    <x v="1"/>
    <d v="2019-03-02T06:57:05"/>
    <d v="2019-03-09T06:57:05"/>
    <d v="2019-03-07T06:57:05"/>
    <x v="8"/>
    <n v="31"/>
    <n v="111"/>
    <n v="3563.25"/>
  </r>
  <r>
    <n v="277224"/>
    <x v="2"/>
    <s v="Delhi"/>
    <x v="4"/>
    <s v=" WB"/>
    <x v="0"/>
    <x v="0"/>
    <x v="0"/>
    <x v="1"/>
    <d v="2019-03-02T07:01:18"/>
    <d v="2019-03-07T07:01:18"/>
    <d v="2019-03-05T07:01:18"/>
    <x v="9"/>
    <n v="25"/>
    <n v="114"/>
    <n v="781.09"/>
  </r>
  <r>
    <n v="881394"/>
    <x v="2"/>
    <s v="Delhi"/>
    <x v="3"/>
    <s v=" KA"/>
    <x v="2"/>
    <x v="0"/>
    <x v="0"/>
    <x v="1"/>
    <d v="2019-03-02T07:03:02"/>
    <d v="2019-03-08T07:03:02"/>
    <d v="2019-03-08T07:03:02"/>
    <x v="3"/>
    <n v="47"/>
    <n v="124"/>
    <n v="2000.62"/>
  </r>
  <r>
    <n v="323756"/>
    <x v="2"/>
    <s v="Delhi"/>
    <x v="4"/>
    <s v=" WB"/>
    <x v="0"/>
    <x v="0"/>
    <x v="0"/>
    <x v="0"/>
    <d v="2019-03-02T07:34:16"/>
    <d v="2019-03-06T07:34:16"/>
    <d v="2019-03-09T07:34:16"/>
    <x v="6"/>
    <n v="88"/>
    <n v="88"/>
    <n v="828.81867686892542"/>
  </r>
  <r>
    <n v="509770"/>
    <x v="2"/>
    <s v="Bangalore"/>
    <x v="4"/>
    <s v=" WB"/>
    <x v="2"/>
    <x v="0"/>
    <x v="0"/>
    <x v="0"/>
    <d v="2019-03-02T07:49:19"/>
    <d v="2019-03-07T07:49:19"/>
    <d v="2019-03-07T07:49:19"/>
    <x v="9"/>
    <n v="47"/>
    <n v="112"/>
    <n v="1751.8925663924506"/>
  </r>
  <r>
    <n v="26891"/>
    <x v="2"/>
    <s v="Bangalore"/>
    <x v="0"/>
    <s v=" MH"/>
    <x v="0"/>
    <x v="0"/>
    <x v="1"/>
    <x v="0"/>
    <d v="2019-03-02T08:44:55"/>
    <d v="2019-03-04T08:44:55"/>
    <d v="2019-03-09T08:44:55"/>
    <x v="0"/>
    <n v="86"/>
    <n v="91"/>
    <n v="1695.0599240038412"/>
  </r>
  <r>
    <n v="618445"/>
    <x v="2"/>
    <s v="Bangalore"/>
    <x v="4"/>
    <s v=" WB"/>
    <x v="1"/>
    <x v="0"/>
    <x v="1"/>
    <x v="0"/>
    <d v="2019-03-02T08:45:16"/>
    <d v="2019-03-07T08:45:16"/>
    <d v="2019-03-05T08:45:16"/>
    <x v="9"/>
    <n v="38"/>
    <n v="108"/>
    <n v="1570.3190655406893"/>
  </r>
  <r>
    <n v="36849"/>
    <x v="2"/>
    <s v="Delhi"/>
    <x v="0"/>
    <s v=" MH"/>
    <x v="1"/>
    <x v="0"/>
    <x v="1"/>
    <x v="1"/>
    <d v="2019-03-02T08:55:23"/>
    <d v="2019-03-09T08:55:23"/>
    <d v="2019-03-07T08:55:23"/>
    <x v="8"/>
    <n v="35"/>
    <n v="112"/>
    <n v="1835.85"/>
  </r>
  <r>
    <n v="250782"/>
    <x v="2"/>
    <s v="Delhi"/>
    <x v="1"/>
    <s v=" TN"/>
    <x v="0"/>
    <x v="0"/>
    <x v="0"/>
    <x v="1"/>
    <d v="2019-03-02T09:09:08"/>
    <d v="2019-03-13T09:09:08"/>
    <d v="2019-03-07T09:09:08"/>
    <x v="11"/>
    <n v="80"/>
    <n v="101"/>
    <n v="2160.1799999999998"/>
  </r>
  <r>
    <n v="444217"/>
    <x v="2"/>
    <s v="Delhi"/>
    <x v="4"/>
    <s v=" WB"/>
    <x v="0"/>
    <x v="0"/>
    <x v="1"/>
    <x v="0"/>
    <d v="2019-03-02T10:32:16"/>
    <d v="2019-03-06T10:32:16"/>
    <d v="2019-03-08T10:32:16"/>
    <x v="6"/>
    <n v="78"/>
    <n v="92"/>
    <n v="1582.9868385164907"/>
  </r>
  <r>
    <n v="937135"/>
    <x v="2"/>
    <s v="Bangalore"/>
    <x v="4"/>
    <s v=" WB"/>
    <x v="0"/>
    <x v="0"/>
    <x v="1"/>
    <x v="0"/>
    <d v="2019-03-02T10:35:10"/>
    <d v="2019-03-06T10:35:10"/>
    <d v="2019-03-07T10:35:10"/>
    <x v="6"/>
    <n v="65"/>
    <n v="87"/>
    <n v="335.08538175696611"/>
  </r>
  <r>
    <n v="918707"/>
    <x v="2"/>
    <s v="Delhi"/>
    <x v="0"/>
    <s v=" MH"/>
    <x v="1"/>
    <x v="0"/>
    <x v="1"/>
    <x v="0"/>
    <d v="2019-03-02T10:38:19"/>
    <d v="2019-03-09T10:38:19"/>
    <d v="2019-03-08T10:38:19"/>
    <x v="8"/>
    <n v="30"/>
    <n v="111"/>
    <n v="1304.0187953278846"/>
  </r>
  <r>
    <n v="588364"/>
    <x v="2"/>
    <s v="Bangalore"/>
    <x v="4"/>
    <s v=" WB"/>
    <x v="0"/>
    <x v="0"/>
    <x v="0"/>
    <x v="0"/>
    <d v="2019-03-02T10:57:27"/>
    <d v="2019-03-07T10:57:27"/>
    <d v="2019-03-06T10:57:27"/>
    <x v="9"/>
    <n v="27"/>
    <n v="105"/>
    <n v="3392.3627550407223"/>
  </r>
  <r>
    <n v="331610"/>
    <x v="2"/>
    <s v="Delhi"/>
    <x v="0"/>
    <s v=" MH"/>
    <x v="0"/>
    <x v="0"/>
    <x v="0"/>
    <x v="0"/>
    <d v="2019-03-02T10:59:18"/>
    <d v="2019-03-04T10:59:18"/>
    <d v="2019-03-09T10:59:18"/>
    <x v="0"/>
    <n v="73"/>
    <n v="88"/>
    <n v="1087.3825468727296"/>
  </r>
  <r>
    <n v="143533"/>
    <x v="2"/>
    <s v="Delhi"/>
    <x v="0"/>
    <s v=" MH"/>
    <x v="0"/>
    <x v="0"/>
    <x v="1"/>
    <x v="0"/>
    <d v="2019-03-02T11:10:24"/>
    <d v="2019-03-07T11:10:24"/>
    <d v="2019-03-07T11:10:24"/>
    <x v="9"/>
    <n v="68"/>
    <n v="88"/>
    <n v="1305.6443480000994"/>
  </r>
  <r>
    <n v="686093"/>
    <x v="2"/>
    <s v="Delhi"/>
    <x v="3"/>
    <s v=" KA"/>
    <x v="0"/>
    <x v="0"/>
    <x v="1"/>
    <x v="0"/>
    <d v="2019-03-02T11:20:59"/>
    <d v="2019-03-06T11:20:59"/>
    <d v="2019-03-09T11:20:59"/>
    <x v="6"/>
    <n v="63"/>
    <n v="104"/>
    <n v="1104.0567035334727"/>
  </r>
  <r>
    <n v="764473"/>
    <x v="2"/>
    <s v="Delhi"/>
    <x v="4"/>
    <s v=" WB"/>
    <x v="1"/>
    <x v="0"/>
    <x v="1"/>
    <x v="0"/>
    <d v="2019-03-02T11:47:53"/>
    <d v="2019-03-07T11:47:53"/>
    <d v="2019-03-06T11:47:53"/>
    <x v="9"/>
    <n v="25"/>
    <n v="108"/>
    <n v="3402.1657930803754"/>
  </r>
  <r>
    <n v="465452"/>
    <x v="2"/>
    <s v="Delhi"/>
    <x v="3"/>
    <s v=" KA"/>
    <x v="0"/>
    <x v="0"/>
    <x v="0"/>
    <x v="0"/>
    <d v="2019-03-02T11:58:48"/>
    <d v="2019-03-06T11:58:48"/>
    <d v="2019-03-09T11:58:48"/>
    <x v="6"/>
    <n v="72"/>
    <n v="103"/>
    <n v="653.08781540481687"/>
  </r>
  <r>
    <n v="276378"/>
    <x v="2"/>
    <s v="Bangalore"/>
    <x v="0"/>
    <s v=" MH"/>
    <x v="0"/>
    <x v="0"/>
    <x v="0"/>
    <x v="1"/>
    <d v="2019-03-02T12:23:53"/>
    <d v="2019-03-04T12:23:53"/>
    <d v="2019-03-08T12:23:53"/>
    <x v="0"/>
    <n v="71"/>
    <n v="94"/>
    <n v="1334.86"/>
  </r>
  <r>
    <n v="11940"/>
    <x v="2"/>
    <s v="Delhi"/>
    <x v="3"/>
    <s v=" KA"/>
    <x v="0"/>
    <x v="0"/>
    <x v="0"/>
    <x v="1"/>
    <d v="2019-03-02T12:37:41"/>
    <d v="2019-03-04T12:37:41"/>
    <d v="2019-03-06T12:37:41"/>
    <x v="0"/>
    <n v="40"/>
    <n v="125"/>
    <n v="1802.29"/>
  </r>
  <r>
    <n v="411259"/>
    <x v="2"/>
    <s v="Bangalore"/>
    <x v="2"/>
    <s v=" DL"/>
    <x v="1"/>
    <x v="0"/>
    <x v="1"/>
    <x v="0"/>
    <d v="2019-03-02T12:58:35"/>
    <d v="2019-03-07T12:58:35"/>
    <d v="2019-03-09T12:58:35"/>
    <x v="9"/>
    <n v="34"/>
    <n v="124"/>
    <n v="1177.0250410308829"/>
  </r>
  <r>
    <n v="537771"/>
    <x v="2"/>
    <s v="Delhi"/>
    <x v="0"/>
    <s v=" MH"/>
    <x v="1"/>
    <x v="0"/>
    <x v="1"/>
    <x v="1"/>
    <d v="2019-03-02T13:07:55"/>
    <d v="2019-03-06T13:07:55"/>
    <d v="2019-03-09T13:07:55"/>
    <x v="6"/>
    <n v="50"/>
    <n v="114"/>
    <n v="3383.82"/>
  </r>
  <r>
    <n v="655078"/>
    <x v="2"/>
    <s v="Bangalore"/>
    <x v="4"/>
    <s v=" WB"/>
    <x v="2"/>
    <x v="0"/>
    <x v="0"/>
    <x v="0"/>
    <d v="2019-03-02T13:11:26"/>
    <d v="2019-03-04T13:11:26"/>
    <d v="2019-03-05T13:11:26"/>
    <x v="0"/>
    <n v="39"/>
    <n v="108"/>
    <n v="2939.1284545888175"/>
  </r>
  <r>
    <n v="145743"/>
    <x v="2"/>
    <s v="Delhi"/>
    <x v="3"/>
    <s v=" KA"/>
    <x v="1"/>
    <x v="0"/>
    <x v="1"/>
    <x v="1"/>
    <d v="2019-03-02T13:20:04"/>
    <d v="2019-03-05T13:20:04"/>
    <d v="2019-03-09T13:20:04"/>
    <x v="4"/>
    <n v="27"/>
    <n v="125"/>
    <n v="210.73"/>
  </r>
  <r>
    <n v="476095"/>
    <x v="2"/>
    <s v="Bangalore"/>
    <x v="4"/>
    <s v=" WB"/>
    <x v="1"/>
    <x v="0"/>
    <x v="1"/>
    <x v="0"/>
    <d v="2019-03-02T13:40:56"/>
    <d v="2019-03-08T13:40:56"/>
    <d v="2019-03-09T13:40:56"/>
    <x v="3"/>
    <n v="36"/>
    <n v="108"/>
    <n v="1142.6747604745713"/>
  </r>
  <r>
    <n v="62028"/>
    <x v="2"/>
    <s v="Delhi"/>
    <x v="3"/>
    <s v=" KA"/>
    <x v="0"/>
    <x v="0"/>
    <x v="0"/>
    <x v="1"/>
    <d v="2019-03-02T13:41:49"/>
    <d v="2019-03-06T13:41:49"/>
    <d v="2019-03-05T13:41:49"/>
    <x v="6"/>
    <n v="59"/>
    <n v="101"/>
    <n v="3516.66"/>
  </r>
  <r>
    <n v="734500"/>
    <x v="2"/>
    <s v="Bangalore"/>
    <x v="2"/>
    <s v=" DL"/>
    <x v="0"/>
    <x v="0"/>
    <x v="0"/>
    <x v="0"/>
    <d v="2019-03-02T14:48:09"/>
    <d v="2019-03-05T14:48:09"/>
    <d v="2019-03-07T14:48:09"/>
    <x v="4"/>
    <n v="34"/>
    <n v="126"/>
    <n v="3077.4388119796754"/>
  </r>
  <r>
    <n v="850357"/>
    <x v="2"/>
    <s v="Delhi"/>
    <x v="4"/>
    <s v=" WB"/>
    <x v="1"/>
    <x v="0"/>
    <x v="1"/>
    <x v="0"/>
    <d v="2019-03-02T15:00:12"/>
    <d v="2019-03-07T15:00:12"/>
    <d v="2019-03-06T15:00:12"/>
    <x v="9"/>
    <n v="44"/>
    <n v="114"/>
    <n v="1360.6946099998925"/>
  </r>
  <r>
    <n v="487995"/>
    <x v="2"/>
    <s v="Bangalore"/>
    <x v="3"/>
    <s v=" KA"/>
    <x v="0"/>
    <x v="0"/>
    <x v="1"/>
    <x v="1"/>
    <d v="2019-03-02T15:02:04"/>
    <d v="2019-03-04T15:02:04"/>
    <d v="2019-03-08T15:02:04"/>
    <x v="0"/>
    <n v="0"/>
    <n v="108"/>
    <n v="1533.74"/>
  </r>
  <r>
    <n v="87677"/>
    <x v="2"/>
    <s v="Delhi"/>
    <x v="2"/>
    <s v=" DL"/>
    <x v="1"/>
    <x v="0"/>
    <x v="1"/>
    <x v="0"/>
    <d v="2019-03-02T15:08:58"/>
    <d v="2019-03-06T15:08:58"/>
    <d v="2019-03-06T15:08:58"/>
    <x v="6"/>
    <n v="0"/>
    <n v="121"/>
    <n v="3105.5107301531561"/>
  </r>
  <r>
    <n v="288876"/>
    <x v="2"/>
    <s v="Bangalore"/>
    <x v="0"/>
    <s v=" MH"/>
    <x v="0"/>
    <x v="0"/>
    <x v="0"/>
    <x v="1"/>
    <d v="2019-03-02T15:10:38"/>
    <d v="2019-03-04T15:10:38"/>
    <d v="2019-03-09T15:10:38"/>
    <x v="0"/>
    <n v="32"/>
    <n v="111"/>
    <n v="2111.84"/>
  </r>
  <r>
    <n v="691547"/>
    <x v="2"/>
    <s v="Delhi"/>
    <x v="0"/>
    <s v=" MH"/>
    <x v="0"/>
    <x v="0"/>
    <x v="1"/>
    <x v="0"/>
    <d v="2019-03-02T15:19:16"/>
    <d v="2019-03-08T15:19:16"/>
    <d v="2019-03-05T15:19:16"/>
    <x v="3"/>
    <n v="65"/>
    <n v="94"/>
    <n v="2757.0619772822265"/>
  </r>
  <r>
    <n v="885831"/>
    <x v="2"/>
    <s v="Delhi"/>
    <x v="4"/>
    <s v=" WB"/>
    <x v="1"/>
    <x v="0"/>
    <x v="1"/>
    <x v="1"/>
    <d v="2019-03-02T15:29:19"/>
    <d v="2019-03-05T15:29:19"/>
    <d v="2019-03-05T15:29:19"/>
    <x v="4"/>
    <n v="42"/>
    <n v="113"/>
    <n v="196.36"/>
  </r>
  <r>
    <n v="713974"/>
    <x v="2"/>
    <s v="Bangalore"/>
    <x v="1"/>
    <s v=" TN"/>
    <x v="0"/>
    <x v="0"/>
    <x v="0"/>
    <x v="0"/>
    <d v="2019-03-02T15:53:54"/>
    <d v="2019-03-11T15:53:54"/>
    <d v="2019-03-06T15:53:54"/>
    <x v="1"/>
    <n v="75"/>
    <n v="109"/>
    <n v="1504.355128079844"/>
  </r>
  <r>
    <n v="169292"/>
    <x v="2"/>
    <s v="Delhi"/>
    <x v="2"/>
    <s v=" DL"/>
    <x v="0"/>
    <x v="0"/>
    <x v="0"/>
    <x v="0"/>
    <d v="2019-03-02T16:09:14"/>
    <d v="2019-03-02T16:09:14"/>
    <d v="2019-03-06T16:09:14"/>
    <x v="10"/>
    <n v="0"/>
    <n v="126"/>
    <n v="3522.9078234562448"/>
  </r>
  <r>
    <n v="818818"/>
    <x v="2"/>
    <s v="Bangalore"/>
    <x v="2"/>
    <s v=" DL"/>
    <x v="0"/>
    <x v="0"/>
    <x v="0"/>
    <x v="0"/>
    <d v="2019-03-02T16:20:13"/>
    <d v="2019-03-04T16:20:13"/>
    <d v="2019-03-05T16:20:13"/>
    <x v="0"/>
    <n v="65"/>
    <n v="102"/>
    <n v="1072.9912356629411"/>
  </r>
  <r>
    <n v="330250"/>
    <x v="2"/>
    <s v="Delhi"/>
    <x v="3"/>
    <s v=" KA"/>
    <x v="0"/>
    <x v="0"/>
    <x v="0"/>
    <x v="0"/>
    <d v="2019-03-02T16:21:14"/>
    <d v="2019-03-04T16:21:14"/>
    <d v="2019-03-07T16:21:14"/>
    <x v="0"/>
    <n v="85"/>
    <n v="107"/>
    <n v="1047.9164813763273"/>
  </r>
  <r>
    <n v="510102"/>
    <x v="2"/>
    <s v="Bangalore"/>
    <x v="3"/>
    <s v=" KA"/>
    <x v="2"/>
    <x v="0"/>
    <x v="0"/>
    <x v="1"/>
    <d v="2019-03-02T16:24:46"/>
    <d v="2019-03-06T16:24:46"/>
    <d v="2019-03-06T16:24:46"/>
    <x v="6"/>
    <n v="0"/>
    <n v="122"/>
    <n v="195.67"/>
  </r>
  <r>
    <n v="996332"/>
    <x v="2"/>
    <s v="Delhi"/>
    <x v="0"/>
    <s v=" MH"/>
    <x v="0"/>
    <x v="0"/>
    <x v="0"/>
    <x v="0"/>
    <d v="2019-03-02T16:28:40"/>
    <d v="2019-03-08T16:28:40"/>
    <d v="2019-03-09T16:28:40"/>
    <x v="3"/>
    <n v="30"/>
    <n v="110"/>
    <n v="3593.6337459556689"/>
  </r>
  <r>
    <n v="50700"/>
    <x v="2"/>
    <s v="Delhi"/>
    <x v="3"/>
    <s v=" KA"/>
    <x v="0"/>
    <x v="0"/>
    <x v="0"/>
    <x v="1"/>
    <d v="2019-03-02T16:56:55"/>
    <d v="2019-03-07T16:56:55"/>
    <d v="2019-03-07T16:56:55"/>
    <x v="9"/>
    <n v="37"/>
    <n v="121"/>
    <n v="2129.7199999999998"/>
  </r>
  <r>
    <n v="709274"/>
    <x v="2"/>
    <s v="Delhi"/>
    <x v="4"/>
    <s v=" WB"/>
    <x v="2"/>
    <x v="0"/>
    <x v="0"/>
    <x v="0"/>
    <d v="2019-03-02T16:57:41"/>
    <d v="2019-03-06T16:57:41"/>
    <d v="2019-03-07T16:57:41"/>
    <x v="6"/>
    <n v="43"/>
    <n v="112"/>
    <n v="277.71617521747856"/>
  </r>
  <r>
    <n v="523386"/>
    <x v="2"/>
    <s v="Delhi"/>
    <x v="4"/>
    <s v=" WB"/>
    <x v="2"/>
    <x v="0"/>
    <x v="0"/>
    <x v="1"/>
    <d v="2019-03-02T17:30:37"/>
    <d v="2019-03-04T17:30:37"/>
    <d v="2019-03-08T17:30:37"/>
    <x v="0"/>
    <n v="50"/>
    <n v="107"/>
    <n v="645.16"/>
  </r>
  <r>
    <n v="827509"/>
    <x v="2"/>
    <s v="Bangalore"/>
    <x v="2"/>
    <s v=" DL"/>
    <x v="1"/>
    <x v="0"/>
    <x v="1"/>
    <x v="0"/>
    <d v="2019-03-02T17:46:20"/>
    <d v="2019-03-07T17:46:20"/>
    <d v="2019-03-05T17:46:20"/>
    <x v="9"/>
    <n v="49"/>
    <n v="129"/>
    <n v="1317.1239418822065"/>
  </r>
  <r>
    <n v="474748"/>
    <x v="2"/>
    <s v="Delhi"/>
    <x v="2"/>
    <s v=" DL"/>
    <x v="0"/>
    <x v="0"/>
    <x v="0"/>
    <x v="0"/>
    <d v="2019-03-02T17:53:14"/>
    <d v="2019-03-04T17:53:14"/>
    <d v="2019-03-07T17:53:14"/>
    <x v="0"/>
    <n v="0"/>
    <n v="127"/>
    <n v="3681.1109601109606"/>
  </r>
  <r>
    <n v="80721"/>
    <x v="2"/>
    <s v="Delhi"/>
    <x v="4"/>
    <s v=" WB"/>
    <x v="1"/>
    <x v="0"/>
    <x v="1"/>
    <x v="1"/>
    <d v="2019-03-02T17:55:48"/>
    <d v="2019-03-04T17:55:48"/>
    <d v="2019-03-09T17:55:48"/>
    <x v="0"/>
    <n v="35"/>
    <n v="114"/>
    <n v="3295.88"/>
  </r>
  <r>
    <n v="404827"/>
    <x v="2"/>
    <s v="Delhi"/>
    <x v="0"/>
    <s v=" MH"/>
    <x v="0"/>
    <x v="0"/>
    <x v="1"/>
    <x v="0"/>
    <d v="2019-03-02T18:14:14"/>
    <d v="2019-03-05T18:14:14"/>
    <d v="2019-03-05T18:14:14"/>
    <x v="4"/>
    <n v="78"/>
    <n v="87"/>
    <n v="3319.4082704783714"/>
  </r>
  <r>
    <n v="77755"/>
    <x v="2"/>
    <s v="Bangalore"/>
    <x v="3"/>
    <s v=" KA"/>
    <x v="1"/>
    <x v="0"/>
    <x v="1"/>
    <x v="0"/>
    <d v="2019-03-02T18:51:25"/>
    <d v="2019-03-03T18:51:25"/>
    <d v="2019-03-08T18:51:25"/>
    <x v="2"/>
    <n v="0"/>
    <n v="124"/>
    <n v="1354.3377031146019"/>
  </r>
  <r>
    <n v="152920"/>
    <x v="2"/>
    <s v="Delhi"/>
    <x v="1"/>
    <s v=" TN"/>
    <x v="0"/>
    <x v="0"/>
    <x v="0"/>
    <x v="0"/>
    <d v="2019-03-02T19:01:17"/>
    <d v="2019-03-12T19:01:17"/>
    <d v="2019-03-05T19:01:17"/>
    <x v="7"/>
    <n v="34"/>
    <n v="127"/>
    <n v="837.64873055553244"/>
  </r>
  <r>
    <n v="421433"/>
    <x v="2"/>
    <s v="Bangalore"/>
    <x v="4"/>
    <s v=" WB"/>
    <x v="0"/>
    <x v="0"/>
    <x v="1"/>
    <x v="0"/>
    <d v="2019-03-02T19:27:47"/>
    <d v="2019-03-05T19:27:47"/>
    <d v="2019-03-05T19:27:47"/>
    <x v="4"/>
    <n v="77"/>
    <n v="90"/>
    <n v="799.88013576243281"/>
  </r>
  <r>
    <n v="285023"/>
    <x v="2"/>
    <s v="Delhi"/>
    <x v="2"/>
    <s v=" DL"/>
    <x v="0"/>
    <x v="0"/>
    <x v="1"/>
    <x v="0"/>
    <d v="2019-03-02T19:36:42"/>
    <d v="2019-03-05T19:36:42"/>
    <d v="2019-03-05T19:36:42"/>
    <x v="4"/>
    <n v="0"/>
    <n v="105"/>
    <n v="1289.6867539968453"/>
  </r>
  <r>
    <n v="493532"/>
    <x v="2"/>
    <s v="Delhi"/>
    <x v="3"/>
    <s v=" KA"/>
    <x v="0"/>
    <x v="0"/>
    <x v="0"/>
    <x v="0"/>
    <d v="2019-03-02T19:41:14"/>
    <d v="2019-03-04T19:41:14"/>
    <d v="2019-03-06T19:41:14"/>
    <x v="0"/>
    <n v="31"/>
    <n v="125"/>
    <n v="3041.514353213885"/>
  </r>
  <r>
    <n v="185595"/>
    <x v="2"/>
    <s v="Bangalore"/>
    <x v="3"/>
    <s v=" KA"/>
    <x v="1"/>
    <x v="0"/>
    <x v="1"/>
    <x v="1"/>
    <d v="2019-03-02T19:51:28"/>
    <d v="2019-03-05T19:51:28"/>
    <d v="2019-03-05T19:51:28"/>
    <x v="4"/>
    <n v="0"/>
    <n v="129"/>
    <n v="2929.1"/>
  </r>
  <r>
    <n v="922389"/>
    <x v="2"/>
    <s v="Delhi"/>
    <x v="3"/>
    <s v=" KA"/>
    <x v="1"/>
    <x v="0"/>
    <x v="1"/>
    <x v="1"/>
    <d v="2019-03-02T19:51:31"/>
    <d v="2019-03-06T19:51:31"/>
    <d v="2019-03-06T19:51:31"/>
    <x v="6"/>
    <n v="0"/>
    <n v="129"/>
    <n v="3266.64"/>
  </r>
  <r>
    <n v="386239"/>
    <x v="2"/>
    <s v="Delhi"/>
    <x v="4"/>
    <s v=" WB"/>
    <x v="1"/>
    <x v="0"/>
    <x v="2"/>
    <x v="0"/>
    <d v="2019-03-02T19:59:07"/>
    <d v="2019-03-05T19:59:07"/>
    <d v="2019-03-07T19:59:07"/>
    <x v="4"/>
    <n v="25"/>
    <n v="110"/>
    <n v="1583.8012623971699"/>
  </r>
  <r>
    <n v="26977"/>
    <x v="2"/>
    <s v="Bangalore"/>
    <x v="3"/>
    <s v=" KA"/>
    <x v="1"/>
    <x v="0"/>
    <x v="1"/>
    <x v="0"/>
    <d v="2019-03-02T20:04:27"/>
    <d v="2019-03-03T20:04:27"/>
    <d v="2019-03-06T20:04:27"/>
    <x v="2"/>
    <n v="0"/>
    <n v="124"/>
    <n v="1651.3634066356194"/>
  </r>
  <r>
    <n v="77922"/>
    <x v="2"/>
    <s v="Delhi"/>
    <x v="2"/>
    <s v=" DL"/>
    <x v="2"/>
    <x v="0"/>
    <x v="0"/>
    <x v="1"/>
    <d v="2019-03-02T21:01:29"/>
    <d v="2019-03-09T21:01:29"/>
    <d v="2019-03-07T21:01:29"/>
    <x v="8"/>
    <n v="0"/>
    <n v="130"/>
    <n v="511.24"/>
  </r>
  <r>
    <n v="124559"/>
    <x v="2"/>
    <s v="Bangalore"/>
    <x v="4"/>
    <s v=" WB"/>
    <x v="1"/>
    <x v="0"/>
    <x v="1"/>
    <x v="0"/>
    <d v="2019-03-02T21:03:54"/>
    <d v="2019-03-09T21:03:54"/>
    <d v="2019-03-08T21:03:54"/>
    <x v="8"/>
    <n v="40"/>
    <n v="108"/>
    <n v="2262.0087742575683"/>
  </r>
  <r>
    <n v="653773"/>
    <x v="2"/>
    <s v="Delhi"/>
    <x v="1"/>
    <s v=" TN"/>
    <x v="1"/>
    <x v="0"/>
    <x v="1"/>
    <x v="0"/>
    <d v="2019-03-02T21:50:13"/>
    <d v="2019-03-06T21:50:13"/>
    <d v="2019-03-05T21:50:13"/>
    <x v="6"/>
    <n v="39"/>
    <n v="125"/>
    <n v="1846.5045683633759"/>
  </r>
  <r>
    <n v="249510"/>
    <x v="2"/>
    <s v="Delhi"/>
    <x v="4"/>
    <s v=" WB"/>
    <x v="0"/>
    <x v="0"/>
    <x v="0"/>
    <x v="1"/>
    <d v="2019-03-02T22:28:40"/>
    <d v="2019-03-08T22:28:40"/>
    <d v="2019-03-07T22:28:40"/>
    <x v="3"/>
    <n v="65"/>
    <n v="86"/>
    <n v="268.01"/>
  </r>
  <r>
    <n v="525433"/>
    <x v="2"/>
    <s v="Delhi"/>
    <x v="1"/>
    <s v=" TN"/>
    <x v="1"/>
    <x v="0"/>
    <x v="1"/>
    <x v="0"/>
    <d v="2019-03-02T22:43:26"/>
    <d v="2019-03-09T22:43:26"/>
    <d v="2019-03-08T22:43:26"/>
    <x v="8"/>
    <n v="41"/>
    <n v="127"/>
    <n v="2162.4772515844174"/>
  </r>
  <r>
    <n v="605039"/>
    <x v="2"/>
    <s v="Delhi"/>
    <x v="1"/>
    <s v=" TN"/>
    <x v="1"/>
    <x v="0"/>
    <x v="1"/>
    <x v="0"/>
    <d v="2019-03-02T22:50:15"/>
    <d v="2019-03-09T22:50:15"/>
    <d v="2019-03-08T22:50:15"/>
    <x v="8"/>
    <n v="26"/>
    <n v="121"/>
    <n v="2330.4926594945491"/>
  </r>
  <r>
    <n v="299715"/>
    <x v="2"/>
    <s v="Delhi"/>
    <x v="0"/>
    <s v=" MH"/>
    <x v="1"/>
    <x v="0"/>
    <x v="1"/>
    <x v="1"/>
    <d v="2019-03-02T22:53:26"/>
    <d v="2019-03-10T22:53:26"/>
    <d v="2019-03-08T22:53:26"/>
    <x v="5"/>
    <n v="29"/>
    <n v="105"/>
    <n v="1786.73"/>
  </r>
  <r>
    <n v="251467"/>
    <x v="2"/>
    <s v="Bangalore"/>
    <x v="2"/>
    <s v=" DL"/>
    <x v="1"/>
    <x v="0"/>
    <x v="1"/>
    <x v="0"/>
    <d v="2019-03-02T23:00:13"/>
    <d v="2019-03-11T23:00:13"/>
    <d v="2019-03-09T23:00:13"/>
    <x v="1"/>
    <n v="49"/>
    <n v="125"/>
    <n v="2005.1354879250041"/>
  </r>
  <r>
    <n v="207202"/>
    <x v="2"/>
    <s v="Delhi"/>
    <x v="2"/>
    <s v=" DL"/>
    <x v="2"/>
    <x v="0"/>
    <x v="0"/>
    <x v="0"/>
    <d v="2019-03-02T23:09:50"/>
    <d v="2019-03-03T23:09:50"/>
    <d v="2019-03-08T23:09:50"/>
    <x v="2"/>
    <n v="0"/>
    <n v="130"/>
    <n v="2586.0095598981757"/>
  </r>
  <r>
    <n v="778307"/>
    <x v="2"/>
    <s v="Bangalore"/>
    <x v="4"/>
    <s v=" WB"/>
    <x v="1"/>
    <x v="0"/>
    <x v="1"/>
    <x v="0"/>
    <d v="2019-03-02T23:26:21"/>
    <d v="2019-03-08T23:26:21"/>
    <d v="2019-03-05T23:26:21"/>
    <x v="3"/>
    <n v="35"/>
    <n v="113"/>
    <n v="3376.1568914691006"/>
  </r>
  <r>
    <n v="2305"/>
    <x v="2"/>
    <s v="Bangalore"/>
    <x v="1"/>
    <s v=" TN"/>
    <x v="1"/>
    <x v="0"/>
    <x v="1"/>
    <x v="0"/>
    <d v="2019-03-02T23:52:37"/>
    <d v="2019-03-07T23:52:37"/>
    <d v="2019-03-06T23:52:37"/>
    <x v="9"/>
    <n v="36"/>
    <n v="124"/>
    <n v="1354.283836877159"/>
  </r>
  <r>
    <n v="78886"/>
    <x v="2"/>
    <s v="Bangalore"/>
    <x v="2"/>
    <s v=" DL"/>
    <x v="2"/>
    <x v="0"/>
    <x v="0"/>
    <x v="0"/>
    <d v="2019-03-02T23:57:25"/>
    <d v="2019-03-10T23:57:25"/>
    <d v="2019-03-06T23:57:25"/>
    <x v="5"/>
    <n v="31"/>
    <n v="121"/>
    <n v="319.43925496506324"/>
  </r>
  <r>
    <n v="75558"/>
    <x v="2"/>
    <s v="Bangalore"/>
    <x v="1"/>
    <s v=" TN"/>
    <x v="0"/>
    <x v="0"/>
    <x v="0"/>
    <x v="1"/>
    <d v="2019-03-03T00:01:43"/>
    <d v="2019-03-09T00:01:43"/>
    <d v="2019-03-08T00:01:43"/>
    <x v="3"/>
    <n v="71"/>
    <n v="100"/>
    <n v="1305.98"/>
  </r>
  <r>
    <n v="671075"/>
    <x v="2"/>
    <s v="Delhi"/>
    <x v="1"/>
    <s v=" TN"/>
    <x v="1"/>
    <x v="0"/>
    <x v="1"/>
    <x v="0"/>
    <d v="2019-03-03T00:08:54"/>
    <d v="2019-03-05T00:08:54"/>
    <d v="2019-03-07T00:08:54"/>
    <x v="0"/>
    <n v="29"/>
    <n v="123"/>
    <n v="2497.9659455171932"/>
  </r>
  <r>
    <n v="391610"/>
    <x v="2"/>
    <s v="Bangalore"/>
    <x v="0"/>
    <s v=" MH"/>
    <x v="2"/>
    <x v="0"/>
    <x v="0"/>
    <x v="0"/>
    <d v="2019-03-03T00:11:12"/>
    <d v="2019-03-11T00:11:12"/>
    <d v="2019-03-07T00:11:12"/>
    <x v="5"/>
    <n v="50"/>
    <n v="105"/>
    <n v="3243.25570355331"/>
  </r>
  <r>
    <n v="504420"/>
    <x v="2"/>
    <s v="Delhi"/>
    <x v="1"/>
    <s v=" TN"/>
    <x v="0"/>
    <x v="0"/>
    <x v="0"/>
    <x v="1"/>
    <d v="2019-03-03T00:48:31"/>
    <d v="2019-03-08T00:48:31"/>
    <d v="2019-03-10T00:48:31"/>
    <x v="9"/>
    <n v="78"/>
    <n v="109"/>
    <n v="2995.96"/>
  </r>
  <r>
    <n v="322565"/>
    <x v="2"/>
    <s v="Bangalore"/>
    <x v="1"/>
    <s v=" TN"/>
    <x v="1"/>
    <x v="0"/>
    <x v="1"/>
    <x v="0"/>
    <d v="2019-03-03T01:10:20"/>
    <d v="2019-03-06T01:10:20"/>
    <d v="2019-03-09T01:10:20"/>
    <x v="4"/>
    <n v="42"/>
    <n v="121"/>
    <n v="962.22086640407281"/>
  </r>
  <r>
    <n v="346152"/>
    <x v="2"/>
    <s v="Bangalore"/>
    <x v="0"/>
    <s v=" MH"/>
    <x v="0"/>
    <x v="0"/>
    <x v="0"/>
    <x v="1"/>
    <d v="2019-03-03T01:56:29"/>
    <d v="2019-03-08T01:56:29"/>
    <d v="2019-03-09T01:56:29"/>
    <x v="9"/>
    <n v="66"/>
    <n v="88"/>
    <n v="3156.99"/>
  </r>
  <r>
    <n v="19112"/>
    <x v="2"/>
    <s v="Bangalore"/>
    <x v="2"/>
    <s v=" DL"/>
    <x v="0"/>
    <x v="0"/>
    <x v="0"/>
    <x v="0"/>
    <d v="2019-03-03T02:09:40"/>
    <d v="2019-03-09T02:09:40"/>
    <d v="2019-03-10T02:09:40"/>
    <x v="3"/>
    <n v="48"/>
    <n v="121"/>
    <n v="2132.6249919496217"/>
  </r>
  <r>
    <n v="958908"/>
    <x v="2"/>
    <s v="Bangalore"/>
    <x v="0"/>
    <s v=" MH"/>
    <x v="0"/>
    <x v="0"/>
    <x v="0"/>
    <x v="1"/>
    <d v="2019-03-03T02:11:26"/>
    <d v="2019-03-05T02:11:26"/>
    <d v="2019-03-10T02:11:26"/>
    <x v="0"/>
    <n v="46"/>
    <n v="112"/>
    <n v="1752.34"/>
  </r>
  <r>
    <n v="101321"/>
    <x v="2"/>
    <s v="Delhi"/>
    <x v="3"/>
    <s v=" KA"/>
    <x v="1"/>
    <x v="0"/>
    <x v="1"/>
    <x v="0"/>
    <d v="2019-03-03T02:36:03"/>
    <d v="2019-03-12T02:36:03"/>
    <d v="2019-03-06T02:36:03"/>
    <x v="1"/>
    <n v="36"/>
    <n v="125"/>
    <n v="2283.5556896981711"/>
  </r>
  <r>
    <n v="505374"/>
    <x v="2"/>
    <s v="Bangalore"/>
    <x v="0"/>
    <s v=" MH"/>
    <x v="2"/>
    <x v="0"/>
    <x v="0"/>
    <x v="1"/>
    <d v="2019-03-03T03:49:12"/>
    <d v="2019-03-07T03:49:12"/>
    <d v="2019-03-06T03:49:12"/>
    <x v="6"/>
    <n v="40"/>
    <n v="110"/>
    <n v="2343.5300000000002"/>
  </r>
  <r>
    <n v="505350"/>
    <x v="2"/>
    <s v="Bangalore"/>
    <x v="2"/>
    <s v=" DL"/>
    <x v="2"/>
    <x v="0"/>
    <x v="0"/>
    <x v="1"/>
    <d v="2019-03-03T03:50:58"/>
    <d v="2019-03-08T03:50:58"/>
    <d v="2019-03-07T03:50:58"/>
    <x v="9"/>
    <n v="35"/>
    <n v="124"/>
    <n v="3306.45"/>
  </r>
  <r>
    <n v="354545"/>
    <x v="2"/>
    <s v="Delhi"/>
    <x v="4"/>
    <s v=" WB"/>
    <x v="1"/>
    <x v="0"/>
    <x v="1"/>
    <x v="0"/>
    <d v="2019-03-03T03:51:09"/>
    <d v="2019-03-09T03:51:09"/>
    <d v="2019-03-07T03:51:09"/>
    <x v="3"/>
    <n v="35"/>
    <n v="111"/>
    <n v="3645.1899960243918"/>
  </r>
  <r>
    <n v="506060"/>
    <x v="2"/>
    <s v="Delhi"/>
    <x v="3"/>
    <s v=" KA"/>
    <x v="0"/>
    <x v="0"/>
    <x v="0"/>
    <x v="0"/>
    <d v="2019-03-03T04:29:05"/>
    <d v="2019-03-05T04:29:05"/>
    <d v="2019-03-09T04:29:05"/>
    <x v="0"/>
    <n v="31"/>
    <n v="121"/>
    <n v="3482.7547003251016"/>
  </r>
  <r>
    <n v="142443"/>
    <x v="2"/>
    <s v="Bangalore"/>
    <x v="0"/>
    <s v=" MH"/>
    <x v="0"/>
    <x v="0"/>
    <x v="2"/>
    <x v="1"/>
    <d v="2019-03-03T04:45:05"/>
    <d v="2019-03-07T04:45:05"/>
    <d v="2019-03-10T04:45:05"/>
    <x v="6"/>
    <n v="73"/>
    <n v="91"/>
    <n v="3518.44"/>
  </r>
  <r>
    <n v="765659"/>
    <x v="2"/>
    <s v="Bangalore"/>
    <x v="1"/>
    <s v=" TN"/>
    <x v="1"/>
    <x v="0"/>
    <x v="1"/>
    <x v="0"/>
    <d v="2019-03-03T05:58:25"/>
    <d v="2019-03-05T05:58:25"/>
    <d v="2019-03-09T05:58:25"/>
    <x v="0"/>
    <n v="29"/>
    <n v="130"/>
    <n v="2656.7148278564105"/>
  </r>
  <r>
    <n v="641104"/>
    <x v="2"/>
    <s v="Delhi"/>
    <x v="4"/>
    <s v=" WB"/>
    <x v="0"/>
    <x v="0"/>
    <x v="0"/>
    <x v="0"/>
    <d v="2019-03-03T06:02:40"/>
    <d v="2019-03-12T06:02:40"/>
    <d v="2019-03-09T06:02:40"/>
    <x v="1"/>
    <n v="33"/>
    <n v="106"/>
    <n v="3003.0729341120168"/>
  </r>
  <r>
    <n v="714855"/>
    <x v="2"/>
    <s v="Delhi"/>
    <x v="0"/>
    <s v=" MH"/>
    <x v="1"/>
    <x v="0"/>
    <x v="1"/>
    <x v="1"/>
    <d v="2019-03-03T06:25:02"/>
    <d v="2019-03-11T06:25:02"/>
    <d v="2019-03-08T06:25:02"/>
    <x v="5"/>
    <n v="30"/>
    <n v="111"/>
    <n v="276.07"/>
  </r>
  <r>
    <n v="570042"/>
    <x v="2"/>
    <s v="Bangalore"/>
    <x v="3"/>
    <s v=" KA"/>
    <x v="2"/>
    <x v="0"/>
    <x v="0"/>
    <x v="1"/>
    <d v="2019-03-03T06:31:16"/>
    <d v="2019-03-06T06:31:16"/>
    <d v="2019-03-09T06:31:16"/>
    <x v="4"/>
    <n v="0"/>
    <n v="122"/>
    <n v="2360.38"/>
  </r>
  <r>
    <n v="977634"/>
    <x v="2"/>
    <s v="Delhi"/>
    <x v="3"/>
    <s v=" KA"/>
    <x v="2"/>
    <x v="0"/>
    <x v="0"/>
    <x v="1"/>
    <d v="2019-03-03T07:04:01"/>
    <d v="2019-03-10T07:04:01"/>
    <d v="2019-03-10T07:04:01"/>
    <x v="8"/>
    <n v="45"/>
    <n v="123"/>
    <n v="2683.05"/>
  </r>
  <r>
    <n v="474684"/>
    <x v="2"/>
    <s v="Bangalore"/>
    <x v="0"/>
    <s v=" MH"/>
    <x v="0"/>
    <x v="0"/>
    <x v="0"/>
    <x v="1"/>
    <d v="2019-03-03T07:14:37"/>
    <d v="2019-03-06T07:14:37"/>
    <d v="2019-03-09T07:14:37"/>
    <x v="4"/>
    <n v="32"/>
    <n v="110"/>
    <n v="2119.9"/>
  </r>
  <r>
    <n v="556843"/>
    <x v="2"/>
    <s v="Bangalore"/>
    <x v="2"/>
    <s v=" DL"/>
    <x v="1"/>
    <x v="0"/>
    <x v="2"/>
    <x v="0"/>
    <d v="2019-03-03T07:22:51"/>
    <d v="2019-03-10T07:22:51"/>
    <d v="2019-03-07T07:22:51"/>
    <x v="8"/>
    <n v="35"/>
    <n v="127"/>
    <n v="3079.5543071266793"/>
  </r>
  <r>
    <n v="171977"/>
    <x v="2"/>
    <s v="Delhi"/>
    <x v="4"/>
    <s v=" WB"/>
    <x v="0"/>
    <x v="0"/>
    <x v="1"/>
    <x v="0"/>
    <d v="2019-03-03T07:29:49"/>
    <d v="2019-03-08T07:29:49"/>
    <d v="2019-03-06T07:29:49"/>
    <x v="9"/>
    <n v="79"/>
    <n v="95"/>
    <n v="3114.9570555178939"/>
  </r>
  <r>
    <n v="478547"/>
    <x v="2"/>
    <s v="Delhi"/>
    <x v="2"/>
    <s v=" DL"/>
    <x v="0"/>
    <x v="0"/>
    <x v="1"/>
    <x v="0"/>
    <d v="2019-03-03T08:25:49"/>
    <d v="2019-03-08T08:25:49"/>
    <d v="2019-03-09T08:25:49"/>
    <x v="9"/>
    <n v="0"/>
    <n v="109"/>
    <n v="2465.4729790669094"/>
  </r>
  <r>
    <n v="880643"/>
    <x v="2"/>
    <s v="Bangalore"/>
    <x v="3"/>
    <s v=" KA"/>
    <x v="1"/>
    <x v="0"/>
    <x v="1"/>
    <x v="0"/>
    <d v="2019-03-03T08:31:44"/>
    <d v="2019-03-03T08:31:44"/>
    <d v="2019-03-07T08:31:44"/>
    <x v="10"/>
    <n v="0"/>
    <n v="123"/>
    <n v="2967.0015418539856"/>
  </r>
  <r>
    <n v="489807"/>
    <x v="2"/>
    <s v="Bangalore"/>
    <x v="4"/>
    <s v=" WB"/>
    <x v="1"/>
    <x v="0"/>
    <x v="1"/>
    <x v="1"/>
    <d v="2019-03-03T08:54:41"/>
    <d v="2019-03-06T08:54:41"/>
    <d v="2019-03-09T08:54:41"/>
    <x v="4"/>
    <n v="35"/>
    <n v="113"/>
    <n v="189.17"/>
  </r>
  <r>
    <n v="999146"/>
    <x v="2"/>
    <s v="Bangalore"/>
    <x v="0"/>
    <s v=" MH"/>
    <x v="2"/>
    <x v="0"/>
    <x v="0"/>
    <x v="0"/>
    <d v="2019-03-03T09:02:23"/>
    <d v="2019-03-11T09:02:23"/>
    <d v="2019-03-07T09:02:23"/>
    <x v="5"/>
    <n v="49"/>
    <n v="112"/>
    <n v="3629.7734287493759"/>
  </r>
  <r>
    <n v="388880"/>
    <x v="2"/>
    <s v="Bangalore"/>
    <x v="0"/>
    <s v=" MH"/>
    <x v="0"/>
    <x v="0"/>
    <x v="0"/>
    <x v="0"/>
    <d v="2019-03-03T09:03:05"/>
    <d v="2019-03-07T09:03:05"/>
    <d v="2019-03-10T09:03:05"/>
    <x v="6"/>
    <n v="44"/>
    <n v="110"/>
    <n v="3743.5248769922041"/>
  </r>
  <r>
    <n v="110793"/>
    <x v="2"/>
    <s v="Delhi"/>
    <x v="0"/>
    <s v=" MH"/>
    <x v="1"/>
    <x v="0"/>
    <x v="1"/>
    <x v="1"/>
    <d v="2019-03-03T09:06:35"/>
    <d v="2019-03-10T09:06:35"/>
    <d v="2019-03-08T09:06:35"/>
    <x v="8"/>
    <n v="38"/>
    <n v="110"/>
    <n v="180.21"/>
  </r>
  <r>
    <n v="56123"/>
    <x v="2"/>
    <s v="Bangalore"/>
    <x v="1"/>
    <s v=" TN"/>
    <x v="1"/>
    <x v="0"/>
    <x v="1"/>
    <x v="0"/>
    <d v="2019-03-03T09:37:33"/>
    <d v="2019-03-05T09:37:33"/>
    <d v="2019-03-08T09:37:33"/>
    <x v="0"/>
    <n v="27"/>
    <n v="129"/>
    <n v="1276.9656147546607"/>
  </r>
  <r>
    <n v="123963"/>
    <x v="2"/>
    <s v="Bangalore"/>
    <x v="1"/>
    <s v=" TN"/>
    <x v="0"/>
    <x v="0"/>
    <x v="2"/>
    <x v="1"/>
    <d v="2019-03-03T09:54:06"/>
    <d v="2019-03-13T09:54:06"/>
    <d v="2019-03-06T09:54:06"/>
    <x v="7"/>
    <n v="78"/>
    <n v="103"/>
    <n v="2955.18"/>
  </r>
  <r>
    <n v="912076"/>
    <x v="2"/>
    <s v="Delhi"/>
    <x v="2"/>
    <s v=" DL"/>
    <x v="0"/>
    <x v="0"/>
    <x v="0"/>
    <x v="0"/>
    <d v="2019-03-03T10:15:03"/>
    <d v="2019-03-05T10:15:03"/>
    <d v="2019-03-08T10:15:03"/>
    <x v="0"/>
    <n v="0"/>
    <n v="103"/>
    <n v="1299.7918380296628"/>
  </r>
  <r>
    <n v="685253"/>
    <x v="2"/>
    <s v="Delhi"/>
    <x v="2"/>
    <s v=" DL"/>
    <x v="1"/>
    <x v="0"/>
    <x v="1"/>
    <x v="0"/>
    <d v="2019-03-03T10:22:11"/>
    <d v="2019-03-07T10:22:11"/>
    <d v="2019-03-10T10:22:11"/>
    <x v="6"/>
    <n v="0"/>
    <n v="129"/>
    <n v="2976.8579771621494"/>
  </r>
  <r>
    <n v="510457"/>
    <x v="2"/>
    <s v="Delhi"/>
    <x v="0"/>
    <s v=" MH"/>
    <x v="1"/>
    <x v="0"/>
    <x v="1"/>
    <x v="0"/>
    <d v="2019-03-03T10:39:59"/>
    <d v="2019-03-07T10:39:59"/>
    <d v="2019-03-09T10:39:59"/>
    <x v="6"/>
    <n v="49"/>
    <n v="109"/>
    <n v="3475.878141773791"/>
  </r>
  <r>
    <n v="489790"/>
    <x v="2"/>
    <s v="Delhi"/>
    <x v="0"/>
    <s v=" MH"/>
    <x v="0"/>
    <x v="0"/>
    <x v="0"/>
    <x v="0"/>
    <d v="2019-03-03T11:02:02"/>
    <d v="2019-03-09T11:02:02"/>
    <d v="2019-03-09T11:02:02"/>
    <x v="3"/>
    <n v="82"/>
    <n v="86"/>
    <n v="1848.9344441882197"/>
  </r>
  <r>
    <n v="500185"/>
    <x v="2"/>
    <s v="Delhi"/>
    <x v="2"/>
    <s v=" DL"/>
    <x v="0"/>
    <x v="0"/>
    <x v="2"/>
    <x v="0"/>
    <d v="2019-03-03T11:07:35"/>
    <d v="2019-03-07T11:07:35"/>
    <d v="2019-03-10T11:07:35"/>
    <x v="6"/>
    <n v="0"/>
    <n v="105"/>
    <n v="1857.6500201811623"/>
  </r>
  <r>
    <n v="33085"/>
    <x v="2"/>
    <s v="Bangalore"/>
    <x v="4"/>
    <s v=" WB"/>
    <x v="1"/>
    <x v="0"/>
    <x v="1"/>
    <x v="0"/>
    <d v="2019-03-03T11:24:03"/>
    <d v="2019-03-07T11:24:03"/>
    <d v="2019-03-06T11:24:03"/>
    <x v="6"/>
    <n v="33"/>
    <n v="112"/>
    <n v="3313.571067553296"/>
  </r>
  <r>
    <n v="595640"/>
    <x v="2"/>
    <s v="Bangalore"/>
    <x v="2"/>
    <s v=" DL"/>
    <x v="0"/>
    <x v="0"/>
    <x v="0"/>
    <x v="0"/>
    <d v="2019-03-03T11:27:05"/>
    <d v="2019-03-07T11:27:05"/>
    <d v="2019-03-09T11:27:05"/>
    <x v="6"/>
    <n v="49"/>
    <n v="123"/>
    <n v="2232.615889724922"/>
  </r>
  <r>
    <n v="726305"/>
    <x v="2"/>
    <s v="Bangalore"/>
    <x v="2"/>
    <s v=" DL"/>
    <x v="1"/>
    <x v="0"/>
    <x v="1"/>
    <x v="0"/>
    <d v="2019-03-03T11:57:28"/>
    <d v="2019-03-06T11:57:28"/>
    <d v="2019-03-08T11:57:28"/>
    <x v="4"/>
    <n v="33"/>
    <n v="129"/>
    <n v="2076.3947444688033"/>
  </r>
  <r>
    <n v="762885"/>
    <x v="2"/>
    <s v="Bangalore"/>
    <x v="2"/>
    <s v=" DL"/>
    <x v="1"/>
    <x v="0"/>
    <x v="1"/>
    <x v="1"/>
    <d v="2019-03-03T11:57:52"/>
    <d v="2019-03-06T11:57:52"/>
    <d v="2019-03-10T11:57:52"/>
    <x v="4"/>
    <n v="34"/>
    <n v="122"/>
    <n v="3567.18"/>
  </r>
  <r>
    <n v="506525"/>
    <x v="2"/>
    <s v="Delhi"/>
    <x v="0"/>
    <s v=" MH"/>
    <x v="1"/>
    <x v="0"/>
    <x v="1"/>
    <x v="0"/>
    <d v="2019-03-03T12:15:46"/>
    <d v="2019-03-12T12:15:46"/>
    <d v="2019-03-10T12:15:46"/>
    <x v="1"/>
    <n v="30"/>
    <n v="111"/>
    <n v="1319.8677124606002"/>
  </r>
  <r>
    <n v="709557"/>
    <x v="2"/>
    <s v="Delhi"/>
    <x v="3"/>
    <s v=" KA"/>
    <x v="1"/>
    <x v="0"/>
    <x v="1"/>
    <x v="1"/>
    <d v="2019-03-03T12:23:22"/>
    <d v="2019-03-12T12:23:22"/>
    <d v="2019-03-07T12:23:22"/>
    <x v="1"/>
    <n v="36"/>
    <n v="122"/>
    <n v="1047.44"/>
  </r>
  <r>
    <n v="567405"/>
    <x v="2"/>
    <s v="Bangalore"/>
    <x v="3"/>
    <s v=" KA"/>
    <x v="0"/>
    <x v="0"/>
    <x v="1"/>
    <x v="1"/>
    <d v="2019-03-03T12:23:59"/>
    <d v="2019-03-07T12:23:59"/>
    <d v="2019-03-10T12:23:59"/>
    <x v="6"/>
    <n v="0"/>
    <n v="108"/>
    <n v="801.9"/>
  </r>
  <r>
    <n v="990525"/>
    <x v="2"/>
    <s v="Bangalore"/>
    <x v="4"/>
    <s v=" WB"/>
    <x v="0"/>
    <x v="0"/>
    <x v="1"/>
    <x v="1"/>
    <d v="2019-03-03T12:27:48"/>
    <d v="2019-03-07T12:27:48"/>
    <d v="2019-03-10T12:27:48"/>
    <x v="6"/>
    <n v="70"/>
    <n v="88"/>
    <n v="2778.05"/>
  </r>
  <r>
    <n v="140965"/>
    <x v="2"/>
    <s v="Delhi"/>
    <x v="0"/>
    <s v=" MH"/>
    <x v="1"/>
    <x v="0"/>
    <x v="1"/>
    <x v="0"/>
    <d v="2019-03-03T13:31:20"/>
    <d v="2019-03-09T13:31:20"/>
    <d v="2019-03-10T13:31:20"/>
    <x v="3"/>
    <n v="41"/>
    <n v="106"/>
    <n v="2827.1306458523045"/>
  </r>
  <r>
    <n v="36620"/>
    <x v="2"/>
    <s v="Bangalore"/>
    <x v="2"/>
    <s v=" DL"/>
    <x v="0"/>
    <x v="0"/>
    <x v="0"/>
    <x v="0"/>
    <d v="2019-03-03T13:40:12"/>
    <d v="2019-03-09T13:40:12"/>
    <d v="2019-03-10T13:40:12"/>
    <x v="3"/>
    <n v="39"/>
    <n v="123"/>
    <n v="1098.753378621763"/>
  </r>
  <r>
    <n v="381073"/>
    <x v="2"/>
    <s v="Bangalore"/>
    <x v="2"/>
    <s v=" DL"/>
    <x v="0"/>
    <x v="0"/>
    <x v="2"/>
    <x v="0"/>
    <d v="2019-03-03T14:09:14"/>
    <d v="2019-03-09T14:09:14"/>
    <d v="2019-03-09T14:09:14"/>
    <x v="3"/>
    <n v="69"/>
    <n v="106"/>
    <n v="1372.8621703155461"/>
  </r>
  <r>
    <n v="890694"/>
    <x v="2"/>
    <s v="Delhi"/>
    <x v="4"/>
    <s v=" WB"/>
    <x v="2"/>
    <x v="0"/>
    <x v="0"/>
    <x v="1"/>
    <d v="2019-03-03T14:17:50"/>
    <d v="2019-03-07T14:17:50"/>
    <d v="2019-03-06T14:17:50"/>
    <x v="6"/>
    <n v="43"/>
    <n v="106"/>
    <n v="322.48"/>
  </r>
  <r>
    <n v="904689"/>
    <x v="2"/>
    <s v="Bangalore"/>
    <x v="3"/>
    <s v=" KA"/>
    <x v="1"/>
    <x v="0"/>
    <x v="1"/>
    <x v="1"/>
    <d v="2019-03-03T15:06:21"/>
    <d v="2019-03-06T15:06:21"/>
    <d v="2019-03-09T15:06:21"/>
    <x v="4"/>
    <n v="0"/>
    <n v="129"/>
    <n v="1376.2"/>
  </r>
  <r>
    <n v="603220"/>
    <x v="2"/>
    <s v="Delhi"/>
    <x v="1"/>
    <s v=" TN"/>
    <x v="0"/>
    <x v="0"/>
    <x v="0"/>
    <x v="0"/>
    <d v="2019-03-03T15:26:51"/>
    <d v="2019-03-10T15:26:51"/>
    <d v="2019-03-07T15:26:51"/>
    <x v="8"/>
    <n v="47"/>
    <n v="122"/>
    <n v="1527.4006577400028"/>
  </r>
  <r>
    <n v="400958"/>
    <x v="2"/>
    <s v="Delhi"/>
    <x v="0"/>
    <s v=" MH"/>
    <x v="2"/>
    <x v="0"/>
    <x v="0"/>
    <x v="0"/>
    <d v="2019-03-03T15:46:10"/>
    <d v="2019-03-06T15:46:10"/>
    <d v="2019-03-07T15:46:10"/>
    <x v="4"/>
    <n v="39"/>
    <n v="114"/>
    <n v="2309.0824481317577"/>
  </r>
  <r>
    <n v="544245"/>
    <x v="2"/>
    <s v="Bangalore"/>
    <x v="0"/>
    <s v=" MH"/>
    <x v="1"/>
    <x v="0"/>
    <x v="1"/>
    <x v="1"/>
    <d v="2019-03-03T15:46:25"/>
    <d v="2019-03-09T15:46:25"/>
    <d v="2019-03-09T15:46:25"/>
    <x v="3"/>
    <n v="43"/>
    <n v="108"/>
    <n v="2860.12"/>
  </r>
  <r>
    <n v="352117"/>
    <x v="2"/>
    <s v="Bangalore"/>
    <x v="4"/>
    <s v=" WB"/>
    <x v="1"/>
    <x v="0"/>
    <x v="1"/>
    <x v="0"/>
    <d v="2019-03-03T16:13:36"/>
    <d v="2019-03-05T16:13:36"/>
    <d v="2019-03-09T16:13:36"/>
    <x v="0"/>
    <n v="38"/>
    <n v="111"/>
    <n v="2978.0359196996083"/>
  </r>
  <r>
    <n v="608645"/>
    <x v="2"/>
    <s v="Delhi"/>
    <x v="2"/>
    <s v=" DL"/>
    <x v="1"/>
    <x v="0"/>
    <x v="1"/>
    <x v="0"/>
    <d v="2019-03-03T17:13:08"/>
    <d v="2019-03-08T17:13:08"/>
    <d v="2019-03-06T17:13:08"/>
    <x v="9"/>
    <n v="0"/>
    <n v="130"/>
    <n v="2711.3495090060824"/>
  </r>
  <r>
    <n v="819948"/>
    <x v="2"/>
    <s v="Delhi"/>
    <x v="3"/>
    <s v=" KA"/>
    <x v="0"/>
    <x v="0"/>
    <x v="0"/>
    <x v="1"/>
    <d v="2019-03-03T17:22:48"/>
    <d v="2019-03-05T17:22:48"/>
    <d v="2019-03-08T17:22:48"/>
    <x v="0"/>
    <n v="29"/>
    <n v="127"/>
    <n v="3356.16"/>
  </r>
  <r>
    <n v="995244"/>
    <x v="2"/>
    <s v="Delhi"/>
    <x v="4"/>
    <s v=" WB"/>
    <x v="0"/>
    <x v="0"/>
    <x v="0"/>
    <x v="1"/>
    <d v="2019-03-03T17:30:10"/>
    <d v="2019-03-08T17:30:10"/>
    <d v="2019-03-10T17:30:10"/>
    <x v="9"/>
    <n v="35"/>
    <n v="109"/>
    <n v="261.89999999999998"/>
  </r>
  <r>
    <n v="531783"/>
    <x v="2"/>
    <s v="Bangalore"/>
    <x v="4"/>
    <s v=" WB"/>
    <x v="1"/>
    <x v="0"/>
    <x v="2"/>
    <x v="1"/>
    <d v="2019-03-03T17:39:17"/>
    <d v="2019-03-10T17:39:17"/>
    <d v="2019-03-10T17:39:17"/>
    <x v="8"/>
    <n v="44"/>
    <n v="111"/>
    <n v="342.99"/>
  </r>
  <r>
    <n v="990693"/>
    <x v="2"/>
    <s v="Bangalore"/>
    <x v="2"/>
    <s v=" DL"/>
    <x v="1"/>
    <x v="0"/>
    <x v="1"/>
    <x v="1"/>
    <d v="2019-03-03T17:41:28"/>
    <d v="2019-03-11T17:41:28"/>
    <d v="2019-03-07T17:41:28"/>
    <x v="5"/>
    <n v="38"/>
    <n v="129"/>
    <n v="2310.69"/>
  </r>
  <r>
    <n v="723907"/>
    <x v="2"/>
    <s v="Delhi"/>
    <x v="2"/>
    <s v=" DL"/>
    <x v="1"/>
    <x v="0"/>
    <x v="1"/>
    <x v="0"/>
    <d v="2019-03-03T17:55:41"/>
    <d v="2019-03-07T17:55:41"/>
    <d v="2019-03-10T17:55:41"/>
    <x v="6"/>
    <n v="0"/>
    <n v="128"/>
    <n v="949.90989681131077"/>
  </r>
  <r>
    <n v="274524"/>
    <x v="2"/>
    <s v="Bangalore"/>
    <x v="0"/>
    <s v=" MH"/>
    <x v="0"/>
    <x v="0"/>
    <x v="0"/>
    <x v="1"/>
    <d v="2019-03-03T18:00:12"/>
    <d v="2019-03-05T18:00:12"/>
    <d v="2019-03-09T18:00:12"/>
    <x v="0"/>
    <n v="34"/>
    <n v="108"/>
    <n v="939.17"/>
  </r>
  <r>
    <n v="473335"/>
    <x v="2"/>
    <s v="Bangalore"/>
    <x v="0"/>
    <s v=" MH"/>
    <x v="1"/>
    <x v="0"/>
    <x v="1"/>
    <x v="0"/>
    <d v="2019-03-03T18:18:55"/>
    <d v="2019-03-06T18:18:55"/>
    <d v="2019-03-06T18:18:55"/>
    <x v="4"/>
    <n v="28"/>
    <n v="108"/>
    <n v="2518.0729771694705"/>
  </r>
  <r>
    <n v="195924"/>
    <x v="2"/>
    <s v="Delhi"/>
    <x v="3"/>
    <s v=" KA"/>
    <x v="0"/>
    <x v="0"/>
    <x v="0"/>
    <x v="1"/>
    <d v="2019-03-03T18:18:58"/>
    <d v="2019-03-06T18:18:58"/>
    <d v="2019-03-09T18:18:58"/>
    <x v="4"/>
    <n v="27"/>
    <n v="123"/>
    <n v="3089.05"/>
  </r>
  <r>
    <n v="917208"/>
    <x v="2"/>
    <s v="Delhi"/>
    <x v="1"/>
    <s v=" TN"/>
    <x v="0"/>
    <x v="0"/>
    <x v="0"/>
    <x v="1"/>
    <d v="2019-03-03T18:41:06"/>
    <d v="2019-03-09T18:41:06"/>
    <d v="2019-03-07T18:41:06"/>
    <x v="3"/>
    <n v="68"/>
    <n v="106"/>
    <n v="2557.5300000000002"/>
  </r>
  <r>
    <n v="61517"/>
    <x v="2"/>
    <s v="Bangalore"/>
    <x v="0"/>
    <s v=" MH"/>
    <x v="0"/>
    <x v="0"/>
    <x v="1"/>
    <x v="0"/>
    <d v="2019-03-03T18:43:16"/>
    <d v="2019-03-05T18:43:16"/>
    <d v="2019-03-07T18:43:16"/>
    <x v="0"/>
    <n v="76"/>
    <n v="92"/>
    <n v="1903.0703028968187"/>
  </r>
  <r>
    <n v="12491"/>
    <x v="2"/>
    <s v="Delhi"/>
    <x v="3"/>
    <s v=" KA"/>
    <x v="1"/>
    <x v="0"/>
    <x v="1"/>
    <x v="0"/>
    <d v="2019-03-03T18:52:40"/>
    <d v="2019-03-09T18:52:40"/>
    <d v="2019-03-09T18:52:40"/>
    <x v="3"/>
    <n v="28"/>
    <n v="123"/>
    <n v="414.63381379877751"/>
  </r>
  <r>
    <n v="521457"/>
    <x v="2"/>
    <s v="Delhi"/>
    <x v="2"/>
    <s v=" DL"/>
    <x v="1"/>
    <x v="0"/>
    <x v="1"/>
    <x v="1"/>
    <d v="2019-03-03T18:52:52"/>
    <d v="2019-03-07T18:52:52"/>
    <d v="2019-03-10T18:52:52"/>
    <x v="6"/>
    <n v="0"/>
    <n v="127"/>
    <n v="3126.02"/>
  </r>
  <r>
    <n v="824793"/>
    <x v="2"/>
    <s v="Delhi"/>
    <x v="0"/>
    <s v=" MH"/>
    <x v="0"/>
    <x v="0"/>
    <x v="1"/>
    <x v="1"/>
    <d v="2019-03-03T18:58:36"/>
    <d v="2019-03-08T18:58:36"/>
    <d v="2019-03-06T18:58:36"/>
    <x v="9"/>
    <n v="77"/>
    <n v="91"/>
    <n v="3538.28"/>
  </r>
  <r>
    <n v="880733"/>
    <x v="2"/>
    <s v="Bangalore"/>
    <x v="3"/>
    <s v=" KA"/>
    <x v="1"/>
    <x v="0"/>
    <x v="2"/>
    <x v="0"/>
    <d v="2019-03-03T19:05:42"/>
    <d v="2019-03-04T19:05:42"/>
    <d v="2019-03-08T19:05:42"/>
    <x v="2"/>
    <n v="0"/>
    <n v="129"/>
    <n v="1762.0651489845657"/>
  </r>
  <r>
    <n v="731862"/>
    <x v="2"/>
    <s v="Bangalore"/>
    <x v="0"/>
    <s v=" MH"/>
    <x v="2"/>
    <x v="0"/>
    <x v="0"/>
    <x v="1"/>
    <d v="2019-03-03T20:17:01"/>
    <d v="2019-03-07T20:17:01"/>
    <d v="2019-03-07T20:17:01"/>
    <x v="6"/>
    <n v="47"/>
    <n v="112"/>
    <n v="2738.44"/>
  </r>
  <r>
    <n v="579298"/>
    <x v="2"/>
    <s v="Delhi"/>
    <x v="2"/>
    <s v=" DL"/>
    <x v="0"/>
    <x v="0"/>
    <x v="0"/>
    <x v="0"/>
    <d v="2019-03-03T20:34:53"/>
    <d v="2019-03-07T20:34:53"/>
    <d v="2019-03-07T20:34:53"/>
    <x v="6"/>
    <n v="0"/>
    <n v="102"/>
    <n v="3350.6192797752037"/>
  </r>
  <r>
    <n v="266510"/>
    <x v="2"/>
    <s v="Delhi"/>
    <x v="4"/>
    <s v=" WB"/>
    <x v="2"/>
    <x v="0"/>
    <x v="0"/>
    <x v="0"/>
    <d v="2019-03-03T20:49:05"/>
    <d v="2019-03-05T20:49:05"/>
    <d v="2019-03-08T20:49:05"/>
    <x v="0"/>
    <n v="38"/>
    <n v="106"/>
    <n v="675.03036422691093"/>
  </r>
  <r>
    <n v="81357"/>
    <x v="2"/>
    <s v="Delhi"/>
    <x v="3"/>
    <s v=" KA"/>
    <x v="0"/>
    <x v="0"/>
    <x v="1"/>
    <x v="1"/>
    <d v="2019-03-03T21:07:48"/>
    <d v="2019-03-09T21:07:48"/>
    <d v="2019-03-06T21:07:48"/>
    <x v="3"/>
    <n v="64"/>
    <n v="104"/>
    <n v="1223.5899999999999"/>
  </r>
  <r>
    <n v="767785"/>
    <x v="2"/>
    <s v="Bangalore"/>
    <x v="3"/>
    <s v=" KA"/>
    <x v="1"/>
    <x v="0"/>
    <x v="1"/>
    <x v="0"/>
    <d v="2019-03-03T22:06:42"/>
    <d v="2019-03-04T22:06:42"/>
    <d v="2019-03-06T22:06:42"/>
    <x v="2"/>
    <n v="0"/>
    <n v="127"/>
    <n v="2178.1952151225823"/>
  </r>
  <r>
    <n v="241812"/>
    <x v="2"/>
    <s v="Bangalore"/>
    <x v="4"/>
    <s v=" WB"/>
    <x v="0"/>
    <x v="0"/>
    <x v="0"/>
    <x v="1"/>
    <d v="2019-03-03T22:24:26"/>
    <d v="2019-03-09T22:24:26"/>
    <d v="2019-03-10T22:24:26"/>
    <x v="3"/>
    <n v="82"/>
    <n v="95"/>
    <n v="1237.6300000000001"/>
  </r>
  <r>
    <n v="295679"/>
    <x v="2"/>
    <s v="Delhi"/>
    <x v="0"/>
    <s v=" MH"/>
    <x v="0"/>
    <x v="0"/>
    <x v="1"/>
    <x v="0"/>
    <d v="2019-03-03T22:24:46"/>
    <d v="2019-03-07T22:24:46"/>
    <d v="2019-03-06T22:24:46"/>
    <x v="6"/>
    <n v="80"/>
    <n v="90"/>
    <n v="1558.6616083925396"/>
  </r>
  <r>
    <n v="880551"/>
    <x v="2"/>
    <s v="Delhi"/>
    <x v="0"/>
    <s v=" MH"/>
    <x v="1"/>
    <x v="0"/>
    <x v="2"/>
    <x v="1"/>
    <d v="2019-03-03T23:02:28"/>
    <d v="2019-03-10T23:02:28"/>
    <d v="2019-03-06T23:02:28"/>
    <x v="8"/>
    <n v="25"/>
    <n v="113"/>
    <n v="1536.94"/>
  </r>
  <r>
    <n v="28914"/>
    <x v="2"/>
    <s v="Delhi"/>
    <x v="0"/>
    <s v=" MH"/>
    <x v="2"/>
    <x v="0"/>
    <x v="0"/>
    <x v="1"/>
    <d v="2019-03-03T23:10:08"/>
    <d v="2019-03-10T23:10:08"/>
    <d v="2019-03-06T23:10:08"/>
    <x v="8"/>
    <n v="33"/>
    <n v="108"/>
    <n v="1824.28"/>
  </r>
  <r>
    <n v="434029"/>
    <x v="2"/>
    <s v="Delhi"/>
    <x v="1"/>
    <s v=" TN"/>
    <x v="1"/>
    <x v="0"/>
    <x v="1"/>
    <x v="0"/>
    <d v="2019-03-03T23:18:21"/>
    <d v="2019-03-09T23:18:21"/>
    <d v="2019-03-06T23:18:21"/>
    <x v="3"/>
    <n v="45"/>
    <n v="124"/>
    <n v="1962.5585229913916"/>
  </r>
  <r>
    <n v="240626"/>
    <x v="2"/>
    <s v="Bangalore"/>
    <x v="2"/>
    <s v=" DL"/>
    <x v="0"/>
    <x v="0"/>
    <x v="0"/>
    <x v="0"/>
    <d v="2019-03-03T23:31:35"/>
    <d v="2019-03-05T23:31:35"/>
    <d v="2019-03-08T23:31:35"/>
    <x v="0"/>
    <n v="60"/>
    <n v="102"/>
    <n v="1181.2929336766526"/>
  </r>
  <r>
    <n v="481040"/>
    <x v="2"/>
    <s v="Delhi"/>
    <x v="0"/>
    <s v=" MH"/>
    <x v="0"/>
    <x v="0"/>
    <x v="0"/>
    <x v="0"/>
    <d v="2019-03-03T23:51:52"/>
    <d v="2019-03-07T23:51:52"/>
    <d v="2019-03-07T23:51:52"/>
    <x v="6"/>
    <n v="74"/>
    <n v="93"/>
    <n v="1802.906250277405"/>
  </r>
  <r>
    <n v="196092"/>
    <x v="2"/>
    <s v="Bangalore"/>
    <x v="3"/>
    <s v=" KA"/>
    <x v="0"/>
    <x v="0"/>
    <x v="0"/>
    <x v="1"/>
    <d v="2019-03-03T23:56:49"/>
    <d v="2019-03-08T23:56:49"/>
    <d v="2019-03-09T23:56:49"/>
    <x v="9"/>
    <n v="0"/>
    <n v="124"/>
    <n v="1819.09"/>
  </r>
  <r>
    <n v="933310"/>
    <x v="2"/>
    <s v="Bangalore"/>
    <x v="3"/>
    <s v=" KA"/>
    <x v="2"/>
    <x v="0"/>
    <x v="0"/>
    <x v="0"/>
    <d v="2019-03-04T00:08:27"/>
    <d v="2019-03-08T00:08:27"/>
    <d v="2019-03-07T00:08:27"/>
    <x v="6"/>
    <n v="0"/>
    <n v="128"/>
    <n v="652.88934160879171"/>
  </r>
  <r>
    <n v="554580"/>
    <x v="2"/>
    <s v="Bangalore"/>
    <x v="3"/>
    <s v=" KA"/>
    <x v="0"/>
    <x v="0"/>
    <x v="0"/>
    <x v="1"/>
    <d v="2019-03-04T00:16:30"/>
    <d v="2019-03-04T00:16:30"/>
    <d v="2019-03-10T00:16:30"/>
    <x v="10"/>
    <n v="0"/>
    <n v="127"/>
    <n v="1488.27"/>
  </r>
  <r>
    <n v="464475"/>
    <x v="2"/>
    <s v="Delhi"/>
    <x v="0"/>
    <s v=" MH"/>
    <x v="1"/>
    <x v="0"/>
    <x v="1"/>
    <x v="1"/>
    <d v="2019-03-04T00:58:10"/>
    <d v="2019-03-10T00:58:10"/>
    <d v="2019-03-08T00:58:10"/>
    <x v="3"/>
    <n v="30"/>
    <n v="106"/>
    <n v="1832.71"/>
  </r>
  <r>
    <n v="774048"/>
    <x v="2"/>
    <s v="Bangalore"/>
    <x v="1"/>
    <s v=" TN"/>
    <x v="0"/>
    <x v="0"/>
    <x v="0"/>
    <x v="1"/>
    <d v="2019-03-04T01:04:39"/>
    <d v="2019-03-14T01:04:39"/>
    <d v="2019-03-09T01:04:39"/>
    <x v="7"/>
    <n v="44"/>
    <n v="122"/>
    <n v="2399.83"/>
  </r>
  <r>
    <n v="251056"/>
    <x v="2"/>
    <s v="Delhi"/>
    <x v="0"/>
    <s v=" MH"/>
    <x v="0"/>
    <x v="0"/>
    <x v="0"/>
    <x v="0"/>
    <d v="2019-03-04T01:15:31"/>
    <d v="2019-03-06T01:15:31"/>
    <d v="2019-03-07T01:15:31"/>
    <x v="0"/>
    <n v="71"/>
    <n v="89"/>
    <n v="1882.5243709057183"/>
  </r>
  <r>
    <n v="400996"/>
    <x v="2"/>
    <s v="Delhi"/>
    <x v="2"/>
    <s v=" DL"/>
    <x v="0"/>
    <x v="0"/>
    <x v="0"/>
    <x v="0"/>
    <d v="2019-03-04T01:52:45"/>
    <d v="2019-03-04T01:52:45"/>
    <d v="2019-03-10T01:52:45"/>
    <x v="10"/>
    <n v="0"/>
    <n v="120"/>
    <n v="3570.0741351190172"/>
  </r>
  <r>
    <n v="227643"/>
    <x v="2"/>
    <s v="Delhi"/>
    <x v="2"/>
    <s v=" DL"/>
    <x v="1"/>
    <x v="0"/>
    <x v="1"/>
    <x v="1"/>
    <d v="2019-03-04T02:11:09"/>
    <d v="2019-03-11T02:11:09"/>
    <d v="2019-03-07T02:11:09"/>
    <x v="8"/>
    <n v="0"/>
    <n v="122"/>
    <n v="1998.96"/>
  </r>
  <r>
    <n v="705834"/>
    <x v="2"/>
    <s v="Delhi"/>
    <x v="2"/>
    <s v=" DL"/>
    <x v="0"/>
    <x v="0"/>
    <x v="0"/>
    <x v="1"/>
    <d v="2019-03-04T02:26:12"/>
    <d v="2019-03-09T02:26:12"/>
    <d v="2019-03-10T02:26:12"/>
    <x v="9"/>
    <n v="0"/>
    <n v="103"/>
    <n v="2511.6999999999998"/>
  </r>
  <r>
    <n v="299443"/>
    <x v="2"/>
    <s v="Delhi"/>
    <x v="4"/>
    <s v=" WB"/>
    <x v="1"/>
    <x v="0"/>
    <x v="1"/>
    <x v="0"/>
    <d v="2019-03-04T02:33:09"/>
    <d v="2019-03-06T02:33:09"/>
    <d v="2019-03-07T02:33:09"/>
    <x v="0"/>
    <n v="32"/>
    <n v="110"/>
    <n v="2527.4323594468115"/>
  </r>
  <r>
    <n v="596669"/>
    <x v="2"/>
    <s v="Delhi"/>
    <x v="4"/>
    <s v=" WB"/>
    <x v="1"/>
    <x v="0"/>
    <x v="1"/>
    <x v="0"/>
    <d v="2019-03-04T02:42:17"/>
    <d v="2019-03-08T02:42:17"/>
    <d v="2019-03-09T02:42:17"/>
    <x v="6"/>
    <n v="39"/>
    <n v="115"/>
    <n v="367.21787261671602"/>
  </r>
  <r>
    <n v="325533"/>
    <x v="2"/>
    <s v="Delhi"/>
    <x v="1"/>
    <s v=" TN"/>
    <x v="1"/>
    <x v="0"/>
    <x v="1"/>
    <x v="1"/>
    <d v="2019-03-04T02:45:55"/>
    <d v="2019-03-11T02:45:55"/>
    <d v="2019-03-08T02:45:55"/>
    <x v="8"/>
    <n v="33"/>
    <n v="120"/>
    <n v="324.70999999999998"/>
  </r>
  <r>
    <n v="400758"/>
    <x v="2"/>
    <s v="Delhi"/>
    <x v="4"/>
    <s v=" WB"/>
    <x v="2"/>
    <x v="0"/>
    <x v="0"/>
    <x v="1"/>
    <d v="2019-03-04T03:04:08"/>
    <d v="2019-03-09T03:04:08"/>
    <d v="2019-03-07T03:04:08"/>
    <x v="9"/>
    <n v="34"/>
    <n v="105"/>
    <n v="2375.11"/>
  </r>
  <r>
    <n v="89640"/>
    <x v="2"/>
    <s v="Bangalore"/>
    <x v="0"/>
    <s v=" MH"/>
    <x v="0"/>
    <x v="0"/>
    <x v="0"/>
    <x v="1"/>
    <d v="2019-03-04T03:18:57"/>
    <d v="2019-03-06T03:18:57"/>
    <d v="2019-03-08T03:18:57"/>
    <x v="0"/>
    <n v="46"/>
    <n v="109"/>
    <n v="422.57"/>
  </r>
  <r>
    <n v="918778"/>
    <x v="2"/>
    <s v="Delhi"/>
    <x v="0"/>
    <s v=" MH"/>
    <x v="2"/>
    <x v="0"/>
    <x v="0"/>
    <x v="0"/>
    <d v="2019-03-04T03:20:43"/>
    <d v="2019-03-12T03:20:43"/>
    <d v="2019-03-08T03:20:43"/>
    <x v="5"/>
    <n v="50"/>
    <n v="113"/>
    <n v="2135.6981776403813"/>
  </r>
  <r>
    <n v="243367"/>
    <x v="2"/>
    <s v="Delhi"/>
    <x v="3"/>
    <s v=" KA"/>
    <x v="0"/>
    <x v="0"/>
    <x v="1"/>
    <x v="0"/>
    <d v="2019-03-04T03:49:51"/>
    <d v="2019-03-10T03:49:51"/>
    <d v="2019-03-09T03:49:51"/>
    <x v="3"/>
    <n v="81"/>
    <n v="106"/>
    <n v="871.41764262424817"/>
  </r>
  <r>
    <n v="845449"/>
    <x v="2"/>
    <s v="Delhi"/>
    <x v="2"/>
    <s v=" DL"/>
    <x v="1"/>
    <x v="0"/>
    <x v="1"/>
    <x v="0"/>
    <d v="2019-03-04T03:51:13"/>
    <d v="2019-03-09T03:51:13"/>
    <d v="2019-03-11T03:51:13"/>
    <x v="9"/>
    <n v="0"/>
    <n v="120"/>
    <n v="3444.4192528631143"/>
  </r>
  <r>
    <n v="307900"/>
    <x v="2"/>
    <s v="Delhi"/>
    <x v="0"/>
    <s v=" MH"/>
    <x v="0"/>
    <x v="0"/>
    <x v="0"/>
    <x v="0"/>
    <d v="2019-03-04T05:03:11"/>
    <d v="2019-03-06T05:03:11"/>
    <d v="2019-03-09T05:03:11"/>
    <x v="0"/>
    <n v="28"/>
    <n v="114"/>
    <n v="1453.1917507498335"/>
  </r>
  <r>
    <n v="630963"/>
    <x v="2"/>
    <s v="Bangalore"/>
    <x v="3"/>
    <s v=" KA"/>
    <x v="1"/>
    <x v="0"/>
    <x v="1"/>
    <x v="1"/>
    <d v="2019-03-04T05:12:50"/>
    <d v="2019-03-07T05:12:50"/>
    <d v="2019-03-11T05:12:50"/>
    <x v="4"/>
    <n v="0"/>
    <n v="123"/>
    <n v="2747.15"/>
  </r>
  <r>
    <n v="169703"/>
    <x v="2"/>
    <s v="Delhi"/>
    <x v="2"/>
    <s v=" DL"/>
    <x v="1"/>
    <x v="0"/>
    <x v="1"/>
    <x v="0"/>
    <d v="2019-03-04T05:30:42"/>
    <d v="2019-03-10T05:30:42"/>
    <d v="2019-03-07T05:30:42"/>
    <x v="3"/>
    <n v="0"/>
    <n v="129"/>
    <n v="1954.13155414739"/>
  </r>
  <r>
    <n v="739577"/>
    <x v="2"/>
    <s v="Delhi"/>
    <x v="2"/>
    <s v=" DL"/>
    <x v="0"/>
    <x v="0"/>
    <x v="1"/>
    <x v="0"/>
    <d v="2019-03-04T05:35:35"/>
    <d v="2019-03-04T05:35:35"/>
    <d v="2019-03-08T05:35:35"/>
    <x v="10"/>
    <n v="0"/>
    <n v="108"/>
    <n v="2308.0401059394881"/>
  </r>
  <r>
    <n v="804662"/>
    <x v="2"/>
    <s v="Delhi"/>
    <x v="0"/>
    <s v=" MH"/>
    <x v="0"/>
    <x v="0"/>
    <x v="0"/>
    <x v="0"/>
    <d v="2019-03-04T05:50:14"/>
    <d v="2019-03-07T05:50:14"/>
    <d v="2019-03-10T05:50:14"/>
    <x v="4"/>
    <n v="73"/>
    <n v="93"/>
    <n v="3656.6900543868578"/>
  </r>
  <r>
    <n v="487385"/>
    <x v="2"/>
    <s v="Delhi"/>
    <x v="4"/>
    <s v=" WB"/>
    <x v="0"/>
    <x v="0"/>
    <x v="1"/>
    <x v="0"/>
    <d v="2019-03-04T06:38:57"/>
    <d v="2019-03-07T06:38:57"/>
    <d v="2019-03-07T06:38:57"/>
    <x v="4"/>
    <n v="67"/>
    <n v="92"/>
    <n v="3780.4388097447591"/>
  </r>
  <r>
    <n v="675845"/>
    <x v="2"/>
    <s v="Delhi"/>
    <x v="0"/>
    <s v=" MH"/>
    <x v="0"/>
    <x v="0"/>
    <x v="1"/>
    <x v="0"/>
    <d v="2019-03-04T06:50:05"/>
    <d v="2019-03-10T06:50:05"/>
    <d v="2019-03-09T06:50:05"/>
    <x v="3"/>
    <n v="82"/>
    <n v="89"/>
    <n v="720.84130535397867"/>
  </r>
  <r>
    <n v="408672"/>
    <x v="2"/>
    <s v="Delhi"/>
    <x v="2"/>
    <s v=" DL"/>
    <x v="0"/>
    <x v="0"/>
    <x v="0"/>
    <x v="1"/>
    <d v="2019-03-04T06:57:17"/>
    <d v="2019-03-08T06:57:17"/>
    <d v="2019-03-11T06:57:17"/>
    <x v="6"/>
    <n v="0"/>
    <n v="106"/>
    <n v="983.57"/>
  </r>
  <r>
    <n v="75442"/>
    <x v="2"/>
    <s v="Delhi"/>
    <x v="3"/>
    <s v=" KA"/>
    <x v="2"/>
    <x v="0"/>
    <x v="0"/>
    <x v="0"/>
    <d v="2019-03-04T07:30:47"/>
    <d v="2019-03-09T07:30:47"/>
    <d v="2019-03-11T07:30:47"/>
    <x v="9"/>
    <n v="28"/>
    <n v="121"/>
    <n v="1756.8880029653676"/>
  </r>
  <r>
    <n v="285202"/>
    <x v="2"/>
    <s v="Delhi"/>
    <x v="0"/>
    <s v=" MH"/>
    <x v="0"/>
    <x v="0"/>
    <x v="0"/>
    <x v="0"/>
    <d v="2019-03-04T08:04:11"/>
    <d v="2019-03-06T08:04:11"/>
    <d v="2019-03-07T08:04:11"/>
    <x v="0"/>
    <n v="83"/>
    <n v="95"/>
    <n v="2385.3814290365099"/>
  </r>
  <r>
    <n v="829750"/>
    <x v="2"/>
    <s v="Bangalore"/>
    <x v="0"/>
    <s v=" MH"/>
    <x v="2"/>
    <x v="0"/>
    <x v="0"/>
    <x v="0"/>
    <d v="2019-03-04T08:14:48"/>
    <d v="2019-03-10T08:14:48"/>
    <d v="2019-03-11T08:14:48"/>
    <x v="3"/>
    <n v="32"/>
    <n v="114"/>
    <n v="3685.9795234208959"/>
  </r>
  <r>
    <n v="113262"/>
    <x v="2"/>
    <s v="Bangalore"/>
    <x v="0"/>
    <s v=" MH"/>
    <x v="2"/>
    <x v="0"/>
    <x v="0"/>
    <x v="1"/>
    <d v="2019-03-04T08:44:21"/>
    <d v="2019-03-07T08:44:21"/>
    <d v="2019-03-08T08:44:21"/>
    <x v="4"/>
    <n v="44"/>
    <n v="115"/>
    <n v="2784.28"/>
  </r>
  <r>
    <n v="558755"/>
    <x v="2"/>
    <s v="Delhi"/>
    <x v="0"/>
    <s v=" MH"/>
    <x v="1"/>
    <x v="0"/>
    <x v="1"/>
    <x v="0"/>
    <d v="2019-03-04T09:04:48"/>
    <d v="2019-03-08T09:04:48"/>
    <d v="2019-03-09T09:04:48"/>
    <x v="6"/>
    <n v="48"/>
    <n v="115"/>
    <n v="2425.9149477496544"/>
  </r>
  <r>
    <n v="117982"/>
    <x v="2"/>
    <s v="Delhi"/>
    <x v="2"/>
    <s v=" DL"/>
    <x v="2"/>
    <x v="0"/>
    <x v="0"/>
    <x v="0"/>
    <d v="2019-03-04T09:07:00"/>
    <d v="2019-03-07T09:07:00"/>
    <d v="2019-03-11T09:07:00"/>
    <x v="4"/>
    <n v="0"/>
    <n v="126"/>
    <n v="3496.1609517751772"/>
  </r>
  <r>
    <n v="988385"/>
    <x v="2"/>
    <s v="Delhi"/>
    <x v="2"/>
    <s v=" DL"/>
    <x v="0"/>
    <x v="0"/>
    <x v="1"/>
    <x v="0"/>
    <d v="2019-03-04T09:33:49"/>
    <d v="2019-03-04T09:33:49"/>
    <d v="2019-03-07T09:33:49"/>
    <x v="10"/>
    <n v="0"/>
    <n v="104"/>
    <n v="2592.3322238866535"/>
  </r>
  <r>
    <n v="520194"/>
    <x v="2"/>
    <s v="Bangalore"/>
    <x v="1"/>
    <s v=" TN"/>
    <x v="0"/>
    <x v="0"/>
    <x v="0"/>
    <x v="1"/>
    <d v="2019-03-04T10:02:30"/>
    <d v="2019-03-13T10:02:30"/>
    <d v="2019-03-10T10:02:30"/>
    <x v="1"/>
    <n v="79"/>
    <n v="107"/>
    <n v="1610.15"/>
  </r>
  <r>
    <n v="407466"/>
    <x v="2"/>
    <s v="Bangalore"/>
    <x v="1"/>
    <s v=" TN"/>
    <x v="2"/>
    <x v="0"/>
    <x v="0"/>
    <x v="1"/>
    <d v="2019-03-04T10:06:29"/>
    <d v="2019-03-06T10:06:29"/>
    <d v="2019-03-08T10:06:29"/>
    <x v="0"/>
    <n v="48"/>
    <n v="124"/>
    <n v="865.18"/>
  </r>
  <r>
    <n v="676812"/>
    <x v="2"/>
    <s v="Delhi"/>
    <x v="4"/>
    <s v=" WB"/>
    <x v="0"/>
    <x v="0"/>
    <x v="0"/>
    <x v="1"/>
    <d v="2019-03-04T10:13:28"/>
    <d v="2019-03-12T10:13:28"/>
    <d v="2019-03-07T10:13:28"/>
    <x v="5"/>
    <n v="62"/>
    <n v="86"/>
    <n v="728.24"/>
  </r>
  <r>
    <n v="514063"/>
    <x v="2"/>
    <s v="Delhi"/>
    <x v="0"/>
    <s v=" MH"/>
    <x v="1"/>
    <x v="0"/>
    <x v="1"/>
    <x v="0"/>
    <d v="2019-03-04T10:45:56"/>
    <d v="2019-03-13T10:45:56"/>
    <d v="2019-03-07T10:45:56"/>
    <x v="1"/>
    <n v="30"/>
    <n v="110"/>
    <n v="550.30847211460832"/>
  </r>
  <r>
    <n v="105071"/>
    <x v="2"/>
    <s v="Delhi"/>
    <x v="3"/>
    <s v=" KA"/>
    <x v="1"/>
    <x v="0"/>
    <x v="1"/>
    <x v="0"/>
    <d v="2019-03-04T11:24:12"/>
    <d v="2019-03-09T11:24:12"/>
    <d v="2019-03-10T11:24:12"/>
    <x v="9"/>
    <n v="48"/>
    <n v="121"/>
    <n v="530.77620676644938"/>
  </r>
  <r>
    <n v="348873"/>
    <x v="2"/>
    <s v="Delhi"/>
    <x v="4"/>
    <s v=" WB"/>
    <x v="0"/>
    <x v="0"/>
    <x v="2"/>
    <x v="1"/>
    <d v="2019-03-04T11:48:30"/>
    <d v="2019-03-08T11:48:30"/>
    <d v="2019-03-07T11:48:30"/>
    <x v="6"/>
    <n v="78"/>
    <n v="90"/>
    <n v="1956.63"/>
  </r>
  <r>
    <n v="174485"/>
    <x v="2"/>
    <s v="Delhi"/>
    <x v="3"/>
    <s v=" KA"/>
    <x v="1"/>
    <x v="0"/>
    <x v="1"/>
    <x v="0"/>
    <d v="2019-03-04T12:01:28"/>
    <d v="2019-03-10T12:01:28"/>
    <d v="2019-03-10T12:01:28"/>
    <x v="3"/>
    <n v="41"/>
    <n v="124"/>
    <n v="1675.4537904199894"/>
  </r>
  <r>
    <n v="919851"/>
    <x v="2"/>
    <s v="Delhi"/>
    <x v="1"/>
    <s v=" TN"/>
    <x v="0"/>
    <x v="0"/>
    <x v="1"/>
    <x v="1"/>
    <d v="2019-03-04T12:09:05"/>
    <d v="2019-03-12T12:09:05"/>
    <d v="2019-03-08T12:09:05"/>
    <x v="5"/>
    <n v="77"/>
    <n v="106"/>
    <n v="413.9"/>
  </r>
  <r>
    <n v="623666"/>
    <x v="2"/>
    <s v="Delhi"/>
    <x v="2"/>
    <s v=" DL"/>
    <x v="2"/>
    <x v="0"/>
    <x v="0"/>
    <x v="0"/>
    <d v="2019-03-04T12:20:11"/>
    <d v="2019-03-11T12:20:11"/>
    <d v="2019-03-07T12:20:11"/>
    <x v="8"/>
    <n v="0"/>
    <n v="122"/>
    <n v="1841.661675933952"/>
  </r>
  <r>
    <n v="961764"/>
    <x v="2"/>
    <s v="Delhi"/>
    <x v="2"/>
    <s v=" DL"/>
    <x v="0"/>
    <x v="0"/>
    <x v="0"/>
    <x v="1"/>
    <d v="2019-03-04T12:25:46"/>
    <d v="2019-03-07T12:25:46"/>
    <d v="2019-03-09T12:25:46"/>
    <x v="4"/>
    <n v="0"/>
    <n v="127"/>
    <n v="2014.55"/>
  </r>
  <r>
    <n v="218357"/>
    <x v="2"/>
    <s v="Delhi"/>
    <x v="4"/>
    <s v=" WB"/>
    <x v="1"/>
    <x v="0"/>
    <x v="1"/>
    <x v="0"/>
    <d v="2019-03-04T12:49:08"/>
    <d v="2019-03-11T12:49:08"/>
    <d v="2019-03-10T12:49:08"/>
    <x v="8"/>
    <n v="48"/>
    <n v="113"/>
    <n v="2384.808204209894"/>
  </r>
  <r>
    <n v="117498"/>
    <x v="2"/>
    <s v="Bangalore"/>
    <x v="0"/>
    <s v=" MH"/>
    <x v="2"/>
    <x v="0"/>
    <x v="0"/>
    <x v="1"/>
    <d v="2019-03-04T12:59:20"/>
    <d v="2019-03-13T12:59:20"/>
    <d v="2019-03-09T12:59:20"/>
    <x v="1"/>
    <n v="35"/>
    <n v="110"/>
    <n v="181.51"/>
  </r>
  <r>
    <n v="134157"/>
    <x v="2"/>
    <s v="Delhi"/>
    <x v="4"/>
    <s v=" WB"/>
    <x v="0"/>
    <x v="0"/>
    <x v="1"/>
    <x v="1"/>
    <d v="2019-03-04T13:26:49"/>
    <d v="2019-03-13T13:26:49"/>
    <d v="2019-03-07T13:26:49"/>
    <x v="1"/>
    <n v="88"/>
    <n v="93"/>
    <n v="472.88"/>
  </r>
  <r>
    <n v="769008"/>
    <x v="2"/>
    <s v="Bangalore"/>
    <x v="0"/>
    <s v=" MH"/>
    <x v="0"/>
    <x v="0"/>
    <x v="0"/>
    <x v="1"/>
    <d v="2019-03-04T13:38:04"/>
    <d v="2019-03-09T13:38:04"/>
    <d v="2019-03-07T13:38:04"/>
    <x v="9"/>
    <n v="40"/>
    <n v="113"/>
    <n v="917.32"/>
  </r>
  <r>
    <n v="281985"/>
    <x v="2"/>
    <s v="Delhi"/>
    <x v="3"/>
    <s v=" KA"/>
    <x v="1"/>
    <x v="0"/>
    <x v="1"/>
    <x v="1"/>
    <d v="2019-03-04T13:42:09"/>
    <d v="2019-03-09T13:42:09"/>
    <d v="2019-03-07T13:42:09"/>
    <x v="9"/>
    <n v="50"/>
    <n v="126"/>
    <n v="2076.73"/>
  </r>
  <r>
    <n v="262905"/>
    <x v="2"/>
    <s v="Delhi"/>
    <x v="3"/>
    <s v=" KA"/>
    <x v="1"/>
    <x v="0"/>
    <x v="1"/>
    <x v="1"/>
    <d v="2019-03-04T13:53:59"/>
    <d v="2019-03-08T13:53:59"/>
    <d v="2019-03-10T13:53:59"/>
    <x v="6"/>
    <n v="25"/>
    <n v="125"/>
    <n v="1530.28"/>
  </r>
  <r>
    <n v="662223"/>
    <x v="2"/>
    <s v="Bangalore"/>
    <x v="1"/>
    <s v=" TN"/>
    <x v="0"/>
    <x v="0"/>
    <x v="1"/>
    <x v="1"/>
    <d v="2019-03-04T13:54:03"/>
    <d v="2019-03-09T13:54:03"/>
    <d v="2019-03-10T13:54:03"/>
    <x v="9"/>
    <n v="78"/>
    <n v="107"/>
    <n v="2212.94"/>
  </r>
  <r>
    <n v="240328"/>
    <x v="2"/>
    <s v="Delhi"/>
    <x v="0"/>
    <s v=" MH"/>
    <x v="0"/>
    <x v="0"/>
    <x v="0"/>
    <x v="0"/>
    <d v="2019-03-04T13:57:53"/>
    <d v="2019-03-06T13:57:53"/>
    <d v="2019-03-09T13:57:53"/>
    <x v="0"/>
    <n v="64"/>
    <n v="87"/>
    <n v="607.76749536384386"/>
  </r>
  <r>
    <n v="626319"/>
    <x v="2"/>
    <s v="Delhi"/>
    <x v="0"/>
    <s v=" MH"/>
    <x v="0"/>
    <x v="0"/>
    <x v="1"/>
    <x v="1"/>
    <d v="2019-03-04T14:15:19"/>
    <d v="2019-03-06T14:15:19"/>
    <d v="2019-03-07T14:15:19"/>
    <x v="0"/>
    <n v="78"/>
    <n v="93"/>
    <n v="2964.44"/>
  </r>
  <r>
    <n v="74022"/>
    <x v="2"/>
    <s v="Delhi"/>
    <x v="2"/>
    <s v=" DL"/>
    <x v="0"/>
    <x v="0"/>
    <x v="0"/>
    <x v="1"/>
    <d v="2019-03-04T14:21:42"/>
    <d v="2019-03-07T14:21:42"/>
    <d v="2019-03-10T14:21:42"/>
    <x v="4"/>
    <n v="0"/>
    <n v="109"/>
    <n v="2017.22"/>
  </r>
  <r>
    <n v="145770"/>
    <x v="2"/>
    <s v="Bangalore"/>
    <x v="2"/>
    <s v=" DL"/>
    <x v="2"/>
    <x v="0"/>
    <x v="0"/>
    <x v="1"/>
    <d v="2019-03-04T14:27:02"/>
    <d v="2019-03-08T14:27:02"/>
    <d v="2019-03-08T14:27:02"/>
    <x v="6"/>
    <n v="37"/>
    <n v="128"/>
    <n v="1150.8699999999999"/>
  </r>
  <r>
    <n v="861021"/>
    <x v="2"/>
    <s v="Delhi"/>
    <x v="2"/>
    <s v=" DL"/>
    <x v="1"/>
    <x v="0"/>
    <x v="2"/>
    <x v="1"/>
    <d v="2019-03-04T15:11:17"/>
    <d v="2019-03-09T15:11:17"/>
    <d v="2019-03-11T15:11:17"/>
    <x v="9"/>
    <n v="0"/>
    <n v="122"/>
    <n v="832.05"/>
  </r>
  <r>
    <n v="409217"/>
    <x v="2"/>
    <s v="Delhi"/>
    <x v="3"/>
    <s v=" KA"/>
    <x v="1"/>
    <x v="0"/>
    <x v="1"/>
    <x v="0"/>
    <d v="2019-03-04T15:15:53"/>
    <d v="2019-03-11T15:15:53"/>
    <d v="2019-03-08T15:15:53"/>
    <x v="8"/>
    <n v="38"/>
    <n v="129"/>
    <n v="811.91781335123937"/>
  </r>
  <r>
    <n v="525953"/>
    <x v="2"/>
    <s v="Delhi"/>
    <x v="3"/>
    <s v=" KA"/>
    <x v="0"/>
    <x v="0"/>
    <x v="1"/>
    <x v="0"/>
    <d v="2019-03-04T15:17:41"/>
    <d v="2019-03-06T15:17:41"/>
    <d v="2019-03-10T15:17:41"/>
    <x v="0"/>
    <n v="75"/>
    <n v="110"/>
    <n v="1737.2630655885839"/>
  </r>
  <r>
    <n v="653393"/>
    <x v="2"/>
    <s v="Delhi"/>
    <x v="0"/>
    <s v=" MH"/>
    <x v="1"/>
    <x v="0"/>
    <x v="1"/>
    <x v="0"/>
    <d v="2019-03-04T15:23:20"/>
    <d v="2019-03-12T15:23:20"/>
    <d v="2019-03-09T15:23:20"/>
    <x v="5"/>
    <n v="28"/>
    <n v="107"/>
    <n v="2197.6774935253534"/>
  </r>
  <r>
    <n v="341484"/>
    <x v="2"/>
    <s v="Bangalore"/>
    <x v="2"/>
    <s v=" DL"/>
    <x v="0"/>
    <x v="0"/>
    <x v="0"/>
    <x v="1"/>
    <d v="2019-03-04T15:47:28"/>
    <d v="2019-03-08T15:47:28"/>
    <d v="2019-03-10T15:47:28"/>
    <x v="6"/>
    <n v="41"/>
    <n v="126"/>
    <n v="3007.71"/>
  </r>
  <r>
    <n v="799771"/>
    <x v="2"/>
    <s v="Delhi"/>
    <x v="3"/>
    <s v=" KA"/>
    <x v="1"/>
    <x v="0"/>
    <x v="2"/>
    <x v="0"/>
    <d v="2019-03-04T15:58:47"/>
    <d v="2019-03-14T15:58:47"/>
    <d v="2019-03-07T15:58:47"/>
    <x v="7"/>
    <n v="42"/>
    <n v="127"/>
    <n v="2439.6311791137518"/>
  </r>
  <r>
    <n v="843993"/>
    <x v="2"/>
    <s v="Bangalore"/>
    <x v="2"/>
    <s v=" DL"/>
    <x v="1"/>
    <x v="0"/>
    <x v="1"/>
    <x v="1"/>
    <d v="2019-03-04T15:59:05"/>
    <d v="2019-03-10T15:59:05"/>
    <d v="2019-03-08T15:59:05"/>
    <x v="3"/>
    <n v="27"/>
    <n v="123"/>
    <n v="2133.5700000000002"/>
  </r>
  <r>
    <n v="707188"/>
    <x v="2"/>
    <s v="Bangalore"/>
    <x v="1"/>
    <s v=" TN"/>
    <x v="0"/>
    <x v="0"/>
    <x v="0"/>
    <x v="0"/>
    <d v="2019-03-04T16:16:26"/>
    <d v="2019-03-10T16:16:26"/>
    <d v="2019-03-09T16:16:26"/>
    <x v="3"/>
    <n v="71"/>
    <n v="108"/>
    <n v="1348.4367416031398"/>
  </r>
  <r>
    <n v="463386"/>
    <x v="2"/>
    <s v="Delhi"/>
    <x v="2"/>
    <s v=" DL"/>
    <x v="2"/>
    <x v="0"/>
    <x v="0"/>
    <x v="1"/>
    <d v="2019-03-04T16:16:46"/>
    <d v="2019-03-06T16:16:46"/>
    <d v="2019-03-09T16:16:46"/>
    <x v="0"/>
    <n v="0"/>
    <n v="122"/>
    <n v="2545.66"/>
  </r>
  <r>
    <n v="12942"/>
    <x v="2"/>
    <s v="Bangalore"/>
    <x v="0"/>
    <s v=" MH"/>
    <x v="2"/>
    <x v="0"/>
    <x v="0"/>
    <x v="1"/>
    <d v="2019-03-04T16:38:22"/>
    <d v="2019-03-08T16:38:22"/>
    <d v="2019-03-11T16:38:22"/>
    <x v="6"/>
    <n v="38"/>
    <n v="113"/>
    <n v="1434.38"/>
  </r>
  <r>
    <n v="251709"/>
    <x v="2"/>
    <s v="Delhi"/>
    <x v="3"/>
    <s v=" KA"/>
    <x v="1"/>
    <x v="0"/>
    <x v="1"/>
    <x v="1"/>
    <d v="2019-03-04T17:00:08"/>
    <d v="2019-03-08T17:00:08"/>
    <d v="2019-03-07T17:00:08"/>
    <x v="6"/>
    <n v="33"/>
    <n v="129"/>
    <n v="2767.46"/>
  </r>
  <r>
    <n v="432284"/>
    <x v="2"/>
    <s v="Delhi"/>
    <x v="2"/>
    <s v=" DL"/>
    <x v="0"/>
    <x v="0"/>
    <x v="0"/>
    <x v="0"/>
    <d v="2019-03-04T17:02:53"/>
    <d v="2019-03-06T17:02:53"/>
    <d v="2019-03-08T17:02:53"/>
    <x v="0"/>
    <n v="0"/>
    <n v="109"/>
    <n v="1246.5365543658345"/>
  </r>
  <r>
    <n v="861056"/>
    <x v="2"/>
    <s v="Delhi"/>
    <x v="3"/>
    <s v=" KA"/>
    <x v="0"/>
    <x v="0"/>
    <x v="0"/>
    <x v="0"/>
    <d v="2019-03-04T17:10:56"/>
    <d v="2019-03-08T17:10:56"/>
    <d v="2019-03-11T17:10:56"/>
    <x v="6"/>
    <n v="33"/>
    <n v="122"/>
    <n v="2623.5354125743002"/>
  </r>
  <r>
    <n v="549075"/>
    <x v="2"/>
    <s v="Bangalore"/>
    <x v="0"/>
    <s v=" MH"/>
    <x v="1"/>
    <x v="0"/>
    <x v="1"/>
    <x v="1"/>
    <d v="2019-03-04T17:39:10"/>
    <d v="2019-03-12T17:39:10"/>
    <d v="2019-03-11T17:39:10"/>
    <x v="5"/>
    <n v="50"/>
    <n v="107"/>
    <n v="2089.6"/>
  </r>
  <r>
    <n v="166696"/>
    <x v="2"/>
    <s v="Bangalore"/>
    <x v="3"/>
    <s v=" KA"/>
    <x v="0"/>
    <x v="0"/>
    <x v="0"/>
    <x v="0"/>
    <d v="2019-03-04T17:41:57"/>
    <d v="2019-03-05T17:41:57"/>
    <d v="2019-03-07T17:41:57"/>
    <x v="2"/>
    <n v="0"/>
    <n v="105"/>
    <n v="502.44284378988249"/>
  </r>
  <r>
    <n v="434564"/>
    <x v="2"/>
    <s v="Bangalore"/>
    <x v="0"/>
    <s v=" MH"/>
    <x v="0"/>
    <x v="0"/>
    <x v="0"/>
    <x v="0"/>
    <d v="2019-03-04T17:42:55"/>
    <d v="2019-03-09T17:42:55"/>
    <d v="2019-03-09T17:42:55"/>
    <x v="9"/>
    <n v="26"/>
    <n v="111"/>
    <n v="1224.1260158146788"/>
  </r>
  <r>
    <n v="742919"/>
    <x v="2"/>
    <s v="Delhi"/>
    <x v="0"/>
    <s v=" MH"/>
    <x v="0"/>
    <x v="0"/>
    <x v="1"/>
    <x v="0"/>
    <d v="2019-03-04T18:17:13"/>
    <d v="2019-03-07T18:17:13"/>
    <d v="2019-03-11T18:17:13"/>
    <x v="4"/>
    <n v="69"/>
    <n v="89"/>
    <n v="3620.652963269431"/>
  </r>
  <r>
    <n v="151939"/>
    <x v="2"/>
    <s v="Delhi"/>
    <x v="3"/>
    <s v=" KA"/>
    <x v="1"/>
    <x v="0"/>
    <x v="1"/>
    <x v="0"/>
    <d v="2019-03-04T18:25:17"/>
    <d v="2019-03-12T18:25:17"/>
    <d v="2019-03-11T18:25:17"/>
    <x v="5"/>
    <n v="29"/>
    <n v="125"/>
    <n v="3177.0826580949879"/>
  </r>
  <r>
    <n v="657757"/>
    <x v="2"/>
    <s v="Delhi"/>
    <x v="2"/>
    <s v=" DL"/>
    <x v="1"/>
    <x v="0"/>
    <x v="1"/>
    <x v="0"/>
    <d v="2019-03-04T18:36:57"/>
    <d v="2019-03-06T18:36:57"/>
    <d v="2019-03-07T18:36:57"/>
    <x v="0"/>
    <n v="0"/>
    <n v="128"/>
    <n v="1999.2651109261585"/>
  </r>
  <r>
    <n v="165913"/>
    <x v="2"/>
    <s v="Delhi"/>
    <x v="2"/>
    <s v=" DL"/>
    <x v="1"/>
    <x v="0"/>
    <x v="1"/>
    <x v="0"/>
    <d v="2019-03-04T18:43:04"/>
    <d v="2019-03-08T18:43:04"/>
    <d v="2019-03-09T18:43:04"/>
    <x v="6"/>
    <n v="0"/>
    <n v="122"/>
    <n v="1794.2073067701472"/>
  </r>
  <r>
    <n v="536337"/>
    <x v="2"/>
    <s v="Delhi"/>
    <x v="2"/>
    <s v=" DL"/>
    <x v="0"/>
    <x v="0"/>
    <x v="1"/>
    <x v="1"/>
    <d v="2019-03-04T18:49:48"/>
    <d v="2019-03-09T18:49:48"/>
    <d v="2019-03-10T18:49:48"/>
    <x v="9"/>
    <n v="0"/>
    <n v="103"/>
    <n v="231.1"/>
  </r>
  <r>
    <n v="666912"/>
    <x v="2"/>
    <s v="Bangalore"/>
    <x v="2"/>
    <s v=" DL"/>
    <x v="0"/>
    <x v="0"/>
    <x v="0"/>
    <x v="1"/>
    <d v="2019-03-04T19:06:41"/>
    <d v="2019-03-07T19:06:41"/>
    <d v="2019-03-07T19:06:41"/>
    <x v="4"/>
    <n v="26"/>
    <n v="124"/>
    <n v="616.57000000000005"/>
  </r>
  <r>
    <n v="647410"/>
    <x v="2"/>
    <s v="Delhi"/>
    <x v="3"/>
    <s v=" KA"/>
    <x v="2"/>
    <x v="0"/>
    <x v="0"/>
    <x v="0"/>
    <d v="2019-03-04T19:06:45"/>
    <d v="2019-03-08T19:06:45"/>
    <d v="2019-03-08T19:06:45"/>
    <x v="6"/>
    <n v="25"/>
    <n v="120"/>
    <n v="3243.9570610403239"/>
  </r>
  <r>
    <n v="157043"/>
    <x v="2"/>
    <s v="Bangalore"/>
    <x v="3"/>
    <s v=" KA"/>
    <x v="0"/>
    <x v="0"/>
    <x v="1"/>
    <x v="0"/>
    <d v="2019-03-04T19:21:30"/>
    <d v="2019-03-04T19:21:30"/>
    <d v="2019-03-07T19:21:30"/>
    <x v="10"/>
    <n v="0"/>
    <n v="109"/>
    <n v="3235.081458102597"/>
  </r>
  <r>
    <n v="442270"/>
    <x v="2"/>
    <s v="Bangalore"/>
    <x v="0"/>
    <s v=" MH"/>
    <x v="2"/>
    <x v="0"/>
    <x v="0"/>
    <x v="0"/>
    <d v="2019-03-04T19:23:14"/>
    <d v="2019-03-11T19:23:14"/>
    <d v="2019-03-07T19:23:14"/>
    <x v="8"/>
    <n v="47"/>
    <n v="108"/>
    <n v="1438.7562004294782"/>
  </r>
  <r>
    <n v="457049"/>
    <x v="2"/>
    <s v="Delhi"/>
    <x v="0"/>
    <s v=" MH"/>
    <x v="1"/>
    <x v="0"/>
    <x v="1"/>
    <x v="0"/>
    <d v="2019-03-04T19:45:14"/>
    <d v="2019-03-08T19:45:14"/>
    <d v="2019-03-10T19:45:14"/>
    <x v="6"/>
    <n v="26"/>
    <n v="106"/>
    <n v="2866.1117637648417"/>
  </r>
  <r>
    <n v="78609"/>
    <x v="2"/>
    <s v="Bangalore"/>
    <x v="2"/>
    <s v=" DL"/>
    <x v="1"/>
    <x v="0"/>
    <x v="1"/>
    <x v="1"/>
    <d v="2019-03-04T19:54:14"/>
    <d v="2019-03-10T19:54:14"/>
    <d v="2019-03-08T19:54:14"/>
    <x v="3"/>
    <n v="43"/>
    <n v="121"/>
    <n v="495.69"/>
  </r>
  <r>
    <n v="901790"/>
    <x v="2"/>
    <s v="Delhi"/>
    <x v="1"/>
    <s v=" TN"/>
    <x v="2"/>
    <x v="0"/>
    <x v="0"/>
    <x v="0"/>
    <d v="2019-03-04T19:57:43"/>
    <d v="2019-03-06T19:57:43"/>
    <d v="2019-03-10T19:57:43"/>
    <x v="0"/>
    <n v="33"/>
    <n v="127"/>
    <n v="2535.495308735552"/>
  </r>
  <r>
    <n v="39388"/>
    <x v="2"/>
    <s v="Bangalore"/>
    <x v="2"/>
    <s v=" DL"/>
    <x v="0"/>
    <x v="0"/>
    <x v="0"/>
    <x v="0"/>
    <d v="2019-03-04T20:25:17"/>
    <d v="2019-03-06T20:25:17"/>
    <d v="2019-03-07T20:25:17"/>
    <x v="0"/>
    <n v="45"/>
    <n v="121"/>
    <n v="1186.6723907296323"/>
  </r>
  <r>
    <n v="898389"/>
    <x v="2"/>
    <s v="Bangalore"/>
    <x v="3"/>
    <s v=" KA"/>
    <x v="0"/>
    <x v="0"/>
    <x v="1"/>
    <x v="1"/>
    <d v="2019-03-04T20:28:18"/>
    <d v="2019-03-05T20:28:18"/>
    <d v="2019-03-11T20:28:18"/>
    <x v="2"/>
    <n v="0"/>
    <n v="106"/>
    <n v="882.53"/>
  </r>
  <r>
    <n v="757627"/>
    <x v="2"/>
    <s v="Bangalore"/>
    <x v="3"/>
    <s v=" KA"/>
    <x v="0"/>
    <x v="0"/>
    <x v="1"/>
    <x v="0"/>
    <d v="2019-03-04T20:30:18"/>
    <d v="2019-03-08T20:30:18"/>
    <d v="2019-03-11T20:30:18"/>
    <x v="6"/>
    <n v="0"/>
    <n v="104"/>
    <n v="3772.6774401851671"/>
  </r>
  <r>
    <n v="705929"/>
    <x v="2"/>
    <s v="Delhi"/>
    <x v="3"/>
    <s v=" KA"/>
    <x v="0"/>
    <x v="0"/>
    <x v="2"/>
    <x v="0"/>
    <d v="2019-03-04T21:20:51"/>
    <d v="2019-03-07T21:20:51"/>
    <d v="2019-03-10T21:20:51"/>
    <x v="4"/>
    <n v="73"/>
    <n v="100"/>
    <n v="1659.1905609959804"/>
  </r>
  <r>
    <n v="134007"/>
    <x v="2"/>
    <s v="Bangalore"/>
    <x v="3"/>
    <s v=" KA"/>
    <x v="1"/>
    <x v="0"/>
    <x v="1"/>
    <x v="1"/>
    <d v="2019-03-04T21:55:13"/>
    <d v="2019-03-04T21:55:13"/>
    <d v="2019-03-10T21:55:13"/>
    <x v="10"/>
    <n v="0"/>
    <n v="127"/>
    <n v="2668.89"/>
  </r>
  <r>
    <n v="638684"/>
    <x v="2"/>
    <s v="Delhi"/>
    <x v="0"/>
    <s v=" MH"/>
    <x v="0"/>
    <x v="0"/>
    <x v="0"/>
    <x v="0"/>
    <d v="2019-03-04T22:33:51"/>
    <d v="2019-03-06T22:33:51"/>
    <d v="2019-03-07T22:33:51"/>
    <x v="0"/>
    <n v="34"/>
    <n v="114"/>
    <n v="2214.7564255782513"/>
  </r>
  <r>
    <n v="980268"/>
    <x v="2"/>
    <s v="Bangalore"/>
    <x v="1"/>
    <s v=" TN"/>
    <x v="0"/>
    <x v="0"/>
    <x v="0"/>
    <x v="1"/>
    <d v="2019-03-04T22:49:40"/>
    <d v="2019-03-11T22:49:40"/>
    <d v="2019-03-08T22:49:40"/>
    <x v="8"/>
    <n v="29"/>
    <n v="126"/>
    <n v="2652.02"/>
  </r>
  <r>
    <n v="144517"/>
    <x v="2"/>
    <s v="Bangalore"/>
    <x v="0"/>
    <s v=" MH"/>
    <x v="0"/>
    <x v="0"/>
    <x v="1"/>
    <x v="0"/>
    <d v="2019-03-04T22:58:54"/>
    <d v="2019-03-09T22:58:54"/>
    <d v="2019-03-10T22:58:54"/>
    <x v="9"/>
    <n v="69"/>
    <n v="92"/>
    <n v="2380.0845260708734"/>
  </r>
  <r>
    <n v="90179"/>
    <x v="2"/>
    <s v="Delhi"/>
    <x v="3"/>
    <s v=" KA"/>
    <x v="0"/>
    <x v="0"/>
    <x v="1"/>
    <x v="0"/>
    <d v="2019-03-04T23:08:40"/>
    <d v="2019-03-08T23:08:40"/>
    <d v="2019-03-07T23:08:40"/>
    <x v="6"/>
    <n v="79"/>
    <n v="101"/>
    <n v="3082.7608317082277"/>
  </r>
  <r>
    <n v="889467"/>
    <x v="2"/>
    <s v="Delhi"/>
    <x v="1"/>
    <s v=" TN"/>
    <x v="0"/>
    <x v="0"/>
    <x v="1"/>
    <x v="1"/>
    <d v="2019-03-04T23:11:42"/>
    <d v="2019-03-10T23:11:42"/>
    <d v="2019-03-11T23:11:42"/>
    <x v="3"/>
    <n v="70"/>
    <n v="105"/>
    <n v="576.22"/>
  </r>
  <r>
    <n v="489252"/>
    <x v="2"/>
    <s v="Bangalore"/>
    <x v="0"/>
    <s v=" MH"/>
    <x v="0"/>
    <x v="0"/>
    <x v="0"/>
    <x v="1"/>
    <d v="2019-03-04T23:21:31"/>
    <d v="2019-03-07T23:21:31"/>
    <d v="2019-03-09T23:21:31"/>
    <x v="4"/>
    <n v="45"/>
    <n v="107"/>
    <n v="1808.42"/>
  </r>
  <r>
    <n v="14864"/>
    <x v="2"/>
    <s v="Delhi"/>
    <x v="1"/>
    <s v=" TN"/>
    <x v="0"/>
    <x v="0"/>
    <x v="0"/>
    <x v="0"/>
    <d v="2019-03-04T23:24:15"/>
    <d v="2019-03-09T23:24:15"/>
    <d v="2019-03-08T23:24:15"/>
    <x v="9"/>
    <n v="29"/>
    <n v="130"/>
    <n v="1279.2459998179288"/>
  </r>
  <r>
    <n v="672039"/>
    <x v="2"/>
    <s v="Delhi"/>
    <x v="2"/>
    <s v=" DL"/>
    <x v="1"/>
    <x v="0"/>
    <x v="1"/>
    <x v="1"/>
    <d v="2019-03-04T23:57:19"/>
    <d v="2019-03-11T23:57:19"/>
    <d v="2019-03-11T23:57:19"/>
    <x v="8"/>
    <n v="0"/>
    <n v="126"/>
    <n v="1091.19"/>
  </r>
  <r>
    <n v="834888"/>
    <x v="2"/>
    <s v="Delhi"/>
    <x v="3"/>
    <s v=" KA"/>
    <x v="0"/>
    <x v="0"/>
    <x v="0"/>
    <x v="1"/>
    <d v="2019-03-05T00:19:54"/>
    <d v="2019-03-07T00:19:54"/>
    <d v="2019-03-12T00:19:54"/>
    <x v="0"/>
    <n v="35"/>
    <n v="129"/>
    <n v="2720.86"/>
  </r>
  <r>
    <n v="462206"/>
    <x v="2"/>
    <s v="Bangalore"/>
    <x v="0"/>
    <s v=" MH"/>
    <x v="2"/>
    <x v="0"/>
    <x v="0"/>
    <x v="0"/>
    <d v="2019-03-05T01:11:47"/>
    <d v="2019-03-08T01:11:47"/>
    <d v="2019-03-12T01:11:47"/>
    <x v="4"/>
    <n v="27"/>
    <n v="108"/>
    <n v="839.4159507631424"/>
  </r>
  <r>
    <n v="843607"/>
    <x v="2"/>
    <s v="Bangalore"/>
    <x v="0"/>
    <s v=" MH"/>
    <x v="1"/>
    <x v="0"/>
    <x v="1"/>
    <x v="0"/>
    <d v="2019-03-05T01:16:14"/>
    <d v="2019-03-12T01:16:14"/>
    <d v="2019-03-12T01:16:14"/>
    <x v="8"/>
    <n v="27"/>
    <n v="106"/>
    <n v="2034.2609788369091"/>
  </r>
  <r>
    <n v="473330"/>
    <x v="2"/>
    <s v="Bangalore"/>
    <x v="1"/>
    <s v=" TN"/>
    <x v="2"/>
    <x v="0"/>
    <x v="0"/>
    <x v="0"/>
    <d v="2019-03-05T01:30:22"/>
    <d v="2019-03-07T01:30:22"/>
    <d v="2019-03-08T01:30:22"/>
    <x v="0"/>
    <n v="31"/>
    <n v="126"/>
    <n v="2006.8989374123737"/>
  </r>
  <r>
    <n v="324841"/>
    <x v="2"/>
    <s v="Bangalore"/>
    <x v="2"/>
    <s v=" DL"/>
    <x v="1"/>
    <x v="0"/>
    <x v="1"/>
    <x v="0"/>
    <d v="2019-03-05T02:10:00"/>
    <d v="2019-03-11T02:10:00"/>
    <d v="2019-03-08T02:10:00"/>
    <x v="3"/>
    <n v="31"/>
    <n v="124"/>
    <n v="931.04367421093275"/>
  </r>
  <r>
    <n v="100345"/>
    <x v="2"/>
    <s v="Delhi"/>
    <x v="1"/>
    <s v=" TN"/>
    <x v="1"/>
    <x v="0"/>
    <x v="2"/>
    <x v="0"/>
    <d v="2019-03-05T02:20:51"/>
    <d v="2019-03-07T02:20:51"/>
    <d v="2019-03-11T02:20:51"/>
    <x v="0"/>
    <n v="49"/>
    <n v="124"/>
    <n v="3129.4541480175426"/>
  </r>
  <r>
    <n v="934013"/>
    <x v="2"/>
    <s v="Bangalore"/>
    <x v="2"/>
    <s v=" DL"/>
    <x v="0"/>
    <x v="0"/>
    <x v="1"/>
    <x v="0"/>
    <d v="2019-03-05T02:47:35"/>
    <d v="2019-03-09T02:47:35"/>
    <d v="2019-03-08T02:47:35"/>
    <x v="6"/>
    <n v="79"/>
    <n v="104"/>
    <n v="1708.5631303679486"/>
  </r>
  <r>
    <n v="257026"/>
    <x v="2"/>
    <s v="Delhi"/>
    <x v="3"/>
    <s v=" KA"/>
    <x v="0"/>
    <x v="0"/>
    <x v="0"/>
    <x v="0"/>
    <d v="2019-03-05T02:59:45"/>
    <d v="2019-03-07T02:59:45"/>
    <d v="2019-03-08T02:59:45"/>
    <x v="0"/>
    <n v="82"/>
    <n v="104"/>
    <n v="1004.928723584138"/>
  </r>
  <r>
    <n v="690840"/>
    <x v="2"/>
    <s v="Delhi"/>
    <x v="3"/>
    <s v=" KA"/>
    <x v="0"/>
    <x v="0"/>
    <x v="0"/>
    <x v="1"/>
    <d v="2019-03-05T03:06:53"/>
    <d v="2019-03-10T03:06:53"/>
    <d v="2019-03-09T03:06:53"/>
    <x v="9"/>
    <n v="75"/>
    <n v="107"/>
    <n v="377.32"/>
  </r>
  <r>
    <n v="492935"/>
    <x v="2"/>
    <s v="Bangalore"/>
    <x v="1"/>
    <s v=" TN"/>
    <x v="1"/>
    <x v="0"/>
    <x v="1"/>
    <x v="0"/>
    <d v="2019-03-05T03:19:31"/>
    <d v="2019-03-07T03:19:31"/>
    <d v="2019-03-12T03:19:31"/>
    <x v="0"/>
    <n v="31"/>
    <n v="129"/>
    <n v="2796.9019773262085"/>
  </r>
  <r>
    <n v="441381"/>
    <x v="2"/>
    <s v="Delhi"/>
    <x v="3"/>
    <s v=" KA"/>
    <x v="0"/>
    <x v="0"/>
    <x v="1"/>
    <x v="1"/>
    <d v="2019-03-05T03:34:21"/>
    <d v="2019-03-08T03:34:21"/>
    <d v="2019-03-10T03:34:21"/>
    <x v="4"/>
    <n v="61"/>
    <n v="105"/>
    <n v="2294.54"/>
  </r>
  <r>
    <n v="283955"/>
    <x v="2"/>
    <s v="Delhi"/>
    <x v="1"/>
    <s v=" TN"/>
    <x v="1"/>
    <x v="0"/>
    <x v="2"/>
    <x v="0"/>
    <d v="2019-03-05T03:36:32"/>
    <d v="2019-03-12T03:36:32"/>
    <d v="2019-03-11T03:36:32"/>
    <x v="8"/>
    <n v="28"/>
    <n v="128"/>
    <n v="1647.2780847972097"/>
  </r>
  <r>
    <n v="979474"/>
    <x v="2"/>
    <s v="Bangalore"/>
    <x v="4"/>
    <s v=" WB"/>
    <x v="2"/>
    <x v="0"/>
    <x v="0"/>
    <x v="0"/>
    <d v="2019-03-05T03:44:13"/>
    <d v="2019-03-08T03:44:13"/>
    <d v="2019-03-12T03:44:13"/>
    <x v="4"/>
    <n v="27"/>
    <n v="111"/>
    <n v="742.94170453084644"/>
  </r>
  <r>
    <n v="857724"/>
    <x v="2"/>
    <s v="Bangalore"/>
    <x v="0"/>
    <s v=" MH"/>
    <x v="0"/>
    <x v="0"/>
    <x v="0"/>
    <x v="1"/>
    <d v="2019-03-05T03:45:42"/>
    <d v="2019-03-07T03:45:42"/>
    <d v="2019-03-10T03:45:42"/>
    <x v="0"/>
    <n v="36"/>
    <n v="112"/>
    <n v="235.81"/>
  </r>
  <r>
    <n v="989044"/>
    <x v="2"/>
    <s v="Delhi"/>
    <x v="0"/>
    <s v=" MH"/>
    <x v="0"/>
    <x v="0"/>
    <x v="0"/>
    <x v="0"/>
    <d v="2019-03-05T03:46:56"/>
    <d v="2019-03-07T03:46:56"/>
    <d v="2019-03-10T03:46:56"/>
    <x v="0"/>
    <n v="65"/>
    <n v="93"/>
    <n v="2414.0871255270699"/>
  </r>
  <r>
    <n v="525387"/>
    <x v="2"/>
    <s v="Delhi"/>
    <x v="0"/>
    <s v=" MH"/>
    <x v="1"/>
    <x v="0"/>
    <x v="1"/>
    <x v="1"/>
    <d v="2019-03-05T03:52:49"/>
    <d v="2019-03-14T03:52:49"/>
    <d v="2019-03-12T03:52:49"/>
    <x v="1"/>
    <n v="43"/>
    <n v="106"/>
    <n v="1503.66"/>
  </r>
  <r>
    <n v="613331"/>
    <x v="2"/>
    <s v="Delhi"/>
    <x v="4"/>
    <s v=" WB"/>
    <x v="1"/>
    <x v="0"/>
    <x v="1"/>
    <x v="0"/>
    <d v="2019-03-05T04:02:22"/>
    <d v="2019-03-08T04:02:22"/>
    <d v="2019-03-09T04:02:22"/>
    <x v="4"/>
    <n v="41"/>
    <n v="109"/>
    <n v="2208.8660846395578"/>
  </r>
  <r>
    <n v="603073"/>
    <x v="2"/>
    <s v="Delhi"/>
    <x v="1"/>
    <s v=" TN"/>
    <x v="1"/>
    <x v="0"/>
    <x v="1"/>
    <x v="0"/>
    <d v="2019-03-05T05:07:50"/>
    <d v="2019-03-09T05:07:50"/>
    <d v="2019-03-11T05:07:50"/>
    <x v="6"/>
    <n v="50"/>
    <n v="126"/>
    <n v="749.86412375114287"/>
  </r>
  <r>
    <n v="964458"/>
    <x v="2"/>
    <s v="Delhi"/>
    <x v="3"/>
    <s v=" KA"/>
    <x v="2"/>
    <x v="0"/>
    <x v="0"/>
    <x v="1"/>
    <d v="2019-03-05T05:11:25"/>
    <d v="2019-03-12T05:11:25"/>
    <d v="2019-03-08T05:11:25"/>
    <x v="8"/>
    <n v="37"/>
    <n v="121"/>
    <n v="1204.78"/>
  </r>
  <r>
    <n v="253401"/>
    <x v="2"/>
    <s v="Delhi"/>
    <x v="2"/>
    <s v=" DL"/>
    <x v="1"/>
    <x v="0"/>
    <x v="1"/>
    <x v="1"/>
    <d v="2019-03-05T05:15:07"/>
    <d v="2019-03-07T05:15:07"/>
    <d v="2019-03-11T05:15:07"/>
    <x v="0"/>
    <n v="0"/>
    <n v="130"/>
    <n v="3320.96"/>
  </r>
  <r>
    <n v="556621"/>
    <x v="2"/>
    <s v="Bangalore"/>
    <x v="0"/>
    <s v=" MH"/>
    <x v="1"/>
    <x v="0"/>
    <x v="1"/>
    <x v="0"/>
    <d v="2019-03-05T05:15:25"/>
    <d v="2019-03-11T05:15:25"/>
    <d v="2019-03-12T05:15:25"/>
    <x v="3"/>
    <n v="42"/>
    <n v="106"/>
    <n v="1422.4512530483703"/>
  </r>
  <r>
    <n v="230357"/>
    <x v="2"/>
    <s v="Delhi"/>
    <x v="1"/>
    <s v=" TN"/>
    <x v="1"/>
    <x v="0"/>
    <x v="1"/>
    <x v="0"/>
    <d v="2019-03-05T05:35:54"/>
    <d v="2019-03-12T05:35:54"/>
    <d v="2019-03-08T05:35:54"/>
    <x v="8"/>
    <n v="38"/>
    <n v="123"/>
    <n v="1966.1286996385293"/>
  </r>
  <r>
    <n v="992763"/>
    <x v="2"/>
    <s v="Delhi"/>
    <x v="1"/>
    <s v=" TN"/>
    <x v="1"/>
    <x v="0"/>
    <x v="1"/>
    <x v="1"/>
    <d v="2019-03-05T05:36:00"/>
    <d v="2019-03-08T05:36:00"/>
    <d v="2019-03-11T05:36:00"/>
    <x v="4"/>
    <n v="44"/>
    <n v="130"/>
    <n v="1703.41"/>
  </r>
  <r>
    <n v="854089"/>
    <x v="2"/>
    <s v="Bangalore"/>
    <x v="2"/>
    <s v=" DL"/>
    <x v="1"/>
    <x v="0"/>
    <x v="1"/>
    <x v="0"/>
    <d v="2019-03-05T05:42:59"/>
    <d v="2019-03-12T05:42:59"/>
    <d v="2019-03-08T05:42:59"/>
    <x v="8"/>
    <n v="49"/>
    <n v="125"/>
    <n v="3258.0275921670855"/>
  </r>
  <r>
    <n v="963524"/>
    <x v="2"/>
    <s v="Bangalore"/>
    <x v="0"/>
    <s v=" MH"/>
    <x v="0"/>
    <x v="0"/>
    <x v="0"/>
    <x v="0"/>
    <d v="2019-03-05T06:05:13"/>
    <d v="2019-03-09T06:05:13"/>
    <d v="2019-03-10T06:05:13"/>
    <x v="6"/>
    <n v="83"/>
    <n v="91"/>
    <n v="739.08814581152524"/>
  </r>
  <r>
    <n v="92004"/>
    <x v="2"/>
    <s v="Delhi"/>
    <x v="3"/>
    <s v=" KA"/>
    <x v="0"/>
    <x v="0"/>
    <x v="0"/>
    <x v="1"/>
    <d v="2019-03-05T06:18:10"/>
    <d v="2019-03-07T06:18:10"/>
    <d v="2019-03-12T06:18:10"/>
    <x v="0"/>
    <n v="35"/>
    <n v="130"/>
    <n v="490.88"/>
  </r>
  <r>
    <n v="363766"/>
    <x v="2"/>
    <s v="Delhi"/>
    <x v="2"/>
    <s v=" DL"/>
    <x v="2"/>
    <x v="0"/>
    <x v="0"/>
    <x v="0"/>
    <d v="2019-03-05T07:15:42"/>
    <d v="2019-03-06T07:15:42"/>
    <d v="2019-03-09T07:15:42"/>
    <x v="2"/>
    <n v="0"/>
    <n v="120"/>
    <n v="3186.0330826887403"/>
  </r>
  <r>
    <n v="755153"/>
    <x v="2"/>
    <s v="Delhi"/>
    <x v="2"/>
    <s v=" DL"/>
    <x v="1"/>
    <x v="0"/>
    <x v="2"/>
    <x v="0"/>
    <d v="2019-03-05T07:27:30"/>
    <d v="2019-03-10T07:27:30"/>
    <d v="2019-03-11T07:27:30"/>
    <x v="9"/>
    <n v="0"/>
    <n v="123"/>
    <n v="3379.3274874569497"/>
  </r>
  <r>
    <n v="514233"/>
    <x v="2"/>
    <s v="Bangalore"/>
    <x v="3"/>
    <s v=" KA"/>
    <x v="0"/>
    <x v="0"/>
    <x v="1"/>
    <x v="1"/>
    <d v="2019-03-05T07:28:39"/>
    <d v="2019-03-09T07:28:39"/>
    <d v="2019-03-11T07:28:39"/>
    <x v="6"/>
    <n v="0"/>
    <n v="104"/>
    <n v="2160.2600000000002"/>
  </r>
  <r>
    <n v="334648"/>
    <x v="2"/>
    <s v="Delhi"/>
    <x v="3"/>
    <s v=" KA"/>
    <x v="0"/>
    <x v="0"/>
    <x v="0"/>
    <x v="0"/>
    <d v="2019-03-05T07:41:43"/>
    <d v="2019-03-07T07:41:43"/>
    <d v="2019-03-08T07:41:43"/>
    <x v="0"/>
    <n v="48"/>
    <n v="124"/>
    <n v="884.68390279538994"/>
  </r>
  <r>
    <n v="918114"/>
    <x v="2"/>
    <s v="Delhi"/>
    <x v="4"/>
    <s v=" WB"/>
    <x v="2"/>
    <x v="0"/>
    <x v="0"/>
    <x v="1"/>
    <d v="2019-03-05T08:02:36"/>
    <d v="2019-03-09T08:02:36"/>
    <d v="2019-03-10T08:02:36"/>
    <x v="6"/>
    <n v="32"/>
    <n v="113"/>
    <n v="2170.19"/>
  </r>
  <r>
    <n v="570225"/>
    <x v="2"/>
    <s v="Delhi"/>
    <x v="2"/>
    <s v=" DL"/>
    <x v="1"/>
    <x v="0"/>
    <x v="1"/>
    <x v="1"/>
    <d v="2019-03-05T08:05:38"/>
    <d v="2019-03-10T08:05:38"/>
    <d v="2019-03-10T08:05:38"/>
    <x v="9"/>
    <n v="0"/>
    <n v="124"/>
    <n v="1049.75"/>
  </r>
  <r>
    <n v="352039"/>
    <x v="2"/>
    <s v="Delhi"/>
    <x v="2"/>
    <s v=" DL"/>
    <x v="1"/>
    <x v="0"/>
    <x v="1"/>
    <x v="0"/>
    <d v="2019-03-05T08:29:41"/>
    <d v="2019-03-08T08:29:41"/>
    <d v="2019-03-09T08:29:41"/>
    <x v="4"/>
    <n v="0"/>
    <n v="124"/>
    <n v="2877.2484878522541"/>
  </r>
  <r>
    <n v="16199"/>
    <x v="2"/>
    <s v="Bangalore"/>
    <x v="4"/>
    <s v=" WB"/>
    <x v="1"/>
    <x v="0"/>
    <x v="1"/>
    <x v="0"/>
    <d v="2019-03-05T08:54:50"/>
    <d v="2019-03-10T08:54:50"/>
    <d v="2019-03-08T08:54:50"/>
    <x v="9"/>
    <n v="50"/>
    <n v="111"/>
    <n v="2489.5851990655597"/>
  </r>
  <r>
    <n v="465970"/>
    <x v="2"/>
    <s v="Delhi"/>
    <x v="3"/>
    <s v=" KA"/>
    <x v="2"/>
    <x v="0"/>
    <x v="0"/>
    <x v="0"/>
    <d v="2019-03-05T08:58:47"/>
    <d v="2019-03-13T08:58:47"/>
    <d v="2019-03-08T08:58:47"/>
    <x v="5"/>
    <n v="41"/>
    <n v="121"/>
    <n v="675.63951860817463"/>
  </r>
  <r>
    <n v="454702"/>
    <x v="2"/>
    <s v="Delhi"/>
    <x v="3"/>
    <s v=" KA"/>
    <x v="2"/>
    <x v="0"/>
    <x v="0"/>
    <x v="0"/>
    <d v="2019-03-05T09:04:45"/>
    <d v="2019-03-09T09:04:45"/>
    <d v="2019-03-08T09:04:45"/>
    <x v="6"/>
    <n v="37"/>
    <n v="122"/>
    <n v="2213.8465303749335"/>
  </r>
  <r>
    <n v="389065"/>
    <x v="2"/>
    <s v="Bangalore"/>
    <x v="3"/>
    <s v=" KA"/>
    <x v="1"/>
    <x v="0"/>
    <x v="1"/>
    <x v="0"/>
    <d v="2019-03-05T09:10:28"/>
    <d v="2019-03-09T09:10:28"/>
    <d v="2019-03-10T09:10:28"/>
    <x v="6"/>
    <n v="0"/>
    <n v="129"/>
    <n v="908.11508861182244"/>
  </r>
  <r>
    <n v="171454"/>
    <x v="2"/>
    <s v="Bangalore"/>
    <x v="0"/>
    <s v=" MH"/>
    <x v="2"/>
    <x v="0"/>
    <x v="0"/>
    <x v="0"/>
    <d v="2019-03-05T09:23:36"/>
    <d v="2019-03-10T09:23:36"/>
    <d v="2019-03-10T09:23:36"/>
    <x v="9"/>
    <n v="27"/>
    <n v="110"/>
    <n v="2394.7291364854345"/>
  </r>
  <r>
    <n v="285232"/>
    <x v="2"/>
    <s v="Delhi"/>
    <x v="1"/>
    <s v=" TN"/>
    <x v="0"/>
    <x v="0"/>
    <x v="0"/>
    <x v="0"/>
    <d v="2019-03-05T09:30:48"/>
    <d v="2019-03-12T09:30:48"/>
    <d v="2019-03-11T09:30:48"/>
    <x v="8"/>
    <n v="71"/>
    <n v="106"/>
    <n v="3691.9846204534442"/>
  </r>
  <r>
    <n v="402180"/>
    <x v="2"/>
    <s v="Delhi"/>
    <x v="1"/>
    <s v=" TN"/>
    <x v="0"/>
    <x v="0"/>
    <x v="0"/>
    <x v="1"/>
    <d v="2019-03-05T09:39:47"/>
    <d v="2019-03-15T09:39:47"/>
    <d v="2019-03-08T09:39:47"/>
    <x v="7"/>
    <n v="38"/>
    <n v="129"/>
    <n v="2185.5700000000002"/>
  </r>
  <r>
    <n v="21799"/>
    <x v="2"/>
    <s v="Bangalore"/>
    <x v="1"/>
    <s v=" TN"/>
    <x v="1"/>
    <x v="0"/>
    <x v="1"/>
    <x v="0"/>
    <d v="2019-03-05T09:42:04"/>
    <d v="2019-03-10T09:42:04"/>
    <d v="2019-03-11T09:42:04"/>
    <x v="9"/>
    <n v="44"/>
    <n v="128"/>
    <n v="376.83513828613826"/>
  </r>
  <r>
    <n v="446884"/>
    <x v="2"/>
    <s v="Bangalore"/>
    <x v="1"/>
    <s v=" TN"/>
    <x v="0"/>
    <x v="0"/>
    <x v="0"/>
    <x v="0"/>
    <d v="2019-03-05T09:55:49"/>
    <d v="2019-03-12T09:55:49"/>
    <d v="2019-03-10T09:55:49"/>
    <x v="8"/>
    <n v="62"/>
    <n v="103"/>
    <n v="1765.0051812858296"/>
  </r>
  <r>
    <n v="244995"/>
    <x v="2"/>
    <s v="Delhi"/>
    <x v="4"/>
    <s v=" WB"/>
    <x v="0"/>
    <x v="0"/>
    <x v="1"/>
    <x v="1"/>
    <d v="2019-03-05T10:56:06"/>
    <d v="2019-03-09T10:56:06"/>
    <d v="2019-03-11T10:56:06"/>
    <x v="6"/>
    <n v="80"/>
    <n v="90"/>
    <n v="2981.93"/>
  </r>
  <r>
    <n v="562039"/>
    <x v="2"/>
    <s v="Delhi"/>
    <x v="0"/>
    <s v=" MH"/>
    <x v="1"/>
    <x v="0"/>
    <x v="1"/>
    <x v="0"/>
    <d v="2019-03-05T11:24:22"/>
    <d v="2019-03-10T11:24:22"/>
    <d v="2019-03-10T11:24:22"/>
    <x v="9"/>
    <n v="37"/>
    <n v="113"/>
    <n v="2737.2235092627147"/>
  </r>
  <r>
    <n v="427218"/>
    <x v="2"/>
    <s v="Bangalore"/>
    <x v="2"/>
    <s v=" DL"/>
    <x v="0"/>
    <x v="0"/>
    <x v="0"/>
    <x v="1"/>
    <d v="2019-03-05T11:33:10"/>
    <d v="2019-03-07T11:33:10"/>
    <d v="2019-03-08T11:33:10"/>
    <x v="0"/>
    <n v="79"/>
    <n v="105"/>
    <n v="1876.59"/>
  </r>
  <r>
    <n v="305739"/>
    <x v="2"/>
    <s v="Delhi"/>
    <x v="0"/>
    <s v=" MH"/>
    <x v="1"/>
    <x v="0"/>
    <x v="2"/>
    <x v="1"/>
    <d v="2019-03-05T11:35:00"/>
    <d v="2019-03-13T11:35:00"/>
    <d v="2019-03-08T11:35:00"/>
    <x v="5"/>
    <n v="25"/>
    <n v="114"/>
    <n v="2471.5"/>
  </r>
  <r>
    <n v="701713"/>
    <x v="2"/>
    <s v="Bangalore"/>
    <x v="0"/>
    <s v=" MH"/>
    <x v="1"/>
    <x v="0"/>
    <x v="1"/>
    <x v="0"/>
    <d v="2019-03-05T11:52:37"/>
    <d v="2019-03-12T11:52:37"/>
    <d v="2019-03-12T11:52:37"/>
    <x v="8"/>
    <n v="28"/>
    <n v="114"/>
    <n v="407.81835919897605"/>
  </r>
  <r>
    <n v="123190"/>
    <x v="2"/>
    <s v="Bangalore"/>
    <x v="3"/>
    <s v=" KA"/>
    <x v="0"/>
    <x v="0"/>
    <x v="0"/>
    <x v="0"/>
    <d v="2019-03-05T12:47:09"/>
    <d v="2019-03-09T12:47:09"/>
    <d v="2019-03-08T12:47:09"/>
    <x v="6"/>
    <n v="0"/>
    <n v="100"/>
    <n v="3667.2505460171737"/>
  </r>
  <r>
    <n v="84992"/>
    <x v="2"/>
    <s v="Delhi"/>
    <x v="0"/>
    <s v=" MH"/>
    <x v="0"/>
    <x v="0"/>
    <x v="0"/>
    <x v="0"/>
    <d v="2019-03-05T12:50:29"/>
    <d v="2019-03-08T12:50:29"/>
    <d v="2019-03-12T12:50:29"/>
    <x v="4"/>
    <n v="40"/>
    <n v="107"/>
    <n v="2027.3636701345647"/>
  </r>
  <r>
    <n v="493816"/>
    <x v="2"/>
    <s v="Bangalore"/>
    <x v="1"/>
    <s v=" TN"/>
    <x v="0"/>
    <x v="0"/>
    <x v="0"/>
    <x v="0"/>
    <d v="2019-03-05T12:51:06"/>
    <d v="2019-03-09T12:51:06"/>
    <d v="2019-03-08T12:51:06"/>
    <x v="6"/>
    <n v="45"/>
    <n v="129"/>
    <n v="2593.8071922373156"/>
  </r>
  <r>
    <n v="754159"/>
    <x v="2"/>
    <s v="Delhi"/>
    <x v="2"/>
    <s v=" DL"/>
    <x v="0"/>
    <x v="0"/>
    <x v="2"/>
    <x v="0"/>
    <d v="2019-03-05T13:06:32"/>
    <d v="2019-03-10T13:06:32"/>
    <d v="2019-03-09T13:06:32"/>
    <x v="9"/>
    <n v="0"/>
    <n v="106"/>
    <n v="2417.2116762894366"/>
  </r>
  <r>
    <n v="82557"/>
    <x v="2"/>
    <s v="Bangalore"/>
    <x v="0"/>
    <s v=" MH"/>
    <x v="1"/>
    <x v="0"/>
    <x v="1"/>
    <x v="1"/>
    <d v="2019-03-05T13:16:21"/>
    <d v="2019-03-12T13:16:21"/>
    <d v="2019-03-10T13:16:21"/>
    <x v="8"/>
    <n v="25"/>
    <n v="110"/>
    <n v="3286.38"/>
  </r>
  <r>
    <n v="750797"/>
    <x v="2"/>
    <s v="Delhi"/>
    <x v="2"/>
    <s v=" DL"/>
    <x v="1"/>
    <x v="0"/>
    <x v="1"/>
    <x v="0"/>
    <d v="2019-03-05T13:55:26"/>
    <d v="2019-03-09T13:55:26"/>
    <d v="2019-03-11T13:55:26"/>
    <x v="6"/>
    <n v="0"/>
    <n v="122"/>
    <n v="2881.2380141581421"/>
  </r>
  <r>
    <n v="587786"/>
    <x v="2"/>
    <s v="Delhi"/>
    <x v="2"/>
    <s v=" DL"/>
    <x v="0"/>
    <x v="0"/>
    <x v="0"/>
    <x v="0"/>
    <d v="2019-03-05T14:12:46"/>
    <d v="2019-03-05T14:12:46"/>
    <d v="2019-03-10T14:12:46"/>
    <x v="10"/>
    <n v="0"/>
    <n v="102"/>
    <n v="3305.8682224401964"/>
  </r>
  <r>
    <n v="938922"/>
    <x v="2"/>
    <s v="Delhi"/>
    <x v="1"/>
    <s v=" TN"/>
    <x v="0"/>
    <x v="0"/>
    <x v="0"/>
    <x v="1"/>
    <d v="2019-03-05T15:00:19"/>
    <d v="2019-03-10T15:00:19"/>
    <d v="2019-03-12T15:00:19"/>
    <x v="9"/>
    <n v="66"/>
    <n v="105"/>
    <n v="2350.73"/>
  </r>
  <r>
    <n v="377406"/>
    <x v="2"/>
    <s v="Bangalore"/>
    <x v="0"/>
    <s v=" MH"/>
    <x v="2"/>
    <x v="0"/>
    <x v="0"/>
    <x v="1"/>
    <d v="2019-03-05T15:53:03"/>
    <d v="2019-03-08T15:53:03"/>
    <d v="2019-03-12T15:53:03"/>
    <x v="4"/>
    <n v="37"/>
    <n v="113"/>
    <n v="521.74"/>
  </r>
  <r>
    <n v="96732"/>
    <x v="2"/>
    <s v="Bangalore"/>
    <x v="3"/>
    <s v=" KA"/>
    <x v="0"/>
    <x v="0"/>
    <x v="0"/>
    <x v="1"/>
    <d v="2019-03-05T15:58:01"/>
    <d v="2019-03-05T15:58:01"/>
    <d v="2019-03-10T15:58:01"/>
    <x v="10"/>
    <n v="0"/>
    <n v="123"/>
    <n v="1711.08"/>
  </r>
  <r>
    <n v="932501"/>
    <x v="2"/>
    <s v="Delhi"/>
    <x v="0"/>
    <s v=" MH"/>
    <x v="0"/>
    <x v="0"/>
    <x v="1"/>
    <x v="0"/>
    <d v="2019-03-05T16:11:44"/>
    <d v="2019-03-07T16:11:44"/>
    <d v="2019-03-09T16:11:44"/>
    <x v="0"/>
    <n v="79"/>
    <n v="86"/>
    <n v="2194.5716549429126"/>
  </r>
  <r>
    <n v="212519"/>
    <x v="2"/>
    <s v="Delhi"/>
    <x v="4"/>
    <s v=" WB"/>
    <x v="0"/>
    <x v="0"/>
    <x v="1"/>
    <x v="0"/>
    <d v="2019-03-05T16:57:24"/>
    <d v="2019-03-12T16:57:24"/>
    <d v="2019-03-08T16:57:24"/>
    <x v="8"/>
    <n v="84"/>
    <n v="89"/>
    <n v="2837.3922467119464"/>
  </r>
  <r>
    <n v="689264"/>
    <x v="2"/>
    <s v="Delhi"/>
    <x v="0"/>
    <s v=" MH"/>
    <x v="0"/>
    <x v="0"/>
    <x v="0"/>
    <x v="0"/>
    <d v="2019-03-05T17:20:40"/>
    <d v="2019-03-10T17:20:40"/>
    <d v="2019-03-08T17:20:40"/>
    <x v="9"/>
    <n v="73"/>
    <n v="92"/>
    <n v="1217.1895221276209"/>
  </r>
  <r>
    <n v="18597"/>
    <x v="2"/>
    <s v="Delhi"/>
    <x v="0"/>
    <s v=" MH"/>
    <x v="1"/>
    <x v="0"/>
    <x v="1"/>
    <x v="1"/>
    <d v="2019-03-05T17:28:31"/>
    <d v="2019-03-11T17:28:31"/>
    <d v="2019-03-10T17:28:31"/>
    <x v="3"/>
    <n v="46"/>
    <n v="113"/>
    <n v="2095.4699999999998"/>
  </r>
  <r>
    <n v="166624"/>
    <x v="2"/>
    <s v="Bangalore"/>
    <x v="3"/>
    <s v=" KA"/>
    <x v="0"/>
    <x v="0"/>
    <x v="0"/>
    <x v="0"/>
    <d v="2019-03-05T17:39:17"/>
    <d v="2019-03-07T17:39:17"/>
    <d v="2019-03-12T17:39:17"/>
    <x v="0"/>
    <n v="0"/>
    <n v="127"/>
    <n v="2450.0174591199466"/>
  </r>
  <r>
    <n v="168440"/>
    <x v="2"/>
    <s v="Delhi"/>
    <x v="0"/>
    <s v=" MH"/>
    <x v="0"/>
    <x v="0"/>
    <x v="0"/>
    <x v="0"/>
    <d v="2019-03-05T17:52:22"/>
    <d v="2019-03-08T17:52:22"/>
    <d v="2019-03-10T17:52:22"/>
    <x v="4"/>
    <n v="28"/>
    <n v="114"/>
    <n v="3085.1818683952656"/>
  </r>
  <r>
    <n v="412775"/>
    <x v="2"/>
    <s v="Delhi"/>
    <x v="2"/>
    <s v=" DL"/>
    <x v="1"/>
    <x v="0"/>
    <x v="1"/>
    <x v="0"/>
    <d v="2019-03-05T17:54:42"/>
    <d v="2019-03-11T17:54:42"/>
    <d v="2019-03-12T17:54:42"/>
    <x v="3"/>
    <n v="0"/>
    <n v="122"/>
    <n v="1504.0448818182304"/>
  </r>
  <r>
    <n v="258414"/>
    <x v="2"/>
    <s v="Bangalore"/>
    <x v="0"/>
    <s v=" MH"/>
    <x v="2"/>
    <x v="0"/>
    <x v="0"/>
    <x v="1"/>
    <d v="2019-03-05T18:21:55"/>
    <d v="2019-03-12T18:21:55"/>
    <d v="2019-03-12T18:21:55"/>
    <x v="8"/>
    <n v="41"/>
    <n v="112"/>
    <n v="3517.93"/>
  </r>
  <r>
    <n v="993975"/>
    <x v="2"/>
    <s v="Delhi"/>
    <x v="4"/>
    <s v=" WB"/>
    <x v="1"/>
    <x v="0"/>
    <x v="1"/>
    <x v="1"/>
    <d v="2019-03-05T18:32:57"/>
    <d v="2019-03-12T18:32:57"/>
    <d v="2019-03-10T18:32:57"/>
    <x v="8"/>
    <n v="35"/>
    <n v="112"/>
    <n v="2566.15"/>
  </r>
  <r>
    <n v="998346"/>
    <x v="2"/>
    <s v="Bangalore"/>
    <x v="2"/>
    <s v=" DL"/>
    <x v="2"/>
    <x v="0"/>
    <x v="0"/>
    <x v="1"/>
    <d v="2019-03-05T19:07:20"/>
    <d v="2019-03-12T19:07:20"/>
    <d v="2019-03-11T19:07:20"/>
    <x v="8"/>
    <n v="25"/>
    <n v="126"/>
    <n v="1618.82"/>
  </r>
  <r>
    <n v="830190"/>
    <x v="2"/>
    <s v="Bangalore"/>
    <x v="3"/>
    <s v=" KA"/>
    <x v="0"/>
    <x v="0"/>
    <x v="0"/>
    <x v="1"/>
    <d v="2019-03-05T19:25:32"/>
    <d v="2019-03-06T19:25:32"/>
    <d v="2019-03-10T19:25:32"/>
    <x v="2"/>
    <n v="0"/>
    <n v="106"/>
    <n v="690.28"/>
  </r>
  <r>
    <n v="587571"/>
    <x v="2"/>
    <s v="Delhi"/>
    <x v="2"/>
    <s v=" DL"/>
    <x v="0"/>
    <x v="0"/>
    <x v="1"/>
    <x v="1"/>
    <d v="2019-03-05T19:26:14"/>
    <d v="2019-03-10T19:26:14"/>
    <d v="2019-03-09T19:26:14"/>
    <x v="9"/>
    <n v="0"/>
    <n v="106"/>
    <n v="754.15"/>
  </r>
  <r>
    <n v="135379"/>
    <x v="2"/>
    <s v="Delhi"/>
    <x v="0"/>
    <s v=" MH"/>
    <x v="1"/>
    <x v="0"/>
    <x v="1"/>
    <x v="0"/>
    <d v="2019-03-05T19:41:07"/>
    <d v="2019-03-10T19:41:07"/>
    <d v="2019-03-10T19:41:07"/>
    <x v="9"/>
    <n v="32"/>
    <n v="107"/>
    <n v="2952.8245284737559"/>
  </r>
  <r>
    <n v="420063"/>
    <x v="2"/>
    <s v="Delhi"/>
    <x v="2"/>
    <s v=" DL"/>
    <x v="1"/>
    <x v="0"/>
    <x v="2"/>
    <x v="1"/>
    <d v="2019-03-05T20:01:44"/>
    <d v="2019-03-12T20:01:44"/>
    <d v="2019-03-11T20:01:44"/>
    <x v="8"/>
    <n v="0"/>
    <n v="122"/>
    <n v="1218.32"/>
  </r>
  <r>
    <n v="63768"/>
    <x v="2"/>
    <s v="Delhi"/>
    <x v="0"/>
    <s v=" MH"/>
    <x v="0"/>
    <x v="0"/>
    <x v="0"/>
    <x v="1"/>
    <d v="2019-03-05T20:05:54"/>
    <d v="2019-03-10T20:05:54"/>
    <d v="2019-03-12T20:05:54"/>
    <x v="9"/>
    <n v="43"/>
    <n v="108"/>
    <n v="392.07"/>
  </r>
  <r>
    <n v="139886"/>
    <x v="2"/>
    <s v="Bangalore"/>
    <x v="1"/>
    <s v=" TN"/>
    <x v="0"/>
    <x v="0"/>
    <x v="0"/>
    <x v="0"/>
    <d v="2019-03-05T20:21:39"/>
    <d v="2019-03-15T20:21:39"/>
    <d v="2019-03-09T20:21:39"/>
    <x v="7"/>
    <n v="82"/>
    <n v="104"/>
    <n v="1390.6391140916517"/>
  </r>
  <r>
    <n v="735296"/>
    <x v="2"/>
    <s v="Delhi"/>
    <x v="0"/>
    <s v=" MH"/>
    <x v="0"/>
    <x v="0"/>
    <x v="0"/>
    <x v="0"/>
    <d v="2019-03-05T20:51:06"/>
    <d v="2019-03-10T20:51:06"/>
    <d v="2019-03-08T20:51:06"/>
    <x v="9"/>
    <n v="80"/>
    <n v="93"/>
    <n v="1952.316181573661"/>
  </r>
  <r>
    <n v="264498"/>
    <x v="2"/>
    <s v="Delhi"/>
    <x v="3"/>
    <s v=" KA"/>
    <x v="0"/>
    <x v="0"/>
    <x v="0"/>
    <x v="1"/>
    <d v="2019-03-05T21:00:01"/>
    <d v="2019-03-07T21:00:01"/>
    <d v="2019-03-08T21:00:01"/>
    <x v="0"/>
    <n v="80"/>
    <n v="104"/>
    <n v="248.66"/>
  </r>
  <r>
    <n v="298647"/>
    <x v="2"/>
    <s v="Bangalore"/>
    <x v="0"/>
    <s v=" MH"/>
    <x v="1"/>
    <x v="0"/>
    <x v="1"/>
    <x v="1"/>
    <d v="2019-03-05T21:01:07"/>
    <d v="2019-03-12T21:01:07"/>
    <d v="2019-03-08T21:01:07"/>
    <x v="8"/>
    <n v="33"/>
    <n v="109"/>
    <n v="2037.63"/>
  </r>
  <r>
    <n v="771113"/>
    <x v="2"/>
    <s v="Bangalore"/>
    <x v="0"/>
    <s v=" MH"/>
    <x v="1"/>
    <x v="0"/>
    <x v="2"/>
    <x v="0"/>
    <d v="2019-03-05T21:04:38"/>
    <d v="2019-03-09T21:04:38"/>
    <d v="2019-03-08T21:04:38"/>
    <x v="6"/>
    <n v="32"/>
    <n v="109"/>
    <n v="3562.1141125776044"/>
  </r>
  <r>
    <n v="564991"/>
    <x v="2"/>
    <s v="Bangalore"/>
    <x v="0"/>
    <s v=" MH"/>
    <x v="1"/>
    <x v="0"/>
    <x v="2"/>
    <x v="0"/>
    <d v="2019-03-05T21:22:13"/>
    <d v="2019-03-12T21:22:13"/>
    <d v="2019-03-11T21:22:13"/>
    <x v="8"/>
    <n v="50"/>
    <n v="109"/>
    <n v="289.18167963491481"/>
  </r>
  <r>
    <n v="141934"/>
    <x v="2"/>
    <s v="Delhi"/>
    <x v="1"/>
    <s v=" TN"/>
    <x v="2"/>
    <x v="0"/>
    <x v="0"/>
    <x v="0"/>
    <d v="2019-03-05T21:28:02"/>
    <d v="2019-03-11T21:28:02"/>
    <d v="2019-03-09T21:28:02"/>
    <x v="3"/>
    <n v="28"/>
    <n v="126"/>
    <n v="3374.4014164486725"/>
  </r>
  <r>
    <n v="945032"/>
    <x v="2"/>
    <s v="Delhi"/>
    <x v="0"/>
    <s v=" MH"/>
    <x v="0"/>
    <x v="0"/>
    <x v="0"/>
    <x v="0"/>
    <d v="2019-03-05T22:02:12"/>
    <d v="2019-03-11T22:02:12"/>
    <d v="2019-03-08T22:02:12"/>
    <x v="3"/>
    <n v="36"/>
    <n v="107"/>
    <n v="2516.5241120553819"/>
  </r>
  <r>
    <n v="984044"/>
    <x v="2"/>
    <s v="Bangalore"/>
    <x v="3"/>
    <s v=" KA"/>
    <x v="0"/>
    <x v="0"/>
    <x v="0"/>
    <x v="0"/>
    <d v="2019-03-05T22:04:15"/>
    <d v="2019-03-08T22:04:15"/>
    <d v="2019-03-08T22:04:15"/>
    <x v="4"/>
    <n v="0"/>
    <n v="106"/>
    <n v="2115.165896660983"/>
  </r>
  <r>
    <n v="768575"/>
    <x v="2"/>
    <s v="Bangalore"/>
    <x v="2"/>
    <s v=" DL"/>
    <x v="1"/>
    <x v="0"/>
    <x v="1"/>
    <x v="0"/>
    <d v="2019-03-05T22:05:11"/>
    <d v="2019-03-12T22:05:11"/>
    <d v="2019-03-12T22:05:11"/>
    <x v="8"/>
    <n v="41"/>
    <n v="129"/>
    <n v="576.90490772414705"/>
  </r>
  <r>
    <n v="742614"/>
    <x v="2"/>
    <s v="Delhi"/>
    <x v="2"/>
    <s v=" DL"/>
    <x v="0"/>
    <x v="0"/>
    <x v="0"/>
    <x v="1"/>
    <d v="2019-03-05T22:06:52"/>
    <d v="2019-03-07T22:06:52"/>
    <d v="2019-03-08T22:06:52"/>
    <x v="0"/>
    <n v="0"/>
    <n v="100"/>
    <n v="3178.76"/>
  </r>
  <r>
    <n v="702624"/>
    <x v="2"/>
    <s v="Delhi"/>
    <x v="2"/>
    <s v=" DL"/>
    <x v="0"/>
    <x v="0"/>
    <x v="0"/>
    <x v="1"/>
    <d v="2019-03-05T23:11:26"/>
    <d v="2019-03-07T23:11:26"/>
    <d v="2019-03-09T23:11:26"/>
    <x v="0"/>
    <n v="0"/>
    <n v="128"/>
    <n v="2539.08"/>
  </r>
  <r>
    <n v="527448"/>
    <x v="2"/>
    <s v="Bangalore"/>
    <x v="3"/>
    <s v=" KA"/>
    <x v="0"/>
    <x v="0"/>
    <x v="0"/>
    <x v="1"/>
    <d v="2019-03-05T23:14:48"/>
    <d v="2019-03-08T23:14:48"/>
    <d v="2019-03-10T23:14:48"/>
    <x v="4"/>
    <n v="0"/>
    <n v="126"/>
    <n v="2077.86"/>
  </r>
  <r>
    <n v="9569"/>
    <x v="2"/>
    <s v="Delhi"/>
    <x v="0"/>
    <s v=" MH"/>
    <x v="1"/>
    <x v="0"/>
    <x v="2"/>
    <x v="0"/>
    <d v="2019-03-05T23:43:08"/>
    <d v="2019-03-13T23:43:08"/>
    <d v="2019-03-10T23:43:08"/>
    <x v="5"/>
    <n v="50"/>
    <n v="109"/>
    <n v="2210.2504309140154"/>
  </r>
  <r>
    <n v="63604"/>
    <x v="2"/>
    <s v="Delhi"/>
    <x v="0"/>
    <s v=" MH"/>
    <x v="0"/>
    <x v="0"/>
    <x v="0"/>
    <x v="0"/>
    <d v="2019-03-05T23:51:57"/>
    <d v="2019-03-09T23:51:57"/>
    <d v="2019-03-09T23:51:57"/>
    <x v="6"/>
    <n v="80"/>
    <n v="87"/>
    <n v="1872.3281917099191"/>
  </r>
  <r>
    <n v="543362"/>
    <x v="2"/>
    <s v="Delhi"/>
    <x v="2"/>
    <s v=" DL"/>
    <x v="2"/>
    <x v="0"/>
    <x v="0"/>
    <x v="0"/>
    <d v="2019-03-05T23:56:17"/>
    <d v="2019-03-08T23:56:17"/>
    <d v="2019-03-12T23:56:17"/>
    <x v="4"/>
    <n v="0"/>
    <n v="129"/>
    <n v="1729.6027944014104"/>
  </r>
  <r>
    <n v="119382"/>
    <x v="2"/>
    <s v="Delhi"/>
    <x v="2"/>
    <s v=" DL"/>
    <x v="2"/>
    <x v="0"/>
    <x v="0"/>
    <x v="1"/>
    <d v="2019-03-05T23:57:28"/>
    <d v="2019-03-09T23:57:28"/>
    <d v="2019-03-08T23:57:28"/>
    <x v="6"/>
    <n v="0"/>
    <n v="130"/>
    <n v="2887.2"/>
  </r>
  <r>
    <n v="189912"/>
    <x v="2"/>
    <s v="Delhi"/>
    <x v="3"/>
    <s v=" KA"/>
    <x v="0"/>
    <x v="0"/>
    <x v="0"/>
    <x v="1"/>
    <d v="2019-03-05T23:58:19"/>
    <d v="2019-03-07T23:58:19"/>
    <d v="2019-03-11T23:58:19"/>
    <x v="0"/>
    <n v="64"/>
    <n v="107"/>
    <n v="2176.5700000000002"/>
  </r>
  <r>
    <n v="991809"/>
    <x v="2"/>
    <s v="Bangalore"/>
    <x v="4"/>
    <s v=" WB"/>
    <x v="0"/>
    <x v="0"/>
    <x v="2"/>
    <x v="1"/>
    <d v="2019-03-06T00:04:14"/>
    <d v="2019-03-14T00:04:14"/>
    <d v="2019-03-10T00:04:14"/>
    <x v="5"/>
    <n v="69"/>
    <n v="87"/>
    <n v="1455.12"/>
  </r>
  <r>
    <n v="960976"/>
    <x v="2"/>
    <s v="Bangalore"/>
    <x v="2"/>
    <s v=" DL"/>
    <x v="0"/>
    <x v="0"/>
    <x v="0"/>
    <x v="0"/>
    <d v="2019-03-06T00:05:48"/>
    <d v="2019-03-08T00:05:48"/>
    <d v="2019-03-13T00:05:48"/>
    <x v="0"/>
    <n v="70"/>
    <n v="109"/>
    <n v="2250.7875421174608"/>
  </r>
  <r>
    <n v="336730"/>
    <x v="2"/>
    <s v="Bangalore"/>
    <x v="1"/>
    <s v=" TN"/>
    <x v="0"/>
    <x v="0"/>
    <x v="0"/>
    <x v="0"/>
    <d v="2019-03-06T00:08:07"/>
    <d v="2019-03-14T00:08:07"/>
    <d v="2019-03-09T00:08:07"/>
    <x v="5"/>
    <n v="82"/>
    <n v="102"/>
    <n v="2232.0297801872312"/>
  </r>
  <r>
    <n v="184818"/>
    <x v="2"/>
    <s v="Delhi"/>
    <x v="2"/>
    <s v=" DL"/>
    <x v="0"/>
    <x v="0"/>
    <x v="0"/>
    <x v="1"/>
    <d v="2019-03-06T00:20:30"/>
    <d v="2019-03-06T00:20:30"/>
    <d v="2019-03-10T00:20:30"/>
    <x v="10"/>
    <n v="0"/>
    <n v="102"/>
    <n v="2512.5300000000002"/>
  </r>
  <r>
    <n v="276766"/>
    <x v="2"/>
    <s v="Delhi"/>
    <x v="2"/>
    <s v=" DL"/>
    <x v="0"/>
    <x v="0"/>
    <x v="0"/>
    <x v="0"/>
    <d v="2019-03-06T00:27:08"/>
    <d v="2019-03-11T00:27:08"/>
    <d v="2019-03-09T00:27:08"/>
    <x v="9"/>
    <n v="0"/>
    <n v="102"/>
    <n v="2437.955820999307"/>
  </r>
  <r>
    <n v="672337"/>
    <x v="2"/>
    <s v="Bangalore"/>
    <x v="0"/>
    <s v=" MH"/>
    <x v="0"/>
    <x v="0"/>
    <x v="1"/>
    <x v="0"/>
    <d v="2019-03-06T00:32:17"/>
    <d v="2019-03-11T00:32:17"/>
    <d v="2019-03-09T00:32:17"/>
    <x v="9"/>
    <n v="83"/>
    <n v="87"/>
    <n v="2100.0183007860105"/>
  </r>
  <r>
    <n v="277637"/>
    <x v="2"/>
    <s v="Delhi"/>
    <x v="2"/>
    <s v=" DL"/>
    <x v="1"/>
    <x v="0"/>
    <x v="1"/>
    <x v="0"/>
    <d v="2019-03-06T00:37:31"/>
    <d v="2019-03-12T00:37:31"/>
    <d v="2019-03-12T00:37:31"/>
    <x v="3"/>
    <n v="0"/>
    <n v="121"/>
    <n v="2477.3437409476778"/>
  </r>
  <r>
    <n v="354817"/>
    <x v="2"/>
    <s v="Delhi"/>
    <x v="3"/>
    <s v=" KA"/>
    <x v="1"/>
    <x v="0"/>
    <x v="1"/>
    <x v="0"/>
    <d v="2019-03-06T01:34:06"/>
    <d v="2019-03-14T01:34:06"/>
    <d v="2019-03-10T01:34:06"/>
    <x v="5"/>
    <n v="30"/>
    <n v="124"/>
    <n v="3425.6646188069003"/>
  </r>
  <r>
    <n v="660724"/>
    <x v="2"/>
    <s v="Delhi"/>
    <x v="2"/>
    <s v=" DL"/>
    <x v="0"/>
    <x v="0"/>
    <x v="0"/>
    <x v="0"/>
    <d v="2019-03-06T01:34:35"/>
    <d v="2019-03-10T01:34:35"/>
    <d v="2019-03-09T01:34:35"/>
    <x v="6"/>
    <n v="0"/>
    <n v="129"/>
    <n v="3115.1606809947048"/>
  </r>
  <r>
    <n v="715182"/>
    <x v="2"/>
    <s v="Bangalore"/>
    <x v="2"/>
    <s v=" DL"/>
    <x v="0"/>
    <x v="0"/>
    <x v="0"/>
    <x v="1"/>
    <d v="2019-03-06T01:45:06"/>
    <d v="2019-03-10T01:45:06"/>
    <d v="2019-03-13T01:45:06"/>
    <x v="6"/>
    <n v="63"/>
    <n v="104"/>
    <n v="448.82"/>
  </r>
  <r>
    <n v="32864"/>
    <x v="2"/>
    <s v="Delhi"/>
    <x v="2"/>
    <s v=" DL"/>
    <x v="0"/>
    <x v="0"/>
    <x v="0"/>
    <x v="0"/>
    <d v="2019-03-06T01:55:33"/>
    <d v="2019-03-06T01:55:33"/>
    <d v="2019-03-10T01:55:33"/>
    <x v="10"/>
    <n v="0"/>
    <n v="124"/>
    <n v="3335.6618433390431"/>
  </r>
  <r>
    <n v="63475"/>
    <x v="2"/>
    <s v="Bangalore"/>
    <x v="4"/>
    <s v=" WB"/>
    <x v="1"/>
    <x v="0"/>
    <x v="1"/>
    <x v="0"/>
    <d v="2019-03-06T02:00:32"/>
    <d v="2019-03-11T02:00:32"/>
    <d v="2019-03-11T02:00:32"/>
    <x v="9"/>
    <n v="25"/>
    <n v="110"/>
    <n v="3257.6672730640448"/>
  </r>
  <r>
    <n v="541073"/>
    <x v="2"/>
    <s v="Delhi"/>
    <x v="2"/>
    <s v=" DL"/>
    <x v="1"/>
    <x v="0"/>
    <x v="1"/>
    <x v="0"/>
    <d v="2019-03-06T02:08:30"/>
    <d v="2019-03-11T02:08:30"/>
    <d v="2019-03-13T02:08:30"/>
    <x v="9"/>
    <n v="0"/>
    <n v="125"/>
    <n v="2565.6381808353817"/>
  </r>
  <r>
    <n v="845351"/>
    <x v="2"/>
    <s v="Bangalore"/>
    <x v="0"/>
    <s v=" MH"/>
    <x v="0"/>
    <x v="0"/>
    <x v="1"/>
    <x v="0"/>
    <d v="2019-03-06T03:08:11"/>
    <d v="2019-03-08T03:08:11"/>
    <d v="2019-03-12T03:08:11"/>
    <x v="0"/>
    <n v="74"/>
    <n v="94"/>
    <n v="897.76865199097131"/>
  </r>
  <r>
    <n v="444863"/>
    <x v="2"/>
    <s v="Bangalore"/>
    <x v="3"/>
    <s v=" KA"/>
    <x v="0"/>
    <x v="0"/>
    <x v="1"/>
    <x v="0"/>
    <d v="2019-03-06T03:18:47"/>
    <d v="2019-03-06T03:18:47"/>
    <d v="2019-03-12T03:18:47"/>
    <x v="10"/>
    <n v="0"/>
    <n v="108"/>
    <n v="3128.3802479946162"/>
  </r>
  <r>
    <n v="584089"/>
    <x v="2"/>
    <s v="Delhi"/>
    <x v="3"/>
    <s v=" KA"/>
    <x v="0"/>
    <x v="0"/>
    <x v="1"/>
    <x v="0"/>
    <d v="2019-03-06T03:21:19"/>
    <d v="2019-03-10T03:21:19"/>
    <d v="2019-03-11T03:21:19"/>
    <x v="6"/>
    <n v="65"/>
    <n v="104"/>
    <n v="2417.4191691327687"/>
  </r>
  <r>
    <n v="392086"/>
    <x v="2"/>
    <s v="Bangalore"/>
    <x v="4"/>
    <s v=" WB"/>
    <x v="2"/>
    <x v="0"/>
    <x v="0"/>
    <x v="0"/>
    <d v="2019-03-06T03:30:00"/>
    <d v="2019-03-08T03:30:00"/>
    <d v="2019-03-09T03:30:00"/>
    <x v="0"/>
    <n v="26"/>
    <n v="107"/>
    <n v="412.14484672567278"/>
  </r>
  <r>
    <n v="216177"/>
    <x v="2"/>
    <s v="Delhi"/>
    <x v="0"/>
    <s v=" MH"/>
    <x v="1"/>
    <x v="0"/>
    <x v="1"/>
    <x v="1"/>
    <d v="2019-03-06T03:42:34"/>
    <d v="2019-03-12T03:42:34"/>
    <d v="2019-03-11T03:42:34"/>
    <x v="3"/>
    <n v="46"/>
    <n v="109"/>
    <n v="368.7"/>
  </r>
  <r>
    <n v="485629"/>
    <x v="2"/>
    <s v="Bangalore"/>
    <x v="4"/>
    <s v=" WB"/>
    <x v="0"/>
    <x v="0"/>
    <x v="1"/>
    <x v="0"/>
    <d v="2019-03-06T03:48:12"/>
    <d v="2019-03-11T03:48:12"/>
    <d v="2019-03-13T03:48:12"/>
    <x v="9"/>
    <n v="85"/>
    <n v="89"/>
    <n v="1840.528655505696"/>
  </r>
  <r>
    <n v="636958"/>
    <x v="2"/>
    <s v="Delhi"/>
    <x v="1"/>
    <s v=" TN"/>
    <x v="0"/>
    <x v="0"/>
    <x v="0"/>
    <x v="0"/>
    <d v="2019-03-06T04:13:13"/>
    <d v="2019-03-16T04:13:13"/>
    <d v="2019-03-11T04:13:13"/>
    <x v="7"/>
    <n v="71"/>
    <n v="100"/>
    <n v="2536.8187633230391"/>
  </r>
  <r>
    <n v="281118"/>
    <x v="2"/>
    <s v="Bangalore"/>
    <x v="0"/>
    <s v=" MH"/>
    <x v="2"/>
    <x v="0"/>
    <x v="0"/>
    <x v="1"/>
    <d v="2019-03-06T04:23:40"/>
    <d v="2019-03-10T04:23:40"/>
    <d v="2019-03-12T04:23:40"/>
    <x v="6"/>
    <n v="31"/>
    <n v="110"/>
    <n v="2875.52"/>
  </r>
  <r>
    <n v="629855"/>
    <x v="2"/>
    <s v="Bangalore"/>
    <x v="2"/>
    <s v=" DL"/>
    <x v="1"/>
    <x v="0"/>
    <x v="1"/>
    <x v="0"/>
    <d v="2019-03-06T04:27:48"/>
    <d v="2019-03-12T04:27:48"/>
    <d v="2019-03-09T04:27:48"/>
    <x v="3"/>
    <n v="32"/>
    <n v="124"/>
    <n v="1543.8555279387576"/>
  </r>
  <r>
    <n v="58818"/>
    <x v="2"/>
    <s v="Bangalore"/>
    <x v="0"/>
    <s v=" MH"/>
    <x v="2"/>
    <x v="0"/>
    <x v="0"/>
    <x v="1"/>
    <d v="2019-03-06T04:44:26"/>
    <d v="2019-03-13T04:44:26"/>
    <d v="2019-03-10T04:44:26"/>
    <x v="8"/>
    <n v="42"/>
    <n v="114"/>
    <n v="1864.1265064393335"/>
  </r>
  <r>
    <n v="721330"/>
    <x v="2"/>
    <s v="Delhi"/>
    <x v="2"/>
    <s v=" DL"/>
    <x v="2"/>
    <x v="0"/>
    <x v="0"/>
    <x v="0"/>
    <d v="2019-03-06T05:10:11"/>
    <d v="2019-03-09T05:10:11"/>
    <d v="2019-03-10T05:10:11"/>
    <x v="4"/>
    <n v="0"/>
    <n v="129"/>
    <n v="3017"/>
  </r>
  <r>
    <n v="45485"/>
    <x v="2"/>
    <s v="Bangalore"/>
    <x v="0"/>
    <s v=" MH"/>
    <x v="0"/>
    <x v="0"/>
    <x v="1"/>
    <x v="0"/>
    <d v="2019-03-06T05:26:57"/>
    <d v="2019-03-09T05:26:57"/>
    <d v="2019-03-11T05:26:57"/>
    <x v="4"/>
    <n v="75"/>
    <n v="87"/>
    <n v="683.20596667466236"/>
  </r>
  <r>
    <n v="930853"/>
    <x v="2"/>
    <s v="Delhi"/>
    <x v="0"/>
    <s v=" MH"/>
    <x v="1"/>
    <x v="0"/>
    <x v="2"/>
    <x v="0"/>
    <d v="2019-03-06T05:28:08"/>
    <d v="2019-03-10T05:28:08"/>
    <d v="2019-03-10T05:28:08"/>
    <x v="6"/>
    <n v="37"/>
    <n v="106"/>
    <n v="2886.9069909594941"/>
  </r>
  <r>
    <n v="482733"/>
    <x v="2"/>
    <s v="Delhi"/>
    <x v="0"/>
    <s v=" MH"/>
    <x v="1"/>
    <x v="0"/>
    <x v="1"/>
    <x v="1"/>
    <d v="2019-03-06T05:33:12"/>
    <d v="2019-03-13T05:33:12"/>
    <d v="2019-03-12T05:33:12"/>
    <x v="8"/>
    <n v="28"/>
    <n v="105"/>
    <n v="1873.2521344824879"/>
  </r>
  <r>
    <n v="143046"/>
    <x v="2"/>
    <s v="Delhi"/>
    <x v="0"/>
    <s v=" MH"/>
    <x v="2"/>
    <x v="0"/>
    <x v="0"/>
    <x v="1"/>
    <d v="2019-03-06T05:38:12"/>
    <d v="2019-03-11T05:38:12"/>
    <d v="2019-03-11T05:38:12"/>
    <x v="9"/>
    <n v="29"/>
    <n v="108"/>
    <n v="1867.9965831917527"/>
  </r>
  <r>
    <n v="152865"/>
    <x v="2"/>
    <s v="Delhi"/>
    <x v="4"/>
    <s v=" WB"/>
    <x v="1"/>
    <x v="0"/>
    <x v="1"/>
    <x v="1"/>
    <d v="2019-03-06T06:00:21"/>
    <d v="2019-03-10T06:00:21"/>
    <d v="2019-03-09T06:00:21"/>
    <x v="6"/>
    <n v="45"/>
    <n v="106"/>
    <n v="1900.9887148984369"/>
  </r>
  <r>
    <n v="961567"/>
    <x v="2"/>
    <s v="Bangalore"/>
    <x v="2"/>
    <s v=" DL"/>
    <x v="0"/>
    <x v="0"/>
    <x v="1"/>
    <x v="0"/>
    <d v="2019-03-06T06:23:16"/>
    <d v="2019-03-12T06:23:16"/>
    <d v="2019-03-09T06:23:16"/>
    <x v="3"/>
    <n v="78"/>
    <n v="103"/>
    <n v="1838.3024730464113"/>
  </r>
  <r>
    <n v="287340"/>
    <x v="2"/>
    <s v="Delhi"/>
    <x v="3"/>
    <s v=" KA"/>
    <x v="0"/>
    <x v="0"/>
    <x v="0"/>
    <x v="1"/>
    <d v="2019-03-06T06:31:29"/>
    <d v="2019-03-08T06:31:29"/>
    <d v="2019-03-11T06:31:29"/>
    <x v="0"/>
    <n v="37"/>
    <n v="130"/>
    <n v="578.28116303680929"/>
  </r>
  <r>
    <n v="979003"/>
    <x v="2"/>
    <s v="Delhi"/>
    <x v="4"/>
    <s v=" WB"/>
    <x v="1"/>
    <x v="0"/>
    <x v="1"/>
    <x v="0"/>
    <d v="2019-03-06T06:35:13"/>
    <d v="2019-03-11T06:35:13"/>
    <d v="2019-03-09T06:35:13"/>
    <x v="9"/>
    <n v="35"/>
    <n v="105"/>
    <n v="2027.8348958806537"/>
  </r>
  <r>
    <n v="501102"/>
    <x v="2"/>
    <s v="Delhi"/>
    <x v="2"/>
    <s v=" DL"/>
    <x v="2"/>
    <x v="0"/>
    <x v="0"/>
    <x v="1"/>
    <d v="2019-03-06T06:58:41"/>
    <d v="2019-03-13T06:58:41"/>
    <d v="2019-03-13T06:58:41"/>
    <x v="8"/>
    <n v="0"/>
    <n v="121"/>
    <n v="1826.8185689835088"/>
  </r>
  <r>
    <n v="911833"/>
    <x v="2"/>
    <s v="Delhi"/>
    <x v="0"/>
    <s v=" MH"/>
    <x v="1"/>
    <x v="0"/>
    <x v="1"/>
    <x v="0"/>
    <d v="2019-03-06T07:23:02"/>
    <d v="2019-03-13T07:23:02"/>
    <d v="2019-03-09T07:23:02"/>
    <x v="8"/>
    <n v="32"/>
    <n v="110"/>
    <n v="2089.0156455846677"/>
  </r>
  <r>
    <n v="744365"/>
    <x v="2"/>
    <s v="Bangalore"/>
    <x v="1"/>
    <s v=" TN"/>
    <x v="1"/>
    <x v="0"/>
    <x v="1"/>
    <x v="0"/>
    <d v="2019-03-06T07:26:09"/>
    <d v="2019-03-10T07:26:09"/>
    <d v="2019-03-11T07:26:09"/>
    <x v="6"/>
    <n v="30"/>
    <n v="125"/>
    <n v="427.76307167197399"/>
  </r>
  <r>
    <n v="986147"/>
    <x v="2"/>
    <s v="Bangalore"/>
    <x v="2"/>
    <s v=" DL"/>
    <x v="0"/>
    <x v="0"/>
    <x v="1"/>
    <x v="0"/>
    <d v="2019-03-06T07:37:07"/>
    <d v="2019-03-12T07:37:07"/>
    <d v="2019-03-09T07:37:07"/>
    <x v="3"/>
    <n v="61"/>
    <n v="100"/>
    <n v="2482.9317879384939"/>
  </r>
  <r>
    <n v="46077"/>
    <x v="2"/>
    <s v="Bangalore"/>
    <x v="3"/>
    <s v=" KA"/>
    <x v="1"/>
    <x v="0"/>
    <x v="1"/>
    <x v="1"/>
    <d v="2019-03-06T07:42:24"/>
    <d v="2019-03-09T07:42:24"/>
    <d v="2019-03-12T07:42:24"/>
    <x v="4"/>
    <n v="0"/>
    <n v="124"/>
    <n v="3608.6622457085177"/>
  </r>
  <r>
    <n v="854355"/>
    <x v="2"/>
    <s v="Delhi"/>
    <x v="3"/>
    <s v=" KA"/>
    <x v="0"/>
    <x v="0"/>
    <x v="1"/>
    <x v="1"/>
    <d v="2019-03-06T08:21:58"/>
    <d v="2019-03-08T08:21:58"/>
    <d v="2019-03-13T08:21:58"/>
    <x v="0"/>
    <n v="61"/>
    <n v="109"/>
    <n v="3717.8134918435994"/>
  </r>
  <r>
    <n v="364312"/>
    <x v="2"/>
    <s v="Bangalore"/>
    <x v="0"/>
    <s v=" MH"/>
    <x v="0"/>
    <x v="0"/>
    <x v="0"/>
    <x v="0"/>
    <d v="2019-03-06T08:40:55"/>
    <d v="2019-03-11T08:40:55"/>
    <d v="2019-03-12T08:40:55"/>
    <x v="9"/>
    <n v="70"/>
    <n v="87"/>
    <n v="2116.4600888744271"/>
  </r>
  <r>
    <n v="879140"/>
    <x v="2"/>
    <s v="Bangalore"/>
    <x v="0"/>
    <s v=" MH"/>
    <x v="0"/>
    <x v="0"/>
    <x v="0"/>
    <x v="0"/>
    <d v="2019-03-06T08:42:07"/>
    <d v="2019-03-08T08:42:07"/>
    <d v="2019-03-09T08:42:07"/>
    <x v="0"/>
    <n v="75"/>
    <n v="95"/>
    <n v="1551.9482932418948"/>
  </r>
  <r>
    <n v="750197"/>
    <x v="2"/>
    <s v="Bangalore"/>
    <x v="3"/>
    <s v=" KA"/>
    <x v="1"/>
    <x v="0"/>
    <x v="2"/>
    <x v="0"/>
    <d v="2019-03-06T08:48:22"/>
    <d v="2019-03-06T08:48:22"/>
    <d v="2019-03-10T08:48:22"/>
    <x v="10"/>
    <n v="0"/>
    <n v="124"/>
    <n v="2130.2898989963278"/>
  </r>
  <r>
    <n v="384798"/>
    <x v="2"/>
    <s v="Delhi"/>
    <x v="3"/>
    <s v=" KA"/>
    <x v="2"/>
    <x v="0"/>
    <x v="0"/>
    <x v="1"/>
    <d v="2019-03-06T09:02:18"/>
    <d v="2019-03-10T09:02:18"/>
    <d v="2019-03-11T09:02:18"/>
    <x v="6"/>
    <n v="42"/>
    <n v="125"/>
    <n v="940"/>
  </r>
  <r>
    <n v="906256"/>
    <x v="2"/>
    <s v="Bangalore"/>
    <x v="0"/>
    <s v=" MH"/>
    <x v="0"/>
    <x v="0"/>
    <x v="0"/>
    <x v="0"/>
    <d v="2019-03-06T09:21:15"/>
    <d v="2019-03-10T09:21:15"/>
    <d v="2019-03-12T09:21:15"/>
    <x v="6"/>
    <n v="64"/>
    <n v="94"/>
    <n v="3443.2456353731959"/>
  </r>
  <r>
    <n v="651880"/>
    <x v="2"/>
    <s v="Bangalore"/>
    <x v="2"/>
    <s v=" DL"/>
    <x v="0"/>
    <x v="0"/>
    <x v="0"/>
    <x v="0"/>
    <d v="2019-03-06T09:24:34"/>
    <d v="2019-03-09T09:24:34"/>
    <d v="2019-03-11T09:24:34"/>
    <x v="4"/>
    <n v="27"/>
    <n v="127"/>
    <n v="503.37873239321993"/>
  </r>
  <r>
    <n v="758665"/>
    <x v="2"/>
    <s v="Delhi"/>
    <x v="2"/>
    <s v=" DL"/>
    <x v="1"/>
    <x v="0"/>
    <x v="1"/>
    <x v="0"/>
    <d v="2019-03-06T10:04:56"/>
    <d v="2019-03-08T10:04:56"/>
    <d v="2019-03-09T10:04:56"/>
    <x v="0"/>
    <n v="0"/>
    <n v="124"/>
    <n v="3070.0432188321829"/>
  </r>
  <r>
    <n v="227850"/>
    <x v="2"/>
    <s v="Bangalore"/>
    <x v="2"/>
    <s v=" DL"/>
    <x v="2"/>
    <x v="0"/>
    <x v="0"/>
    <x v="1"/>
    <d v="2019-03-06T10:18:21"/>
    <d v="2019-03-15T10:18:21"/>
    <d v="2019-03-12T10:18:21"/>
    <x v="1"/>
    <n v="34"/>
    <n v="124"/>
    <n v="3448.0458503400741"/>
  </r>
  <r>
    <n v="593068"/>
    <x v="2"/>
    <s v="Bangalore"/>
    <x v="0"/>
    <s v=" MH"/>
    <x v="0"/>
    <x v="0"/>
    <x v="0"/>
    <x v="0"/>
    <d v="2019-03-06T10:19:23"/>
    <d v="2019-03-09T10:19:23"/>
    <d v="2019-03-13T10:19:23"/>
    <x v="4"/>
    <n v="71"/>
    <n v="91"/>
    <n v="2527.990097391149"/>
  </r>
  <r>
    <n v="644659"/>
    <x v="2"/>
    <s v="Bangalore"/>
    <x v="4"/>
    <s v=" WB"/>
    <x v="1"/>
    <x v="0"/>
    <x v="1"/>
    <x v="0"/>
    <d v="2019-03-06T10:27:21"/>
    <d v="2019-03-13T10:27:21"/>
    <d v="2019-03-10T10:27:21"/>
    <x v="8"/>
    <n v="42"/>
    <n v="107"/>
    <n v="1133.825709612265"/>
  </r>
  <r>
    <n v="726485"/>
    <x v="2"/>
    <s v="Delhi"/>
    <x v="2"/>
    <s v=" DL"/>
    <x v="1"/>
    <x v="0"/>
    <x v="1"/>
    <x v="0"/>
    <d v="2019-03-06T10:57:59"/>
    <d v="2019-03-07T10:57:59"/>
    <d v="2019-03-11T10:57:59"/>
    <x v="2"/>
    <n v="0"/>
    <n v="130"/>
    <n v="602.57836749573596"/>
  </r>
  <r>
    <n v="293951"/>
    <x v="2"/>
    <s v="Bangalore"/>
    <x v="3"/>
    <s v=" KA"/>
    <x v="0"/>
    <x v="0"/>
    <x v="2"/>
    <x v="0"/>
    <d v="2019-03-06T11:42:39"/>
    <d v="2019-03-11T11:42:39"/>
    <d v="2019-03-11T11:42:39"/>
    <x v="9"/>
    <n v="0"/>
    <n v="108"/>
    <n v="3025"/>
  </r>
  <r>
    <n v="93933"/>
    <x v="2"/>
    <s v="Delhi"/>
    <x v="4"/>
    <s v=" WB"/>
    <x v="1"/>
    <x v="0"/>
    <x v="2"/>
    <x v="1"/>
    <d v="2019-03-06T11:52:00"/>
    <d v="2019-03-10T11:52:00"/>
    <d v="2019-03-13T11:52:00"/>
    <x v="6"/>
    <n v="35"/>
    <n v="108"/>
    <n v="2491.0109559555426"/>
  </r>
  <r>
    <n v="823141"/>
    <x v="2"/>
    <s v="Bangalore"/>
    <x v="3"/>
    <s v=" KA"/>
    <x v="1"/>
    <x v="0"/>
    <x v="1"/>
    <x v="0"/>
    <d v="2019-03-06T12:16:05"/>
    <d v="2019-03-07T12:16:05"/>
    <d v="2019-03-11T12:16:05"/>
    <x v="2"/>
    <n v="0"/>
    <n v="121"/>
    <n v="1855.4913567861013"/>
  </r>
  <r>
    <n v="137068"/>
    <x v="2"/>
    <s v="Bangalore"/>
    <x v="2"/>
    <s v=" DL"/>
    <x v="0"/>
    <x v="0"/>
    <x v="0"/>
    <x v="0"/>
    <d v="2019-03-06T12:44:47"/>
    <d v="2019-03-11T12:44:47"/>
    <d v="2019-03-12T12:44:47"/>
    <x v="9"/>
    <n v="47"/>
    <n v="126"/>
    <n v="552.04671408808031"/>
  </r>
  <r>
    <n v="89042"/>
    <x v="2"/>
    <s v="Delhi"/>
    <x v="2"/>
    <s v=" DL"/>
    <x v="2"/>
    <x v="0"/>
    <x v="0"/>
    <x v="0"/>
    <d v="2019-03-06T13:04:13"/>
    <d v="2019-03-09T13:04:13"/>
    <d v="2019-03-12T13:04:13"/>
    <x v="4"/>
    <n v="0"/>
    <n v="124"/>
    <n v="2017.7636213702383"/>
  </r>
  <r>
    <n v="481102"/>
    <x v="2"/>
    <s v="Delhi"/>
    <x v="3"/>
    <s v=" KA"/>
    <x v="0"/>
    <x v="0"/>
    <x v="0"/>
    <x v="0"/>
    <d v="2019-03-06T13:13:01"/>
    <d v="2019-03-09T13:13:01"/>
    <d v="2019-03-13T13:13:01"/>
    <x v="4"/>
    <n v="62"/>
    <n v="104"/>
    <n v="3715.9963062928946"/>
  </r>
  <r>
    <n v="539717"/>
    <x v="2"/>
    <s v="Delhi"/>
    <x v="4"/>
    <s v=" WB"/>
    <x v="1"/>
    <x v="0"/>
    <x v="1"/>
    <x v="0"/>
    <d v="2019-03-06T13:13:43"/>
    <d v="2019-03-08T13:13:43"/>
    <d v="2019-03-11T13:13:43"/>
    <x v="0"/>
    <n v="44"/>
    <n v="109"/>
    <n v="1684.2110699693933"/>
  </r>
  <r>
    <n v="643068"/>
    <x v="2"/>
    <s v="Delhi"/>
    <x v="2"/>
    <s v=" DL"/>
    <x v="0"/>
    <x v="0"/>
    <x v="0"/>
    <x v="1"/>
    <d v="2019-03-06T13:27:58"/>
    <d v="2019-03-06T13:27:58"/>
    <d v="2019-03-09T13:27:58"/>
    <x v="10"/>
    <n v="0"/>
    <n v="124"/>
    <n v="2598.386215788385"/>
  </r>
  <r>
    <n v="830252"/>
    <x v="2"/>
    <s v="Bangalore"/>
    <x v="3"/>
    <s v=" KA"/>
    <x v="0"/>
    <x v="0"/>
    <x v="0"/>
    <x v="0"/>
    <d v="2019-03-06T13:40:31"/>
    <d v="2019-03-06T13:40:31"/>
    <d v="2019-03-12T13:40:31"/>
    <x v="10"/>
    <n v="0"/>
    <n v="120"/>
    <n v="1400.3782089044471"/>
  </r>
  <r>
    <n v="348761"/>
    <x v="2"/>
    <s v="Delhi"/>
    <x v="3"/>
    <s v=" KA"/>
    <x v="1"/>
    <x v="0"/>
    <x v="2"/>
    <x v="0"/>
    <d v="2019-03-06T13:49:39"/>
    <d v="2019-03-14T13:49:39"/>
    <d v="2019-03-09T13:49:39"/>
    <x v="5"/>
    <n v="49"/>
    <n v="124"/>
    <n v="2322"/>
  </r>
  <r>
    <n v="36096"/>
    <x v="2"/>
    <s v="Delhi"/>
    <x v="4"/>
    <s v=" WB"/>
    <x v="0"/>
    <x v="0"/>
    <x v="0"/>
    <x v="1"/>
    <d v="2019-03-06T14:23:46"/>
    <d v="2019-03-14T14:23:46"/>
    <d v="2019-03-11T14:23:46"/>
    <x v="5"/>
    <n v="38"/>
    <n v="108"/>
    <n v="379"/>
  </r>
  <r>
    <n v="192708"/>
    <x v="2"/>
    <s v="Bangalore"/>
    <x v="4"/>
    <s v=" WB"/>
    <x v="0"/>
    <x v="0"/>
    <x v="0"/>
    <x v="1"/>
    <d v="2019-03-06T14:35:39"/>
    <d v="2019-03-09T14:35:39"/>
    <d v="2019-03-11T14:35:39"/>
    <x v="4"/>
    <n v="70"/>
    <n v="93"/>
    <n v="1621"/>
  </r>
  <r>
    <n v="384739"/>
    <x v="2"/>
    <s v="Bangalore"/>
    <x v="4"/>
    <s v=" WB"/>
    <x v="0"/>
    <x v="0"/>
    <x v="1"/>
    <x v="0"/>
    <d v="2019-03-06T14:43:08"/>
    <d v="2019-03-10T14:43:08"/>
    <d v="2019-03-11T14:43:08"/>
    <x v="6"/>
    <n v="69"/>
    <n v="87"/>
    <n v="3641.914192241667"/>
  </r>
  <r>
    <n v="534045"/>
    <x v="2"/>
    <s v="Delhi"/>
    <x v="0"/>
    <s v=" MH"/>
    <x v="1"/>
    <x v="0"/>
    <x v="1"/>
    <x v="1"/>
    <d v="2019-03-06T14:45:44"/>
    <d v="2019-03-12T14:45:44"/>
    <d v="2019-03-11T14:45:44"/>
    <x v="3"/>
    <n v="39"/>
    <n v="110"/>
    <n v="3727.2459098789514"/>
  </r>
  <r>
    <n v="910825"/>
    <x v="2"/>
    <s v="Delhi"/>
    <x v="0"/>
    <s v=" MH"/>
    <x v="1"/>
    <x v="0"/>
    <x v="1"/>
    <x v="0"/>
    <d v="2019-03-06T14:49:44"/>
    <d v="2019-03-11T14:49:44"/>
    <d v="2019-03-09T14:49:44"/>
    <x v="9"/>
    <n v="39"/>
    <n v="108"/>
    <n v="1523"/>
  </r>
  <r>
    <n v="762747"/>
    <x v="2"/>
    <s v="Bangalore"/>
    <x v="2"/>
    <s v=" DL"/>
    <x v="1"/>
    <x v="0"/>
    <x v="1"/>
    <x v="1"/>
    <d v="2019-03-06T14:50:14"/>
    <d v="2019-03-09T14:50:14"/>
    <d v="2019-03-11T14:50:14"/>
    <x v="4"/>
    <n v="38"/>
    <n v="120"/>
    <n v="2046.1365183941543"/>
  </r>
  <r>
    <n v="323403"/>
    <x v="2"/>
    <s v="Delhi"/>
    <x v="2"/>
    <s v=" DL"/>
    <x v="1"/>
    <x v="0"/>
    <x v="1"/>
    <x v="1"/>
    <d v="2019-03-06T15:44:47"/>
    <d v="2019-03-13T15:44:47"/>
    <d v="2019-03-11T15:44:47"/>
    <x v="8"/>
    <n v="0"/>
    <n v="129"/>
    <n v="2850.987738147584"/>
  </r>
  <r>
    <n v="3453"/>
    <x v="2"/>
    <s v="Bangalore"/>
    <x v="2"/>
    <s v=" DL"/>
    <x v="0"/>
    <x v="0"/>
    <x v="1"/>
    <x v="1"/>
    <d v="2019-03-06T17:29:59"/>
    <d v="2019-03-09T17:29:59"/>
    <d v="2019-03-13T17:29:59"/>
    <x v="4"/>
    <n v="75"/>
    <n v="109"/>
    <n v="2487.4769262999957"/>
  </r>
  <r>
    <n v="617591"/>
    <x v="2"/>
    <s v="Delhi"/>
    <x v="4"/>
    <s v=" WB"/>
    <x v="1"/>
    <x v="0"/>
    <x v="1"/>
    <x v="0"/>
    <d v="2019-03-06T17:31:22"/>
    <d v="2019-03-10T17:31:22"/>
    <d v="2019-03-13T17:31:22"/>
    <x v="6"/>
    <n v="26"/>
    <n v="112"/>
    <n v="1591"/>
  </r>
  <r>
    <n v="750361"/>
    <x v="2"/>
    <s v="Bangalore"/>
    <x v="4"/>
    <s v=" WB"/>
    <x v="1"/>
    <x v="0"/>
    <x v="1"/>
    <x v="0"/>
    <d v="2019-03-06T17:46:04"/>
    <d v="2019-03-10T17:46:04"/>
    <d v="2019-03-10T17:46:04"/>
    <x v="6"/>
    <n v="46"/>
    <n v="112"/>
    <n v="2265.5267780864729"/>
  </r>
  <r>
    <n v="697348"/>
    <x v="2"/>
    <s v="Delhi"/>
    <x v="3"/>
    <s v=" KA"/>
    <x v="0"/>
    <x v="0"/>
    <x v="0"/>
    <x v="0"/>
    <d v="2019-03-06T18:02:51"/>
    <d v="2019-03-11T18:02:51"/>
    <d v="2019-03-12T18:02:51"/>
    <x v="9"/>
    <n v="30"/>
    <n v="129"/>
    <n v="1740"/>
  </r>
  <r>
    <n v="56451"/>
    <x v="2"/>
    <s v="Bangalore"/>
    <x v="3"/>
    <s v=" KA"/>
    <x v="1"/>
    <x v="0"/>
    <x v="1"/>
    <x v="1"/>
    <d v="2019-03-06T18:35:43"/>
    <d v="2019-03-07T18:35:43"/>
    <d v="2019-03-12T18:35:43"/>
    <x v="2"/>
    <n v="0"/>
    <n v="126"/>
    <n v="647.81502083337512"/>
  </r>
  <r>
    <n v="504213"/>
    <x v="2"/>
    <s v="Delhi"/>
    <x v="3"/>
    <s v=" KA"/>
    <x v="1"/>
    <x v="0"/>
    <x v="1"/>
    <x v="1"/>
    <d v="2019-03-06T19:09:34"/>
    <d v="2019-03-13T19:09:34"/>
    <d v="2019-03-12T19:09:34"/>
    <x v="8"/>
    <n v="33"/>
    <n v="123"/>
    <n v="2778.1390049501206"/>
  </r>
  <r>
    <n v="102956"/>
    <x v="2"/>
    <s v="Bangalore"/>
    <x v="2"/>
    <s v=" DL"/>
    <x v="0"/>
    <x v="0"/>
    <x v="0"/>
    <x v="0"/>
    <d v="2019-03-06T19:13:33"/>
    <d v="2019-03-08T19:13:33"/>
    <d v="2019-03-09T19:13:33"/>
    <x v="0"/>
    <n v="45"/>
    <n v="129"/>
    <n v="2253.4562572936338"/>
  </r>
  <r>
    <n v="89783"/>
    <x v="2"/>
    <s v="Delhi"/>
    <x v="2"/>
    <s v=" DL"/>
    <x v="0"/>
    <x v="0"/>
    <x v="1"/>
    <x v="0"/>
    <d v="2019-03-06T19:26:02"/>
    <d v="2019-03-06T19:26:02"/>
    <d v="2019-03-09T19:26:02"/>
    <x v="10"/>
    <n v="0"/>
    <n v="103"/>
    <n v="1135"/>
  </r>
  <r>
    <n v="845860"/>
    <x v="2"/>
    <s v="Bangalore"/>
    <x v="0"/>
    <s v=" MH"/>
    <x v="0"/>
    <x v="0"/>
    <x v="0"/>
    <x v="0"/>
    <d v="2019-03-06T20:03:44"/>
    <d v="2019-03-11T20:03:44"/>
    <d v="2019-03-09T20:03:44"/>
    <x v="9"/>
    <n v="41"/>
    <n v="110"/>
    <n v="2507.703032657505"/>
  </r>
  <r>
    <n v="142970"/>
    <x v="2"/>
    <s v="Bangalore"/>
    <x v="0"/>
    <s v=" MH"/>
    <x v="2"/>
    <x v="0"/>
    <x v="0"/>
    <x v="0"/>
    <d v="2019-03-06T20:27:03"/>
    <d v="2019-03-15T20:27:03"/>
    <d v="2019-03-10T20:27:03"/>
    <x v="1"/>
    <n v="45"/>
    <n v="107"/>
    <n v="197"/>
  </r>
  <r>
    <n v="139131"/>
    <x v="2"/>
    <s v="Delhi"/>
    <x v="2"/>
    <s v=" DL"/>
    <x v="1"/>
    <x v="0"/>
    <x v="1"/>
    <x v="1"/>
    <d v="2019-03-06T21:02:41"/>
    <d v="2019-03-10T21:02:41"/>
    <d v="2019-03-10T21:02:41"/>
    <x v="6"/>
    <n v="0"/>
    <n v="125"/>
    <n v="2634.9295518991876"/>
  </r>
  <r>
    <n v="653853"/>
    <x v="2"/>
    <s v="Bangalore"/>
    <x v="0"/>
    <s v=" MH"/>
    <x v="1"/>
    <x v="0"/>
    <x v="1"/>
    <x v="1"/>
    <d v="2019-03-06T21:51:25"/>
    <d v="2019-03-10T21:51:25"/>
    <d v="2019-03-10T21:51:25"/>
    <x v="6"/>
    <n v="0"/>
    <n v="109"/>
    <n v="2695.6529808747741"/>
  </r>
  <r>
    <n v="172749"/>
    <x v="2"/>
    <s v="Delhi"/>
    <x v="3"/>
    <s v=" KA"/>
    <x v="0"/>
    <x v="0"/>
    <x v="1"/>
    <x v="1"/>
    <d v="2019-03-06T22:42:01"/>
    <d v="2019-03-11T22:42:01"/>
    <d v="2019-03-11T22:42:01"/>
    <x v="9"/>
    <n v="65"/>
    <n v="104"/>
    <n v="3382.1169148277072"/>
  </r>
  <r>
    <n v="697721"/>
    <x v="2"/>
    <s v="Delhi"/>
    <x v="0"/>
    <s v=" MH"/>
    <x v="0"/>
    <x v="0"/>
    <x v="1"/>
    <x v="0"/>
    <d v="2019-03-06T23:18:27"/>
    <d v="2019-03-08T23:18:27"/>
    <d v="2019-03-12T23:18:27"/>
    <x v="0"/>
    <n v="87"/>
    <n v="89"/>
    <n v="2627.4570284602601"/>
  </r>
  <r>
    <n v="246591"/>
    <x v="2"/>
    <s v="Bangalore"/>
    <x v="4"/>
    <s v=" WB"/>
    <x v="1"/>
    <x v="0"/>
    <x v="1"/>
    <x v="1"/>
    <d v="2019-03-06T23:23:48"/>
    <d v="2019-03-12T23:23:48"/>
    <d v="2019-03-13T23:23:48"/>
    <x v="3"/>
    <n v="29"/>
    <n v="111"/>
    <n v="3218.5475607829553"/>
  </r>
  <r>
    <n v="18933"/>
    <x v="2"/>
    <s v="Delhi"/>
    <x v="4"/>
    <s v=" WB"/>
    <x v="0"/>
    <x v="0"/>
    <x v="1"/>
    <x v="1"/>
    <d v="2019-03-06T23:30:56"/>
    <d v="2019-03-11T23:30:56"/>
    <d v="2019-03-09T23:30:56"/>
    <x v="9"/>
    <n v="74"/>
    <n v="91"/>
    <n v="2570.1417745163212"/>
  </r>
  <r>
    <n v="524137"/>
    <x v="2"/>
    <s v="Bangalore"/>
    <x v="2"/>
    <s v=" DL"/>
    <x v="0"/>
    <x v="0"/>
    <x v="1"/>
    <x v="0"/>
    <d v="2019-03-06T23:36:17"/>
    <d v="2019-03-08T23:36:17"/>
    <d v="2019-03-11T23:36:17"/>
    <x v="0"/>
    <n v="78"/>
    <n v="107"/>
    <n v="2559.8960584590532"/>
  </r>
  <r>
    <n v="686133"/>
    <x v="2"/>
    <s v="Delhi"/>
    <x v="2"/>
    <s v=" DL"/>
    <x v="1"/>
    <x v="0"/>
    <x v="2"/>
    <x v="1"/>
    <d v="2019-03-07T00:08:28"/>
    <d v="2019-03-13T00:08:28"/>
    <d v="2019-03-14T00:08:28"/>
    <x v="3"/>
    <n v="0"/>
    <n v="121"/>
    <n v="732.02344529462789"/>
  </r>
  <r>
    <n v="807194"/>
    <x v="2"/>
    <s v="Delhi"/>
    <x v="0"/>
    <s v=" MH"/>
    <x v="2"/>
    <x v="0"/>
    <x v="0"/>
    <x v="0"/>
    <d v="2019-03-07T00:23:04"/>
    <d v="2019-03-15T00:23:04"/>
    <d v="2019-03-11T00:23:04"/>
    <x v="5"/>
    <n v="33"/>
    <n v="108"/>
    <n v="3059"/>
  </r>
  <r>
    <n v="120349"/>
    <x v="2"/>
    <s v="Bangalore"/>
    <x v="2"/>
    <s v=" DL"/>
    <x v="0"/>
    <x v="0"/>
    <x v="1"/>
    <x v="0"/>
    <d v="2019-03-07T00:42:22"/>
    <d v="2019-03-13T00:42:22"/>
    <d v="2019-03-14T00:42:22"/>
    <x v="3"/>
    <n v="80"/>
    <n v="110"/>
    <n v="1650.2698424898324"/>
  </r>
  <r>
    <n v="405975"/>
    <x v="2"/>
    <s v="Bangalore"/>
    <x v="3"/>
    <s v=" KA"/>
    <x v="1"/>
    <x v="0"/>
    <x v="1"/>
    <x v="1"/>
    <d v="2019-03-07T00:42:50"/>
    <d v="2019-03-11T00:42:50"/>
    <d v="2019-03-13T00:42:50"/>
    <x v="6"/>
    <n v="0"/>
    <n v="122"/>
    <n v="433.14155480095144"/>
  </r>
  <r>
    <n v="714562"/>
    <x v="2"/>
    <s v="Delhi"/>
    <x v="1"/>
    <s v=" TN"/>
    <x v="2"/>
    <x v="0"/>
    <x v="0"/>
    <x v="0"/>
    <d v="2019-03-07T00:47:22"/>
    <d v="2019-03-13T00:47:22"/>
    <d v="2019-03-10T00:47:22"/>
    <x v="3"/>
    <n v="26"/>
    <n v="130"/>
    <n v="2502.2243459816264"/>
  </r>
  <r>
    <n v="309074"/>
    <x v="2"/>
    <s v="Delhi"/>
    <x v="4"/>
    <s v=" WB"/>
    <x v="2"/>
    <x v="0"/>
    <x v="0"/>
    <x v="0"/>
    <d v="2019-03-07T01:15:53"/>
    <d v="2019-03-12T01:15:53"/>
    <d v="2019-03-12T01:15:53"/>
    <x v="9"/>
    <n v="32"/>
    <n v="111"/>
    <n v="1174.3675560565484"/>
  </r>
  <r>
    <n v="724261"/>
    <x v="2"/>
    <s v="Delhi"/>
    <x v="0"/>
    <s v=" MH"/>
    <x v="1"/>
    <x v="0"/>
    <x v="1"/>
    <x v="0"/>
    <d v="2019-03-07T02:48:36"/>
    <d v="2019-03-12T02:48:36"/>
    <d v="2019-03-10T02:48:36"/>
    <x v="9"/>
    <n v="27"/>
    <n v="107"/>
    <n v="3367"/>
  </r>
  <r>
    <n v="361621"/>
    <x v="2"/>
    <s v="Delhi"/>
    <x v="1"/>
    <s v=" TN"/>
    <x v="0"/>
    <x v="0"/>
    <x v="1"/>
    <x v="0"/>
    <d v="2019-03-07T02:57:50"/>
    <d v="2019-03-12T02:57:50"/>
    <d v="2019-03-10T02:57:50"/>
    <x v="9"/>
    <n v="69"/>
    <n v="110"/>
    <n v="1668"/>
  </r>
  <r>
    <n v="292447"/>
    <x v="2"/>
    <s v="Bangalore"/>
    <x v="4"/>
    <s v=" WB"/>
    <x v="1"/>
    <x v="0"/>
    <x v="1"/>
    <x v="0"/>
    <d v="2019-03-07T03:26:12"/>
    <d v="2019-03-13T03:26:12"/>
    <d v="2019-03-11T03:26:12"/>
    <x v="3"/>
    <n v="25"/>
    <n v="114"/>
    <n v="1513"/>
  </r>
  <r>
    <n v="203892"/>
    <x v="2"/>
    <s v="Bangalore"/>
    <x v="2"/>
    <s v=" DL"/>
    <x v="0"/>
    <x v="0"/>
    <x v="0"/>
    <x v="1"/>
    <d v="2019-03-07T03:30:40"/>
    <d v="2019-03-09T03:30:40"/>
    <d v="2019-03-12T03:30:40"/>
    <x v="0"/>
    <n v="31"/>
    <n v="130"/>
    <n v="3110.3231202908887"/>
  </r>
  <r>
    <n v="774856"/>
    <x v="2"/>
    <s v="Delhi"/>
    <x v="1"/>
    <s v=" TN"/>
    <x v="0"/>
    <x v="0"/>
    <x v="0"/>
    <x v="0"/>
    <d v="2019-03-07T03:45:33"/>
    <d v="2019-03-15T03:45:33"/>
    <d v="2019-03-13T03:45:33"/>
    <x v="5"/>
    <n v="76"/>
    <n v="109"/>
    <n v="1244.6533665657521"/>
  </r>
  <r>
    <n v="351312"/>
    <x v="2"/>
    <s v="Delhi"/>
    <x v="4"/>
    <s v=" WB"/>
    <x v="0"/>
    <x v="0"/>
    <x v="0"/>
    <x v="1"/>
    <d v="2019-03-07T04:49:04"/>
    <d v="2019-03-10T04:49:04"/>
    <d v="2019-03-11T04:49:04"/>
    <x v="4"/>
    <n v="76"/>
    <n v="91"/>
    <n v="3535.6673298761243"/>
  </r>
  <r>
    <n v="169114"/>
    <x v="2"/>
    <s v="Bangalore"/>
    <x v="3"/>
    <s v=" KA"/>
    <x v="0"/>
    <x v="0"/>
    <x v="0"/>
    <x v="0"/>
    <d v="2019-03-07T05:04:51"/>
    <d v="2019-03-11T05:04:51"/>
    <d v="2019-03-14T05:04:51"/>
    <x v="6"/>
    <n v="0"/>
    <n v="107"/>
    <n v="2297.4743059089742"/>
  </r>
  <r>
    <n v="746198"/>
    <x v="2"/>
    <s v="Delhi"/>
    <x v="2"/>
    <s v=" DL"/>
    <x v="0"/>
    <x v="0"/>
    <x v="0"/>
    <x v="0"/>
    <d v="2019-03-07T05:26:01"/>
    <d v="2019-03-08T05:26:01"/>
    <d v="2019-03-12T05:26:01"/>
    <x v="2"/>
    <n v="0"/>
    <n v="104"/>
    <n v="522.62549946489639"/>
  </r>
  <r>
    <n v="464672"/>
    <x v="2"/>
    <s v="Bangalore"/>
    <x v="4"/>
    <s v=" WB"/>
    <x v="0"/>
    <x v="0"/>
    <x v="0"/>
    <x v="0"/>
    <d v="2019-03-07T05:42:46"/>
    <d v="2019-03-13T05:42:46"/>
    <d v="2019-03-11T05:42:46"/>
    <x v="3"/>
    <n v="31"/>
    <n v="107"/>
    <n v="2258.4357708909574"/>
  </r>
  <r>
    <n v="900734"/>
    <x v="2"/>
    <s v="Bangalore"/>
    <x v="4"/>
    <s v=" WB"/>
    <x v="2"/>
    <x v="0"/>
    <x v="0"/>
    <x v="0"/>
    <d v="2019-03-07T06:04:57"/>
    <d v="2019-03-14T06:04:57"/>
    <d v="2019-03-14T06:04:57"/>
    <x v="8"/>
    <n v="47"/>
    <n v="105"/>
    <n v="2371.2737206237389"/>
  </r>
  <r>
    <n v="415252"/>
    <x v="2"/>
    <s v="Bangalore"/>
    <x v="3"/>
    <s v=" KA"/>
    <x v="0"/>
    <x v="0"/>
    <x v="0"/>
    <x v="0"/>
    <d v="2019-03-07T06:18:19"/>
    <d v="2019-03-12T06:18:19"/>
    <d v="2019-03-13T06:18:19"/>
    <x v="9"/>
    <n v="0"/>
    <n v="123"/>
    <n v="2144"/>
  </r>
  <r>
    <n v="319394"/>
    <x v="2"/>
    <s v="Bangalore"/>
    <x v="0"/>
    <s v=" MH"/>
    <x v="2"/>
    <x v="0"/>
    <x v="0"/>
    <x v="0"/>
    <d v="2019-03-07T06:39:42"/>
    <d v="2019-03-15T06:39:42"/>
    <d v="2019-03-10T06:39:42"/>
    <x v="5"/>
    <n v="41"/>
    <n v="108"/>
    <n v="466.20776150804443"/>
  </r>
  <r>
    <n v="444039"/>
    <x v="2"/>
    <s v="Delhi"/>
    <x v="2"/>
    <s v=" DL"/>
    <x v="1"/>
    <x v="0"/>
    <x v="1"/>
    <x v="1"/>
    <d v="2019-03-07T07:04:35"/>
    <d v="2019-03-09T07:04:35"/>
    <d v="2019-03-10T07:04:35"/>
    <x v="0"/>
    <n v="0"/>
    <n v="128"/>
    <n v="516.95006161958804"/>
  </r>
  <r>
    <n v="659408"/>
    <x v="2"/>
    <s v="Delhi"/>
    <x v="2"/>
    <s v=" DL"/>
    <x v="0"/>
    <x v="0"/>
    <x v="0"/>
    <x v="0"/>
    <d v="2019-03-07T07:07:06"/>
    <d v="2019-03-09T07:07:06"/>
    <d v="2019-03-14T07:07:06"/>
    <x v="0"/>
    <n v="0"/>
    <n v="104"/>
    <n v="1176.9648348675464"/>
  </r>
  <r>
    <n v="984455"/>
    <x v="2"/>
    <s v="Delhi"/>
    <x v="0"/>
    <s v=" MH"/>
    <x v="1"/>
    <x v="0"/>
    <x v="1"/>
    <x v="0"/>
    <d v="2019-03-07T07:11:38"/>
    <d v="2019-03-14T07:11:38"/>
    <d v="2019-03-11T07:11:38"/>
    <x v="8"/>
    <n v="29"/>
    <n v="114"/>
    <n v="2206.0645628063776"/>
  </r>
  <r>
    <n v="862649"/>
    <x v="2"/>
    <s v="Delhi"/>
    <x v="0"/>
    <s v=" MH"/>
    <x v="0"/>
    <x v="0"/>
    <x v="1"/>
    <x v="0"/>
    <d v="2019-03-07T07:22:00"/>
    <d v="2019-03-11T07:22:00"/>
    <d v="2019-03-14T07:22:00"/>
    <x v="6"/>
    <n v="62"/>
    <n v="89"/>
    <n v="2065.6949457201631"/>
  </r>
  <r>
    <n v="276359"/>
    <x v="2"/>
    <s v="Delhi"/>
    <x v="1"/>
    <s v=" TN"/>
    <x v="0"/>
    <x v="0"/>
    <x v="1"/>
    <x v="0"/>
    <d v="2019-03-07T07:40:44"/>
    <d v="2019-03-17T07:40:44"/>
    <d v="2019-03-12T07:40:44"/>
    <x v="7"/>
    <n v="67"/>
    <n v="106"/>
    <n v="826.68667358761036"/>
  </r>
  <r>
    <n v="810533"/>
    <x v="2"/>
    <s v="Delhi"/>
    <x v="4"/>
    <s v=" WB"/>
    <x v="1"/>
    <x v="0"/>
    <x v="1"/>
    <x v="0"/>
    <d v="2019-03-07T08:09:17"/>
    <d v="2019-03-09T08:09:17"/>
    <d v="2019-03-10T08:09:17"/>
    <x v="0"/>
    <n v="40"/>
    <n v="112"/>
    <n v="2507.1644138261699"/>
  </r>
  <r>
    <n v="970640"/>
    <x v="2"/>
    <s v="Bangalore"/>
    <x v="2"/>
    <s v=" DL"/>
    <x v="0"/>
    <x v="0"/>
    <x v="0"/>
    <x v="0"/>
    <d v="2019-03-07T08:32:41"/>
    <d v="2019-03-09T08:32:41"/>
    <d v="2019-03-12T08:32:41"/>
    <x v="0"/>
    <n v="39"/>
    <n v="122"/>
    <n v="484.40178505059896"/>
  </r>
  <r>
    <n v="196178"/>
    <x v="2"/>
    <s v="Bangalore"/>
    <x v="3"/>
    <s v=" KA"/>
    <x v="2"/>
    <x v="0"/>
    <x v="0"/>
    <x v="0"/>
    <d v="2019-03-07T08:36:51"/>
    <d v="2019-03-07T08:36:51"/>
    <d v="2019-03-12T08:36:51"/>
    <x v="10"/>
    <n v="0"/>
    <n v="126"/>
    <n v="3718.4666150265966"/>
  </r>
  <r>
    <n v="883993"/>
    <x v="2"/>
    <s v="Delhi"/>
    <x v="2"/>
    <s v=" DL"/>
    <x v="1"/>
    <x v="0"/>
    <x v="1"/>
    <x v="0"/>
    <d v="2019-03-07T08:50:03"/>
    <d v="2019-03-12T08:50:03"/>
    <d v="2019-03-13T08:50:03"/>
    <x v="9"/>
    <n v="0"/>
    <n v="125"/>
    <n v="3600.8126327007831"/>
  </r>
  <r>
    <n v="978469"/>
    <x v="2"/>
    <s v="Delhi"/>
    <x v="3"/>
    <s v=" KA"/>
    <x v="1"/>
    <x v="0"/>
    <x v="1"/>
    <x v="0"/>
    <d v="2019-03-07T09:04:39"/>
    <d v="2019-03-11T09:04:39"/>
    <d v="2019-03-14T09:04:39"/>
    <x v="6"/>
    <n v="39"/>
    <n v="124"/>
    <n v="1622"/>
  </r>
  <r>
    <n v="846960"/>
    <x v="2"/>
    <s v="Delhi"/>
    <x v="2"/>
    <s v=" DL"/>
    <x v="0"/>
    <x v="0"/>
    <x v="0"/>
    <x v="1"/>
    <d v="2019-03-07T09:19:14"/>
    <d v="2019-03-12T09:19:14"/>
    <d v="2019-03-14T09:19:14"/>
    <x v="9"/>
    <n v="0"/>
    <n v="122"/>
    <n v="2734"/>
  </r>
  <r>
    <n v="581058"/>
    <x v="2"/>
    <s v="Delhi"/>
    <x v="2"/>
    <s v=" DL"/>
    <x v="0"/>
    <x v="0"/>
    <x v="0"/>
    <x v="1"/>
    <d v="2019-03-07T09:33:37"/>
    <d v="2019-03-07T09:33:37"/>
    <d v="2019-03-11T09:33:37"/>
    <x v="10"/>
    <n v="0"/>
    <n v="109"/>
    <n v="1565.3479660862272"/>
  </r>
  <r>
    <n v="277775"/>
    <x v="2"/>
    <s v="Bangalore"/>
    <x v="0"/>
    <s v=" MH"/>
    <x v="1"/>
    <x v="0"/>
    <x v="1"/>
    <x v="0"/>
    <d v="2019-03-07T09:45:09"/>
    <d v="2019-03-12T09:45:09"/>
    <d v="2019-03-12T09:45:09"/>
    <x v="9"/>
    <n v="42"/>
    <n v="110"/>
    <n v="1741.2314217292642"/>
  </r>
  <r>
    <n v="90895"/>
    <x v="2"/>
    <s v="Delhi"/>
    <x v="0"/>
    <s v=" MH"/>
    <x v="1"/>
    <x v="0"/>
    <x v="2"/>
    <x v="0"/>
    <d v="2019-03-07T11:00:59"/>
    <d v="2019-03-12T11:00:59"/>
    <d v="2019-03-11T11:00:59"/>
    <x v="9"/>
    <n v="28"/>
    <n v="107"/>
    <n v="3102"/>
  </r>
  <r>
    <n v="350898"/>
    <x v="2"/>
    <s v="Bangalore"/>
    <x v="4"/>
    <s v=" WB"/>
    <x v="2"/>
    <x v="0"/>
    <x v="0"/>
    <x v="1"/>
    <d v="2019-03-07T11:14:54"/>
    <d v="2019-03-12T11:14:54"/>
    <d v="2019-03-12T11:14:54"/>
    <x v="9"/>
    <n v="33"/>
    <n v="107"/>
    <n v="1599.9731436205873"/>
  </r>
  <r>
    <n v="195002"/>
    <x v="2"/>
    <s v="Bangalore"/>
    <x v="3"/>
    <s v=" KA"/>
    <x v="2"/>
    <x v="0"/>
    <x v="0"/>
    <x v="0"/>
    <d v="2019-03-07T11:31:19"/>
    <d v="2019-03-08T11:31:19"/>
    <d v="2019-03-13T11:31:19"/>
    <x v="2"/>
    <n v="0"/>
    <n v="122"/>
    <n v="794.02429296558876"/>
  </r>
  <r>
    <n v="558907"/>
    <x v="2"/>
    <s v="Delhi"/>
    <x v="2"/>
    <s v=" DL"/>
    <x v="1"/>
    <x v="0"/>
    <x v="1"/>
    <x v="0"/>
    <d v="2019-03-07T11:40:02"/>
    <d v="2019-03-10T11:40:02"/>
    <d v="2019-03-10T11:40:02"/>
    <x v="4"/>
    <n v="0"/>
    <n v="126"/>
    <n v="1025.5631276934982"/>
  </r>
  <r>
    <n v="985037"/>
    <x v="2"/>
    <s v="Bangalore"/>
    <x v="3"/>
    <s v=" KA"/>
    <x v="1"/>
    <x v="0"/>
    <x v="1"/>
    <x v="0"/>
    <d v="2019-03-07T11:53:18"/>
    <d v="2019-03-10T11:53:18"/>
    <d v="2019-03-12T11:53:18"/>
    <x v="4"/>
    <n v="0"/>
    <n v="123"/>
    <n v="467.55720415137512"/>
  </r>
  <r>
    <n v="242170"/>
    <x v="2"/>
    <s v="Delhi"/>
    <x v="0"/>
    <s v=" MH"/>
    <x v="2"/>
    <x v="0"/>
    <x v="0"/>
    <x v="0"/>
    <d v="2019-03-07T11:53:39"/>
    <d v="2019-03-11T11:53:39"/>
    <d v="2019-03-13T11:53:39"/>
    <x v="6"/>
    <n v="30"/>
    <n v="112"/>
    <n v="2628.0965546371231"/>
  </r>
  <r>
    <n v="586419"/>
    <x v="2"/>
    <s v="Delhi"/>
    <x v="0"/>
    <s v=" MH"/>
    <x v="1"/>
    <x v="0"/>
    <x v="1"/>
    <x v="1"/>
    <d v="2019-03-07T12:13:58"/>
    <d v="2019-03-10T12:13:58"/>
    <d v="2019-03-14T12:13:58"/>
    <x v="4"/>
    <n v="41"/>
    <n v="106"/>
    <n v="3228.5477786813726"/>
  </r>
  <r>
    <n v="814550"/>
    <x v="2"/>
    <s v="Delhi"/>
    <x v="2"/>
    <s v=" DL"/>
    <x v="2"/>
    <x v="0"/>
    <x v="0"/>
    <x v="0"/>
    <d v="2019-03-07T12:38:16"/>
    <d v="2019-03-08T12:38:16"/>
    <d v="2019-03-12T12:38:16"/>
    <x v="2"/>
    <n v="0"/>
    <n v="124"/>
    <n v="1799.7736628318432"/>
  </r>
  <r>
    <n v="648313"/>
    <x v="2"/>
    <s v="Bangalore"/>
    <x v="3"/>
    <s v=" KA"/>
    <x v="1"/>
    <x v="0"/>
    <x v="1"/>
    <x v="0"/>
    <d v="2019-03-07T12:55:41"/>
    <d v="2019-03-12T12:55:41"/>
    <d v="2019-03-11T12:55:41"/>
    <x v="9"/>
    <n v="0"/>
    <n v="122"/>
    <n v="1634"/>
  </r>
  <r>
    <n v="536231"/>
    <x v="2"/>
    <s v="Bangalore"/>
    <x v="0"/>
    <s v=" MH"/>
    <x v="1"/>
    <x v="0"/>
    <x v="1"/>
    <x v="0"/>
    <d v="2019-03-07T13:18:22"/>
    <d v="2019-03-12T13:18:22"/>
    <d v="2019-03-13T13:18:22"/>
    <x v="9"/>
    <n v="31"/>
    <n v="111"/>
    <n v="286.97079159630141"/>
  </r>
  <r>
    <n v="717469"/>
    <x v="2"/>
    <s v="Bangalore"/>
    <x v="4"/>
    <s v=" WB"/>
    <x v="1"/>
    <x v="0"/>
    <x v="1"/>
    <x v="0"/>
    <d v="2019-03-07T13:32:04"/>
    <d v="2019-03-14T13:32:04"/>
    <d v="2019-03-10T13:32:04"/>
    <x v="8"/>
    <n v="44"/>
    <n v="107"/>
    <n v="989.09597166265701"/>
  </r>
  <r>
    <n v="563606"/>
    <x v="2"/>
    <s v="Bangalore"/>
    <x v="4"/>
    <s v=" WB"/>
    <x v="2"/>
    <x v="0"/>
    <x v="0"/>
    <x v="0"/>
    <d v="2019-03-07T13:47:05"/>
    <d v="2019-03-13T13:47:05"/>
    <d v="2019-03-13T13:47:05"/>
    <x v="3"/>
    <n v="45"/>
    <n v="107"/>
    <n v="413.0848149658143"/>
  </r>
  <r>
    <n v="33483"/>
    <x v="2"/>
    <s v="Delhi"/>
    <x v="2"/>
    <s v=" DL"/>
    <x v="1"/>
    <x v="0"/>
    <x v="1"/>
    <x v="1"/>
    <d v="2019-03-07T14:03:13"/>
    <d v="2019-03-10T14:03:13"/>
    <d v="2019-03-14T14:03:13"/>
    <x v="4"/>
    <n v="0"/>
    <n v="129"/>
    <n v="2751.3889567063416"/>
  </r>
  <r>
    <n v="184354"/>
    <x v="2"/>
    <s v="Delhi"/>
    <x v="2"/>
    <s v=" DL"/>
    <x v="0"/>
    <x v="0"/>
    <x v="0"/>
    <x v="0"/>
    <d v="2019-03-07T14:16:02"/>
    <d v="2019-03-12T14:16:02"/>
    <d v="2019-03-13T14:16:02"/>
    <x v="9"/>
    <n v="0"/>
    <n v="101"/>
    <n v="525.33825953596158"/>
  </r>
  <r>
    <n v="6045"/>
    <x v="2"/>
    <s v="Bangalore"/>
    <x v="2"/>
    <s v=" DL"/>
    <x v="1"/>
    <x v="0"/>
    <x v="1"/>
    <x v="1"/>
    <d v="2019-03-07T14:52:22"/>
    <d v="2019-03-10T14:52:22"/>
    <d v="2019-03-14T14:52:22"/>
    <x v="4"/>
    <n v="31"/>
    <n v="121"/>
    <n v="759.97457837501099"/>
  </r>
  <r>
    <n v="509663"/>
    <x v="2"/>
    <s v="Delhi"/>
    <x v="1"/>
    <s v=" TN"/>
    <x v="1"/>
    <x v="0"/>
    <x v="2"/>
    <x v="0"/>
    <d v="2019-03-07T15:07:19"/>
    <d v="2019-03-09T15:07:19"/>
    <d v="2019-03-10T15:07:19"/>
    <x v="0"/>
    <n v="42"/>
    <n v="128"/>
    <n v="530.19257370722994"/>
  </r>
  <r>
    <n v="579745"/>
    <x v="2"/>
    <s v="Delhi"/>
    <x v="2"/>
    <s v=" DL"/>
    <x v="1"/>
    <x v="0"/>
    <x v="1"/>
    <x v="0"/>
    <d v="2019-03-07T15:24:51"/>
    <d v="2019-03-14T15:24:51"/>
    <d v="2019-03-12T15:24:51"/>
    <x v="8"/>
    <n v="0"/>
    <n v="122"/>
    <n v="3855.3887090777862"/>
  </r>
  <r>
    <n v="514811"/>
    <x v="2"/>
    <s v="Bangalore"/>
    <x v="3"/>
    <s v=" KA"/>
    <x v="1"/>
    <x v="0"/>
    <x v="1"/>
    <x v="0"/>
    <d v="2019-03-07T15:50:17"/>
    <d v="2019-03-11T15:50:17"/>
    <d v="2019-03-14T15:50:17"/>
    <x v="6"/>
    <n v="0"/>
    <n v="127"/>
    <n v="1014.434720717705"/>
  </r>
  <r>
    <n v="158648"/>
    <x v="2"/>
    <s v="Delhi"/>
    <x v="2"/>
    <s v=" DL"/>
    <x v="0"/>
    <x v="0"/>
    <x v="0"/>
    <x v="0"/>
    <d v="2019-03-07T15:54:48"/>
    <d v="2019-03-10T15:54:48"/>
    <d v="2019-03-11T15:54:48"/>
    <x v="4"/>
    <n v="0"/>
    <n v="128"/>
    <n v="1741.1372300081021"/>
  </r>
  <r>
    <n v="385142"/>
    <x v="2"/>
    <s v="Bangalore"/>
    <x v="2"/>
    <s v=" DL"/>
    <x v="0"/>
    <x v="0"/>
    <x v="0"/>
    <x v="0"/>
    <d v="2019-03-07T16:42:44"/>
    <d v="2019-03-09T16:42:44"/>
    <d v="2019-03-13T16:42:44"/>
    <x v="0"/>
    <n v="79"/>
    <n v="108"/>
    <n v="3591.9579053355224"/>
  </r>
  <r>
    <n v="585346"/>
    <x v="2"/>
    <s v="Delhi"/>
    <x v="3"/>
    <s v=" KA"/>
    <x v="0"/>
    <x v="0"/>
    <x v="0"/>
    <x v="0"/>
    <d v="2019-03-07T16:54:05"/>
    <d v="2019-03-09T16:54:05"/>
    <d v="2019-03-14T16:54:05"/>
    <x v="0"/>
    <n v="78"/>
    <n v="102"/>
    <n v="3411.9989413811763"/>
  </r>
  <r>
    <n v="749799"/>
    <x v="2"/>
    <s v="Delhi"/>
    <x v="3"/>
    <s v=" KA"/>
    <x v="1"/>
    <x v="0"/>
    <x v="1"/>
    <x v="1"/>
    <d v="2019-03-07T17:31:28"/>
    <d v="2019-03-15T17:31:28"/>
    <d v="2019-03-14T17:31:28"/>
    <x v="5"/>
    <n v="35"/>
    <n v="127"/>
    <n v="3381.6557559463472"/>
  </r>
  <r>
    <n v="103461"/>
    <x v="2"/>
    <s v="Delhi"/>
    <x v="2"/>
    <s v=" DL"/>
    <x v="1"/>
    <x v="0"/>
    <x v="1"/>
    <x v="1"/>
    <d v="2019-03-07T18:46:23"/>
    <d v="2019-03-09T18:46:23"/>
    <d v="2019-03-11T18:46:23"/>
    <x v="0"/>
    <n v="0"/>
    <n v="127"/>
    <n v="2208.5988608419102"/>
  </r>
  <r>
    <n v="482609"/>
    <x v="2"/>
    <s v="Delhi"/>
    <x v="3"/>
    <s v=" KA"/>
    <x v="1"/>
    <x v="0"/>
    <x v="1"/>
    <x v="0"/>
    <d v="2019-03-07T19:23:14"/>
    <d v="2019-03-12T19:23:14"/>
    <d v="2019-03-13T19:23:14"/>
    <x v="9"/>
    <n v="29"/>
    <n v="120"/>
    <n v="2187.4931908236822"/>
  </r>
  <r>
    <n v="486278"/>
    <x v="2"/>
    <s v="Bangalore"/>
    <x v="0"/>
    <s v=" MH"/>
    <x v="2"/>
    <x v="0"/>
    <x v="0"/>
    <x v="0"/>
    <d v="2019-03-07T19:25:56"/>
    <d v="2019-03-16T19:25:56"/>
    <d v="2019-03-14T19:25:56"/>
    <x v="1"/>
    <n v="42"/>
    <n v="107"/>
    <n v="496.42123620453719"/>
  </r>
  <r>
    <n v="447957"/>
    <x v="2"/>
    <s v="Delhi"/>
    <x v="2"/>
    <s v=" DL"/>
    <x v="0"/>
    <x v="0"/>
    <x v="1"/>
    <x v="1"/>
    <d v="2019-03-07T19:36:53"/>
    <d v="2019-03-07T19:36:53"/>
    <d v="2019-03-12T19:36:53"/>
    <x v="10"/>
    <n v="0"/>
    <n v="105"/>
    <n v="2991.3167822427072"/>
  </r>
  <r>
    <n v="246929"/>
    <x v="2"/>
    <s v="Delhi"/>
    <x v="0"/>
    <s v=" MH"/>
    <x v="1"/>
    <x v="0"/>
    <x v="1"/>
    <x v="0"/>
    <d v="2019-03-07T19:52:47"/>
    <d v="2019-03-12T19:52:47"/>
    <d v="2019-03-13T19:52:47"/>
    <x v="9"/>
    <n v="26"/>
    <n v="110"/>
    <n v="409.17300412874494"/>
  </r>
  <r>
    <n v="314025"/>
    <x v="2"/>
    <s v="Delhi"/>
    <x v="0"/>
    <s v=" MH"/>
    <x v="1"/>
    <x v="0"/>
    <x v="1"/>
    <x v="1"/>
    <d v="2019-03-07T19:54:35"/>
    <d v="2019-03-10T19:54:35"/>
    <d v="2019-03-12T19:54:35"/>
    <x v="4"/>
    <n v="49"/>
    <n v="110"/>
    <n v="3158.5318012347498"/>
  </r>
  <r>
    <n v="133490"/>
    <x v="2"/>
    <s v="Delhi"/>
    <x v="3"/>
    <s v=" KA"/>
    <x v="0"/>
    <x v="0"/>
    <x v="0"/>
    <x v="0"/>
    <d v="2019-03-07T20:26:31"/>
    <d v="2019-03-11T20:26:31"/>
    <d v="2019-03-12T20:26:31"/>
    <x v="6"/>
    <n v="84"/>
    <n v="108"/>
    <n v="506"/>
  </r>
  <r>
    <n v="967181"/>
    <x v="2"/>
    <s v="Delhi"/>
    <x v="2"/>
    <s v=" DL"/>
    <x v="1"/>
    <x v="0"/>
    <x v="1"/>
    <x v="0"/>
    <d v="2019-03-07T20:27:09"/>
    <d v="2019-03-09T20:27:09"/>
    <d v="2019-03-13T20:27:09"/>
    <x v="0"/>
    <n v="0"/>
    <n v="120"/>
    <n v="1720.2453513098253"/>
  </r>
  <r>
    <n v="340379"/>
    <x v="2"/>
    <s v="Bangalore"/>
    <x v="2"/>
    <s v=" DL"/>
    <x v="1"/>
    <x v="0"/>
    <x v="1"/>
    <x v="0"/>
    <d v="2019-03-07T20:29:16"/>
    <d v="2019-03-13T20:29:16"/>
    <d v="2019-03-11T20:29:16"/>
    <x v="3"/>
    <n v="38"/>
    <n v="129"/>
    <n v="2078.2487996184359"/>
  </r>
  <r>
    <n v="319314"/>
    <x v="2"/>
    <s v="Delhi"/>
    <x v="4"/>
    <s v=" WB"/>
    <x v="2"/>
    <x v="0"/>
    <x v="0"/>
    <x v="1"/>
    <d v="2019-03-07T20:45:46"/>
    <d v="2019-03-12T20:45:46"/>
    <d v="2019-03-14T20:45:46"/>
    <x v="9"/>
    <n v="42"/>
    <n v="106"/>
    <n v="1873.3830618056625"/>
  </r>
  <r>
    <n v="567656"/>
    <x v="2"/>
    <s v="Delhi"/>
    <x v="3"/>
    <s v=" KA"/>
    <x v="0"/>
    <x v="0"/>
    <x v="0"/>
    <x v="0"/>
    <d v="2019-03-07T21:24:50"/>
    <d v="2019-03-09T21:24:50"/>
    <d v="2019-03-11T21:24:50"/>
    <x v="0"/>
    <n v="41"/>
    <n v="127"/>
    <n v="3631.7560990800562"/>
  </r>
  <r>
    <n v="958401"/>
    <x v="2"/>
    <s v="Delhi"/>
    <x v="0"/>
    <s v=" MH"/>
    <x v="0"/>
    <x v="0"/>
    <x v="1"/>
    <x v="1"/>
    <d v="2019-03-07T21:46:10"/>
    <d v="2019-03-13T21:46:10"/>
    <d v="2019-03-12T21:46:10"/>
    <x v="3"/>
    <n v="76"/>
    <n v="91"/>
    <n v="2611.5776388595891"/>
  </r>
  <r>
    <n v="370909"/>
    <x v="2"/>
    <s v="Bangalore"/>
    <x v="0"/>
    <s v=" MH"/>
    <x v="1"/>
    <x v="0"/>
    <x v="2"/>
    <x v="0"/>
    <d v="2019-03-07T21:58:04"/>
    <d v="2019-03-12T21:58:04"/>
    <d v="2019-03-10T21:58:04"/>
    <x v="9"/>
    <n v="37"/>
    <n v="112"/>
    <n v="2263"/>
  </r>
  <r>
    <n v="255096"/>
    <x v="2"/>
    <s v="Bangalore"/>
    <x v="0"/>
    <s v=" MH"/>
    <x v="0"/>
    <x v="0"/>
    <x v="0"/>
    <x v="1"/>
    <d v="2019-03-07T22:23:42"/>
    <d v="2019-03-13T22:23:42"/>
    <d v="2019-03-13T22:23:42"/>
    <x v="3"/>
    <n v="50"/>
    <n v="106"/>
    <n v="964.907255576333"/>
  </r>
  <r>
    <n v="405599"/>
    <x v="2"/>
    <s v="Delhi"/>
    <x v="0"/>
    <s v=" MH"/>
    <x v="1"/>
    <x v="0"/>
    <x v="1"/>
    <x v="0"/>
    <d v="2019-03-07T22:30:18"/>
    <d v="2019-03-14T22:30:18"/>
    <d v="2019-03-11T22:30:18"/>
    <x v="8"/>
    <n v="50"/>
    <n v="107"/>
    <n v="2467"/>
  </r>
  <r>
    <n v="501500"/>
    <x v="2"/>
    <s v="Delhi"/>
    <x v="0"/>
    <s v=" MH"/>
    <x v="0"/>
    <x v="0"/>
    <x v="0"/>
    <x v="0"/>
    <d v="2019-03-07T22:37:27"/>
    <d v="2019-03-09T22:37:27"/>
    <d v="2019-03-10T22:37:27"/>
    <x v="0"/>
    <n v="46"/>
    <n v="111"/>
    <n v="1078.4223075162342"/>
  </r>
  <r>
    <n v="897668"/>
    <x v="2"/>
    <s v="Delhi"/>
    <x v="4"/>
    <s v=" WB"/>
    <x v="0"/>
    <x v="0"/>
    <x v="0"/>
    <x v="0"/>
    <d v="2019-03-07T22:42:28"/>
    <d v="2019-03-15T22:42:28"/>
    <d v="2019-03-12T22:42:28"/>
    <x v="5"/>
    <n v="68"/>
    <n v="85"/>
    <n v="2883.1100830246605"/>
  </r>
  <r>
    <n v="568733"/>
    <x v="2"/>
    <s v="Delhi"/>
    <x v="2"/>
    <s v=" DL"/>
    <x v="1"/>
    <x v="0"/>
    <x v="1"/>
    <x v="0"/>
    <d v="2019-03-07T22:45:02"/>
    <d v="2019-03-14T22:45:02"/>
    <d v="2019-03-11T22:45:02"/>
    <x v="8"/>
    <n v="0"/>
    <n v="122"/>
    <n v="3244.8732688378827"/>
  </r>
  <r>
    <n v="766423"/>
    <x v="2"/>
    <s v="Delhi"/>
    <x v="3"/>
    <s v=" KA"/>
    <x v="1"/>
    <x v="0"/>
    <x v="2"/>
    <x v="0"/>
    <d v="2019-03-07T22:47:56"/>
    <d v="2019-03-15T22:47:56"/>
    <d v="2019-03-10T22:47:56"/>
    <x v="5"/>
    <n v="36"/>
    <n v="125"/>
    <n v="1724.753533421861"/>
  </r>
  <r>
    <n v="834859"/>
    <x v="2"/>
    <s v="Delhi"/>
    <x v="4"/>
    <s v=" WB"/>
    <x v="1"/>
    <x v="0"/>
    <x v="1"/>
    <x v="0"/>
    <d v="2019-03-07T22:48:06"/>
    <d v="2019-03-12T22:48:06"/>
    <d v="2019-03-11T22:48:06"/>
    <x v="9"/>
    <n v="50"/>
    <n v="108"/>
    <n v="2844.6163431705791"/>
  </r>
  <r>
    <n v="954841"/>
    <x v="2"/>
    <s v="Bangalore"/>
    <x v="0"/>
    <s v=" MH"/>
    <x v="1"/>
    <x v="0"/>
    <x v="1"/>
    <x v="0"/>
    <d v="2019-03-07T22:58:14"/>
    <d v="2019-03-14T22:58:14"/>
    <d v="2019-03-13T22:58:14"/>
    <x v="8"/>
    <n v="46"/>
    <n v="113"/>
    <n v="3052.7473875283872"/>
  </r>
  <r>
    <n v="510898"/>
    <x v="2"/>
    <s v="Delhi"/>
    <x v="2"/>
    <s v=" DL"/>
    <x v="2"/>
    <x v="0"/>
    <x v="0"/>
    <x v="0"/>
    <d v="2019-03-07T23:15:28"/>
    <d v="2019-03-14T23:15:28"/>
    <d v="2019-03-13T23:15:28"/>
    <x v="8"/>
    <n v="0"/>
    <n v="121"/>
    <n v="3178.9677362012108"/>
  </r>
  <r>
    <n v="110999"/>
    <x v="2"/>
    <s v="Delhi"/>
    <x v="0"/>
    <s v=" MH"/>
    <x v="1"/>
    <x v="0"/>
    <x v="2"/>
    <x v="0"/>
    <d v="2019-03-07T23:16:48"/>
    <d v="2019-03-12T23:16:48"/>
    <d v="2019-03-14T23:16:48"/>
    <x v="9"/>
    <n v="42"/>
    <n v="113"/>
    <n v="3660.31209277567"/>
  </r>
  <r>
    <n v="589840"/>
    <x v="2"/>
    <s v="Delhi"/>
    <x v="3"/>
    <s v=" KA"/>
    <x v="0"/>
    <x v="0"/>
    <x v="0"/>
    <x v="0"/>
    <d v="2019-03-07T23:16:59"/>
    <d v="2019-03-10T23:16:59"/>
    <d v="2019-03-14T23:16:59"/>
    <x v="4"/>
    <n v="43"/>
    <n v="128"/>
    <n v="363"/>
  </r>
  <r>
    <n v="718351"/>
    <x v="2"/>
    <s v="Bangalore"/>
    <x v="1"/>
    <s v=" TN"/>
    <x v="0"/>
    <x v="0"/>
    <x v="1"/>
    <x v="0"/>
    <d v="2019-03-07T23:27:54"/>
    <d v="2019-03-15T23:27:54"/>
    <d v="2019-03-10T23:27:54"/>
    <x v="5"/>
    <n v="76"/>
    <n v="106"/>
    <n v="2787.3578082471795"/>
  </r>
  <r>
    <n v="645212"/>
    <x v="2"/>
    <s v="Delhi"/>
    <x v="1"/>
    <s v=" TN"/>
    <x v="0"/>
    <x v="0"/>
    <x v="0"/>
    <x v="0"/>
    <d v="2019-03-07T23:33:05"/>
    <d v="2019-03-16T23:33:05"/>
    <d v="2019-03-13T23:33:05"/>
    <x v="1"/>
    <n v="43"/>
    <n v="128"/>
    <n v="290.92142244306882"/>
  </r>
  <r>
    <n v="333935"/>
    <x v="2"/>
    <s v="Delhi"/>
    <x v="0"/>
    <s v=" MH"/>
    <x v="0"/>
    <x v="0"/>
    <x v="2"/>
    <x v="0"/>
    <d v="2019-03-07T23:35:25"/>
    <d v="2019-03-13T23:35:25"/>
    <d v="2019-03-13T23:35:25"/>
    <x v="3"/>
    <n v="65"/>
    <n v="93"/>
    <n v="2913.990880746233"/>
  </r>
  <r>
    <n v="978806"/>
    <x v="2"/>
    <s v="Bangalore"/>
    <x v="4"/>
    <s v=" WB"/>
    <x v="2"/>
    <x v="0"/>
    <x v="0"/>
    <x v="0"/>
    <d v="2019-03-07T23:52:58"/>
    <d v="2019-03-09T23:52:58"/>
    <d v="2019-03-14T23:52:58"/>
    <x v="0"/>
    <n v="50"/>
    <n v="109"/>
    <n v="1371"/>
  </r>
  <r>
    <n v="303579"/>
    <x v="2"/>
    <s v="Delhi"/>
    <x v="0"/>
    <s v=" MH"/>
    <x v="1"/>
    <x v="0"/>
    <x v="1"/>
    <x v="1"/>
    <d v="2019-03-08T00:17:23"/>
    <d v="2019-03-11T00:17:23"/>
    <d v="2019-03-12T00:17:23"/>
    <x v="4"/>
    <n v="43"/>
    <n v="113"/>
    <n v="643.32843133907704"/>
  </r>
  <r>
    <n v="513228"/>
    <x v="2"/>
    <s v="Bangalore"/>
    <x v="4"/>
    <s v=" WB"/>
    <x v="0"/>
    <x v="0"/>
    <x v="0"/>
    <x v="1"/>
    <d v="2019-03-08T00:40:32"/>
    <d v="2019-03-16T00:40:32"/>
    <d v="2019-03-13T00:40:32"/>
    <x v="5"/>
    <n v="39"/>
    <n v="105"/>
    <n v="957"/>
  </r>
  <r>
    <n v="958990"/>
    <x v="2"/>
    <s v="Bangalore"/>
    <x v="1"/>
    <s v=" TN"/>
    <x v="0"/>
    <x v="0"/>
    <x v="0"/>
    <x v="0"/>
    <d v="2019-03-08T00:43:43"/>
    <d v="2019-03-15T00:43:43"/>
    <d v="2019-03-11T00:43:43"/>
    <x v="8"/>
    <n v="77"/>
    <n v="104"/>
    <n v="2363.9485181854411"/>
  </r>
  <r>
    <n v="777710"/>
    <x v="2"/>
    <s v="Delhi"/>
    <x v="2"/>
    <s v=" DL"/>
    <x v="2"/>
    <x v="0"/>
    <x v="0"/>
    <x v="0"/>
    <d v="2019-03-08T00:44:37"/>
    <d v="2019-03-15T00:44:37"/>
    <d v="2019-03-13T00:44:37"/>
    <x v="8"/>
    <n v="0"/>
    <n v="127"/>
    <n v="3515.0482503914536"/>
  </r>
  <r>
    <n v="698490"/>
    <x v="2"/>
    <s v="Delhi"/>
    <x v="1"/>
    <s v=" TN"/>
    <x v="2"/>
    <x v="0"/>
    <x v="0"/>
    <x v="1"/>
    <d v="2019-03-08T01:25:53"/>
    <d v="2019-03-10T01:25:53"/>
    <d v="2019-03-11T01:25:53"/>
    <x v="0"/>
    <n v="42"/>
    <n v="127"/>
    <n v="1660"/>
  </r>
  <r>
    <n v="489693"/>
    <x v="2"/>
    <s v="Delhi"/>
    <x v="3"/>
    <s v=" KA"/>
    <x v="0"/>
    <x v="0"/>
    <x v="1"/>
    <x v="1"/>
    <d v="2019-03-08T01:35:37"/>
    <d v="2019-03-10T01:35:37"/>
    <d v="2019-03-12T01:35:37"/>
    <x v="0"/>
    <n v="65"/>
    <n v="101"/>
    <n v="3493"/>
  </r>
  <r>
    <n v="348942"/>
    <x v="2"/>
    <s v="Bangalore"/>
    <x v="2"/>
    <s v=" DL"/>
    <x v="2"/>
    <x v="0"/>
    <x v="0"/>
    <x v="1"/>
    <d v="2019-03-08T02:10:12"/>
    <d v="2019-03-16T02:10:12"/>
    <d v="2019-03-12T02:10:12"/>
    <x v="5"/>
    <n v="47"/>
    <n v="124"/>
    <n v="886.9124656707595"/>
  </r>
  <r>
    <n v="6601"/>
    <x v="2"/>
    <s v="Bangalore"/>
    <x v="0"/>
    <s v=" MH"/>
    <x v="1"/>
    <x v="0"/>
    <x v="2"/>
    <x v="0"/>
    <d v="2019-03-08T02:11:15"/>
    <d v="2019-03-17T02:11:15"/>
    <d v="2019-03-15T02:11:15"/>
    <x v="1"/>
    <n v="25"/>
    <n v="114"/>
    <n v="1734"/>
  </r>
  <r>
    <n v="807081"/>
    <x v="2"/>
    <s v="Delhi"/>
    <x v="2"/>
    <s v=" DL"/>
    <x v="1"/>
    <x v="0"/>
    <x v="1"/>
    <x v="1"/>
    <d v="2019-03-08T02:14:40"/>
    <d v="2019-03-11T02:14:40"/>
    <d v="2019-03-11T02:14:40"/>
    <x v="4"/>
    <n v="0"/>
    <n v="129"/>
    <n v="3051.0049344073027"/>
  </r>
  <r>
    <n v="354298"/>
    <x v="2"/>
    <s v="Delhi"/>
    <x v="2"/>
    <s v=" DL"/>
    <x v="2"/>
    <x v="0"/>
    <x v="0"/>
    <x v="0"/>
    <d v="2019-03-08T02:33:04"/>
    <d v="2019-03-09T02:33:04"/>
    <d v="2019-03-13T02:33:04"/>
    <x v="2"/>
    <n v="0"/>
    <n v="121"/>
    <n v="2022.1597178136876"/>
  </r>
  <r>
    <n v="224348"/>
    <x v="2"/>
    <s v="Bangalore"/>
    <x v="3"/>
    <s v=" KA"/>
    <x v="0"/>
    <x v="0"/>
    <x v="0"/>
    <x v="0"/>
    <d v="2019-03-08T02:34:27"/>
    <d v="2019-03-09T02:34:27"/>
    <d v="2019-03-11T02:34:27"/>
    <x v="2"/>
    <n v="0"/>
    <n v="108"/>
    <n v="1970.4890733211053"/>
  </r>
  <r>
    <n v="670323"/>
    <x v="2"/>
    <s v="Bangalore"/>
    <x v="4"/>
    <s v=" WB"/>
    <x v="1"/>
    <x v="0"/>
    <x v="1"/>
    <x v="1"/>
    <d v="2019-03-08T03:11:53"/>
    <d v="2019-03-13T03:11:53"/>
    <d v="2019-03-15T03:11:53"/>
    <x v="9"/>
    <n v="28"/>
    <n v="110"/>
    <n v="3407.8360711928408"/>
  </r>
  <r>
    <n v="849865"/>
    <x v="2"/>
    <s v="Delhi"/>
    <x v="0"/>
    <s v=" MH"/>
    <x v="0"/>
    <x v="0"/>
    <x v="1"/>
    <x v="0"/>
    <d v="2019-03-08T03:21:21"/>
    <d v="2019-03-10T03:21:21"/>
    <d v="2019-03-11T03:21:21"/>
    <x v="0"/>
    <n v="63"/>
    <n v="88"/>
    <n v="1118.0736388785765"/>
  </r>
  <r>
    <n v="294657"/>
    <x v="2"/>
    <s v="Delhi"/>
    <x v="2"/>
    <s v=" DL"/>
    <x v="1"/>
    <x v="0"/>
    <x v="1"/>
    <x v="1"/>
    <d v="2019-03-08T03:45:50"/>
    <d v="2019-03-13T03:45:50"/>
    <d v="2019-03-12T03:45:50"/>
    <x v="9"/>
    <n v="0"/>
    <n v="128"/>
    <n v="1102"/>
  </r>
  <r>
    <n v="153422"/>
    <x v="2"/>
    <s v="Bangalore"/>
    <x v="2"/>
    <s v=" DL"/>
    <x v="0"/>
    <x v="0"/>
    <x v="0"/>
    <x v="0"/>
    <d v="2019-03-08T03:49:40"/>
    <d v="2019-03-13T03:49:40"/>
    <d v="2019-03-11T03:49:40"/>
    <x v="9"/>
    <n v="81"/>
    <n v="108"/>
    <n v="3594.2636754188693"/>
  </r>
  <r>
    <n v="525958"/>
    <x v="2"/>
    <s v="Delhi"/>
    <x v="0"/>
    <s v=" MH"/>
    <x v="2"/>
    <x v="0"/>
    <x v="0"/>
    <x v="0"/>
    <d v="2019-03-08T04:17:22"/>
    <d v="2019-03-12T04:17:22"/>
    <d v="2019-03-12T04:17:22"/>
    <x v="6"/>
    <n v="25"/>
    <n v="109"/>
    <n v="1214"/>
  </r>
  <r>
    <n v="261580"/>
    <x v="2"/>
    <s v="Delhi"/>
    <x v="2"/>
    <s v=" DL"/>
    <x v="0"/>
    <x v="0"/>
    <x v="0"/>
    <x v="0"/>
    <d v="2019-03-08T04:28:44"/>
    <d v="2019-03-13T04:28:44"/>
    <d v="2019-03-14T04:28:44"/>
    <x v="9"/>
    <n v="0"/>
    <n v="105"/>
    <n v="913.11684513007333"/>
  </r>
  <r>
    <n v="200473"/>
    <x v="2"/>
    <s v="Bangalore"/>
    <x v="3"/>
    <s v=" KA"/>
    <x v="1"/>
    <x v="0"/>
    <x v="2"/>
    <x v="0"/>
    <d v="2019-03-08T04:41:02"/>
    <d v="2019-03-10T04:41:02"/>
    <d v="2019-03-13T04:41:02"/>
    <x v="0"/>
    <n v="0"/>
    <n v="121"/>
    <n v="547"/>
  </r>
  <r>
    <n v="387940"/>
    <x v="2"/>
    <s v="Bangalore"/>
    <x v="4"/>
    <s v=" WB"/>
    <x v="0"/>
    <x v="0"/>
    <x v="0"/>
    <x v="0"/>
    <d v="2019-03-08T04:56:50"/>
    <d v="2019-03-12T04:56:50"/>
    <d v="2019-03-15T04:56:50"/>
    <x v="6"/>
    <n v="37"/>
    <n v="106"/>
    <n v="1967.1161890587696"/>
  </r>
  <r>
    <n v="222135"/>
    <x v="2"/>
    <s v="Bangalore"/>
    <x v="0"/>
    <s v=" MH"/>
    <x v="1"/>
    <x v="0"/>
    <x v="1"/>
    <x v="1"/>
    <d v="2019-03-08T05:38:51"/>
    <d v="2019-03-13T05:38:51"/>
    <d v="2019-03-13T05:38:51"/>
    <x v="9"/>
    <n v="33"/>
    <n v="109"/>
    <n v="3382"/>
  </r>
  <r>
    <n v="537249"/>
    <x v="2"/>
    <s v="Bangalore"/>
    <x v="0"/>
    <s v=" MH"/>
    <x v="1"/>
    <x v="0"/>
    <x v="1"/>
    <x v="1"/>
    <d v="2019-03-08T06:23:34"/>
    <d v="2019-03-17T06:23:34"/>
    <d v="2019-03-14T06:23:34"/>
    <x v="1"/>
    <n v="50"/>
    <n v="115"/>
    <n v="1059"/>
  </r>
  <r>
    <n v="324039"/>
    <x v="2"/>
    <s v="Delhi"/>
    <x v="4"/>
    <s v=" WB"/>
    <x v="1"/>
    <x v="0"/>
    <x v="1"/>
    <x v="1"/>
    <d v="2019-03-08T06:56:21"/>
    <d v="2019-03-14T06:56:21"/>
    <d v="2019-03-15T06:56:21"/>
    <x v="3"/>
    <n v="46"/>
    <n v="113"/>
    <n v="614.57816456474256"/>
  </r>
  <r>
    <n v="134807"/>
    <x v="2"/>
    <s v="Delhi"/>
    <x v="1"/>
    <s v=" TN"/>
    <x v="1"/>
    <x v="0"/>
    <x v="1"/>
    <x v="0"/>
    <d v="2019-03-08T07:06:11"/>
    <d v="2019-03-10T07:06:11"/>
    <d v="2019-03-11T07:06:11"/>
    <x v="0"/>
    <n v="33"/>
    <n v="125"/>
    <n v="987"/>
  </r>
  <r>
    <n v="485862"/>
    <x v="2"/>
    <s v="Delhi"/>
    <x v="3"/>
    <s v=" KA"/>
    <x v="0"/>
    <x v="0"/>
    <x v="0"/>
    <x v="1"/>
    <d v="2019-03-08T07:29:57"/>
    <d v="2019-03-10T07:29:57"/>
    <d v="2019-03-15T07:29:57"/>
    <x v="0"/>
    <n v="81"/>
    <n v="110"/>
    <n v="3627.4366599697614"/>
  </r>
  <r>
    <n v="314644"/>
    <x v="2"/>
    <s v="Bangalore"/>
    <x v="1"/>
    <s v=" TN"/>
    <x v="0"/>
    <x v="0"/>
    <x v="0"/>
    <x v="0"/>
    <d v="2019-03-08T07:52:56"/>
    <d v="2019-03-18T07:52:56"/>
    <d v="2019-03-13T07:52:56"/>
    <x v="7"/>
    <n v="38"/>
    <n v="123"/>
    <n v="1502.3677941298029"/>
  </r>
  <r>
    <n v="807029"/>
    <x v="2"/>
    <s v="Delhi"/>
    <x v="1"/>
    <s v=" TN"/>
    <x v="1"/>
    <x v="0"/>
    <x v="1"/>
    <x v="0"/>
    <d v="2019-03-08T08:01:51"/>
    <d v="2019-03-15T08:01:51"/>
    <d v="2019-03-13T08:01:51"/>
    <x v="8"/>
    <n v="35"/>
    <n v="125"/>
    <n v="3304.4884765057777"/>
  </r>
  <r>
    <n v="84022"/>
    <x v="2"/>
    <s v="Delhi"/>
    <x v="4"/>
    <s v=" WB"/>
    <x v="0"/>
    <x v="0"/>
    <x v="0"/>
    <x v="0"/>
    <d v="2019-03-08T08:10:16"/>
    <d v="2019-03-12T08:10:16"/>
    <d v="2019-03-12T08:10:16"/>
    <x v="6"/>
    <n v="84"/>
    <n v="89"/>
    <n v="999.13934771268634"/>
  </r>
  <r>
    <n v="704930"/>
    <x v="2"/>
    <s v="Bangalore"/>
    <x v="1"/>
    <s v=" TN"/>
    <x v="2"/>
    <x v="0"/>
    <x v="0"/>
    <x v="0"/>
    <d v="2019-03-08T08:11:16"/>
    <d v="2019-03-10T08:11:16"/>
    <d v="2019-03-11T08:11:16"/>
    <x v="0"/>
    <n v="39"/>
    <n v="122"/>
    <n v="2961"/>
  </r>
  <r>
    <n v="643924"/>
    <x v="2"/>
    <s v="Bangalore"/>
    <x v="0"/>
    <s v=" MH"/>
    <x v="0"/>
    <x v="0"/>
    <x v="0"/>
    <x v="0"/>
    <d v="2019-03-08T08:24:09"/>
    <d v="2019-03-10T08:24:09"/>
    <d v="2019-03-13T08:24:09"/>
    <x v="0"/>
    <n v="72"/>
    <n v="89"/>
    <n v="831.85993215742531"/>
  </r>
  <r>
    <n v="389317"/>
    <x v="2"/>
    <s v="Delhi"/>
    <x v="0"/>
    <s v=" MH"/>
    <x v="1"/>
    <x v="0"/>
    <x v="1"/>
    <x v="0"/>
    <d v="2019-03-08T08:42:30"/>
    <d v="2019-03-14T08:42:30"/>
    <d v="2019-03-12T08:42:30"/>
    <x v="3"/>
    <n v="47"/>
    <n v="108"/>
    <n v="555.85658254914688"/>
  </r>
  <r>
    <n v="306131"/>
    <x v="2"/>
    <s v="Bangalore"/>
    <x v="2"/>
    <s v=" DL"/>
    <x v="1"/>
    <x v="0"/>
    <x v="2"/>
    <x v="0"/>
    <d v="2019-03-08T08:44:46"/>
    <d v="2019-03-14T08:44:46"/>
    <d v="2019-03-11T08:44:46"/>
    <x v="3"/>
    <n v="42"/>
    <n v="127"/>
    <n v="2340.1803165462707"/>
  </r>
  <r>
    <n v="479581"/>
    <x v="2"/>
    <s v="Bangalore"/>
    <x v="0"/>
    <s v=" MH"/>
    <x v="0"/>
    <x v="0"/>
    <x v="1"/>
    <x v="0"/>
    <d v="2019-03-08T08:58:18"/>
    <d v="2019-03-10T08:58:18"/>
    <d v="2019-03-15T08:58:18"/>
    <x v="0"/>
    <n v="76"/>
    <n v="88"/>
    <n v="2941"/>
  </r>
  <r>
    <n v="879271"/>
    <x v="2"/>
    <s v="Delhi"/>
    <x v="0"/>
    <s v=" MH"/>
    <x v="1"/>
    <x v="0"/>
    <x v="1"/>
    <x v="0"/>
    <d v="2019-03-08T09:09:44"/>
    <d v="2019-03-14T09:09:44"/>
    <d v="2019-03-15T09:09:44"/>
    <x v="3"/>
    <n v="26"/>
    <n v="105"/>
    <n v="1174.4788500921886"/>
  </r>
  <r>
    <n v="46551"/>
    <x v="2"/>
    <s v="Delhi"/>
    <x v="0"/>
    <s v=" MH"/>
    <x v="1"/>
    <x v="0"/>
    <x v="1"/>
    <x v="1"/>
    <d v="2019-03-08T09:17:38"/>
    <d v="2019-03-16T09:17:38"/>
    <d v="2019-03-12T09:17:38"/>
    <x v="5"/>
    <n v="39"/>
    <n v="110"/>
    <n v="2760.9760724177477"/>
  </r>
  <r>
    <n v="16308"/>
    <x v="2"/>
    <s v="Delhi"/>
    <x v="3"/>
    <s v=" KA"/>
    <x v="0"/>
    <x v="0"/>
    <x v="0"/>
    <x v="1"/>
    <d v="2019-03-08T09:19:14"/>
    <d v="2019-03-12T09:19:14"/>
    <d v="2019-03-11T09:19:14"/>
    <x v="6"/>
    <n v="50"/>
    <n v="127"/>
    <n v="1001"/>
  </r>
  <r>
    <n v="326644"/>
    <x v="2"/>
    <s v="Bangalore"/>
    <x v="4"/>
    <s v=" WB"/>
    <x v="0"/>
    <x v="0"/>
    <x v="0"/>
    <x v="0"/>
    <d v="2019-03-08T09:42:07"/>
    <d v="2019-03-11T09:42:07"/>
    <d v="2019-03-11T09:42:07"/>
    <x v="4"/>
    <n v="35"/>
    <n v="113"/>
    <n v="3238"/>
  </r>
  <r>
    <n v="477243"/>
    <x v="2"/>
    <s v="Delhi"/>
    <x v="2"/>
    <s v=" DL"/>
    <x v="1"/>
    <x v="0"/>
    <x v="1"/>
    <x v="1"/>
    <d v="2019-03-08T10:10:49"/>
    <d v="2019-03-12T10:10:49"/>
    <d v="2019-03-12T10:10:49"/>
    <x v="6"/>
    <n v="0"/>
    <n v="128"/>
    <n v="1493.0590724931481"/>
  </r>
  <r>
    <n v="598438"/>
    <x v="2"/>
    <s v="Delhi"/>
    <x v="0"/>
    <s v=" MH"/>
    <x v="2"/>
    <x v="0"/>
    <x v="0"/>
    <x v="0"/>
    <d v="2019-03-08T10:34:28"/>
    <d v="2019-03-11T10:34:28"/>
    <d v="2019-03-13T10:34:28"/>
    <x v="4"/>
    <n v="37"/>
    <n v="109"/>
    <n v="770.28556918516369"/>
  </r>
  <r>
    <n v="589005"/>
    <x v="2"/>
    <s v="Bangalore"/>
    <x v="1"/>
    <s v=" TN"/>
    <x v="1"/>
    <x v="0"/>
    <x v="1"/>
    <x v="1"/>
    <d v="2019-03-08T10:43:38"/>
    <d v="2019-03-10T10:43:38"/>
    <d v="2019-03-15T10:43:38"/>
    <x v="0"/>
    <n v="43"/>
    <n v="130"/>
    <n v="3387.4699874876605"/>
  </r>
  <r>
    <n v="286888"/>
    <x v="2"/>
    <s v="Bangalore"/>
    <x v="0"/>
    <s v=" MH"/>
    <x v="0"/>
    <x v="0"/>
    <x v="0"/>
    <x v="0"/>
    <d v="2019-03-08T10:51:16"/>
    <d v="2019-03-13T10:51:16"/>
    <d v="2019-03-14T10:51:16"/>
    <x v="9"/>
    <n v="44"/>
    <n v="108"/>
    <n v="3812.3346189585686"/>
  </r>
  <r>
    <n v="753414"/>
    <x v="2"/>
    <s v="Delhi"/>
    <x v="3"/>
    <s v=" KA"/>
    <x v="2"/>
    <x v="0"/>
    <x v="0"/>
    <x v="1"/>
    <d v="2019-03-08T11:01:40"/>
    <d v="2019-03-14T11:01:40"/>
    <d v="2019-03-11T11:01:40"/>
    <x v="3"/>
    <n v="32"/>
    <n v="128"/>
    <n v="2032"/>
  </r>
  <r>
    <n v="10346"/>
    <x v="2"/>
    <s v="Delhi"/>
    <x v="2"/>
    <s v=" DL"/>
    <x v="2"/>
    <x v="0"/>
    <x v="0"/>
    <x v="0"/>
    <d v="2019-03-08T11:12:30"/>
    <d v="2019-03-12T11:12:30"/>
    <d v="2019-03-15T11:12:30"/>
    <x v="6"/>
    <n v="0"/>
    <n v="123"/>
    <n v="3191.4606122047435"/>
  </r>
  <r>
    <n v="722263"/>
    <x v="2"/>
    <s v="Delhi"/>
    <x v="2"/>
    <s v=" DL"/>
    <x v="1"/>
    <x v="0"/>
    <x v="1"/>
    <x v="0"/>
    <d v="2019-03-08T11:18:30"/>
    <d v="2019-03-10T11:18:30"/>
    <d v="2019-03-11T11:18:30"/>
    <x v="0"/>
    <n v="0"/>
    <n v="127"/>
    <n v="896.32708759257173"/>
  </r>
  <r>
    <n v="956996"/>
    <x v="2"/>
    <s v="Delhi"/>
    <x v="3"/>
    <s v=" KA"/>
    <x v="0"/>
    <x v="0"/>
    <x v="0"/>
    <x v="0"/>
    <d v="2019-03-08T11:33:56"/>
    <d v="2019-03-11T11:33:56"/>
    <d v="2019-03-13T11:33:56"/>
    <x v="4"/>
    <n v="44"/>
    <n v="129"/>
    <n v="2503"/>
  </r>
  <r>
    <n v="644994"/>
    <x v="2"/>
    <s v="Bangalore"/>
    <x v="0"/>
    <s v=" MH"/>
    <x v="2"/>
    <x v="0"/>
    <x v="0"/>
    <x v="1"/>
    <d v="2019-03-08T11:50:09"/>
    <d v="2019-03-16T11:50:09"/>
    <d v="2019-03-11T11:50:09"/>
    <x v="5"/>
    <n v="33"/>
    <n v="106"/>
    <n v="253.59051265359341"/>
  </r>
  <r>
    <n v="181475"/>
    <x v="2"/>
    <s v="Delhi"/>
    <x v="3"/>
    <s v=" KA"/>
    <x v="1"/>
    <x v="0"/>
    <x v="2"/>
    <x v="0"/>
    <d v="2019-03-08T11:52:22"/>
    <d v="2019-03-12T11:52:22"/>
    <d v="2019-03-12T11:52:22"/>
    <x v="6"/>
    <n v="44"/>
    <n v="124"/>
    <n v="3109.9841828445155"/>
  </r>
  <r>
    <n v="791294"/>
    <x v="2"/>
    <s v="Bangalore"/>
    <x v="3"/>
    <s v=" KA"/>
    <x v="2"/>
    <x v="0"/>
    <x v="0"/>
    <x v="0"/>
    <d v="2019-03-08T12:16:22"/>
    <d v="2019-03-09T12:16:22"/>
    <d v="2019-03-11T12:16:22"/>
    <x v="2"/>
    <n v="0"/>
    <n v="126"/>
    <n v="3109"/>
  </r>
  <r>
    <n v="531040"/>
    <x v="2"/>
    <s v="Bangalore"/>
    <x v="0"/>
    <s v=" MH"/>
    <x v="0"/>
    <x v="0"/>
    <x v="0"/>
    <x v="0"/>
    <d v="2019-03-08T12:22:51"/>
    <d v="2019-03-10T12:22:51"/>
    <d v="2019-03-13T12:22:51"/>
    <x v="0"/>
    <n v="29"/>
    <n v="114"/>
    <n v="2145.73111248839"/>
  </r>
  <r>
    <n v="62724"/>
    <x v="2"/>
    <s v="Delhi"/>
    <x v="2"/>
    <s v=" DL"/>
    <x v="0"/>
    <x v="0"/>
    <x v="0"/>
    <x v="1"/>
    <d v="2019-03-08T12:44:11"/>
    <d v="2019-03-10T12:44:11"/>
    <d v="2019-03-15T12:44:11"/>
    <x v="0"/>
    <n v="0"/>
    <n v="121"/>
    <n v="3208.0490068719969"/>
  </r>
  <r>
    <n v="222439"/>
    <x v="2"/>
    <s v="Delhi"/>
    <x v="3"/>
    <s v=" KA"/>
    <x v="1"/>
    <x v="0"/>
    <x v="2"/>
    <x v="0"/>
    <d v="2019-03-08T12:52:37"/>
    <d v="2019-03-18T12:52:37"/>
    <d v="2019-03-12T12:52:37"/>
    <x v="7"/>
    <n v="9999"/>
    <n v="122"/>
    <n v="1166.0845689751311"/>
  </r>
  <r>
    <n v="941357"/>
    <x v="2"/>
    <s v="Delhi"/>
    <x v="0"/>
    <s v=" MH"/>
    <x v="0"/>
    <x v="0"/>
    <x v="1"/>
    <x v="0"/>
    <d v="2019-03-08T12:53:59"/>
    <d v="2019-03-10T12:53:59"/>
    <d v="2019-03-14T12:53:59"/>
    <x v="0"/>
    <n v="77"/>
    <n v="90"/>
    <n v="2950.7155365196036"/>
  </r>
  <r>
    <n v="87420"/>
    <x v="2"/>
    <s v="Delhi"/>
    <x v="2"/>
    <s v=" DL"/>
    <x v="0"/>
    <x v="0"/>
    <x v="0"/>
    <x v="1"/>
    <d v="2019-03-08T13:26:48"/>
    <d v="2019-03-12T13:26:48"/>
    <d v="2019-03-13T13:26:48"/>
    <x v="6"/>
    <n v="0"/>
    <n v="123"/>
    <n v="2651"/>
  </r>
  <r>
    <n v="926500"/>
    <x v="2"/>
    <s v="Delhi"/>
    <x v="0"/>
    <s v=" MH"/>
    <x v="0"/>
    <x v="0"/>
    <x v="0"/>
    <x v="0"/>
    <d v="2019-03-08T13:29:05"/>
    <d v="2019-03-13T13:29:05"/>
    <d v="2019-03-11T13:29:05"/>
    <x v="9"/>
    <n v="34"/>
    <n v="114"/>
    <n v="2880"/>
  </r>
  <r>
    <n v="908850"/>
    <x v="2"/>
    <s v="Bangalore"/>
    <x v="4"/>
    <s v=" WB"/>
    <x v="0"/>
    <x v="0"/>
    <x v="0"/>
    <x v="1"/>
    <d v="2019-03-08T13:30:15"/>
    <d v="2019-03-13T13:30:15"/>
    <d v="2019-03-14T13:30:15"/>
    <x v="9"/>
    <n v="62"/>
    <n v="88"/>
    <n v="1024.629040905314"/>
  </r>
  <r>
    <n v="57980"/>
    <x v="2"/>
    <s v="Delhi"/>
    <x v="4"/>
    <s v=" WB"/>
    <x v="0"/>
    <x v="0"/>
    <x v="0"/>
    <x v="0"/>
    <d v="2019-03-08T13:37:45"/>
    <d v="2019-03-15T13:37:45"/>
    <d v="2019-03-12T13:37:45"/>
    <x v="8"/>
    <n v="42"/>
    <n v="113"/>
    <n v="3113"/>
  </r>
  <r>
    <n v="14498"/>
    <x v="2"/>
    <s v="Bangalore"/>
    <x v="0"/>
    <s v=" MH"/>
    <x v="2"/>
    <x v="0"/>
    <x v="0"/>
    <x v="0"/>
    <d v="2019-03-08T13:41:13"/>
    <d v="2019-03-14T13:41:13"/>
    <d v="2019-03-12T13:41:13"/>
    <x v="3"/>
    <n v="41"/>
    <n v="113"/>
    <n v="651.59886970031766"/>
  </r>
  <r>
    <n v="751709"/>
    <x v="2"/>
    <s v="Bangalore"/>
    <x v="0"/>
    <s v=" MH"/>
    <x v="1"/>
    <x v="0"/>
    <x v="2"/>
    <x v="0"/>
    <d v="2019-03-08T14:07:00"/>
    <d v="2019-03-11T14:07:00"/>
    <d v="2019-03-13T14:07:00"/>
    <x v="4"/>
    <n v="50"/>
    <n v="106"/>
    <n v="426.77892339352718"/>
  </r>
  <r>
    <n v="369968"/>
    <x v="2"/>
    <s v="Delhi"/>
    <x v="0"/>
    <s v=" MH"/>
    <x v="0"/>
    <x v="0"/>
    <x v="0"/>
    <x v="0"/>
    <d v="2019-03-08T14:08:09"/>
    <d v="2019-03-14T14:08:09"/>
    <d v="2019-03-13T14:08:09"/>
    <x v="3"/>
    <n v="41"/>
    <n v="112"/>
    <n v="1105.3650737262983"/>
  </r>
  <r>
    <n v="858194"/>
    <x v="2"/>
    <s v="Bangalore"/>
    <x v="3"/>
    <s v=" KA"/>
    <x v="2"/>
    <x v="0"/>
    <x v="0"/>
    <x v="0"/>
    <d v="2019-03-08T14:11:22"/>
    <d v="2019-03-14T14:11:22"/>
    <d v="2019-03-12T14:11:22"/>
    <x v="3"/>
    <n v="0"/>
    <n v="127"/>
    <n v="2521"/>
  </r>
  <r>
    <n v="264349"/>
    <x v="2"/>
    <s v="Bangalore"/>
    <x v="2"/>
    <s v=" DL"/>
    <x v="1"/>
    <x v="0"/>
    <x v="1"/>
    <x v="0"/>
    <d v="2019-03-08T14:39:16"/>
    <d v="2019-03-11T14:39:16"/>
    <d v="2019-03-14T14:39:16"/>
    <x v="4"/>
    <n v="44"/>
    <n v="121"/>
    <n v="3043.2536541130467"/>
  </r>
  <r>
    <n v="54647"/>
    <x v="2"/>
    <s v="Bangalore"/>
    <x v="3"/>
    <s v=" KA"/>
    <x v="1"/>
    <x v="0"/>
    <x v="1"/>
    <x v="0"/>
    <d v="2019-03-08T15:30:30"/>
    <d v="2019-03-14T15:30:30"/>
    <d v="2019-03-15T15:30:30"/>
    <x v="3"/>
    <n v="0"/>
    <n v="126"/>
    <n v="302.81727693144882"/>
  </r>
  <r>
    <n v="610804"/>
    <x v="2"/>
    <s v="Delhi"/>
    <x v="0"/>
    <s v=" MH"/>
    <x v="0"/>
    <x v="0"/>
    <x v="0"/>
    <x v="0"/>
    <d v="2019-03-08T15:38:59"/>
    <d v="2019-03-12T15:38:59"/>
    <d v="2019-03-13T15:38:59"/>
    <x v="6"/>
    <n v="33"/>
    <n v="106"/>
    <n v="2592.2442495850205"/>
  </r>
  <r>
    <n v="191431"/>
    <x v="2"/>
    <s v="Bangalore"/>
    <x v="2"/>
    <s v=" DL"/>
    <x v="1"/>
    <x v="0"/>
    <x v="1"/>
    <x v="0"/>
    <d v="2019-03-08T15:47:42"/>
    <d v="2019-03-16T15:47:42"/>
    <d v="2019-03-13T15:47:42"/>
    <x v="5"/>
    <n v="37"/>
    <n v="123"/>
    <n v="2788.4969041525069"/>
  </r>
  <r>
    <n v="737489"/>
    <x v="2"/>
    <s v="Delhi"/>
    <x v="1"/>
    <s v=" TN"/>
    <x v="1"/>
    <x v="0"/>
    <x v="1"/>
    <x v="0"/>
    <d v="2019-03-08T15:53:31"/>
    <d v="2019-03-11T15:53:31"/>
    <d v="2019-03-15T15:53:31"/>
    <x v="4"/>
    <n v="37"/>
    <n v="122"/>
    <n v="1429.4514695173079"/>
  </r>
  <r>
    <n v="768910"/>
    <x v="2"/>
    <s v="Bangalore"/>
    <x v="1"/>
    <s v=" TN"/>
    <x v="0"/>
    <x v="0"/>
    <x v="0"/>
    <x v="0"/>
    <d v="2019-03-08T16:40:35"/>
    <d v="2019-03-16T16:40:35"/>
    <d v="2019-03-13T16:40:35"/>
    <x v="5"/>
    <n v="72"/>
    <n v="100"/>
    <n v="2195.6117097699698"/>
  </r>
  <r>
    <n v="835666"/>
    <x v="2"/>
    <s v="Delhi"/>
    <x v="4"/>
    <s v=" WB"/>
    <x v="2"/>
    <x v="0"/>
    <x v="0"/>
    <x v="0"/>
    <d v="2019-03-08T16:53:12"/>
    <d v="2019-03-10T16:53:12"/>
    <d v="2019-03-13T16:53:12"/>
    <x v="0"/>
    <n v="30"/>
    <n v="108"/>
    <n v="2450"/>
  </r>
  <r>
    <n v="69811"/>
    <x v="2"/>
    <s v="Bangalore"/>
    <x v="0"/>
    <s v=" MH"/>
    <x v="1"/>
    <x v="0"/>
    <x v="2"/>
    <x v="0"/>
    <d v="2019-03-08T17:27:30"/>
    <d v="2019-03-16T17:27:30"/>
    <d v="2019-03-11T17:27:30"/>
    <x v="5"/>
    <n v="43"/>
    <n v="109"/>
    <n v="439.6467495337821"/>
  </r>
  <r>
    <n v="519807"/>
    <x v="2"/>
    <s v="Bangalore"/>
    <x v="3"/>
    <s v=" KA"/>
    <x v="0"/>
    <x v="0"/>
    <x v="1"/>
    <x v="1"/>
    <d v="2019-03-08T17:36:01"/>
    <d v="2019-03-12T17:36:01"/>
    <d v="2019-03-13T17:36:01"/>
    <x v="6"/>
    <n v="0"/>
    <n v="109"/>
    <n v="2001.6860936541416"/>
  </r>
  <r>
    <n v="517745"/>
    <x v="2"/>
    <s v="Bangalore"/>
    <x v="2"/>
    <s v=" DL"/>
    <x v="1"/>
    <x v="0"/>
    <x v="1"/>
    <x v="0"/>
    <d v="2019-03-08T17:41:15"/>
    <d v="2019-03-17T17:41:15"/>
    <d v="2019-03-15T17:41:15"/>
    <x v="1"/>
    <n v="40"/>
    <n v="128"/>
    <n v="2607.1050390206447"/>
  </r>
  <r>
    <n v="195010"/>
    <x v="2"/>
    <s v="Bangalore"/>
    <x v="0"/>
    <s v=" MH"/>
    <x v="2"/>
    <x v="0"/>
    <x v="0"/>
    <x v="0"/>
    <d v="2019-03-08T17:59:16"/>
    <d v="2019-03-11T17:59:16"/>
    <d v="2019-03-13T17:59:16"/>
    <x v="4"/>
    <n v="30"/>
    <n v="112"/>
    <n v="1950"/>
  </r>
  <r>
    <n v="292338"/>
    <x v="2"/>
    <s v="Bangalore"/>
    <x v="2"/>
    <s v=" DL"/>
    <x v="0"/>
    <x v="0"/>
    <x v="0"/>
    <x v="1"/>
    <d v="2019-03-08T18:06:26"/>
    <d v="2019-03-10T18:06:26"/>
    <d v="2019-03-12T18:06:26"/>
    <x v="0"/>
    <n v="78"/>
    <n v="110"/>
    <n v="2234.6432211707283"/>
  </r>
  <r>
    <n v="41093"/>
    <x v="2"/>
    <s v="Delhi"/>
    <x v="2"/>
    <s v=" DL"/>
    <x v="1"/>
    <x v="0"/>
    <x v="1"/>
    <x v="0"/>
    <d v="2019-03-08T18:25:04"/>
    <d v="2019-03-10T18:25:04"/>
    <d v="2019-03-13T18:25:04"/>
    <x v="0"/>
    <n v="0"/>
    <n v="121"/>
    <n v="3018.6854988831769"/>
  </r>
  <r>
    <n v="34816"/>
    <x v="2"/>
    <s v="Bangalore"/>
    <x v="1"/>
    <s v=" TN"/>
    <x v="0"/>
    <x v="0"/>
    <x v="0"/>
    <x v="0"/>
    <d v="2019-03-08T19:02:16"/>
    <d v="2019-03-12T19:02:16"/>
    <d v="2019-03-12T19:02:16"/>
    <x v="6"/>
    <n v="65"/>
    <n v="109"/>
    <n v="2040.3643796372896"/>
  </r>
  <r>
    <n v="685596"/>
    <x v="2"/>
    <s v="Delhi"/>
    <x v="3"/>
    <s v=" KA"/>
    <x v="0"/>
    <x v="0"/>
    <x v="0"/>
    <x v="1"/>
    <d v="2019-03-08T19:02:25"/>
    <d v="2019-03-13T19:02:25"/>
    <d v="2019-03-14T19:02:25"/>
    <x v="9"/>
    <n v="85"/>
    <n v="100"/>
    <n v="2983"/>
  </r>
  <r>
    <n v="671996"/>
    <x v="2"/>
    <s v="Delhi"/>
    <x v="0"/>
    <s v=" MH"/>
    <x v="0"/>
    <x v="0"/>
    <x v="0"/>
    <x v="0"/>
    <d v="2019-03-08T19:43:58"/>
    <d v="2019-03-12T19:43:58"/>
    <d v="2019-03-14T19:43:58"/>
    <x v="6"/>
    <n v="56"/>
    <n v="90"/>
    <n v="2924.510273651194"/>
  </r>
  <r>
    <n v="950748"/>
    <x v="2"/>
    <s v="Delhi"/>
    <x v="1"/>
    <s v=" TN"/>
    <x v="0"/>
    <x v="0"/>
    <x v="0"/>
    <x v="1"/>
    <d v="2019-03-08T19:54:16"/>
    <d v="2019-03-14T19:54:16"/>
    <d v="2019-03-13T19:54:16"/>
    <x v="3"/>
    <n v="72"/>
    <n v="101"/>
    <n v="1806.895595339726"/>
  </r>
  <r>
    <n v="190170"/>
    <x v="2"/>
    <s v="Bangalore"/>
    <x v="0"/>
    <s v=" MH"/>
    <x v="2"/>
    <x v="0"/>
    <x v="0"/>
    <x v="1"/>
    <d v="2019-03-08T19:58:06"/>
    <d v="2019-03-13T19:58:06"/>
    <d v="2019-03-13T19:58:06"/>
    <x v="9"/>
    <n v="33"/>
    <n v="106"/>
    <n v="1019"/>
  </r>
  <r>
    <n v="798376"/>
    <x v="2"/>
    <s v="Delhi"/>
    <x v="4"/>
    <s v=" WB"/>
    <x v="0"/>
    <x v="0"/>
    <x v="0"/>
    <x v="0"/>
    <d v="2019-03-08T20:04:59"/>
    <d v="2019-03-16T20:04:59"/>
    <d v="2019-03-13T20:04:59"/>
    <x v="5"/>
    <n v="41"/>
    <n v="109"/>
    <n v="2544"/>
  </r>
  <r>
    <n v="891134"/>
    <x v="2"/>
    <s v="Bangalore"/>
    <x v="0"/>
    <s v=" MH"/>
    <x v="2"/>
    <x v="0"/>
    <x v="0"/>
    <x v="0"/>
    <d v="2019-03-08T20:09:33"/>
    <d v="2019-03-12T20:09:33"/>
    <d v="2019-03-11T20:09:33"/>
    <x v="6"/>
    <n v="48"/>
    <n v="108"/>
    <n v="1320"/>
  </r>
  <r>
    <n v="516682"/>
    <x v="2"/>
    <s v="Bangalore"/>
    <x v="0"/>
    <s v=" MH"/>
    <x v="2"/>
    <x v="0"/>
    <x v="0"/>
    <x v="0"/>
    <d v="2019-03-08T20:54:08"/>
    <d v="2019-03-16T20:54:08"/>
    <d v="2019-03-15T20:54:08"/>
    <x v="5"/>
    <n v="33"/>
    <n v="113"/>
    <n v="2410.6293087205936"/>
  </r>
  <r>
    <n v="298859"/>
    <x v="2"/>
    <s v="Delhi"/>
    <x v="2"/>
    <s v=" DL"/>
    <x v="1"/>
    <x v="0"/>
    <x v="1"/>
    <x v="0"/>
    <d v="2019-03-08T21:12:07"/>
    <d v="2019-03-13T21:12:07"/>
    <d v="2019-03-14T21:12:07"/>
    <x v="9"/>
    <n v="0"/>
    <n v="122"/>
    <n v="1320.9749926496463"/>
  </r>
  <r>
    <n v="877229"/>
    <x v="2"/>
    <s v="Delhi"/>
    <x v="0"/>
    <s v=" MH"/>
    <x v="1"/>
    <x v="0"/>
    <x v="1"/>
    <x v="0"/>
    <d v="2019-03-08T21:27:43"/>
    <d v="2019-03-15T21:27:43"/>
    <d v="2019-03-13T21:27:43"/>
    <x v="8"/>
    <n v="30"/>
    <n v="114"/>
    <n v="393"/>
  </r>
  <r>
    <n v="798873"/>
    <x v="2"/>
    <s v="Bangalore"/>
    <x v="2"/>
    <s v=" DL"/>
    <x v="0"/>
    <x v="0"/>
    <x v="1"/>
    <x v="1"/>
    <d v="2019-03-08T22:06:53"/>
    <d v="2019-03-10T22:06:53"/>
    <d v="2019-03-14T22:06:53"/>
    <x v="0"/>
    <n v="68"/>
    <n v="102"/>
    <n v="1056"/>
  </r>
  <r>
    <n v="111849"/>
    <x v="2"/>
    <s v="Delhi"/>
    <x v="2"/>
    <s v=" DL"/>
    <x v="1"/>
    <x v="0"/>
    <x v="1"/>
    <x v="1"/>
    <d v="2019-03-08T22:28:09"/>
    <d v="2019-03-09T22:28:09"/>
    <d v="2019-03-11T22:28:09"/>
    <x v="2"/>
    <n v="0"/>
    <n v="126"/>
    <n v="2090.5130245904165"/>
  </r>
  <r>
    <n v="860611"/>
    <x v="2"/>
    <s v="Delhi"/>
    <x v="3"/>
    <s v=" KA"/>
    <x v="1"/>
    <x v="0"/>
    <x v="1"/>
    <x v="0"/>
    <d v="2019-03-08T22:39:48"/>
    <d v="2019-03-18T22:39:48"/>
    <d v="2019-03-13T22:39:48"/>
    <x v="7"/>
    <n v="36"/>
    <n v="128"/>
    <n v="2147.0216721379138"/>
  </r>
  <r>
    <n v="953819"/>
    <x v="2"/>
    <s v="Bangalore"/>
    <x v="0"/>
    <s v=" MH"/>
    <x v="1"/>
    <x v="0"/>
    <x v="1"/>
    <x v="0"/>
    <d v="2019-03-08T23:11:23"/>
    <d v="2019-03-12T23:11:23"/>
    <d v="2019-03-12T23:11:23"/>
    <x v="6"/>
    <n v="33"/>
    <n v="108"/>
    <n v="1404.0752128019092"/>
  </r>
  <r>
    <n v="236894"/>
    <x v="2"/>
    <s v="Delhi"/>
    <x v="0"/>
    <s v=" MH"/>
    <x v="2"/>
    <x v="0"/>
    <x v="0"/>
    <x v="0"/>
    <d v="2019-03-08T23:28:30"/>
    <d v="2019-03-15T23:28:30"/>
    <d v="2019-03-11T23:28:30"/>
    <x v="8"/>
    <n v="40"/>
    <n v="114"/>
    <n v="1602.4837335033851"/>
  </r>
  <r>
    <n v="817899"/>
    <x v="2"/>
    <s v="Delhi"/>
    <x v="0"/>
    <s v=" MH"/>
    <x v="0"/>
    <x v="0"/>
    <x v="1"/>
    <x v="1"/>
    <d v="2019-03-09T00:00:03"/>
    <d v="2019-03-14T00:00:03"/>
    <d v="2019-03-14T00:00:03"/>
    <x v="9"/>
    <n v="73"/>
    <n v="89"/>
    <n v="608.56804579884715"/>
  </r>
  <r>
    <n v="246797"/>
    <x v="2"/>
    <s v="Bangalore"/>
    <x v="1"/>
    <s v=" TN"/>
    <x v="0"/>
    <x v="0"/>
    <x v="1"/>
    <x v="0"/>
    <d v="2019-03-09T00:16:50"/>
    <d v="2019-03-19T00:16:50"/>
    <d v="2019-03-13T00:16:50"/>
    <x v="7"/>
    <n v="64"/>
    <n v="106"/>
    <n v="3144.1087394552346"/>
  </r>
  <r>
    <n v="511460"/>
    <x v="2"/>
    <s v="Delhi"/>
    <x v="4"/>
    <s v=" WB"/>
    <x v="0"/>
    <x v="0"/>
    <x v="0"/>
    <x v="0"/>
    <d v="2019-03-09T00:21:05"/>
    <d v="2019-03-18T00:21:05"/>
    <d v="2019-03-12T00:21:05"/>
    <x v="1"/>
    <n v="76"/>
    <n v="91"/>
    <n v="2111.2609534544786"/>
  </r>
  <r>
    <n v="594701"/>
    <x v="2"/>
    <s v="Delhi"/>
    <x v="2"/>
    <s v=" DL"/>
    <x v="1"/>
    <x v="0"/>
    <x v="1"/>
    <x v="0"/>
    <d v="2019-03-09T00:30:20"/>
    <d v="2019-03-11T00:30:20"/>
    <d v="2019-03-13T00:30:20"/>
    <x v="0"/>
    <n v="0"/>
    <n v="130"/>
    <n v="1705"/>
  </r>
  <r>
    <n v="344098"/>
    <x v="2"/>
    <s v="Delhi"/>
    <x v="3"/>
    <s v=" KA"/>
    <x v="2"/>
    <x v="0"/>
    <x v="0"/>
    <x v="0"/>
    <d v="2019-03-09T01:20:22"/>
    <d v="2019-03-19T01:20:22"/>
    <d v="2019-03-14T01:20:22"/>
    <x v="7"/>
    <n v="29"/>
    <n v="120"/>
    <n v="2069.0387198385101"/>
  </r>
  <r>
    <n v="864137"/>
    <x v="2"/>
    <s v="Delhi"/>
    <x v="1"/>
    <s v=" TN"/>
    <x v="1"/>
    <x v="0"/>
    <x v="1"/>
    <x v="0"/>
    <d v="2019-03-09T01:24:39"/>
    <d v="2019-03-15T01:24:39"/>
    <d v="2019-03-16T01:24:39"/>
    <x v="3"/>
    <n v="25"/>
    <n v="121"/>
    <n v="3145.8442947564154"/>
  </r>
  <r>
    <n v="989756"/>
    <x v="2"/>
    <s v="Delhi"/>
    <x v="3"/>
    <s v=" KA"/>
    <x v="0"/>
    <x v="0"/>
    <x v="0"/>
    <x v="0"/>
    <d v="2019-03-09T01:38:02"/>
    <d v="2019-03-15T01:38:02"/>
    <d v="2019-03-14T01:38:02"/>
    <x v="3"/>
    <n v="40"/>
    <n v="120"/>
    <n v="3206.6965549967485"/>
  </r>
  <r>
    <n v="553322"/>
    <x v="2"/>
    <s v="Delhi"/>
    <x v="0"/>
    <s v=" MH"/>
    <x v="0"/>
    <x v="0"/>
    <x v="0"/>
    <x v="0"/>
    <d v="2019-03-09T01:43:35"/>
    <d v="2019-03-11T01:43:35"/>
    <d v="2019-03-16T01:43:35"/>
    <x v="0"/>
    <n v="59"/>
    <n v="93"/>
    <n v="3531"/>
  </r>
  <r>
    <n v="573264"/>
    <x v="2"/>
    <s v="Delhi"/>
    <x v="0"/>
    <s v=" MH"/>
    <x v="0"/>
    <x v="0"/>
    <x v="0"/>
    <x v="1"/>
    <d v="2019-03-09T02:00:48"/>
    <d v="2019-03-11T02:00:48"/>
    <d v="2019-03-16T02:00:48"/>
    <x v="0"/>
    <n v="26"/>
    <n v="112"/>
    <n v="968.73954668835029"/>
  </r>
  <r>
    <n v="818814"/>
    <x v="2"/>
    <s v="Delhi"/>
    <x v="3"/>
    <s v=" KA"/>
    <x v="2"/>
    <x v="0"/>
    <x v="0"/>
    <x v="1"/>
    <d v="2019-03-09T02:01:26"/>
    <d v="2019-03-19T02:01:26"/>
    <d v="2019-03-16T02:01:26"/>
    <x v="7"/>
    <n v="43"/>
    <n v="129"/>
    <n v="3276"/>
  </r>
  <r>
    <n v="14760"/>
    <x v="2"/>
    <s v="Bangalore"/>
    <x v="2"/>
    <s v=" DL"/>
    <x v="0"/>
    <x v="0"/>
    <x v="0"/>
    <x v="1"/>
    <d v="2019-03-09T02:55:24"/>
    <d v="2019-03-11T02:55:24"/>
    <d v="2019-03-13T02:55:24"/>
    <x v="0"/>
    <n v="41"/>
    <n v="128"/>
    <n v="1428"/>
  </r>
  <r>
    <n v="577313"/>
    <x v="2"/>
    <s v="Delhi"/>
    <x v="4"/>
    <s v=" WB"/>
    <x v="1"/>
    <x v="0"/>
    <x v="1"/>
    <x v="0"/>
    <d v="2019-03-09T03:12:10"/>
    <d v="2019-03-14T03:12:10"/>
    <d v="2019-03-14T03:12:10"/>
    <x v="9"/>
    <n v="39"/>
    <n v="114"/>
    <n v="2610"/>
  </r>
  <r>
    <n v="86184"/>
    <x v="2"/>
    <s v="Bangalore"/>
    <x v="2"/>
    <s v=" DL"/>
    <x v="0"/>
    <x v="0"/>
    <x v="0"/>
    <x v="1"/>
    <d v="2019-03-09T03:14:47"/>
    <d v="2019-03-11T03:14:47"/>
    <d v="2019-03-12T03:14:47"/>
    <x v="0"/>
    <n v="44"/>
    <n v="122"/>
    <n v="2363.9894838243868"/>
  </r>
  <r>
    <n v="729069"/>
    <x v="2"/>
    <s v="Delhi"/>
    <x v="1"/>
    <s v=" TN"/>
    <x v="1"/>
    <x v="0"/>
    <x v="1"/>
    <x v="1"/>
    <d v="2019-03-09T03:18:10"/>
    <d v="2019-03-13T03:18:10"/>
    <d v="2019-03-16T03:18:10"/>
    <x v="6"/>
    <n v="39"/>
    <n v="123"/>
    <n v="1747.1805656640176"/>
  </r>
  <r>
    <n v="515470"/>
    <x v="2"/>
    <s v="Delhi"/>
    <x v="2"/>
    <s v=" DL"/>
    <x v="0"/>
    <x v="0"/>
    <x v="0"/>
    <x v="0"/>
    <d v="2019-03-09T03:18:40"/>
    <d v="2019-03-13T03:18:40"/>
    <d v="2019-03-15T03:18:40"/>
    <x v="6"/>
    <n v="0"/>
    <n v="105"/>
    <n v="2087.2321932797531"/>
  </r>
  <r>
    <n v="259300"/>
    <x v="2"/>
    <s v="Bangalore"/>
    <x v="4"/>
    <s v=" WB"/>
    <x v="0"/>
    <x v="0"/>
    <x v="0"/>
    <x v="0"/>
    <d v="2019-03-09T03:35:32"/>
    <d v="2019-03-13T03:35:32"/>
    <d v="2019-03-14T03:35:32"/>
    <x v="6"/>
    <n v="48"/>
    <n v="115"/>
    <n v="2452.689386337433"/>
  </r>
  <r>
    <n v="718459"/>
    <x v="2"/>
    <s v="Bangalore"/>
    <x v="3"/>
    <s v=" KA"/>
    <x v="1"/>
    <x v="0"/>
    <x v="2"/>
    <x v="0"/>
    <d v="2019-03-09T03:50:12"/>
    <d v="2019-03-14T03:50:12"/>
    <d v="2019-03-15T03:50:12"/>
    <x v="9"/>
    <n v="0"/>
    <n v="126"/>
    <n v="2069.4640025380904"/>
  </r>
  <r>
    <n v="799185"/>
    <x v="2"/>
    <s v="Bangalore"/>
    <x v="0"/>
    <s v=" MH"/>
    <x v="0"/>
    <x v="0"/>
    <x v="1"/>
    <x v="1"/>
    <d v="2019-03-09T03:50:21"/>
    <d v="2019-03-11T03:50:21"/>
    <d v="2019-03-14T03:50:21"/>
    <x v="0"/>
    <n v="64"/>
    <n v="95"/>
    <n v="2018.8330071821488"/>
  </r>
  <r>
    <n v="301178"/>
    <x v="2"/>
    <s v="Delhi"/>
    <x v="3"/>
    <s v=" KA"/>
    <x v="2"/>
    <x v="0"/>
    <x v="0"/>
    <x v="0"/>
    <d v="2019-03-09T03:55:47"/>
    <d v="2019-03-13T03:55:47"/>
    <d v="2019-03-14T03:55:47"/>
    <x v="6"/>
    <n v="49"/>
    <n v="122"/>
    <n v="2922"/>
  </r>
  <r>
    <n v="878209"/>
    <x v="2"/>
    <s v="Bangalore"/>
    <x v="2"/>
    <s v=" DL"/>
    <x v="0"/>
    <x v="0"/>
    <x v="1"/>
    <x v="0"/>
    <d v="2019-03-09T04:17:08"/>
    <d v="2019-03-11T04:17:08"/>
    <d v="2019-03-12T04:17:08"/>
    <x v="0"/>
    <n v="81"/>
    <n v="102"/>
    <n v="2341.0081778968197"/>
  </r>
  <r>
    <n v="399718"/>
    <x v="2"/>
    <s v="Bangalore"/>
    <x v="1"/>
    <s v=" TN"/>
    <x v="2"/>
    <x v="0"/>
    <x v="0"/>
    <x v="0"/>
    <d v="2019-03-09T04:29:16"/>
    <d v="2019-03-15T04:29:16"/>
    <d v="2019-03-16T04:29:16"/>
    <x v="3"/>
    <n v="25"/>
    <n v="125"/>
    <n v="2715"/>
  </r>
  <r>
    <n v="173769"/>
    <x v="2"/>
    <s v="Delhi"/>
    <x v="4"/>
    <s v=" WB"/>
    <x v="1"/>
    <x v="0"/>
    <x v="1"/>
    <x v="1"/>
    <d v="2019-03-09T04:44:45"/>
    <d v="2019-03-15T04:44:45"/>
    <d v="2019-03-15T04:44:45"/>
    <x v="3"/>
    <n v="40"/>
    <n v="110"/>
    <n v="2173.6938393087098"/>
  </r>
  <r>
    <n v="385095"/>
    <x v="2"/>
    <s v="Bangalore"/>
    <x v="0"/>
    <s v=" MH"/>
    <x v="1"/>
    <x v="0"/>
    <x v="1"/>
    <x v="1"/>
    <d v="2019-03-09T05:01:57"/>
    <d v="2019-03-13T05:01:57"/>
    <d v="2019-03-12T05:01:57"/>
    <x v="6"/>
    <n v="35"/>
    <n v="108"/>
    <n v="3098.1239858139179"/>
  </r>
  <r>
    <n v="717753"/>
    <x v="2"/>
    <s v="Bangalore"/>
    <x v="4"/>
    <s v=" WB"/>
    <x v="1"/>
    <x v="0"/>
    <x v="1"/>
    <x v="1"/>
    <d v="2019-03-09T05:40:16"/>
    <d v="2019-03-11T05:40:16"/>
    <d v="2019-03-13T05:40:16"/>
    <x v="0"/>
    <n v="31"/>
    <n v="111"/>
    <n v="545"/>
  </r>
  <r>
    <n v="548222"/>
    <x v="2"/>
    <s v="Delhi"/>
    <x v="0"/>
    <s v=" MH"/>
    <x v="2"/>
    <x v="0"/>
    <x v="0"/>
    <x v="0"/>
    <d v="2019-03-09T06:05:18"/>
    <d v="2019-03-16T06:05:18"/>
    <d v="2019-03-14T06:05:18"/>
    <x v="8"/>
    <n v="40"/>
    <n v="112"/>
    <n v="2282.1270920229013"/>
  </r>
  <r>
    <n v="284039"/>
    <x v="2"/>
    <s v="Bangalore"/>
    <x v="4"/>
    <s v=" WB"/>
    <x v="1"/>
    <x v="0"/>
    <x v="2"/>
    <x v="0"/>
    <d v="2019-03-09T06:17:51"/>
    <d v="2019-03-11T06:17:51"/>
    <d v="2019-03-12T06:17:51"/>
    <x v="0"/>
    <n v="35"/>
    <n v="114"/>
    <n v="3536.6798070823925"/>
  </r>
  <r>
    <n v="365934"/>
    <x v="2"/>
    <s v="Delhi"/>
    <x v="1"/>
    <s v=" TN"/>
    <x v="0"/>
    <x v="0"/>
    <x v="0"/>
    <x v="1"/>
    <d v="2019-03-09T06:30:42"/>
    <d v="2019-03-19T06:30:42"/>
    <d v="2019-03-13T06:30:42"/>
    <x v="7"/>
    <n v="62"/>
    <n v="103"/>
    <n v="604.84244003582671"/>
  </r>
  <r>
    <n v="322106"/>
    <x v="2"/>
    <s v="Delhi"/>
    <x v="1"/>
    <s v=" TN"/>
    <x v="0"/>
    <x v="0"/>
    <x v="0"/>
    <x v="0"/>
    <d v="2019-03-09T06:35:59"/>
    <d v="2019-03-20T06:35:59"/>
    <d v="2019-03-15T06:35:59"/>
    <x v="11"/>
    <n v="79"/>
    <n v="106"/>
    <n v="3733.014480477264"/>
  </r>
  <r>
    <n v="595070"/>
    <x v="2"/>
    <s v="Delhi"/>
    <x v="1"/>
    <s v=" TN"/>
    <x v="2"/>
    <x v="0"/>
    <x v="0"/>
    <x v="0"/>
    <d v="2019-03-09T06:53:25"/>
    <d v="2019-03-14T06:53:25"/>
    <d v="2019-03-12T06:53:25"/>
    <x v="9"/>
    <n v="39"/>
    <n v="128"/>
    <n v="1536.7824725898718"/>
  </r>
  <r>
    <n v="777306"/>
    <x v="2"/>
    <s v="Delhi"/>
    <x v="4"/>
    <s v=" WB"/>
    <x v="0"/>
    <x v="0"/>
    <x v="0"/>
    <x v="1"/>
    <d v="2019-03-09T07:24:29"/>
    <d v="2019-03-16T07:24:29"/>
    <d v="2019-03-13T07:24:29"/>
    <x v="8"/>
    <n v="82"/>
    <n v="90"/>
    <n v="3501.8005493197261"/>
  </r>
  <r>
    <n v="345956"/>
    <x v="2"/>
    <s v="Bangalore"/>
    <x v="0"/>
    <s v=" MH"/>
    <x v="0"/>
    <x v="0"/>
    <x v="0"/>
    <x v="0"/>
    <d v="2019-03-09T07:39:12"/>
    <d v="2019-03-11T07:39:12"/>
    <d v="2019-03-14T07:39:12"/>
    <x v="0"/>
    <n v="43"/>
    <n v="110"/>
    <n v="2449.4794056101609"/>
  </r>
  <r>
    <n v="23981"/>
    <x v="2"/>
    <s v="Bangalore"/>
    <x v="2"/>
    <s v=" DL"/>
    <x v="1"/>
    <x v="0"/>
    <x v="1"/>
    <x v="0"/>
    <d v="2019-03-09T07:49:19"/>
    <d v="2019-03-14T07:49:19"/>
    <d v="2019-03-13T07:49:19"/>
    <x v="9"/>
    <n v="35"/>
    <n v="126"/>
    <n v="1467"/>
  </r>
  <r>
    <n v="334762"/>
    <x v="2"/>
    <s v="Bangalore"/>
    <x v="0"/>
    <s v=" MH"/>
    <x v="0"/>
    <x v="0"/>
    <x v="0"/>
    <x v="0"/>
    <d v="2019-03-09T07:55:35"/>
    <d v="2019-03-15T07:55:35"/>
    <d v="2019-03-16T07:55:35"/>
    <x v="3"/>
    <n v="78"/>
    <n v="94"/>
    <n v="2812"/>
  </r>
  <r>
    <n v="445245"/>
    <x v="2"/>
    <s v="Delhi"/>
    <x v="3"/>
    <s v=" KA"/>
    <x v="1"/>
    <x v="0"/>
    <x v="1"/>
    <x v="1"/>
    <d v="2019-03-09T08:54:14"/>
    <d v="2019-03-15T08:54:14"/>
    <d v="2019-03-13T08:54:14"/>
    <x v="3"/>
    <n v="38"/>
    <n v="129"/>
    <n v="264"/>
  </r>
  <r>
    <n v="884109"/>
    <x v="2"/>
    <s v="Delhi"/>
    <x v="3"/>
    <s v=" KA"/>
    <x v="0"/>
    <x v="0"/>
    <x v="1"/>
    <x v="1"/>
    <d v="2019-03-09T08:59:37"/>
    <d v="2019-03-11T08:59:37"/>
    <d v="2019-03-13T08:59:37"/>
    <x v="0"/>
    <n v="77"/>
    <n v="108"/>
    <n v="2502.5813829986473"/>
  </r>
  <r>
    <n v="249841"/>
    <x v="2"/>
    <s v="Delhi"/>
    <x v="3"/>
    <s v=" KA"/>
    <x v="0"/>
    <x v="0"/>
    <x v="1"/>
    <x v="0"/>
    <d v="2019-03-09T09:02:09"/>
    <d v="2019-03-11T09:02:09"/>
    <d v="2019-03-15T09:02:09"/>
    <x v="0"/>
    <n v="78"/>
    <n v="104"/>
    <n v="1133.8664511605075"/>
  </r>
  <r>
    <n v="424126"/>
    <x v="2"/>
    <s v="Bangalore"/>
    <x v="4"/>
    <s v=" WB"/>
    <x v="0"/>
    <x v="0"/>
    <x v="0"/>
    <x v="0"/>
    <d v="2019-03-09T09:10:34"/>
    <d v="2019-03-17T09:10:34"/>
    <d v="2019-03-15T09:10:34"/>
    <x v="5"/>
    <n v="77"/>
    <n v="89"/>
    <n v="488"/>
  </r>
  <r>
    <n v="259490"/>
    <x v="2"/>
    <s v="Bangalore"/>
    <x v="2"/>
    <s v=" DL"/>
    <x v="2"/>
    <x v="0"/>
    <x v="0"/>
    <x v="0"/>
    <d v="2019-03-09T09:18:20"/>
    <d v="2019-03-18T09:18:20"/>
    <d v="2019-03-16T09:18:20"/>
    <x v="1"/>
    <n v="44"/>
    <n v="121"/>
    <n v="1775.6195035421715"/>
  </r>
  <r>
    <n v="87728"/>
    <x v="2"/>
    <s v="Delhi"/>
    <x v="0"/>
    <s v=" MH"/>
    <x v="0"/>
    <x v="0"/>
    <x v="0"/>
    <x v="0"/>
    <d v="2019-03-09T09:29:15"/>
    <d v="2019-03-11T09:29:15"/>
    <d v="2019-03-15T09:29:15"/>
    <x v="0"/>
    <n v="29"/>
    <n v="112"/>
    <n v="3472.7682747371409"/>
  </r>
  <r>
    <n v="965839"/>
    <x v="2"/>
    <s v="Delhi"/>
    <x v="2"/>
    <s v=" DL"/>
    <x v="1"/>
    <x v="0"/>
    <x v="2"/>
    <x v="0"/>
    <d v="2019-03-09T09:31:59"/>
    <d v="2019-03-10T09:31:59"/>
    <d v="2019-03-13T09:31:59"/>
    <x v="2"/>
    <n v="0"/>
    <n v="128"/>
    <n v="2120.0376960271128"/>
  </r>
  <r>
    <n v="995920"/>
    <x v="2"/>
    <s v="Bangalore"/>
    <x v="3"/>
    <s v=" KA"/>
    <x v="0"/>
    <x v="0"/>
    <x v="0"/>
    <x v="0"/>
    <d v="2019-03-09T09:52:27"/>
    <d v="2019-03-12T09:52:27"/>
    <d v="2019-03-14T09:52:27"/>
    <x v="4"/>
    <n v="0"/>
    <n v="105"/>
    <n v="1791.9344118424999"/>
  </r>
  <r>
    <n v="612612"/>
    <x v="2"/>
    <s v="Bangalore"/>
    <x v="0"/>
    <s v=" MH"/>
    <x v="0"/>
    <x v="0"/>
    <x v="0"/>
    <x v="1"/>
    <d v="2019-03-09T09:54:10"/>
    <d v="2019-03-11T09:54:10"/>
    <d v="2019-03-14T09:54:10"/>
    <x v="0"/>
    <n v="33"/>
    <n v="108"/>
    <n v="2711"/>
  </r>
  <r>
    <n v="149164"/>
    <x v="2"/>
    <s v="Bangalore"/>
    <x v="2"/>
    <s v=" DL"/>
    <x v="0"/>
    <x v="0"/>
    <x v="0"/>
    <x v="0"/>
    <d v="2019-03-09T09:57:03"/>
    <d v="2019-03-12T09:57:03"/>
    <d v="2019-03-16T09:57:03"/>
    <x v="4"/>
    <n v="48"/>
    <n v="121"/>
    <n v="2056.1557593988264"/>
  </r>
  <r>
    <n v="569287"/>
    <x v="2"/>
    <s v="Delhi"/>
    <x v="3"/>
    <s v=" KA"/>
    <x v="1"/>
    <x v="0"/>
    <x v="1"/>
    <x v="0"/>
    <d v="2019-03-09T09:57:44"/>
    <d v="2019-03-18T09:57:44"/>
    <d v="2019-03-13T09:57:44"/>
    <x v="1"/>
    <n v="30"/>
    <n v="123"/>
    <n v="2179"/>
  </r>
  <r>
    <n v="691659"/>
    <x v="2"/>
    <s v="Delhi"/>
    <x v="1"/>
    <s v=" TN"/>
    <x v="0"/>
    <x v="0"/>
    <x v="1"/>
    <x v="1"/>
    <d v="2019-03-09T10:27:45"/>
    <d v="2019-03-20T10:27:45"/>
    <d v="2019-03-12T10:27:45"/>
    <x v="11"/>
    <n v="75"/>
    <n v="102"/>
    <n v="3022.5512179685311"/>
  </r>
  <r>
    <n v="90131"/>
    <x v="2"/>
    <s v="Delhi"/>
    <x v="3"/>
    <s v=" KA"/>
    <x v="0"/>
    <x v="0"/>
    <x v="1"/>
    <x v="0"/>
    <d v="2019-03-09T10:30:14"/>
    <d v="2019-03-11T10:30:14"/>
    <d v="2019-03-12T10:30:14"/>
    <x v="0"/>
    <n v="68"/>
    <n v="105"/>
    <n v="2235.4210376023329"/>
  </r>
  <r>
    <n v="738827"/>
    <x v="2"/>
    <s v="Delhi"/>
    <x v="3"/>
    <s v=" KA"/>
    <x v="1"/>
    <x v="0"/>
    <x v="1"/>
    <x v="0"/>
    <d v="2019-03-09T10:31:57"/>
    <d v="2019-03-14T10:31:57"/>
    <d v="2019-03-14T10:31:57"/>
    <x v="9"/>
    <n v="33"/>
    <n v="129"/>
    <n v="3261.0905379341971"/>
  </r>
  <r>
    <n v="213550"/>
    <x v="2"/>
    <s v="Delhi"/>
    <x v="1"/>
    <s v=" TN"/>
    <x v="0"/>
    <x v="0"/>
    <x v="0"/>
    <x v="0"/>
    <d v="2019-03-09T10:36:12"/>
    <d v="2019-03-19T10:36:12"/>
    <d v="2019-03-16T10:36:12"/>
    <x v="7"/>
    <n v="65"/>
    <n v="100"/>
    <n v="666.18808045801597"/>
  </r>
  <r>
    <n v="333130"/>
    <x v="2"/>
    <s v="Bangalore"/>
    <x v="0"/>
    <s v=" MH"/>
    <x v="0"/>
    <x v="0"/>
    <x v="0"/>
    <x v="0"/>
    <d v="2019-03-09T10:51:43"/>
    <d v="2019-03-14T10:51:43"/>
    <d v="2019-03-13T10:51:43"/>
    <x v="9"/>
    <n v="67"/>
    <n v="89"/>
    <n v="1848.6443825970864"/>
  </r>
  <r>
    <n v="768757"/>
    <x v="2"/>
    <s v="Delhi"/>
    <x v="3"/>
    <s v=" KA"/>
    <x v="1"/>
    <x v="0"/>
    <x v="1"/>
    <x v="0"/>
    <d v="2019-03-09T10:54:11"/>
    <d v="2019-03-18T10:54:11"/>
    <d v="2019-03-14T10:54:11"/>
    <x v="1"/>
    <n v="38"/>
    <n v="127"/>
    <n v="2992.015080786513"/>
  </r>
  <r>
    <n v="940910"/>
    <x v="2"/>
    <s v="Delhi"/>
    <x v="3"/>
    <s v=" KA"/>
    <x v="2"/>
    <x v="0"/>
    <x v="0"/>
    <x v="0"/>
    <d v="2019-03-09T11:28:39"/>
    <d v="2019-03-15T11:28:39"/>
    <d v="2019-03-16T11:28:39"/>
    <x v="3"/>
    <n v="27"/>
    <n v="121"/>
    <n v="1780.4306008949577"/>
  </r>
  <r>
    <n v="753016"/>
    <x v="2"/>
    <s v="Bangalore"/>
    <x v="2"/>
    <s v=" DL"/>
    <x v="0"/>
    <x v="0"/>
    <x v="0"/>
    <x v="0"/>
    <d v="2019-03-09T11:58:50"/>
    <d v="2019-03-11T11:58:50"/>
    <d v="2019-03-12T11:58:50"/>
    <x v="0"/>
    <n v="31"/>
    <n v="121"/>
    <n v="2080"/>
  </r>
  <r>
    <n v="557973"/>
    <x v="2"/>
    <s v="Bangalore"/>
    <x v="3"/>
    <s v=" KA"/>
    <x v="1"/>
    <x v="0"/>
    <x v="1"/>
    <x v="1"/>
    <d v="2019-03-09T12:03:24"/>
    <d v="2019-03-15T12:03:24"/>
    <d v="2019-03-14T12:03:24"/>
    <x v="3"/>
    <n v="0"/>
    <n v="130"/>
    <n v="1617.1654415141013"/>
  </r>
  <r>
    <n v="501702"/>
    <x v="2"/>
    <s v="Delhi"/>
    <x v="2"/>
    <s v=" DL"/>
    <x v="0"/>
    <x v="0"/>
    <x v="0"/>
    <x v="1"/>
    <d v="2019-03-09T12:13:20"/>
    <d v="2019-03-09T12:13:20"/>
    <d v="2019-03-14T12:13:20"/>
    <x v="10"/>
    <n v="0"/>
    <n v="106"/>
    <n v="1723.137495562187"/>
  </r>
  <r>
    <n v="149340"/>
    <x v="2"/>
    <s v="Delhi"/>
    <x v="0"/>
    <s v=" MH"/>
    <x v="0"/>
    <x v="0"/>
    <x v="0"/>
    <x v="1"/>
    <d v="2019-03-09T12:17:54"/>
    <d v="2019-03-13T12:17:54"/>
    <d v="2019-03-14T12:17:54"/>
    <x v="6"/>
    <n v="25"/>
    <n v="108"/>
    <n v="762.48338185975103"/>
  </r>
  <r>
    <n v="551237"/>
    <x v="2"/>
    <s v="Bangalore"/>
    <x v="2"/>
    <s v=" DL"/>
    <x v="0"/>
    <x v="0"/>
    <x v="1"/>
    <x v="0"/>
    <d v="2019-03-09T12:55:13"/>
    <d v="2019-03-11T12:55:13"/>
    <d v="2019-03-16T12:55:13"/>
    <x v="0"/>
    <n v="59"/>
    <n v="108"/>
    <n v="3487.137218713212"/>
  </r>
  <r>
    <n v="901802"/>
    <x v="2"/>
    <s v="Bangalore"/>
    <x v="1"/>
    <s v=" TN"/>
    <x v="2"/>
    <x v="0"/>
    <x v="0"/>
    <x v="0"/>
    <d v="2019-03-09T13:07:41"/>
    <d v="2019-03-14T13:07:41"/>
    <d v="2019-03-16T13:07:41"/>
    <x v="9"/>
    <n v="45"/>
    <n v="125"/>
    <n v="2125.3325031671143"/>
  </r>
  <r>
    <n v="188011"/>
    <x v="2"/>
    <s v="Delhi"/>
    <x v="4"/>
    <s v=" WB"/>
    <x v="0"/>
    <x v="0"/>
    <x v="1"/>
    <x v="0"/>
    <d v="2019-03-09T13:09:02"/>
    <d v="2019-03-16T13:09:02"/>
    <d v="2019-03-14T13:09:02"/>
    <x v="8"/>
    <n v="58"/>
    <n v="87"/>
    <n v="1599"/>
  </r>
  <r>
    <n v="711242"/>
    <x v="2"/>
    <s v="Delhi"/>
    <x v="3"/>
    <s v=" KA"/>
    <x v="0"/>
    <x v="0"/>
    <x v="0"/>
    <x v="0"/>
    <d v="2019-03-09T13:21:58"/>
    <d v="2019-03-14T13:21:58"/>
    <d v="2019-03-14T13:21:58"/>
    <x v="9"/>
    <n v="87"/>
    <n v="103"/>
    <n v="3380"/>
  </r>
  <r>
    <n v="576303"/>
    <x v="2"/>
    <s v="Bangalore"/>
    <x v="1"/>
    <s v=" TN"/>
    <x v="0"/>
    <x v="0"/>
    <x v="2"/>
    <x v="1"/>
    <d v="2019-03-09T13:38:34"/>
    <d v="2019-03-14T13:38:34"/>
    <d v="2019-03-16T13:38:34"/>
    <x v="9"/>
    <n v="70"/>
    <n v="102"/>
    <n v="965"/>
  </r>
  <r>
    <n v="344194"/>
    <x v="2"/>
    <s v="Delhi"/>
    <x v="3"/>
    <s v=" KA"/>
    <x v="2"/>
    <x v="0"/>
    <x v="0"/>
    <x v="0"/>
    <d v="2019-03-09T13:58:36"/>
    <d v="2019-03-19T13:58:36"/>
    <d v="2019-03-16T13:58:36"/>
    <x v="7"/>
    <n v="29"/>
    <n v="128"/>
    <n v="2306.3864319802615"/>
  </r>
  <r>
    <n v="541647"/>
    <x v="2"/>
    <s v="Delhi"/>
    <x v="2"/>
    <s v=" DL"/>
    <x v="1"/>
    <x v="0"/>
    <x v="1"/>
    <x v="1"/>
    <d v="2019-03-09T14:23:15"/>
    <d v="2019-03-13T14:23:15"/>
    <d v="2019-03-16T14:23:15"/>
    <x v="6"/>
    <n v="0"/>
    <n v="126"/>
    <n v="3580.936883875238"/>
  </r>
  <r>
    <n v="242210"/>
    <x v="2"/>
    <s v="Delhi"/>
    <x v="1"/>
    <s v=" TN"/>
    <x v="0"/>
    <x v="0"/>
    <x v="0"/>
    <x v="0"/>
    <d v="2019-03-09T15:42:34"/>
    <d v="2019-03-18T15:42:34"/>
    <d v="2019-03-14T15:42:34"/>
    <x v="1"/>
    <n v="58"/>
    <n v="100"/>
    <n v="1496.1663166879002"/>
  </r>
  <r>
    <n v="147545"/>
    <x v="2"/>
    <s v="Delhi"/>
    <x v="4"/>
    <s v=" WB"/>
    <x v="1"/>
    <x v="0"/>
    <x v="1"/>
    <x v="0"/>
    <d v="2019-03-09T15:59:29"/>
    <d v="2019-03-11T15:59:29"/>
    <d v="2019-03-13T15:59:29"/>
    <x v="0"/>
    <n v="33"/>
    <n v="112"/>
    <n v="2706.8651392203283"/>
  </r>
  <r>
    <n v="532657"/>
    <x v="2"/>
    <s v="Delhi"/>
    <x v="0"/>
    <s v=" MH"/>
    <x v="1"/>
    <x v="0"/>
    <x v="1"/>
    <x v="0"/>
    <d v="2019-03-09T16:03:23"/>
    <d v="2019-03-15T16:03:23"/>
    <d v="2019-03-16T16:03:23"/>
    <x v="3"/>
    <n v="33"/>
    <n v="110"/>
    <n v="3280"/>
  </r>
  <r>
    <n v="783237"/>
    <x v="2"/>
    <s v="Bangalore"/>
    <x v="2"/>
    <s v=" DL"/>
    <x v="1"/>
    <x v="0"/>
    <x v="2"/>
    <x v="1"/>
    <d v="2019-03-09T16:21:41"/>
    <d v="2019-03-17T16:21:41"/>
    <d v="2019-03-12T16:21:41"/>
    <x v="5"/>
    <n v="48"/>
    <n v="120"/>
    <n v="352"/>
  </r>
  <r>
    <n v="534651"/>
    <x v="2"/>
    <s v="Delhi"/>
    <x v="1"/>
    <s v=" TN"/>
    <x v="1"/>
    <x v="0"/>
    <x v="1"/>
    <x v="1"/>
    <d v="2019-03-09T16:35:46"/>
    <d v="2019-03-14T16:35:46"/>
    <d v="2019-03-15T16:35:46"/>
    <x v="9"/>
    <n v="25"/>
    <n v="124"/>
    <n v="1174.0166805873428"/>
  </r>
  <r>
    <n v="47202"/>
    <x v="2"/>
    <s v="Bangalore"/>
    <x v="2"/>
    <s v=" DL"/>
    <x v="0"/>
    <x v="0"/>
    <x v="0"/>
    <x v="1"/>
    <d v="2019-03-09T16:51:09"/>
    <d v="2019-03-12T16:51:09"/>
    <d v="2019-03-13T16:51:09"/>
    <x v="4"/>
    <n v="75"/>
    <n v="100"/>
    <n v="3335"/>
  </r>
  <r>
    <n v="934395"/>
    <x v="2"/>
    <s v="Bangalore"/>
    <x v="3"/>
    <s v=" KA"/>
    <x v="1"/>
    <x v="0"/>
    <x v="2"/>
    <x v="1"/>
    <d v="2019-03-09T16:53:55"/>
    <d v="2019-03-12T16:53:55"/>
    <d v="2019-03-12T16:53:55"/>
    <x v="4"/>
    <n v="0"/>
    <n v="122"/>
    <n v="3474.5832669114584"/>
  </r>
  <r>
    <n v="182493"/>
    <x v="2"/>
    <s v="Bangalore"/>
    <x v="3"/>
    <s v=" KA"/>
    <x v="0"/>
    <x v="0"/>
    <x v="1"/>
    <x v="1"/>
    <d v="2019-03-09T17:02:49"/>
    <d v="2019-03-14T17:02:49"/>
    <d v="2019-03-16T17:02:49"/>
    <x v="9"/>
    <n v="0"/>
    <n v="105"/>
    <n v="1559"/>
  </r>
  <r>
    <n v="31601"/>
    <x v="2"/>
    <s v="Bangalore"/>
    <x v="3"/>
    <s v=" KA"/>
    <x v="1"/>
    <x v="0"/>
    <x v="1"/>
    <x v="0"/>
    <d v="2019-03-09T17:11:09"/>
    <d v="2019-03-12T17:11:09"/>
    <d v="2019-03-14T17:11:09"/>
    <x v="4"/>
    <n v="0"/>
    <n v="125"/>
    <n v="2997.5372267986659"/>
  </r>
  <r>
    <n v="318709"/>
    <x v="2"/>
    <s v="Bangalore"/>
    <x v="4"/>
    <s v=" WB"/>
    <x v="1"/>
    <x v="0"/>
    <x v="1"/>
    <x v="0"/>
    <d v="2019-03-09T18:10:54"/>
    <d v="2019-03-13T18:10:54"/>
    <d v="2019-03-16T18:10:54"/>
    <x v="6"/>
    <n v="37"/>
    <n v="111"/>
    <n v="587.13529660816994"/>
  </r>
  <r>
    <n v="198651"/>
    <x v="2"/>
    <s v="Delhi"/>
    <x v="3"/>
    <s v=" KA"/>
    <x v="1"/>
    <x v="0"/>
    <x v="1"/>
    <x v="1"/>
    <d v="2019-03-09T18:16:44"/>
    <d v="2019-03-18T18:16:44"/>
    <d v="2019-03-14T18:16:44"/>
    <x v="1"/>
    <n v="30"/>
    <n v="129"/>
    <n v="752.76040816438035"/>
  </r>
  <r>
    <n v="659274"/>
    <x v="2"/>
    <s v="Bangalore"/>
    <x v="3"/>
    <s v=" KA"/>
    <x v="2"/>
    <x v="0"/>
    <x v="0"/>
    <x v="1"/>
    <d v="2019-03-09T18:17:25"/>
    <d v="2019-03-10T18:17:25"/>
    <d v="2019-03-14T18:17:25"/>
    <x v="2"/>
    <n v="0"/>
    <n v="121"/>
    <n v="1433.7750848145424"/>
  </r>
  <r>
    <n v="577016"/>
    <x v="2"/>
    <s v="Delhi"/>
    <x v="2"/>
    <s v=" DL"/>
    <x v="0"/>
    <x v="0"/>
    <x v="0"/>
    <x v="0"/>
    <d v="2019-03-09T18:25:21"/>
    <d v="2019-03-09T18:25:21"/>
    <d v="2019-03-14T18:25:21"/>
    <x v="10"/>
    <n v="0"/>
    <n v="104"/>
    <n v="2155.2953850057638"/>
  </r>
  <r>
    <n v="362754"/>
    <x v="2"/>
    <s v="Delhi"/>
    <x v="3"/>
    <s v=" KA"/>
    <x v="2"/>
    <x v="0"/>
    <x v="0"/>
    <x v="1"/>
    <d v="2019-03-09T18:31:15"/>
    <d v="2019-03-19T18:31:15"/>
    <d v="2019-03-12T18:31:15"/>
    <x v="7"/>
    <n v="30"/>
    <n v="121"/>
    <n v="2294"/>
  </r>
  <r>
    <n v="112070"/>
    <x v="2"/>
    <s v="Bangalore"/>
    <x v="3"/>
    <s v=" KA"/>
    <x v="2"/>
    <x v="0"/>
    <x v="0"/>
    <x v="0"/>
    <d v="2019-03-09T18:36:44"/>
    <d v="2019-03-09T18:36:44"/>
    <d v="2019-03-16T18:36:44"/>
    <x v="10"/>
    <n v="0"/>
    <n v="120"/>
    <n v="1727.0426821867036"/>
  </r>
  <r>
    <n v="561546"/>
    <x v="2"/>
    <s v="Delhi"/>
    <x v="2"/>
    <s v=" DL"/>
    <x v="0"/>
    <x v="0"/>
    <x v="0"/>
    <x v="1"/>
    <d v="2019-03-09T19:07:45"/>
    <d v="2019-03-12T19:07:45"/>
    <d v="2019-03-14T19:07:45"/>
    <x v="4"/>
    <n v="0"/>
    <n v="109"/>
    <n v="1976.8461464849315"/>
  </r>
  <r>
    <n v="22766"/>
    <x v="2"/>
    <s v="Delhi"/>
    <x v="3"/>
    <s v=" KA"/>
    <x v="2"/>
    <x v="0"/>
    <x v="0"/>
    <x v="0"/>
    <d v="2019-03-09T19:12:11"/>
    <d v="2019-03-16T19:12:11"/>
    <d v="2019-03-15T19:12:11"/>
    <x v="8"/>
    <n v="27"/>
    <n v="130"/>
    <n v="2837.9727290464739"/>
  </r>
  <r>
    <n v="404252"/>
    <x v="2"/>
    <s v="Delhi"/>
    <x v="3"/>
    <s v=" KA"/>
    <x v="0"/>
    <x v="0"/>
    <x v="0"/>
    <x v="0"/>
    <d v="2019-03-09T19:17:40"/>
    <d v="2019-03-14T19:17:40"/>
    <d v="2019-03-15T19:17:40"/>
    <x v="9"/>
    <n v="45"/>
    <n v="125"/>
    <n v="2080.8709889842157"/>
  </r>
  <r>
    <n v="53125"/>
    <x v="2"/>
    <s v="Bangalore"/>
    <x v="2"/>
    <s v=" DL"/>
    <x v="0"/>
    <x v="0"/>
    <x v="1"/>
    <x v="0"/>
    <d v="2019-03-09T19:17:44"/>
    <d v="2019-03-11T19:17:44"/>
    <d v="2019-03-12T19:17:44"/>
    <x v="0"/>
    <n v="64"/>
    <n v="106"/>
    <n v="1021.8746362524906"/>
  </r>
  <r>
    <n v="71397"/>
    <x v="2"/>
    <s v="Delhi"/>
    <x v="0"/>
    <s v=" MH"/>
    <x v="1"/>
    <x v="0"/>
    <x v="1"/>
    <x v="1"/>
    <d v="2019-03-09T19:34:34"/>
    <d v="2019-03-17T19:34:34"/>
    <d v="2019-03-13T19:34:34"/>
    <x v="5"/>
    <n v="42"/>
    <n v="109"/>
    <n v="506.55952377968742"/>
  </r>
  <r>
    <n v="161461"/>
    <x v="2"/>
    <s v="Bangalore"/>
    <x v="0"/>
    <s v=" MH"/>
    <x v="1"/>
    <x v="0"/>
    <x v="1"/>
    <x v="0"/>
    <d v="2019-03-09T19:36:05"/>
    <d v="2019-03-16T19:36:05"/>
    <d v="2019-03-14T19:36:05"/>
    <x v="8"/>
    <n v="26"/>
    <n v="114"/>
    <n v="2218.512387277809"/>
  </r>
  <r>
    <n v="984951"/>
    <x v="2"/>
    <s v="Delhi"/>
    <x v="3"/>
    <s v=" KA"/>
    <x v="1"/>
    <x v="0"/>
    <x v="1"/>
    <x v="1"/>
    <d v="2019-03-09T20:13:11"/>
    <d v="2019-03-17T20:13:11"/>
    <d v="2019-03-14T20:13:11"/>
    <x v="5"/>
    <n v="50"/>
    <n v="120"/>
    <n v="3148.6733968514363"/>
  </r>
  <r>
    <n v="756375"/>
    <x v="2"/>
    <s v="Bangalore"/>
    <x v="0"/>
    <s v=" MH"/>
    <x v="1"/>
    <x v="0"/>
    <x v="1"/>
    <x v="1"/>
    <d v="2019-03-09T20:40:11"/>
    <d v="2019-03-13T20:40:11"/>
    <d v="2019-03-16T20:40:11"/>
    <x v="6"/>
    <n v="44"/>
    <n v="112"/>
    <n v="3174"/>
  </r>
  <r>
    <n v="246424"/>
    <x v="2"/>
    <s v="Delhi"/>
    <x v="2"/>
    <s v=" DL"/>
    <x v="0"/>
    <x v="0"/>
    <x v="0"/>
    <x v="0"/>
    <d v="2019-03-09T21:13:39"/>
    <d v="2019-03-09T21:13:39"/>
    <d v="2019-03-13T21:13:39"/>
    <x v="10"/>
    <n v="0"/>
    <n v="129"/>
    <n v="507.34288717276274"/>
  </r>
  <r>
    <n v="350939"/>
    <x v="2"/>
    <s v="Bangalore"/>
    <x v="3"/>
    <s v=" KA"/>
    <x v="0"/>
    <x v="0"/>
    <x v="1"/>
    <x v="0"/>
    <d v="2019-03-09T21:30:59"/>
    <d v="2019-03-09T21:30:59"/>
    <d v="2019-03-12T21:30:59"/>
    <x v="10"/>
    <n v="0"/>
    <n v="109"/>
    <n v="2391.5270669885585"/>
  </r>
  <r>
    <n v="813190"/>
    <x v="2"/>
    <s v="Delhi"/>
    <x v="2"/>
    <s v=" DL"/>
    <x v="0"/>
    <x v="0"/>
    <x v="0"/>
    <x v="0"/>
    <d v="2019-03-09T21:33:22"/>
    <d v="2019-03-09T21:33:22"/>
    <d v="2019-03-14T21:33:22"/>
    <x v="10"/>
    <n v="0"/>
    <n v="103"/>
    <n v="338.74226071218635"/>
  </r>
  <r>
    <n v="331525"/>
    <x v="2"/>
    <s v="Delhi"/>
    <x v="0"/>
    <s v=" MH"/>
    <x v="1"/>
    <x v="0"/>
    <x v="1"/>
    <x v="0"/>
    <d v="2019-03-09T21:36:19"/>
    <d v="2019-03-15T21:36:19"/>
    <d v="2019-03-12T21:36:19"/>
    <x v="3"/>
    <n v="43"/>
    <n v="110"/>
    <n v="2023.7852760082201"/>
  </r>
  <r>
    <n v="886634"/>
    <x v="2"/>
    <s v="Bangalore"/>
    <x v="0"/>
    <s v=" MH"/>
    <x v="2"/>
    <x v="0"/>
    <x v="0"/>
    <x v="0"/>
    <d v="2019-03-09T21:49:51"/>
    <d v="2019-03-16T21:49:51"/>
    <d v="2019-03-16T21:49:51"/>
    <x v="8"/>
    <n v="26"/>
    <n v="112"/>
    <n v="2346.8094083271817"/>
  </r>
  <r>
    <n v="719821"/>
    <x v="2"/>
    <s v="Delhi"/>
    <x v="3"/>
    <s v=" KA"/>
    <x v="0"/>
    <x v="0"/>
    <x v="1"/>
    <x v="0"/>
    <d v="2019-03-09T21:54:22"/>
    <d v="2019-03-13T21:54:22"/>
    <d v="2019-03-12T21:54:22"/>
    <x v="6"/>
    <n v="65"/>
    <n v="101"/>
    <n v="2541"/>
  </r>
  <r>
    <n v="877483"/>
    <x v="2"/>
    <s v="Delhi"/>
    <x v="0"/>
    <s v=" MH"/>
    <x v="0"/>
    <x v="0"/>
    <x v="1"/>
    <x v="0"/>
    <d v="2019-03-09T22:45:27"/>
    <d v="2019-03-11T22:45:27"/>
    <d v="2019-03-16T22:45:27"/>
    <x v="0"/>
    <n v="79"/>
    <n v="88"/>
    <n v="1965.3043316879696"/>
  </r>
  <r>
    <n v="863730"/>
    <x v="2"/>
    <s v="Delhi"/>
    <x v="3"/>
    <s v=" KA"/>
    <x v="2"/>
    <x v="0"/>
    <x v="0"/>
    <x v="1"/>
    <d v="2019-03-09T23:34:44"/>
    <d v="2019-03-19T23:34:44"/>
    <d v="2019-03-15T23:34:44"/>
    <x v="7"/>
    <n v="47"/>
    <n v="127"/>
    <n v="426.75007862766694"/>
  </r>
  <r>
    <n v="246601"/>
    <x v="2"/>
    <s v="Delhi"/>
    <x v="0"/>
    <s v=" MH"/>
    <x v="0"/>
    <x v="0"/>
    <x v="1"/>
    <x v="0"/>
    <d v="2019-03-09T23:38:35"/>
    <d v="2019-03-11T23:38:35"/>
    <d v="2019-03-14T23:38:35"/>
    <x v="0"/>
    <n v="87"/>
    <n v="91"/>
    <n v="2364.7610368984961"/>
  </r>
  <r>
    <n v="561095"/>
    <x v="2"/>
    <s v="Bangalore"/>
    <x v="0"/>
    <s v=" MH"/>
    <x v="0"/>
    <x v="0"/>
    <x v="1"/>
    <x v="0"/>
    <d v="2019-03-09T23:44:57"/>
    <d v="2019-03-12T23:44:57"/>
    <d v="2019-03-14T23:44:57"/>
    <x v="4"/>
    <n v="57"/>
    <n v="95"/>
    <n v="3401"/>
  </r>
  <r>
    <n v="318562"/>
    <x v="2"/>
    <s v="Delhi"/>
    <x v="2"/>
    <s v=" DL"/>
    <x v="2"/>
    <x v="0"/>
    <x v="0"/>
    <x v="0"/>
    <d v="2019-03-10T00:11:11"/>
    <d v="2019-03-12T00:11:11"/>
    <d v="2019-03-14T00:11:11"/>
    <x v="0"/>
    <n v="0"/>
    <n v="120"/>
    <n v="1288.9632007997809"/>
  </r>
  <r>
    <n v="919364"/>
    <x v="2"/>
    <s v="Delhi"/>
    <x v="1"/>
    <s v=" TN"/>
    <x v="0"/>
    <x v="0"/>
    <x v="0"/>
    <x v="0"/>
    <d v="2019-03-10T00:20:25"/>
    <d v="2019-03-20T00:20:25"/>
    <d v="2019-03-14T00:20:25"/>
    <x v="7"/>
    <n v="79"/>
    <n v="109"/>
    <n v="2156"/>
  </r>
  <r>
    <n v="619892"/>
    <x v="2"/>
    <s v="Bangalore"/>
    <x v="2"/>
    <s v=" DL"/>
    <x v="0"/>
    <x v="0"/>
    <x v="0"/>
    <x v="0"/>
    <d v="2019-03-10T00:50:17"/>
    <d v="2019-03-16T00:50:17"/>
    <d v="2019-03-16T00:50:17"/>
    <x v="3"/>
    <n v="40"/>
    <n v="128"/>
    <n v="775.51105239543267"/>
  </r>
  <r>
    <n v="775117"/>
    <x v="2"/>
    <s v="Delhi"/>
    <x v="2"/>
    <s v=" DL"/>
    <x v="0"/>
    <x v="0"/>
    <x v="2"/>
    <x v="0"/>
    <d v="2019-03-10T01:22:41"/>
    <d v="2019-03-12T01:22:41"/>
    <d v="2019-03-13T01:22:41"/>
    <x v="0"/>
    <n v="0"/>
    <n v="104"/>
    <n v="1100.4247005590553"/>
  </r>
  <r>
    <n v="399176"/>
    <x v="2"/>
    <s v="Delhi"/>
    <x v="3"/>
    <s v=" KA"/>
    <x v="0"/>
    <x v="0"/>
    <x v="0"/>
    <x v="0"/>
    <d v="2019-03-10T01:33:08"/>
    <d v="2019-03-16T01:33:08"/>
    <d v="2019-03-17T01:33:08"/>
    <x v="3"/>
    <n v="71"/>
    <n v="109"/>
    <n v="2982.6222722951043"/>
  </r>
  <r>
    <n v="772343"/>
    <x v="2"/>
    <s v="Delhi"/>
    <x v="2"/>
    <s v=" DL"/>
    <x v="1"/>
    <x v="0"/>
    <x v="1"/>
    <x v="0"/>
    <d v="2019-03-10T01:45:58"/>
    <d v="2019-03-15T01:45:58"/>
    <d v="2019-03-14T01:45:58"/>
    <x v="9"/>
    <n v="0"/>
    <n v="123"/>
    <n v="803.50293024532834"/>
  </r>
  <r>
    <n v="215711"/>
    <x v="2"/>
    <s v="Delhi"/>
    <x v="3"/>
    <s v=" KA"/>
    <x v="0"/>
    <x v="0"/>
    <x v="1"/>
    <x v="0"/>
    <d v="2019-03-10T01:53:30"/>
    <d v="2019-03-12T01:53:30"/>
    <d v="2019-03-15T01:53:30"/>
    <x v="0"/>
    <n v="71"/>
    <n v="102"/>
    <n v="3716.6286565855353"/>
  </r>
  <r>
    <n v="906813"/>
    <x v="2"/>
    <s v="Bangalore"/>
    <x v="0"/>
    <s v=" MH"/>
    <x v="0"/>
    <x v="0"/>
    <x v="1"/>
    <x v="1"/>
    <d v="2019-03-10T02:06:53"/>
    <d v="2019-03-12T02:06:53"/>
    <d v="2019-03-17T02:06:53"/>
    <x v="0"/>
    <n v="85"/>
    <n v="86"/>
    <n v="1417.344739423522"/>
  </r>
  <r>
    <n v="190280"/>
    <x v="2"/>
    <s v="Bangalore"/>
    <x v="1"/>
    <s v=" TN"/>
    <x v="0"/>
    <x v="0"/>
    <x v="0"/>
    <x v="0"/>
    <d v="2019-03-10T02:16:27"/>
    <d v="2019-03-15T02:16:27"/>
    <d v="2019-03-14T02:16:27"/>
    <x v="9"/>
    <n v="76"/>
    <n v="103"/>
    <n v="441.91046255583831"/>
  </r>
  <r>
    <n v="398193"/>
    <x v="2"/>
    <s v="Bangalore"/>
    <x v="0"/>
    <s v=" MH"/>
    <x v="1"/>
    <x v="0"/>
    <x v="1"/>
    <x v="1"/>
    <d v="2019-03-10T02:51:07"/>
    <d v="2019-03-15T02:51:07"/>
    <d v="2019-03-15T02:51:07"/>
    <x v="9"/>
    <n v="35"/>
    <n v="111"/>
    <n v="3469.6117559304371"/>
  </r>
  <r>
    <n v="733919"/>
    <x v="2"/>
    <s v="Bangalore"/>
    <x v="3"/>
    <s v=" KA"/>
    <x v="1"/>
    <x v="0"/>
    <x v="1"/>
    <x v="0"/>
    <d v="2019-03-10T02:55:57"/>
    <d v="2019-03-14T02:55:57"/>
    <d v="2019-03-14T02:55:57"/>
    <x v="6"/>
    <n v="0"/>
    <n v="125"/>
    <n v="3023.9706637958507"/>
  </r>
  <r>
    <n v="579112"/>
    <x v="2"/>
    <s v="Delhi"/>
    <x v="2"/>
    <s v=" DL"/>
    <x v="0"/>
    <x v="0"/>
    <x v="0"/>
    <x v="0"/>
    <d v="2019-03-10T03:32:36"/>
    <d v="2019-03-12T03:32:36"/>
    <d v="2019-03-14T03:32:36"/>
    <x v="0"/>
    <n v="0"/>
    <n v="102"/>
    <n v="887"/>
  </r>
  <r>
    <n v="950441"/>
    <x v="2"/>
    <s v="Delhi"/>
    <x v="3"/>
    <s v=" KA"/>
    <x v="1"/>
    <x v="0"/>
    <x v="1"/>
    <x v="0"/>
    <d v="2019-03-10T03:46:21"/>
    <d v="2019-03-15T03:46:21"/>
    <d v="2019-03-14T03:46:21"/>
    <x v="9"/>
    <n v="49"/>
    <n v="121"/>
    <n v="1052.5209090675185"/>
  </r>
  <r>
    <n v="705300"/>
    <x v="2"/>
    <s v="Bangalore"/>
    <x v="1"/>
    <s v=" TN"/>
    <x v="0"/>
    <x v="0"/>
    <x v="0"/>
    <x v="1"/>
    <d v="2019-03-10T03:59:11"/>
    <d v="2019-03-15T03:59:11"/>
    <d v="2019-03-13T03:59:11"/>
    <x v="9"/>
    <n v="33"/>
    <n v="129"/>
    <n v="564.72639216614448"/>
  </r>
  <r>
    <n v="242634"/>
    <x v="2"/>
    <s v="Delhi"/>
    <x v="3"/>
    <s v=" KA"/>
    <x v="2"/>
    <x v="0"/>
    <x v="0"/>
    <x v="1"/>
    <d v="2019-03-10T04:06:52"/>
    <d v="2019-03-16T04:06:52"/>
    <d v="2019-03-13T04:06:52"/>
    <x v="3"/>
    <n v="32"/>
    <n v="123"/>
    <n v="2720.5754653404683"/>
  </r>
  <r>
    <n v="401905"/>
    <x v="2"/>
    <s v="Delhi"/>
    <x v="4"/>
    <s v=" WB"/>
    <x v="0"/>
    <x v="0"/>
    <x v="2"/>
    <x v="0"/>
    <d v="2019-03-10T04:52:37"/>
    <d v="2019-03-19T04:52:37"/>
    <d v="2019-03-16T04:52:37"/>
    <x v="1"/>
    <n v="64"/>
    <n v="94"/>
    <n v="1968"/>
  </r>
  <r>
    <n v="410514"/>
    <x v="2"/>
    <s v="Delhi"/>
    <x v="3"/>
    <s v=" KA"/>
    <x v="2"/>
    <x v="0"/>
    <x v="0"/>
    <x v="1"/>
    <d v="2019-03-10T05:21:09"/>
    <d v="2019-03-16T05:21:09"/>
    <d v="2019-03-16T05:21:09"/>
    <x v="3"/>
    <n v="45"/>
    <n v="124"/>
    <n v="550"/>
  </r>
  <r>
    <n v="544627"/>
    <x v="2"/>
    <s v="Bangalore"/>
    <x v="2"/>
    <s v=" DL"/>
    <x v="0"/>
    <x v="0"/>
    <x v="1"/>
    <x v="0"/>
    <d v="2019-03-10T06:01:10"/>
    <d v="2019-03-12T06:01:10"/>
    <d v="2019-03-15T06:01:10"/>
    <x v="0"/>
    <n v="75"/>
    <n v="102"/>
    <n v="3037.4534907933621"/>
  </r>
  <r>
    <n v="106017"/>
    <x v="2"/>
    <s v="Bangalore"/>
    <x v="2"/>
    <s v=" DL"/>
    <x v="1"/>
    <x v="0"/>
    <x v="1"/>
    <x v="1"/>
    <d v="2019-03-10T06:11:16"/>
    <d v="2019-03-16T06:11:16"/>
    <d v="2019-03-15T06:11:16"/>
    <x v="3"/>
    <n v="33"/>
    <n v="129"/>
    <n v="3168.3752384349782"/>
  </r>
  <r>
    <n v="194865"/>
    <x v="2"/>
    <s v="Delhi"/>
    <x v="0"/>
    <s v=" MH"/>
    <x v="1"/>
    <x v="0"/>
    <x v="1"/>
    <x v="1"/>
    <d v="2019-03-10T06:54:28"/>
    <d v="2019-03-19T06:54:28"/>
    <d v="2019-03-17T06:54:28"/>
    <x v="1"/>
    <n v="26"/>
    <n v="113"/>
    <n v="884"/>
  </r>
  <r>
    <n v="351015"/>
    <x v="2"/>
    <s v="Delhi"/>
    <x v="0"/>
    <s v=" MH"/>
    <x v="1"/>
    <x v="0"/>
    <x v="2"/>
    <x v="1"/>
    <d v="2019-03-10T07:01:43"/>
    <d v="2019-03-17T07:01:43"/>
    <d v="2019-03-14T07:01:43"/>
    <x v="8"/>
    <n v="41"/>
    <n v="106"/>
    <n v="531"/>
  </r>
  <r>
    <n v="725732"/>
    <x v="2"/>
    <s v="Bangalore"/>
    <x v="3"/>
    <s v=" KA"/>
    <x v="0"/>
    <x v="0"/>
    <x v="0"/>
    <x v="0"/>
    <d v="2019-03-10T07:13:00"/>
    <d v="2019-03-10T07:13:00"/>
    <d v="2019-03-14T07:13:00"/>
    <x v="10"/>
    <n v="0"/>
    <n v="122"/>
    <n v="2132"/>
  </r>
  <r>
    <n v="801858"/>
    <x v="2"/>
    <s v="Delhi"/>
    <x v="0"/>
    <s v=" MH"/>
    <x v="2"/>
    <x v="0"/>
    <x v="0"/>
    <x v="1"/>
    <d v="2019-03-10T07:22:49"/>
    <d v="2019-03-17T07:22:49"/>
    <d v="2019-03-13T07:22:49"/>
    <x v="8"/>
    <n v="35"/>
    <n v="110"/>
    <n v="851"/>
  </r>
  <r>
    <n v="929509"/>
    <x v="2"/>
    <s v="Delhi"/>
    <x v="2"/>
    <s v=" DL"/>
    <x v="0"/>
    <x v="0"/>
    <x v="2"/>
    <x v="0"/>
    <d v="2019-03-10T07:50:32"/>
    <d v="2019-03-13T07:50:32"/>
    <d v="2019-03-17T07:50:32"/>
    <x v="4"/>
    <n v="0"/>
    <n v="107"/>
    <n v="372.35909703798598"/>
  </r>
  <r>
    <n v="694028"/>
    <x v="2"/>
    <s v="Bangalore"/>
    <x v="3"/>
    <s v=" KA"/>
    <x v="0"/>
    <x v="0"/>
    <x v="0"/>
    <x v="0"/>
    <d v="2019-03-10T07:59:08"/>
    <d v="2019-03-15T07:59:08"/>
    <d v="2019-03-13T07:59:08"/>
    <x v="9"/>
    <n v="0"/>
    <n v="101"/>
    <n v="3109.2530298664296"/>
  </r>
  <r>
    <n v="42153"/>
    <x v="2"/>
    <s v="Delhi"/>
    <x v="4"/>
    <s v=" WB"/>
    <x v="1"/>
    <x v="0"/>
    <x v="1"/>
    <x v="1"/>
    <d v="2019-03-10T08:06:49"/>
    <d v="2019-03-17T08:06:49"/>
    <d v="2019-03-16T08:06:49"/>
    <x v="8"/>
    <n v="32"/>
    <n v="115"/>
    <n v="858.10962639998957"/>
  </r>
  <r>
    <n v="528368"/>
    <x v="2"/>
    <s v="Delhi"/>
    <x v="3"/>
    <s v=" KA"/>
    <x v="0"/>
    <x v="0"/>
    <x v="0"/>
    <x v="0"/>
    <d v="2019-03-10T08:26:37"/>
    <d v="2019-03-14T08:26:37"/>
    <d v="2019-03-13T08:26:37"/>
    <x v="6"/>
    <n v="41"/>
    <n v="130"/>
    <n v="3386.6771848852386"/>
  </r>
  <r>
    <n v="252112"/>
    <x v="2"/>
    <s v="Delhi"/>
    <x v="0"/>
    <s v=" MH"/>
    <x v="0"/>
    <x v="0"/>
    <x v="0"/>
    <x v="0"/>
    <d v="2019-03-10T08:47:07"/>
    <d v="2019-03-12T08:47:07"/>
    <d v="2019-03-14T08:47:07"/>
    <x v="0"/>
    <n v="75"/>
    <n v="90"/>
    <n v="587.73787143430332"/>
  </r>
  <r>
    <n v="343481"/>
    <x v="2"/>
    <s v="Delhi"/>
    <x v="0"/>
    <s v=" MH"/>
    <x v="1"/>
    <x v="0"/>
    <x v="1"/>
    <x v="0"/>
    <d v="2019-03-10T09:57:01"/>
    <d v="2019-03-19T09:57:01"/>
    <d v="2019-03-16T09:57:01"/>
    <x v="1"/>
    <n v="32"/>
    <n v="105"/>
    <n v="2076.4471116516206"/>
  </r>
  <r>
    <n v="705161"/>
    <x v="2"/>
    <s v="Bangalore"/>
    <x v="2"/>
    <s v=" DL"/>
    <x v="0"/>
    <x v="0"/>
    <x v="1"/>
    <x v="0"/>
    <d v="2019-03-10T10:45:21"/>
    <d v="2019-03-12T10:45:21"/>
    <d v="2019-03-14T10:45:21"/>
    <x v="0"/>
    <n v="66"/>
    <n v="107"/>
    <n v="334"/>
  </r>
  <r>
    <n v="602110"/>
    <x v="2"/>
    <s v="Bangalore"/>
    <x v="2"/>
    <s v=" DL"/>
    <x v="2"/>
    <x v="0"/>
    <x v="0"/>
    <x v="0"/>
    <d v="2019-03-10T10:46:49"/>
    <d v="2019-03-18T10:46:49"/>
    <d v="2019-03-15T10:46:49"/>
    <x v="5"/>
    <n v="32"/>
    <n v="122"/>
    <n v="1252.8891331860141"/>
  </r>
  <r>
    <n v="532967"/>
    <x v="2"/>
    <s v="Delhi"/>
    <x v="0"/>
    <s v=" MH"/>
    <x v="1"/>
    <x v="0"/>
    <x v="1"/>
    <x v="0"/>
    <d v="2019-03-10T10:50:57"/>
    <d v="2019-03-15T10:50:57"/>
    <d v="2019-03-13T10:50:57"/>
    <x v="9"/>
    <n v="26"/>
    <n v="110"/>
    <n v="3479.534887626347"/>
  </r>
  <r>
    <n v="688858"/>
    <x v="2"/>
    <s v="Bangalore"/>
    <x v="1"/>
    <s v=" TN"/>
    <x v="2"/>
    <x v="0"/>
    <x v="0"/>
    <x v="0"/>
    <d v="2019-03-10T10:58:46"/>
    <d v="2019-03-13T10:58:46"/>
    <d v="2019-03-13T10:58:46"/>
    <x v="4"/>
    <n v="30"/>
    <n v="124"/>
    <n v="901.86501877205012"/>
  </r>
  <r>
    <n v="490138"/>
    <x v="2"/>
    <s v="Delhi"/>
    <x v="2"/>
    <s v=" DL"/>
    <x v="2"/>
    <x v="0"/>
    <x v="0"/>
    <x v="0"/>
    <d v="2019-03-10T11:27:41"/>
    <d v="2019-03-14T11:27:41"/>
    <d v="2019-03-13T11:27:41"/>
    <x v="6"/>
    <n v="0"/>
    <n v="125"/>
    <n v="1398.306136887519"/>
  </r>
  <r>
    <n v="856179"/>
    <x v="2"/>
    <s v="Delhi"/>
    <x v="0"/>
    <s v=" MH"/>
    <x v="0"/>
    <x v="0"/>
    <x v="1"/>
    <x v="1"/>
    <d v="2019-03-10T11:31:49"/>
    <d v="2019-03-13T11:31:49"/>
    <d v="2019-03-16T11:31:49"/>
    <x v="4"/>
    <n v="80"/>
    <n v="92"/>
    <n v="308"/>
  </r>
  <r>
    <n v="608703"/>
    <x v="2"/>
    <s v="Bangalore"/>
    <x v="4"/>
    <s v=" WB"/>
    <x v="1"/>
    <x v="0"/>
    <x v="1"/>
    <x v="1"/>
    <d v="2019-03-10T11:37:25"/>
    <d v="2019-03-17T11:37:25"/>
    <d v="2019-03-14T11:37:25"/>
    <x v="8"/>
    <n v="47"/>
    <n v="113"/>
    <n v="2133.8312728013648"/>
  </r>
  <r>
    <n v="664167"/>
    <x v="2"/>
    <s v="Bangalore"/>
    <x v="3"/>
    <s v=" KA"/>
    <x v="1"/>
    <x v="0"/>
    <x v="2"/>
    <x v="1"/>
    <d v="2019-03-10T11:38:48"/>
    <d v="2019-03-15T11:38:48"/>
    <d v="2019-03-17T11:38:48"/>
    <x v="9"/>
    <n v="0"/>
    <n v="120"/>
    <n v="2369.0092892452121"/>
  </r>
  <r>
    <n v="133213"/>
    <x v="2"/>
    <s v="Bangalore"/>
    <x v="0"/>
    <s v=" MH"/>
    <x v="1"/>
    <x v="0"/>
    <x v="1"/>
    <x v="0"/>
    <d v="2019-03-10T11:47:15"/>
    <d v="2019-03-15T11:47:15"/>
    <d v="2019-03-13T11:47:15"/>
    <x v="9"/>
    <n v="29"/>
    <n v="107"/>
    <n v="2999.5522500128618"/>
  </r>
  <r>
    <n v="154855"/>
    <x v="2"/>
    <s v="Bangalore"/>
    <x v="0"/>
    <s v=" MH"/>
    <x v="1"/>
    <x v="0"/>
    <x v="1"/>
    <x v="0"/>
    <d v="2019-03-10T12:00:07"/>
    <d v="2019-03-16T12:00:07"/>
    <d v="2019-03-16T12:00:07"/>
    <x v="3"/>
    <n v="38"/>
    <n v="112"/>
    <n v="2838"/>
  </r>
  <r>
    <n v="835208"/>
    <x v="2"/>
    <s v="Bangalore"/>
    <x v="3"/>
    <s v=" KA"/>
    <x v="0"/>
    <x v="0"/>
    <x v="0"/>
    <x v="0"/>
    <d v="2019-03-10T12:06:31"/>
    <d v="2019-03-10T12:06:31"/>
    <d v="2019-03-17T12:06:31"/>
    <x v="10"/>
    <n v="0"/>
    <n v="104"/>
    <n v="1185"/>
  </r>
  <r>
    <n v="53365"/>
    <x v="2"/>
    <s v="Delhi"/>
    <x v="2"/>
    <s v=" DL"/>
    <x v="0"/>
    <x v="0"/>
    <x v="1"/>
    <x v="0"/>
    <d v="2019-03-10T12:24:25"/>
    <d v="2019-03-10T12:24:25"/>
    <d v="2019-03-13T12:24:25"/>
    <x v="10"/>
    <n v="0"/>
    <n v="103"/>
    <n v="3288.5874481872956"/>
  </r>
  <r>
    <n v="578835"/>
    <x v="2"/>
    <s v="Delhi"/>
    <x v="2"/>
    <s v=" DL"/>
    <x v="0"/>
    <x v="0"/>
    <x v="1"/>
    <x v="1"/>
    <d v="2019-03-10T12:36:43"/>
    <d v="2019-03-10T12:36:43"/>
    <d v="2019-03-15T12:36:43"/>
    <x v="10"/>
    <n v="0"/>
    <n v="106"/>
    <n v="1927.9312494483615"/>
  </r>
  <r>
    <n v="40237"/>
    <x v="2"/>
    <s v="Delhi"/>
    <x v="4"/>
    <s v=" WB"/>
    <x v="1"/>
    <x v="0"/>
    <x v="1"/>
    <x v="0"/>
    <d v="2019-03-10T13:04:38"/>
    <d v="2019-03-15T13:04:38"/>
    <d v="2019-03-13T13:04:38"/>
    <x v="9"/>
    <n v="28"/>
    <n v="109"/>
    <n v="296"/>
  </r>
  <r>
    <n v="941282"/>
    <x v="2"/>
    <s v="Bangalore"/>
    <x v="2"/>
    <s v=" DL"/>
    <x v="2"/>
    <x v="0"/>
    <x v="0"/>
    <x v="0"/>
    <d v="2019-03-10T13:09:17"/>
    <d v="2019-03-17T13:09:17"/>
    <d v="2019-03-15T13:09:17"/>
    <x v="8"/>
    <n v="33"/>
    <n v="123"/>
    <n v="1526.7094993501339"/>
  </r>
  <r>
    <n v="275635"/>
    <x v="2"/>
    <s v="Delhi"/>
    <x v="1"/>
    <s v=" TN"/>
    <x v="0"/>
    <x v="0"/>
    <x v="1"/>
    <x v="0"/>
    <d v="2019-03-10T13:31:17"/>
    <d v="2019-03-19T13:31:17"/>
    <d v="2019-03-14T13:31:17"/>
    <x v="1"/>
    <n v="74"/>
    <n v="104"/>
    <n v="2280"/>
  </r>
  <r>
    <n v="109506"/>
    <x v="2"/>
    <s v="Delhi"/>
    <x v="3"/>
    <s v=" KA"/>
    <x v="2"/>
    <x v="0"/>
    <x v="0"/>
    <x v="1"/>
    <d v="2019-03-10T14:13:27"/>
    <d v="2019-03-17T14:13:27"/>
    <d v="2019-03-13T14:13:27"/>
    <x v="8"/>
    <n v="38"/>
    <n v="128"/>
    <n v="762"/>
  </r>
  <r>
    <n v="183823"/>
    <x v="2"/>
    <s v="Delhi"/>
    <x v="1"/>
    <s v=" TN"/>
    <x v="1"/>
    <x v="0"/>
    <x v="1"/>
    <x v="0"/>
    <d v="2019-03-10T14:57:25"/>
    <d v="2019-03-15T14:57:25"/>
    <d v="2019-03-14T14:57:25"/>
    <x v="9"/>
    <n v="37"/>
    <n v="129"/>
    <n v="2619.2489044476224"/>
  </r>
  <r>
    <n v="263609"/>
    <x v="2"/>
    <s v="Bangalore"/>
    <x v="0"/>
    <s v=" MH"/>
    <x v="0"/>
    <x v="0"/>
    <x v="1"/>
    <x v="0"/>
    <d v="2019-03-10T15:05:31"/>
    <d v="2019-03-16T15:05:31"/>
    <d v="2019-03-14T15:05:31"/>
    <x v="3"/>
    <n v="64"/>
    <n v="90"/>
    <n v="3201.0255977965944"/>
  </r>
  <r>
    <n v="203843"/>
    <x v="2"/>
    <s v="Delhi"/>
    <x v="2"/>
    <s v=" DL"/>
    <x v="0"/>
    <x v="0"/>
    <x v="1"/>
    <x v="0"/>
    <d v="2019-03-10T15:07:17"/>
    <d v="2019-03-10T15:07:17"/>
    <d v="2019-03-16T15:07:17"/>
    <x v="10"/>
    <n v="0"/>
    <n v="103"/>
    <n v="1005.8991922836182"/>
  </r>
  <r>
    <n v="553060"/>
    <x v="2"/>
    <s v="Delhi"/>
    <x v="1"/>
    <s v=" TN"/>
    <x v="0"/>
    <x v="0"/>
    <x v="0"/>
    <x v="0"/>
    <d v="2019-03-10T15:44:52"/>
    <d v="2019-03-20T15:44:52"/>
    <d v="2019-03-13T15:44:52"/>
    <x v="7"/>
    <n v="83"/>
    <n v="103"/>
    <n v="1186"/>
  </r>
  <r>
    <n v="530310"/>
    <x v="2"/>
    <s v="Delhi"/>
    <x v="2"/>
    <s v=" DL"/>
    <x v="2"/>
    <x v="0"/>
    <x v="0"/>
    <x v="1"/>
    <d v="2019-03-10T16:01:26"/>
    <d v="2019-03-12T16:01:26"/>
    <d v="2019-03-17T16:01:26"/>
    <x v="0"/>
    <n v="0"/>
    <n v="128"/>
    <n v="3098.4791808976929"/>
  </r>
  <r>
    <n v="21339"/>
    <x v="2"/>
    <s v="Delhi"/>
    <x v="4"/>
    <s v=" WB"/>
    <x v="1"/>
    <x v="0"/>
    <x v="1"/>
    <x v="1"/>
    <d v="2019-03-10T16:13:51"/>
    <d v="2019-03-12T16:13:51"/>
    <d v="2019-03-16T16:13:51"/>
    <x v="0"/>
    <n v="43"/>
    <n v="106"/>
    <n v="922"/>
  </r>
  <r>
    <n v="73751"/>
    <x v="2"/>
    <s v="Bangalore"/>
    <x v="4"/>
    <s v=" WB"/>
    <x v="1"/>
    <x v="0"/>
    <x v="1"/>
    <x v="0"/>
    <d v="2019-03-10T16:36:06"/>
    <d v="2019-03-14T16:36:06"/>
    <d v="2019-03-16T16:36:06"/>
    <x v="6"/>
    <n v="40"/>
    <n v="107"/>
    <n v="3202.1584787743095"/>
  </r>
  <r>
    <n v="236259"/>
    <x v="2"/>
    <s v="Delhi"/>
    <x v="4"/>
    <s v=" WB"/>
    <x v="1"/>
    <x v="0"/>
    <x v="1"/>
    <x v="1"/>
    <d v="2019-03-10T17:09:54"/>
    <d v="2019-03-12T17:09:54"/>
    <d v="2019-03-17T17:09:54"/>
    <x v="0"/>
    <n v="34"/>
    <n v="108"/>
    <n v="1940.9542048845551"/>
  </r>
  <r>
    <n v="343350"/>
    <x v="2"/>
    <s v="Bangalore"/>
    <x v="2"/>
    <s v=" DL"/>
    <x v="2"/>
    <x v="0"/>
    <x v="0"/>
    <x v="1"/>
    <d v="2019-03-10T17:10:39"/>
    <d v="2019-03-17T17:10:39"/>
    <d v="2019-03-13T17:10:39"/>
    <x v="8"/>
    <n v="36"/>
    <n v="127"/>
    <n v="2180.8538322276686"/>
  </r>
  <r>
    <n v="230785"/>
    <x v="2"/>
    <s v="Delhi"/>
    <x v="0"/>
    <s v=" MH"/>
    <x v="1"/>
    <x v="0"/>
    <x v="1"/>
    <x v="0"/>
    <d v="2019-03-10T17:22:56"/>
    <d v="2019-03-14T17:22:56"/>
    <d v="2019-03-16T17:22:56"/>
    <x v="6"/>
    <n v="29"/>
    <n v="106"/>
    <n v="3034"/>
  </r>
  <r>
    <n v="761534"/>
    <x v="2"/>
    <s v="Delhi"/>
    <x v="3"/>
    <s v=" KA"/>
    <x v="2"/>
    <x v="0"/>
    <x v="0"/>
    <x v="0"/>
    <d v="2019-03-10T18:03:16"/>
    <d v="2019-03-15T18:03:16"/>
    <d v="2019-03-14T18:03:16"/>
    <x v="9"/>
    <n v="47"/>
    <n v="129"/>
    <n v="835.48239023803728"/>
  </r>
  <r>
    <n v="725710"/>
    <x v="2"/>
    <s v="Bangalore"/>
    <x v="4"/>
    <s v=" WB"/>
    <x v="2"/>
    <x v="0"/>
    <x v="0"/>
    <x v="0"/>
    <d v="2019-03-10T18:15:22"/>
    <d v="2019-03-12T18:15:22"/>
    <d v="2019-03-17T18:15:22"/>
    <x v="0"/>
    <n v="41"/>
    <n v="112"/>
    <n v="2452.9203084852356"/>
  </r>
  <r>
    <n v="320738"/>
    <x v="2"/>
    <s v="Bangalore"/>
    <x v="1"/>
    <s v=" TN"/>
    <x v="2"/>
    <x v="0"/>
    <x v="0"/>
    <x v="0"/>
    <d v="2019-03-10T18:38:20"/>
    <d v="2019-03-12T18:38:20"/>
    <d v="2019-03-13T18:38:20"/>
    <x v="0"/>
    <n v="31"/>
    <n v="124"/>
    <n v="975.67398653055363"/>
  </r>
  <r>
    <n v="663128"/>
    <x v="2"/>
    <s v="Delhi"/>
    <x v="0"/>
    <s v=" MH"/>
    <x v="0"/>
    <x v="0"/>
    <x v="0"/>
    <x v="0"/>
    <d v="2019-03-10T18:52:41"/>
    <d v="2019-03-12T18:52:41"/>
    <d v="2019-03-14T18:52:41"/>
    <x v="0"/>
    <n v="42"/>
    <n v="112"/>
    <n v="2590.6023546207375"/>
  </r>
  <r>
    <n v="459423"/>
    <x v="2"/>
    <s v="Delhi"/>
    <x v="2"/>
    <s v=" DL"/>
    <x v="0"/>
    <x v="0"/>
    <x v="1"/>
    <x v="1"/>
    <d v="2019-03-10T18:55:17"/>
    <d v="2019-03-12T18:55:17"/>
    <d v="2019-03-13T18:55:17"/>
    <x v="0"/>
    <n v="0"/>
    <n v="109"/>
    <n v="1338.812611354816"/>
  </r>
  <r>
    <n v="586661"/>
    <x v="2"/>
    <s v="Delhi"/>
    <x v="3"/>
    <s v=" KA"/>
    <x v="1"/>
    <x v="0"/>
    <x v="1"/>
    <x v="0"/>
    <d v="2019-03-10T18:57:08"/>
    <d v="2019-03-15T18:57:08"/>
    <d v="2019-03-16T18:57:08"/>
    <x v="9"/>
    <n v="27"/>
    <n v="130"/>
    <n v="2133.9975490215184"/>
  </r>
  <r>
    <n v="44094"/>
    <x v="2"/>
    <s v="Delhi"/>
    <x v="1"/>
    <s v=" TN"/>
    <x v="2"/>
    <x v="0"/>
    <x v="0"/>
    <x v="1"/>
    <d v="2019-03-10T18:58:13"/>
    <d v="2019-03-16T18:58:13"/>
    <d v="2019-03-14T18:58:13"/>
    <x v="3"/>
    <n v="47"/>
    <n v="122"/>
    <n v="2462"/>
  </r>
  <r>
    <n v="222492"/>
    <x v="2"/>
    <s v="Bangalore"/>
    <x v="2"/>
    <s v=" DL"/>
    <x v="0"/>
    <x v="0"/>
    <x v="0"/>
    <x v="1"/>
    <d v="2019-03-10T19:05:42"/>
    <d v="2019-03-13T19:05:42"/>
    <d v="2019-03-16T19:05:42"/>
    <x v="4"/>
    <n v="33"/>
    <n v="128"/>
    <n v="420"/>
  </r>
  <r>
    <n v="538372"/>
    <x v="2"/>
    <s v="Bangalore"/>
    <x v="4"/>
    <s v=" WB"/>
    <x v="0"/>
    <x v="0"/>
    <x v="0"/>
    <x v="0"/>
    <d v="2019-03-10T19:14:17"/>
    <d v="2019-03-16T19:14:17"/>
    <d v="2019-03-17T19:14:17"/>
    <x v="3"/>
    <n v="41"/>
    <n v="112"/>
    <n v="754"/>
  </r>
  <r>
    <n v="673512"/>
    <x v="2"/>
    <s v="Delhi"/>
    <x v="0"/>
    <s v=" MH"/>
    <x v="0"/>
    <x v="0"/>
    <x v="0"/>
    <x v="1"/>
    <d v="2019-03-10T19:23:12"/>
    <d v="2019-03-15T19:23:12"/>
    <d v="2019-03-15T19:23:12"/>
    <x v="9"/>
    <n v="56"/>
    <n v="95"/>
    <n v="1946.7212491928349"/>
  </r>
  <r>
    <n v="312405"/>
    <x v="2"/>
    <s v="Delhi"/>
    <x v="4"/>
    <s v=" WB"/>
    <x v="0"/>
    <x v="0"/>
    <x v="1"/>
    <x v="1"/>
    <d v="2019-03-10T19:57:08"/>
    <d v="2019-03-15T19:57:08"/>
    <d v="2019-03-14T19:57:08"/>
    <x v="9"/>
    <n v="72"/>
    <n v="94"/>
    <n v="3118.8811875754409"/>
  </r>
  <r>
    <n v="410639"/>
    <x v="2"/>
    <s v="Delhi"/>
    <x v="4"/>
    <s v=" WB"/>
    <x v="1"/>
    <x v="0"/>
    <x v="1"/>
    <x v="0"/>
    <d v="2019-03-10T20:40:02"/>
    <d v="2019-03-12T20:40:02"/>
    <d v="2019-03-14T20:40:02"/>
    <x v="0"/>
    <n v="27"/>
    <n v="111"/>
    <n v="3057.0691777316388"/>
  </r>
  <r>
    <n v="790666"/>
    <x v="2"/>
    <s v="Bangalore"/>
    <x v="2"/>
    <s v=" DL"/>
    <x v="0"/>
    <x v="0"/>
    <x v="0"/>
    <x v="0"/>
    <d v="2019-03-10T20:51:31"/>
    <d v="2019-03-12T20:51:31"/>
    <d v="2019-03-16T20:51:31"/>
    <x v="0"/>
    <n v="80"/>
    <n v="105"/>
    <n v="3423"/>
  </r>
  <r>
    <n v="609373"/>
    <x v="2"/>
    <s v="Bangalore"/>
    <x v="0"/>
    <s v=" MH"/>
    <x v="0"/>
    <x v="0"/>
    <x v="1"/>
    <x v="0"/>
    <d v="2019-03-10T21:18:34"/>
    <d v="2019-03-12T21:18:34"/>
    <d v="2019-03-13T21:18:34"/>
    <x v="0"/>
    <n v="75"/>
    <n v="85"/>
    <n v="1932.7248023721995"/>
  </r>
  <r>
    <n v="376352"/>
    <x v="2"/>
    <s v="Bangalore"/>
    <x v="3"/>
    <s v=" KA"/>
    <x v="0"/>
    <x v="0"/>
    <x v="0"/>
    <x v="0"/>
    <d v="2019-03-10T21:27:52"/>
    <d v="2019-03-15T21:27:52"/>
    <d v="2019-03-14T21:27:52"/>
    <x v="9"/>
    <n v="0"/>
    <n v="126"/>
    <n v="1273.172573642556"/>
  </r>
  <r>
    <n v="615847"/>
    <x v="2"/>
    <s v="Delhi"/>
    <x v="2"/>
    <s v=" DL"/>
    <x v="1"/>
    <x v="0"/>
    <x v="1"/>
    <x v="0"/>
    <d v="2019-03-10T21:42:40"/>
    <d v="2019-03-16T21:42:40"/>
    <d v="2019-03-14T21:42:40"/>
    <x v="3"/>
    <n v="0"/>
    <n v="129"/>
    <n v="1971.0864126732699"/>
  </r>
  <r>
    <n v="821953"/>
    <x v="2"/>
    <s v="Bangalore"/>
    <x v="0"/>
    <s v=" MH"/>
    <x v="1"/>
    <x v="0"/>
    <x v="1"/>
    <x v="0"/>
    <d v="2019-03-10T21:57:00"/>
    <d v="2019-03-19T21:57:00"/>
    <d v="2019-03-16T21:57:00"/>
    <x v="1"/>
    <n v="42"/>
    <n v="110"/>
    <n v="2575.798730071087"/>
  </r>
  <r>
    <n v="501750"/>
    <x v="2"/>
    <s v="Delhi"/>
    <x v="3"/>
    <s v=" KA"/>
    <x v="0"/>
    <x v="0"/>
    <x v="0"/>
    <x v="1"/>
    <d v="2019-03-10T22:07:41"/>
    <d v="2019-03-16T22:07:41"/>
    <d v="2019-03-13T22:07:41"/>
    <x v="3"/>
    <n v="60"/>
    <n v="110"/>
    <n v="803"/>
  </r>
  <r>
    <n v="688935"/>
    <x v="2"/>
    <s v="Delhi"/>
    <x v="2"/>
    <s v=" DL"/>
    <x v="1"/>
    <x v="0"/>
    <x v="1"/>
    <x v="1"/>
    <d v="2019-03-11T00:16:55"/>
    <d v="2019-03-12T00:16:55"/>
    <d v="2019-03-14T00:16:55"/>
    <x v="2"/>
    <n v="0"/>
    <n v="122"/>
    <n v="2583.560605297117"/>
  </r>
  <r>
    <n v="433678"/>
    <x v="2"/>
    <s v="Delhi"/>
    <x v="2"/>
    <s v=" DL"/>
    <x v="0"/>
    <x v="0"/>
    <x v="0"/>
    <x v="0"/>
    <d v="2019-03-11T00:54:57"/>
    <d v="2019-03-15T00:54:57"/>
    <d v="2019-03-18T00:54:57"/>
    <x v="6"/>
    <n v="0"/>
    <n v="103"/>
    <n v="607.22846794804502"/>
  </r>
  <r>
    <n v="274788"/>
    <x v="2"/>
    <s v="Delhi"/>
    <x v="3"/>
    <s v=" KA"/>
    <x v="0"/>
    <x v="0"/>
    <x v="0"/>
    <x v="1"/>
    <d v="2019-03-11T01:04:55"/>
    <d v="2019-03-15T01:04:55"/>
    <d v="2019-03-16T01:04:55"/>
    <x v="6"/>
    <n v="86"/>
    <n v="101"/>
    <n v="2519.058568798715"/>
  </r>
  <r>
    <n v="775283"/>
    <x v="2"/>
    <s v="Delhi"/>
    <x v="4"/>
    <s v=" WB"/>
    <x v="1"/>
    <x v="0"/>
    <x v="1"/>
    <x v="0"/>
    <d v="2019-03-11T01:12:08"/>
    <d v="2019-03-18T01:12:08"/>
    <d v="2019-03-15T01:12:08"/>
    <x v="8"/>
    <n v="49"/>
    <n v="108"/>
    <n v="1070"/>
  </r>
  <r>
    <n v="262453"/>
    <x v="2"/>
    <s v="Delhi"/>
    <x v="0"/>
    <s v=" MH"/>
    <x v="1"/>
    <x v="0"/>
    <x v="1"/>
    <x v="0"/>
    <d v="2019-03-11T01:12:09"/>
    <d v="2019-03-17T01:12:09"/>
    <d v="2019-03-14T01:12:09"/>
    <x v="3"/>
    <n v="40"/>
    <n v="106"/>
    <n v="3182.5699158331945"/>
  </r>
  <r>
    <n v="817803"/>
    <x v="2"/>
    <s v="Bangalore"/>
    <x v="4"/>
    <s v=" WB"/>
    <x v="0"/>
    <x v="0"/>
    <x v="2"/>
    <x v="1"/>
    <d v="2019-03-11T01:14:28"/>
    <d v="2019-03-18T01:14:28"/>
    <d v="2019-03-18T01:14:28"/>
    <x v="8"/>
    <n v="61"/>
    <n v="88"/>
    <n v="3550"/>
  </r>
  <r>
    <n v="935358"/>
    <x v="2"/>
    <s v="Delhi"/>
    <x v="0"/>
    <s v=" MH"/>
    <x v="2"/>
    <x v="0"/>
    <x v="0"/>
    <x v="1"/>
    <d v="2019-03-11T01:32:05"/>
    <d v="2019-03-17T01:32:05"/>
    <d v="2019-03-17T01:32:05"/>
    <x v="3"/>
    <n v="36"/>
    <n v="114"/>
    <n v="1550"/>
  </r>
  <r>
    <n v="698614"/>
    <x v="2"/>
    <s v="Bangalore"/>
    <x v="3"/>
    <s v=" KA"/>
    <x v="2"/>
    <x v="0"/>
    <x v="0"/>
    <x v="0"/>
    <d v="2019-03-11T01:41:21"/>
    <d v="2019-03-12T01:41:21"/>
    <d v="2019-03-15T01:41:21"/>
    <x v="2"/>
    <n v="0"/>
    <n v="121"/>
    <n v="437.29011332487318"/>
  </r>
  <r>
    <n v="422115"/>
    <x v="2"/>
    <s v="Delhi"/>
    <x v="0"/>
    <s v=" MH"/>
    <x v="1"/>
    <x v="0"/>
    <x v="1"/>
    <x v="1"/>
    <d v="2019-03-11T01:43:07"/>
    <d v="2019-03-15T01:43:07"/>
    <d v="2019-03-16T01:43:07"/>
    <x v="6"/>
    <n v="45"/>
    <n v="115"/>
    <n v="2031.3380121481168"/>
  </r>
  <r>
    <n v="870361"/>
    <x v="2"/>
    <s v="Bangalore"/>
    <x v="2"/>
    <s v=" DL"/>
    <x v="1"/>
    <x v="0"/>
    <x v="1"/>
    <x v="0"/>
    <d v="2019-03-11T01:44:39"/>
    <d v="2019-03-15T01:44:39"/>
    <d v="2019-03-17T01:44:39"/>
    <x v="6"/>
    <n v="25"/>
    <n v="125"/>
    <n v="2728.6493042697762"/>
  </r>
  <r>
    <n v="649381"/>
    <x v="2"/>
    <s v="Bangalore"/>
    <x v="1"/>
    <s v=" TN"/>
    <x v="1"/>
    <x v="0"/>
    <x v="1"/>
    <x v="0"/>
    <d v="2019-03-11T01:54:29"/>
    <d v="2019-03-14T01:54:29"/>
    <d v="2019-03-14T01:54:29"/>
    <x v="4"/>
    <n v="28"/>
    <n v="124"/>
    <n v="2290.8697330439159"/>
  </r>
  <r>
    <n v="335513"/>
    <x v="2"/>
    <s v="Delhi"/>
    <x v="1"/>
    <s v=" TN"/>
    <x v="0"/>
    <x v="0"/>
    <x v="1"/>
    <x v="0"/>
    <d v="2019-03-11T01:57:38"/>
    <d v="2019-03-21T01:57:38"/>
    <d v="2019-03-14T01:57:38"/>
    <x v="7"/>
    <n v="67"/>
    <n v="109"/>
    <n v="2922.5943688715529"/>
  </r>
  <r>
    <n v="313163"/>
    <x v="2"/>
    <s v="Bangalore"/>
    <x v="3"/>
    <s v=" KA"/>
    <x v="1"/>
    <x v="0"/>
    <x v="1"/>
    <x v="0"/>
    <d v="2019-03-11T02:01:55"/>
    <d v="2019-03-12T02:01:55"/>
    <d v="2019-03-15T02:01:55"/>
    <x v="2"/>
    <n v="0"/>
    <n v="121"/>
    <n v="1498.7359930323832"/>
  </r>
  <r>
    <n v="608425"/>
    <x v="2"/>
    <s v="Bangalore"/>
    <x v="0"/>
    <s v=" MH"/>
    <x v="1"/>
    <x v="0"/>
    <x v="1"/>
    <x v="0"/>
    <d v="2019-03-11T02:17:13"/>
    <d v="2019-03-18T02:17:13"/>
    <d v="2019-03-18T02:17:13"/>
    <x v="8"/>
    <n v="39"/>
    <n v="108"/>
    <n v="2544.258927991315"/>
  </r>
  <r>
    <n v="290191"/>
    <x v="2"/>
    <s v="Delhi"/>
    <x v="3"/>
    <s v=" KA"/>
    <x v="0"/>
    <x v="0"/>
    <x v="1"/>
    <x v="0"/>
    <d v="2019-03-11T02:26:57"/>
    <d v="2019-03-16T02:26:57"/>
    <d v="2019-03-14T02:26:57"/>
    <x v="9"/>
    <n v="84"/>
    <n v="107"/>
    <n v="731"/>
  </r>
  <r>
    <n v="138134"/>
    <x v="2"/>
    <s v="Bangalore"/>
    <x v="3"/>
    <s v=" KA"/>
    <x v="2"/>
    <x v="0"/>
    <x v="0"/>
    <x v="0"/>
    <d v="2019-03-11T02:44:35"/>
    <d v="2019-03-17T02:44:35"/>
    <d v="2019-03-15T02:44:35"/>
    <x v="3"/>
    <n v="0"/>
    <n v="124"/>
    <n v="3309.5712709015284"/>
  </r>
  <r>
    <n v="737819"/>
    <x v="2"/>
    <s v="Bangalore"/>
    <x v="4"/>
    <s v=" WB"/>
    <x v="0"/>
    <x v="0"/>
    <x v="1"/>
    <x v="0"/>
    <d v="2019-03-11T02:48:22"/>
    <d v="2019-03-17T02:48:22"/>
    <d v="2019-03-18T02:48:22"/>
    <x v="3"/>
    <n v="84"/>
    <n v="85"/>
    <n v="1662.5326896930917"/>
  </r>
  <r>
    <n v="999468"/>
    <x v="2"/>
    <s v="Delhi"/>
    <x v="1"/>
    <s v=" TN"/>
    <x v="0"/>
    <x v="0"/>
    <x v="0"/>
    <x v="1"/>
    <d v="2019-03-11T02:50:27"/>
    <d v="2019-03-22T02:50:27"/>
    <d v="2019-03-16T02:50:27"/>
    <x v="11"/>
    <n v="45"/>
    <n v="124"/>
    <n v="2321.1290586759974"/>
  </r>
  <r>
    <n v="748819"/>
    <x v="2"/>
    <s v="Delhi"/>
    <x v="2"/>
    <s v=" DL"/>
    <x v="0"/>
    <x v="0"/>
    <x v="1"/>
    <x v="0"/>
    <d v="2019-03-11T03:03:13"/>
    <d v="2019-03-16T03:03:13"/>
    <d v="2019-03-15T03:03:13"/>
    <x v="9"/>
    <n v="0"/>
    <n v="110"/>
    <n v="231"/>
  </r>
  <r>
    <n v="862849"/>
    <x v="2"/>
    <s v="Delhi"/>
    <x v="3"/>
    <s v=" KA"/>
    <x v="1"/>
    <x v="0"/>
    <x v="1"/>
    <x v="0"/>
    <d v="2019-03-11T03:04:08"/>
    <d v="2019-03-17T03:04:08"/>
    <d v="2019-03-18T03:04:08"/>
    <x v="3"/>
    <n v="33"/>
    <n v="130"/>
    <n v="3169.4734441554374"/>
  </r>
  <r>
    <n v="38289"/>
    <x v="2"/>
    <s v="Delhi"/>
    <x v="4"/>
    <s v=" WB"/>
    <x v="0"/>
    <x v="0"/>
    <x v="1"/>
    <x v="1"/>
    <d v="2019-03-11T03:18:41"/>
    <d v="2019-03-18T03:18:41"/>
    <d v="2019-03-17T03:18:41"/>
    <x v="8"/>
    <n v="81"/>
    <n v="94"/>
    <n v="3784.8122660053582"/>
  </r>
  <r>
    <n v="661987"/>
    <x v="2"/>
    <s v="Delhi"/>
    <x v="0"/>
    <s v=" MH"/>
    <x v="1"/>
    <x v="0"/>
    <x v="1"/>
    <x v="0"/>
    <d v="2019-03-11T04:02:20"/>
    <d v="2019-03-14T04:02:20"/>
    <d v="2019-03-18T04:02:20"/>
    <x v="4"/>
    <n v="29"/>
    <n v="106"/>
    <n v="3240.822007882748"/>
  </r>
  <r>
    <n v="117507"/>
    <x v="2"/>
    <s v="Delhi"/>
    <x v="1"/>
    <s v=" TN"/>
    <x v="0"/>
    <x v="0"/>
    <x v="1"/>
    <x v="1"/>
    <d v="2019-03-11T04:04:28"/>
    <d v="2019-03-18T04:04:28"/>
    <d v="2019-03-15T04:04:28"/>
    <x v="8"/>
    <n v="73"/>
    <n v="108"/>
    <n v="600.54645372156517"/>
  </r>
  <r>
    <n v="200296"/>
    <x v="2"/>
    <s v="Bangalore"/>
    <x v="0"/>
    <s v=" MH"/>
    <x v="0"/>
    <x v="0"/>
    <x v="0"/>
    <x v="0"/>
    <d v="2019-03-11T04:06:41"/>
    <d v="2019-03-15T04:06:41"/>
    <d v="2019-03-14T04:06:41"/>
    <x v="6"/>
    <n v="33"/>
    <n v="111"/>
    <n v="519.32131666805424"/>
  </r>
  <r>
    <n v="338732"/>
    <x v="2"/>
    <s v="Bangalore"/>
    <x v="4"/>
    <s v=" WB"/>
    <x v="0"/>
    <x v="0"/>
    <x v="0"/>
    <x v="0"/>
    <d v="2019-03-11T04:30:33"/>
    <d v="2019-03-20T04:30:33"/>
    <d v="2019-03-16T04:30:33"/>
    <x v="1"/>
    <n v="33"/>
    <n v="115"/>
    <n v="1274.4384997978302"/>
  </r>
  <r>
    <n v="897791"/>
    <x v="2"/>
    <s v="Delhi"/>
    <x v="3"/>
    <s v=" KA"/>
    <x v="1"/>
    <x v="0"/>
    <x v="1"/>
    <x v="0"/>
    <d v="2019-03-11T04:40:49"/>
    <d v="2019-03-17T04:40:49"/>
    <d v="2019-03-15T04:40:49"/>
    <x v="3"/>
    <n v="35"/>
    <n v="129"/>
    <n v="2736.9574296181245"/>
  </r>
  <r>
    <n v="1415"/>
    <x v="2"/>
    <s v="Delhi"/>
    <x v="4"/>
    <s v=" WB"/>
    <x v="0"/>
    <x v="0"/>
    <x v="1"/>
    <x v="0"/>
    <d v="2019-03-11T04:51:04"/>
    <d v="2019-03-18T04:51:04"/>
    <d v="2019-03-18T04:51:04"/>
    <x v="8"/>
    <n v="65"/>
    <n v="86"/>
    <n v="2794.644783425344"/>
  </r>
  <r>
    <n v="522881"/>
    <x v="2"/>
    <s v="Bangalore"/>
    <x v="2"/>
    <s v=" DL"/>
    <x v="0"/>
    <x v="0"/>
    <x v="1"/>
    <x v="0"/>
    <d v="2019-03-11T04:51:41"/>
    <d v="2019-03-13T04:51:41"/>
    <d v="2019-03-18T04:51:41"/>
    <x v="0"/>
    <n v="69"/>
    <n v="108"/>
    <n v="3549"/>
  </r>
  <r>
    <n v="322466"/>
    <x v="2"/>
    <s v="Bangalore"/>
    <x v="2"/>
    <s v=" DL"/>
    <x v="2"/>
    <x v="0"/>
    <x v="0"/>
    <x v="0"/>
    <d v="2019-03-11T05:14:20"/>
    <d v="2019-03-19T05:14:20"/>
    <d v="2019-03-17T05:14:20"/>
    <x v="5"/>
    <n v="37"/>
    <n v="126"/>
    <n v="1445"/>
  </r>
  <r>
    <n v="949503"/>
    <x v="2"/>
    <s v="Bangalore"/>
    <x v="4"/>
    <s v=" WB"/>
    <x v="1"/>
    <x v="0"/>
    <x v="1"/>
    <x v="1"/>
    <d v="2019-03-11T05:29:11"/>
    <d v="2019-03-17T05:29:11"/>
    <d v="2019-03-18T05:29:11"/>
    <x v="3"/>
    <n v="30"/>
    <n v="115"/>
    <n v="284"/>
  </r>
  <r>
    <n v="307843"/>
    <x v="2"/>
    <s v="Delhi"/>
    <x v="0"/>
    <s v=" MH"/>
    <x v="1"/>
    <x v="0"/>
    <x v="1"/>
    <x v="0"/>
    <d v="2019-03-11T05:35:25"/>
    <d v="2019-03-16T05:35:25"/>
    <d v="2019-03-17T05:35:25"/>
    <x v="9"/>
    <n v="36"/>
    <n v="111"/>
    <n v="867"/>
  </r>
  <r>
    <n v="427825"/>
    <x v="2"/>
    <s v="Delhi"/>
    <x v="1"/>
    <s v=" TN"/>
    <x v="1"/>
    <x v="0"/>
    <x v="1"/>
    <x v="0"/>
    <d v="2019-03-11T05:37:41"/>
    <d v="2019-03-17T05:37:41"/>
    <d v="2019-03-15T05:37:41"/>
    <x v="3"/>
    <n v="48"/>
    <n v="121"/>
    <n v="2862.988348676663"/>
  </r>
  <r>
    <n v="738183"/>
    <x v="2"/>
    <s v="Bangalore"/>
    <x v="0"/>
    <s v=" MH"/>
    <x v="1"/>
    <x v="0"/>
    <x v="1"/>
    <x v="1"/>
    <d v="2019-03-11T05:39:29"/>
    <d v="2019-03-17T05:39:29"/>
    <d v="2019-03-16T05:39:29"/>
    <x v="3"/>
    <n v="26"/>
    <n v="111"/>
    <n v="1813.6739190458527"/>
  </r>
  <r>
    <n v="871201"/>
    <x v="2"/>
    <s v="Bangalore"/>
    <x v="1"/>
    <s v=" TN"/>
    <x v="1"/>
    <x v="0"/>
    <x v="1"/>
    <x v="0"/>
    <d v="2019-03-11T05:45:36"/>
    <d v="2019-03-13T05:45:36"/>
    <d v="2019-03-17T05:45:36"/>
    <x v="0"/>
    <n v="35"/>
    <n v="123"/>
    <n v="2582"/>
  </r>
  <r>
    <n v="738060"/>
    <x v="2"/>
    <s v="Delhi"/>
    <x v="2"/>
    <s v=" DL"/>
    <x v="0"/>
    <x v="0"/>
    <x v="0"/>
    <x v="1"/>
    <d v="2019-03-11T05:48:47"/>
    <d v="2019-03-11T05:48:47"/>
    <d v="2019-03-18T05:48:47"/>
    <x v="10"/>
    <n v="0"/>
    <n v="103"/>
    <n v="1175.7307119165343"/>
  </r>
  <r>
    <n v="160546"/>
    <x v="2"/>
    <s v="Bangalore"/>
    <x v="1"/>
    <s v=" TN"/>
    <x v="2"/>
    <x v="0"/>
    <x v="0"/>
    <x v="0"/>
    <d v="2019-03-11T06:41:43"/>
    <d v="2019-03-16T06:41:43"/>
    <d v="2019-03-18T06:41:43"/>
    <x v="9"/>
    <n v="35"/>
    <n v="122"/>
    <n v="2448.5845528230789"/>
  </r>
  <r>
    <n v="441004"/>
    <x v="2"/>
    <s v="Delhi"/>
    <x v="2"/>
    <s v=" DL"/>
    <x v="0"/>
    <x v="0"/>
    <x v="0"/>
    <x v="0"/>
    <d v="2019-03-11T06:43:04"/>
    <d v="2019-03-13T06:43:04"/>
    <d v="2019-03-16T06:43:04"/>
    <x v="0"/>
    <n v="0"/>
    <n v="123"/>
    <n v="3128.0635809081018"/>
  </r>
  <r>
    <n v="532104"/>
    <x v="2"/>
    <s v="Delhi"/>
    <x v="1"/>
    <s v=" TN"/>
    <x v="0"/>
    <x v="0"/>
    <x v="0"/>
    <x v="1"/>
    <d v="2019-03-11T07:08:26"/>
    <d v="2019-03-20T07:08:26"/>
    <d v="2019-03-18T07:08:26"/>
    <x v="1"/>
    <n v="48"/>
    <n v="126"/>
    <n v="2469.8335059346091"/>
  </r>
  <r>
    <n v="668188"/>
    <x v="2"/>
    <s v="Bangalore"/>
    <x v="0"/>
    <s v=" MH"/>
    <x v="0"/>
    <x v="0"/>
    <x v="0"/>
    <x v="0"/>
    <d v="2019-03-11T07:27:39"/>
    <d v="2019-03-16T07:27:39"/>
    <d v="2019-03-15T07:27:39"/>
    <x v="9"/>
    <n v="30"/>
    <n v="112"/>
    <n v="1890.0476832679317"/>
  </r>
  <r>
    <n v="493178"/>
    <x v="2"/>
    <s v="Delhi"/>
    <x v="3"/>
    <s v=" KA"/>
    <x v="2"/>
    <x v="0"/>
    <x v="0"/>
    <x v="0"/>
    <d v="2019-03-11T07:40:47"/>
    <d v="2019-03-16T07:40:47"/>
    <d v="2019-03-18T07:40:47"/>
    <x v="9"/>
    <n v="45"/>
    <n v="129"/>
    <n v="1563.5081646116962"/>
  </r>
  <r>
    <n v="140984"/>
    <x v="2"/>
    <s v="Bangalore"/>
    <x v="2"/>
    <s v=" DL"/>
    <x v="0"/>
    <x v="0"/>
    <x v="0"/>
    <x v="0"/>
    <d v="2019-03-11T08:15:17"/>
    <d v="2019-03-16T08:15:17"/>
    <d v="2019-03-18T08:15:17"/>
    <x v="9"/>
    <n v="39"/>
    <n v="129"/>
    <n v="1378.139752589836"/>
  </r>
  <r>
    <n v="28426"/>
    <x v="2"/>
    <s v="Delhi"/>
    <x v="0"/>
    <s v=" MH"/>
    <x v="0"/>
    <x v="0"/>
    <x v="0"/>
    <x v="0"/>
    <d v="2019-03-11T09:02:57"/>
    <d v="2019-03-13T09:02:57"/>
    <d v="2019-03-18T09:02:57"/>
    <x v="0"/>
    <n v="64"/>
    <n v="89"/>
    <n v="716.34905296684497"/>
  </r>
  <r>
    <n v="286687"/>
    <x v="2"/>
    <s v="Bangalore"/>
    <x v="2"/>
    <s v=" DL"/>
    <x v="1"/>
    <x v="0"/>
    <x v="1"/>
    <x v="0"/>
    <d v="2019-03-11T09:07:48"/>
    <d v="2019-03-17T09:07:48"/>
    <d v="2019-03-16T09:07:48"/>
    <x v="3"/>
    <n v="31"/>
    <n v="123"/>
    <n v="1381.2844865566069"/>
  </r>
  <r>
    <n v="868502"/>
    <x v="2"/>
    <s v="Delhi"/>
    <x v="2"/>
    <s v=" DL"/>
    <x v="0"/>
    <x v="0"/>
    <x v="0"/>
    <x v="0"/>
    <d v="2019-03-11T09:17:53"/>
    <d v="2019-03-11T09:17:53"/>
    <d v="2019-03-15T09:17:53"/>
    <x v="10"/>
    <n v="0"/>
    <n v="109"/>
    <n v="3229"/>
  </r>
  <r>
    <n v="972169"/>
    <x v="2"/>
    <s v="Delhi"/>
    <x v="4"/>
    <s v=" WB"/>
    <x v="1"/>
    <x v="0"/>
    <x v="1"/>
    <x v="0"/>
    <d v="2019-03-11T09:25:12"/>
    <d v="2019-03-18T09:25:12"/>
    <d v="2019-03-18T09:25:12"/>
    <x v="8"/>
    <n v="37"/>
    <n v="107"/>
    <n v="2139.8111099241469"/>
  </r>
  <r>
    <n v="939989"/>
    <x v="2"/>
    <s v="Delhi"/>
    <x v="2"/>
    <s v=" DL"/>
    <x v="0"/>
    <x v="0"/>
    <x v="1"/>
    <x v="0"/>
    <d v="2019-03-11T09:37:40"/>
    <d v="2019-03-15T09:37:40"/>
    <d v="2019-03-14T09:37:40"/>
    <x v="6"/>
    <n v="0"/>
    <n v="101"/>
    <n v="2974.2884812963293"/>
  </r>
  <r>
    <n v="744793"/>
    <x v="2"/>
    <s v="Bangalore"/>
    <x v="2"/>
    <s v=" DL"/>
    <x v="0"/>
    <x v="0"/>
    <x v="2"/>
    <x v="0"/>
    <d v="2019-03-11T09:40:04"/>
    <d v="2019-03-13T09:40:04"/>
    <d v="2019-03-16T09:40:04"/>
    <x v="0"/>
    <n v="71"/>
    <n v="103"/>
    <n v="2825.2546893785761"/>
  </r>
  <r>
    <n v="272647"/>
    <x v="2"/>
    <s v="Delhi"/>
    <x v="2"/>
    <s v=" DL"/>
    <x v="0"/>
    <x v="0"/>
    <x v="1"/>
    <x v="0"/>
    <d v="2019-03-11T09:49:01"/>
    <d v="2019-03-15T09:49:01"/>
    <d v="2019-03-15T09:49:01"/>
    <x v="6"/>
    <n v="0"/>
    <n v="108"/>
    <n v="809.880703410151"/>
  </r>
  <r>
    <n v="208394"/>
    <x v="2"/>
    <s v="Delhi"/>
    <x v="3"/>
    <s v=" KA"/>
    <x v="0"/>
    <x v="0"/>
    <x v="0"/>
    <x v="0"/>
    <d v="2019-03-11T10:37:41"/>
    <d v="2019-03-14T10:37:41"/>
    <d v="2019-03-18T10:37:41"/>
    <x v="4"/>
    <n v="69"/>
    <n v="103"/>
    <n v="2917"/>
  </r>
  <r>
    <n v="923295"/>
    <x v="2"/>
    <s v="Delhi"/>
    <x v="0"/>
    <s v=" MH"/>
    <x v="1"/>
    <x v="0"/>
    <x v="1"/>
    <x v="1"/>
    <d v="2019-03-11T10:38:04"/>
    <d v="2019-03-14T10:38:04"/>
    <d v="2019-03-15T10:38:04"/>
    <x v="4"/>
    <n v="39"/>
    <n v="115"/>
    <n v="2762.4318695279071"/>
  </r>
  <r>
    <n v="78406"/>
    <x v="2"/>
    <s v="Bangalore"/>
    <x v="0"/>
    <s v=" MH"/>
    <x v="2"/>
    <x v="0"/>
    <x v="0"/>
    <x v="0"/>
    <d v="2019-03-11T10:46:07"/>
    <d v="2019-03-16T10:46:07"/>
    <d v="2019-03-15T10:46:07"/>
    <x v="9"/>
    <n v="40"/>
    <n v="109"/>
    <n v="396"/>
  </r>
  <r>
    <n v="10690"/>
    <x v="2"/>
    <s v="Bangalore"/>
    <x v="3"/>
    <s v=" KA"/>
    <x v="2"/>
    <x v="0"/>
    <x v="0"/>
    <x v="0"/>
    <d v="2019-03-11T11:23:20"/>
    <d v="2019-03-11T11:23:20"/>
    <d v="2019-03-17T11:23:20"/>
    <x v="10"/>
    <n v="0"/>
    <n v="123"/>
    <n v="692"/>
  </r>
  <r>
    <n v="131185"/>
    <x v="2"/>
    <s v="Bangalore"/>
    <x v="0"/>
    <s v=" MH"/>
    <x v="1"/>
    <x v="0"/>
    <x v="1"/>
    <x v="0"/>
    <d v="2019-03-11T11:37:10"/>
    <d v="2019-03-19T11:37:10"/>
    <d v="2019-03-18T11:37:10"/>
    <x v="5"/>
    <n v="41"/>
    <n v="114"/>
    <n v="267"/>
  </r>
  <r>
    <n v="207180"/>
    <x v="2"/>
    <s v="Delhi"/>
    <x v="3"/>
    <s v=" KA"/>
    <x v="0"/>
    <x v="0"/>
    <x v="0"/>
    <x v="1"/>
    <d v="2019-03-11T11:49:22"/>
    <d v="2019-03-13T11:49:22"/>
    <d v="2019-03-15T11:49:22"/>
    <x v="0"/>
    <n v="58"/>
    <n v="102"/>
    <n v="1172.8636076134342"/>
  </r>
  <r>
    <n v="181142"/>
    <x v="2"/>
    <s v="Delhi"/>
    <x v="0"/>
    <s v=" MH"/>
    <x v="2"/>
    <x v="0"/>
    <x v="0"/>
    <x v="0"/>
    <d v="2019-03-11T11:52:23"/>
    <d v="2019-03-18T11:52:23"/>
    <d v="2019-03-15T11:52:23"/>
    <x v="8"/>
    <n v="28"/>
    <n v="113"/>
    <n v="338.72200675414246"/>
  </r>
  <r>
    <n v="600703"/>
    <x v="2"/>
    <s v="Delhi"/>
    <x v="2"/>
    <s v=" DL"/>
    <x v="1"/>
    <x v="0"/>
    <x v="1"/>
    <x v="0"/>
    <d v="2019-03-11T11:55:27"/>
    <d v="2019-03-17T11:55:27"/>
    <d v="2019-03-14T11:55:27"/>
    <x v="3"/>
    <n v="0"/>
    <n v="122"/>
    <n v="1293.1579029827783"/>
  </r>
  <r>
    <n v="668414"/>
    <x v="2"/>
    <s v="Bangalore"/>
    <x v="0"/>
    <s v=" MH"/>
    <x v="2"/>
    <x v="0"/>
    <x v="0"/>
    <x v="0"/>
    <d v="2019-03-11T11:59:05"/>
    <d v="2019-03-14T11:59:05"/>
    <d v="2019-03-15T11:59:05"/>
    <x v="4"/>
    <n v="28"/>
    <n v="108"/>
    <n v="1443"/>
  </r>
  <r>
    <n v="252678"/>
    <x v="2"/>
    <s v="Delhi"/>
    <x v="4"/>
    <s v=" WB"/>
    <x v="2"/>
    <x v="0"/>
    <x v="0"/>
    <x v="1"/>
    <d v="2019-03-11T12:31:26"/>
    <d v="2019-03-14T12:31:26"/>
    <d v="2019-03-14T12:31:26"/>
    <x v="4"/>
    <n v="46"/>
    <n v="107"/>
    <n v="3089"/>
  </r>
  <r>
    <n v="760275"/>
    <x v="2"/>
    <s v="Delhi"/>
    <x v="2"/>
    <s v=" DL"/>
    <x v="1"/>
    <x v="0"/>
    <x v="1"/>
    <x v="1"/>
    <d v="2019-03-11T12:33:28"/>
    <d v="2019-03-12T12:33:28"/>
    <d v="2019-03-15T12:33:28"/>
    <x v="2"/>
    <n v="0"/>
    <n v="121"/>
    <n v="2595.0523269344772"/>
  </r>
  <r>
    <n v="410321"/>
    <x v="2"/>
    <s v="Delhi"/>
    <x v="2"/>
    <s v=" DL"/>
    <x v="0"/>
    <x v="0"/>
    <x v="1"/>
    <x v="0"/>
    <d v="2019-03-11T13:02:48"/>
    <d v="2019-03-12T13:02:48"/>
    <d v="2019-03-16T13:02:48"/>
    <x v="2"/>
    <n v="0"/>
    <n v="101"/>
    <n v="2229.2138552650176"/>
  </r>
  <r>
    <n v="885054"/>
    <x v="2"/>
    <s v="Delhi"/>
    <x v="3"/>
    <s v=" KA"/>
    <x v="2"/>
    <x v="0"/>
    <x v="0"/>
    <x v="1"/>
    <d v="2019-03-11T13:03:18"/>
    <d v="2019-03-17T13:03:18"/>
    <d v="2019-03-14T13:03:18"/>
    <x v="3"/>
    <n v="29"/>
    <n v="120"/>
    <n v="1032.651708147783"/>
  </r>
  <r>
    <n v="534664"/>
    <x v="2"/>
    <s v="Delhi"/>
    <x v="0"/>
    <s v=" MH"/>
    <x v="0"/>
    <x v="0"/>
    <x v="0"/>
    <x v="0"/>
    <d v="2019-03-11T13:22:06"/>
    <d v="2019-03-17T13:22:06"/>
    <d v="2019-03-16T13:22:06"/>
    <x v="3"/>
    <n v="49"/>
    <n v="113"/>
    <n v="1240.361299895578"/>
  </r>
  <r>
    <n v="989105"/>
    <x v="2"/>
    <s v="Bangalore"/>
    <x v="2"/>
    <s v=" DL"/>
    <x v="1"/>
    <x v="0"/>
    <x v="1"/>
    <x v="0"/>
    <d v="2019-03-11T13:52:06"/>
    <d v="2019-03-20T13:52:06"/>
    <d v="2019-03-15T13:52:06"/>
    <x v="1"/>
    <n v="35"/>
    <n v="126"/>
    <n v="2062.1433095705715"/>
  </r>
  <r>
    <n v="411829"/>
    <x v="2"/>
    <s v="Bangalore"/>
    <x v="3"/>
    <s v=" KA"/>
    <x v="0"/>
    <x v="0"/>
    <x v="1"/>
    <x v="0"/>
    <d v="2019-03-11T14:07:51"/>
    <d v="2019-03-12T14:07:51"/>
    <d v="2019-03-16T14:07:51"/>
    <x v="2"/>
    <n v="0"/>
    <n v="101"/>
    <n v="3612.0377177406658"/>
  </r>
  <r>
    <n v="630867"/>
    <x v="2"/>
    <s v="Delhi"/>
    <x v="3"/>
    <s v=" KA"/>
    <x v="1"/>
    <x v="0"/>
    <x v="1"/>
    <x v="1"/>
    <d v="2019-03-11T14:49:18"/>
    <d v="2019-03-20T14:49:18"/>
    <d v="2019-03-16T14:49:18"/>
    <x v="1"/>
    <n v="49"/>
    <n v="124"/>
    <n v="658.12368740323336"/>
  </r>
  <r>
    <n v="122255"/>
    <x v="2"/>
    <s v="Bangalore"/>
    <x v="1"/>
    <s v=" TN"/>
    <x v="0"/>
    <x v="0"/>
    <x v="2"/>
    <x v="0"/>
    <d v="2019-03-11T14:51:21"/>
    <d v="2019-03-16T14:51:21"/>
    <d v="2019-03-16T14:51:21"/>
    <x v="9"/>
    <n v="66"/>
    <n v="104"/>
    <n v="1574"/>
  </r>
  <r>
    <n v="193683"/>
    <x v="2"/>
    <s v="Delhi"/>
    <x v="4"/>
    <s v=" WB"/>
    <x v="0"/>
    <x v="0"/>
    <x v="2"/>
    <x v="1"/>
    <d v="2019-03-11T14:52:07"/>
    <d v="2019-03-17T14:52:07"/>
    <d v="2019-03-18T14:52:07"/>
    <x v="3"/>
    <n v="70"/>
    <n v="93"/>
    <n v="1881.4188218650513"/>
  </r>
  <r>
    <n v="358164"/>
    <x v="2"/>
    <s v="Bangalore"/>
    <x v="3"/>
    <s v=" KA"/>
    <x v="0"/>
    <x v="0"/>
    <x v="0"/>
    <x v="1"/>
    <d v="2019-03-11T14:54:06"/>
    <d v="2019-03-13T14:54:06"/>
    <d v="2019-03-17T14:54:06"/>
    <x v="0"/>
    <n v="0"/>
    <n v="126"/>
    <n v="664"/>
  </r>
  <r>
    <n v="283068"/>
    <x v="2"/>
    <s v="Bangalore"/>
    <x v="0"/>
    <s v=" MH"/>
    <x v="0"/>
    <x v="0"/>
    <x v="0"/>
    <x v="1"/>
    <d v="2019-03-11T15:04:11"/>
    <d v="2019-03-14T15:04:11"/>
    <d v="2019-03-17T15:04:11"/>
    <x v="4"/>
    <n v="50"/>
    <n v="107"/>
    <n v="2135.4946367920052"/>
  </r>
  <r>
    <n v="646720"/>
    <x v="2"/>
    <s v="Delhi"/>
    <x v="4"/>
    <s v=" WB"/>
    <x v="0"/>
    <x v="0"/>
    <x v="0"/>
    <x v="0"/>
    <d v="2019-03-11T16:09:39"/>
    <d v="2019-03-14T16:09:39"/>
    <d v="2019-03-14T16:09:39"/>
    <x v="4"/>
    <n v="34"/>
    <n v="115"/>
    <n v="982.99317505098236"/>
  </r>
  <r>
    <n v="27669"/>
    <x v="2"/>
    <s v="Bangalore"/>
    <x v="0"/>
    <s v=" MH"/>
    <x v="1"/>
    <x v="0"/>
    <x v="1"/>
    <x v="1"/>
    <d v="2019-03-11T16:57:36"/>
    <d v="2019-03-19T16:57:36"/>
    <d v="2019-03-17T16:57:36"/>
    <x v="5"/>
    <n v="49"/>
    <n v="106"/>
    <n v="3161.0873330676691"/>
  </r>
  <r>
    <n v="369872"/>
    <x v="2"/>
    <s v="Bangalore"/>
    <x v="0"/>
    <s v=" MH"/>
    <x v="0"/>
    <x v="0"/>
    <x v="0"/>
    <x v="0"/>
    <d v="2019-03-11T17:15:54"/>
    <d v="2019-03-13T17:15:54"/>
    <d v="2019-03-16T17:15:54"/>
    <x v="0"/>
    <n v="38"/>
    <n v="111"/>
    <n v="775.32363395587515"/>
  </r>
  <r>
    <n v="698440"/>
    <x v="2"/>
    <s v="Bangalore"/>
    <x v="1"/>
    <s v=" TN"/>
    <x v="0"/>
    <x v="0"/>
    <x v="0"/>
    <x v="0"/>
    <d v="2019-03-11T17:32:11"/>
    <d v="2019-03-18T17:32:11"/>
    <d v="2019-03-15T17:32:11"/>
    <x v="8"/>
    <n v="61"/>
    <n v="107"/>
    <n v="2508"/>
  </r>
  <r>
    <n v="538604"/>
    <x v="2"/>
    <s v="Bangalore"/>
    <x v="4"/>
    <s v=" WB"/>
    <x v="0"/>
    <x v="0"/>
    <x v="0"/>
    <x v="0"/>
    <d v="2019-03-11T17:34:32"/>
    <d v="2019-03-14T17:34:32"/>
    <d v="2019-03-16T17:34:32"/>
    <x v="4"/>
    <n v="62"/>
    <n v="92"/>
    <n v="3784.1185170431177"/>
  </r>
  <r>
    <n v="679644"/>
    <x v="2"/>
    <s v="Bangalore"/>
    <x v="3"/>
    <s v=" KA"/>
    <x v="0"/>
    <x v="0"/>
    <x v="0"/>
    <x v="1"/>
    <d v="2019-03-11T17:55:39"/>
    <d v="2019-03-11T17:55:39"/>
    <d v="2019-03-17T17:55:39"/>
    <x v="10"/>
    <n v="0"/>
    <n v="124"/>
    <n v="2027.0105724814223"/>
  </r>
  <r>
    <n v="748627"/>
    <x v="2"/>
    <s v="Delhi"/>
    <x v="0"/>
    <s v=" MH"/>
    <x v="1"/>
    <x v="0"/>
    <x v="1"/>
    <x v="0"/>
    <d v="2019-03-11T18:01:53"/>
    <d v="2019-03-19T18:01:53"/>
    <d v="2019-03-14T18:01:53"/>
    <x v="5"/>
    <n v="26"/>
    <n v="115"/>
    <n v="2173.2621898806342"/>
  </r>
  <r>
    <n v="468332"/>
    <x v="2"/>
    <s v="Delhi"/>
    <x v="1"/>
    <s v=" TN"/>
    <x v="0"/>
    <x v="0"/>
    <x v="0"/>
    <x v="0"/>
    <d v="2019-03-11T18:09:47"/>
    <d v="2019-03-17T18:09:47"/>
    <d v="2019-03-16T18:09:47"/>
    <x v="3"/>
    <n v="48"/>
    <n v="125"/>
    <n v="3758.3593314615855"/>
  </r>
  <r>
    <n v="47273"/>
    <x v="2"/>
    <s v="Delhi"/>
    <x v="0"/>
    <s v=" MH"/>
    <x v="1"/>
    <x v="0"/>
    <x v="1"/>
    <x v="0"/>
    <d v="2019-03-11T18:25:50"/>
    <d v="2019-03-17T18:25:50"/>
    <d v="2019-03-16T18:25:50"/>
    <x v="3"/>
    <n v="25"/>
    <n v="106"/>
    <n v="902.25264815934781"/>
  </r>
  <r>
    <n v="698991"/>
    <x v="2"/>
    <s v="Delhi"/>
    <x v="0"/>
    <s v=" MH"/>
    <x v="1"/>
    <x v="0"/>
    <x v="1"/>
    <x v="1"/>
    <d v="2019-03-11T18:31:56"/>
    <d v="2019-03-19T18:31:56"/>
    <d v="2019-03-17T18:31:56"/>
    <x v="5"/>
    <n v="42"/>
    <n v="111"/>
    <n v="909.39805707271421"/>
  </r>
  <r>
    <n v="632569"/>
    <x v="2"/>
    <s v="Bangalore"/>
    <x v="2"/>
    <s v=" DL"/>
    <x v="0"/>
    <x v="0"/>
    <x v="2"/>
    <x v="0"/>
    <d v="2019-03-11T18:36:47"/>
    <d v="2019-03-17T18:36:47"/>
    <d v="2019-03-18T18:36:47"/>
    <x v="3"/>
    <n v="71"/>
    <n v="100"/>
    <n v="667.43789787785124"/>
  </r>
  <r>
    <n v="725928"/>
    <x v="2"/>
    <s v="Delhi"/>
    <x v="3"/>
    <s v=" KA"/>
    <x v="0"/>
    <x v="0"/>
    <x v="0"/>
    <x v="1"/>
    <d v="2019-03-11T18:41:00"/>
    <d v="2019-03-16T18:41:00"/>
    <d v="2019-03-17T18:41:00"/>
    <x v="9"/>
    <n v="46"/>
    <n v="123"/>
    <n v="876.28407636226916"/>
  </r>
  <r>
    <n v="234524"/>
    <x v="2"/>
    <s v="Bangalore"/>
    <x v="2"/>
    <s v=" DL"/>
    <x v="0"/>
    <x v="0"/>
    <x v="0"/>
    <x v="0"/>
    <d v="2019-03-11T18:42:55"/>
    <d v="2019-03-13T18:42:55"/>
    <d v="2019-03-15T18:42:55"/>
    <x v="0"/>
    <n v="76"/>
    <n v="106"/>
    <n v="728.30552355319708"/>
  </r>
  <r>
    <n v="322261"/>
    <x v="2"/>
    <s v="Bangalore"/>
    <x v="4"/>
    <s v=" WB"/>
    <x v="1"/>
    <x v="0"/>
    <x v="1"/>
    <x v="0"/>
    <d v="2019-03-11T18:46:15"/>
    <d v="2019-03-13T18:46:15"/>
    <d v="2019-03-18T18:46:15"/>
    <x v="0"/>
    <n v="27"/>
    <n v="111"/>
    <n v="2412.5445109924121"/>
  </r>
  <r>
    <n v="671405"/>
    <x v="2"/>
    <s v="Bangalore"/>
    <x v="2"/>
    <s v=" DL"/>
    <x v="1"/>
    <x v="0"/>
    <x v="2"/>
    <x v="0"/>
    <d v="2019-03-11T18:50:05"/>
    <d v="2019-03-14T18:50:05"/>
    <d v="2019-03-17T18:50:05"/>
    <x v="4"/>
    <n v="37"/>
    <n v="129"/>
    <n v="784.50681646788485"/>
  </r>
  <r>
    <n v="667138"/>
    <x v="2"/>
    <s v="Delhi"/>
    <x v="2"/>
    <s v=" DL"/>
    <x v="2"/>
    <x v="0"/>
    <x v="0"/>
    <x v="0"/>
    <d v="2019-03-11T18:50:56"/>
    <d v="2019-03-17T18:50:56"/>
    <d v="2019-03-18T18:50:56"/>
    <x v="3"/>
    <n v="0"/>
    <n v="127"/>
    <n v="3063"/>
  </r>
  <r>
    <n v="538832"/>
    <x v="2"/>
    <s v="Delhi"/>
    <x v="3"/>
    <s v=" KA"/>
    <x v="0"/>
    <x v="0"/>
    <x v="0"/>
    <x v="0"/>
    <d v="2019-03-11T19:37:40"/>
    <d v="2019-03-13T19:37:40"/>
    <d v="2019-03-17T19:37:40"/>
    <x v="0"/>
    <n v="40"/>
    <n v="130"/>
    <n v="3254.0606758790386"/>
  </r>
  <r>
    <n v="632644"/>
    <x v="2"/>
    <s v="Delhi"/>
    <x v="3"/>
    <s v=" KA"/>
    <x v="0"/>
    <x v="0"/>
    <x v="0"/>
    <x v="0"/>
    <d v="2019-03-11T20:07:27"/>
    <d v="2019-03-17T20:07:27"/>
    <d v="2019-03-14T20:07:27"/>
    <x v="3"/>
    <n v="39"/>
    <n v="125"/>
    <n v="2477"/>
  </r>
  <r>
    <n v="680202"/>
    <x v="2"/>
    <s v="Bangalore"/>
    <x v="1"/>
    <s v=" TN"/>
    <x v="2"/>
    <x v="0"/>
    <x v="0"/>
    <x v="1"/>
    <d v="2019-03-11T20:23:58"/>
    <d v="2019-03-13T20:23:58"/>
    <d v="2019-03-15T20:23:58"/>
    <x v="0"/>
    <n v="40"/>
    <n v="120"/>
    <n v="3621.985049072252"/>
  </r>
  <r>
    <n v="484635"/>
    <x v="2"/>
    <s v="Delhi"/>
    <x v="3"/>
    <s v=" KA"/>
    <x v="1"/>
    <x v="0"/>
    <x v="1"/>
    <x v="1"/>
    <d v="2019-03-11T20:59:09"/>
    <d v="2019-03-21T20:59:09"/>
    <d v="2019-03-18T20:59:09"/>
    <x v="7"/>
    <n v="48"/>
    <n v="125"/>
    <n v="1928.2791150879025"/>
  </r>
  <r>
    <n v="834605"/>
    <x v="2"/>
    <s v="Delhi"/>
    <x v="2"/>
    <s v=" DL"/>
    <x v="0"/>
    <x v="0"/>
    <x v="1"/>
    <x v="0"/>
    <d v="2019-03-11T22:07:59"/>
    <d v="2019-03-13T22:07:59"/>
    <d v="2019-03-17T22:07:59"/>
    <x v="0"/>
    <n v="0"/>
    <n v="105"/>
    <n v="602.22720269824947"/>
  </r>
  <r>
    <n v="394835"/>
    <x v="2"/>
    <s v="Delhi"/>
    <x v="0"/>
    <s v=" MH"/>
    <x v="1"/>
    <x v="0"/>
    <x v="2"/>
    <x v="0"/>
    <d v="2019-03-11T22:21:07"/>
    <d v="2019-03-16T22:21:07"/>
    <d v="2019-03-14T22:21:07"/>
    <x v="9"/>
    <n v="32"/>
    <n v="111"/>
    <n v="998.22390760674386"/>
  </r>
  <r>
    <n v="800855"/>
    <x v="2"/>
    <s v="Delhi"/>
    <x v="4"/>
    <s v=" WB"/>
    <x v="0"/>
    <x v="0"/>
    <x v="1"/>
    <x v="0"/>
    <d v="2019-03-11T22:27:44"/>
    <d v="2019-03-20T22:27:44"/>
    <d v="2019-03-18T22:27:44"/>
    <x v="1"/>
    <n v="75"/>
    <n v="89"/>
    <n v="1079"/>
  </r>
  <r>
    <n v="907850"/>
    <x v="2"/>
    <s v="Bangalore"/>
    <x v="0"/>
    <s v=" MH"/>
    <x v="0"/>
    <x v="0"/>
    <x v="0"/>
    <x v="0"/>
    <d v="2019-03-11T22:46:34"/>
    <d v="2019-03-17T22:46:34"/>
    <d v="2019-03-17T22:46:34"/>
    <x v="3"/>
    <n v="86"/>
    <n v="88"/>
    <n v="2602.9426755000791"/>
  </r>
  <r>
    <n v="400403"/>
    <x v="2"/>
    <s v="Delhi"/>
    <x v="2"/>
    <s v=" DL"/>
    <x v="1"/>
    <x v="0"/>
    <x v="1"/>
    <x v="0"/>
    <d v="2019-03-11T23:38:00"/>
    <d v="2019-03-18T23:38:00"/>
    <d v="2019-03-15T23:38:00"/>
    <x v="8"/>
    <n v="0"/>
    <n v="126"/>
    <n v="1358.050328651889"/>
  </r>
  <r>
    <n v="407621"/>
    <x v="2"/>
    <s v="Bangalore"/>
    <x v="0"/>
    <s v=" MH"/>
    <x v="1"/>
    <x v="0"/>
    <x v="1"/>
    <x v="0"/>
    <d v="2019-03-12T00:20:30"/>
    <d v="2019-03-16T00:20:30"/>
    <d v="2019-03-19T00:20:30"/>
    <x v="6"/>
    <n v="42"/>
    <n v="113"/>
    <n v="3669.5859924088136"/>
  </r>
  <r>
    <n v="861332"/>
    <x v="2"/>
    <s v="Delhi"/>
    <x v="2"/>
    <s v=" DL"/>
    <x v="0"/>
    <x v="0"/>
    <x v="0"/>
    <x v="0"/>
    <d v="2019-03-12T00:31:24"/>
    <d v="2019-03-17T00:31:24"/>
    <d v="2019-03-15T00:31:24"/>
    <x v="9"/>
    <n v="0"/>
    <n v="101"/>
    <n v="2974.9200052928809"/>
  </r>
  <r>
    <n v="162939"/>
    <x v="2"/>
    <s v="Bangalore"/>
    <x v="4"/>
    <s v=" WB"/>
    <x v="0"/>
    <x v="0"/>
    <x v="2"/>
    <x v="1"/>
    <d v="2019-03-12T00:42:34"/>
    <d v="2019-03-19T00:42:34"/>
    <d v="2019-03-18T00:42:34"/>
    <x v="8"/>
    <n v="64"/>
    <n v="88"/>
    <n v="2349.4579022534954"/>
  </r>
  <r>
    <n v="535971"/>
    <x v="2"/>
    <s v="Bangalore"/>
    <x v="0"/>
    <s v=" MH"/>
    <x v="1"/>
    <x v="0"/>
    <x v="1"/>
    <x v="1"/>
    <d v="2019-03-12T00:46:52"/>
    <d v="2019-03-18T00:46:52"/>
    <d v="2019-03-16T00:46:52"/>
    <x v="3"/>
    <n v="29"/>
    <n v="113"/>
    <n v="2481"/>
  </r>
  <r>
    <n v="390727"/>
    <x v="2"/>
    <s v="Bangalore"/>
    <x v="2"/>
    <s v=" DL"/>
    <x v="0"/>
    <x v="0"/>
    <x v="1"/>
    <x v="0"/>
    <d v="2019-03-12T01:24:58"/>
    <d v="2019-03-14T01:24:58"/>
    <d v="2019-03-15T01:24:58"/>
    <x v="0"/>
    <n v="69"/>
    <n v="102"/>
    <n v="2572.2486346648411"/>
  </r>
  <r>
    <n v="17608"/>
    <x v="2"/>
    <s v="Delhi"/>
    <x v="0"/>
    <s v=" MH"/>
    <x v="0"/>
    <x v="0"/>
    <x v="0"/>
    <x v="0"/>
    <d v="2019-03-12T01:31:33"/>
    <d v="2019-03-14T01:31:33"/>
    <d v="2019-03-17T01:31:33"/>
    <x v="0"/>
    <n v="34"/>
    <n v="111"/>
    <n v="3579.1379064644825"/>
  </r>
  <r>
    <n v="104091"/>
    <x v="2"/>
    <s v="Delhi"/>
    <x v="4"/>
    <s v=" WB"/>
    <x v="1"/>
    <x v="0"/>
    <x v="1"/>
    <x v="1"/>
    <d v="2019-03-12T02:27:57"/>
    <d v="2019-03-16T02:27:57"/>
    <d v="2019-03-17T02:27:57"/>
    <x v="6"/>
    <n v="49"/>
    <n v="108"/>
    <n v="718"/>
  </r>
  <r>
    <n v="55549"/>
    <x v="2"/>
    <s v="Bangalore"/>
    <x v="0"/>
    <s v=" MH"/>
    <x v="0"/>
    <x v="0"/>
    <x v="1"/>
    <x v="0"/>
    <d v="2019-03-12T02:46:50"/>
    <d v="2019-03-15T02:46:50"/>
    <d v="2019-03-18T02:46:50"/>
    <x v="4"/>
    <n v="61"/>
    <n v="92"/>
    <n v="3041.8977195703237"/>
  </r>
  <r>
    <n v="56454"/>
    <x v="2"/>
    <s v="Delhi"/>
    <x v="1"/>
    <s v=" TN"/>
    <x v="2"/>
    <x v="0"/>
    <x v="0"/>
    <x v="1"/>
    <d v="2019-03-12T02:50:38"/>
    <d v="2019-03-15T02:50:38"/>
    <d v="2019-03-15T02:50:38"/>
    <x v="4"/>
    <n v="26"/>
    <n v="125"/>
    <n v="2555.439288015968"/>
  </r>
  <r>
    <n v="704777"/>
    <x v="2"/>
    <s v="Bangalore"/>
    <x v="1"/>
    <s v=" TN"/>
    <x v="0"/>
    <x v="0"/>
    <x v="1"/>
    <x v="0"/>
    <d v="2019-03-12T03:03:11"/>
    <d v="2019-03-20T03:03:11"/>
    <d v="2019-03-15T03:03:11"/>
    <x v="5"/>
    <n v="77"/>
    <n v="103"/>
    <n v="3816.8602740361312"/>
  </r>
  <r>
    <n v="48494"/>
    <x v="2"/>
    <s v="Delhi"/>
    <x v="0"/>
    <s v=" MH"/>
    <x v="2"/>
    <x v="0"/>
    <x v="0"/>
    <x v="0"/>
    <d v="2019-03-12T03:14:52"/>
    <d v="2019-03-15T03:14:52"/>
    <d v="2019-03-18T03:14:52"/>
    <x v="4"/>
    <n v="39"/>
    <n v="109"/>
    <n v="564.97796227374738"/>
  </r>
  <r>
    <n v="702848"/>
    <x v="2"/>
    <s v="Bangalore"/>
    <x v="3"/>
    <s v=" KA"/>
    <x v="0"/>
    <x v="0"/>
    <x v="0"/>
    <x v="0"/>
    <d v="2019-03-12T03:31:58"/>
    <d v="2019-03-15T03:31:58"/>
    <d v="2019-03-19T03:31:58"/>
    <x v="4"/>
    <n v="0"/>
    <n v="129"/>
    <n v="3672.4477090397122"/>
  </r>
  <r>
    <n v="755465"/>
    <x v="2"/>
    <s v="Delhi"/>
    <x v="2"/>
    <s v=" DL"/>
    <x v="1"/>
    <x v="0"/>
    <x v="1"/>
    <x v="0"/>
    <d v="2019-03-12T03:51:08"/>
    <d v="2019-03-18T03:51:08"/>
    <d v="2019-03-19T03:51:08"/>
    <x v="3"/>
    <n v="0"/>
    <n v="120"/>
    <n v="602.19749437417204"/>
  </r>
  <r>
    <n v="757365"/>
    <x v="2"/>
    <s v="Delhi"/>
    <x v="2"/>
    <s v=" DL"/>
    <x v="1"/>
    <x v="0"/>
    <x v="2"/>
    <x v="1"/>
    <d v="2019-03-12T03:53:20"/>
    <d v="2019-03-18T03:53:20"/>
    <d v="2019-03-18T03:53:20"/>
    <x v="3"/>
    <n v="0"/>
    <n v="124"/>
    <n v="2757.1118798706493"/>
  </r>
  <r>
    <n v="80515"/>
    <x v="2"/>
    <s v="Delhi"/>
    <x v="1"/>
    <s v=" TN"/>
    <x v="1"/>
    <x v="0"/>
    <x v="1"/>
    <x v="0"/>
    <d v="2019-03-12T03:58:22"/>
    <d v="2019-03-19T03:58:22"/>
    <d v="2019-03-15T03:58:22"/>
    <x v="8"/>
    <n v="41"/>
    <n v="126"/>
    <n v="604.38345099613593"/>
  </r>
  <r>
    <n v="297338"/>
    <x v="2"/>
    <s v="Delhi"/>
    <x v="0"/>
    <s v=" MH"/>
    <x v="0"/>
    <x v="0"/>
    <x v="0"/>
    <x v="0"/>
    <d v="2019-03-12T03:59:36"/>
    <d v="2019-03-14T03:59:36"/>
    <d v="2019-03-18T03:59:36"/>
    <x v="0"/>
    <n v="86"/>
    <n v="87"/>
    <n v="3375.1675475175412"/>
  </r>
  <r>
    <n v="958948"/>
    <x v="2"/>
    <s v="Bangalore"/>
    <x v="2"/>
    <s v=" DL"/>
    <x v="0"/>
    <x v="0"/>
    <x v="0"/>
    <x v="0"/>
    <d v="2019-03-12T04:20:35"/>
    <d v="2019-03-16T04:20:35"/>
    <d v="2019-03-17T04:20:35"/>
    <x v="6"/>
    <n v="36"/>
    <n v="127"/>
    <n v="2792.8749954722816"/>
  </r>
  <r>
    <n v="191134"/>
    <x v="2"/>
    <s v="Bangalore"/>
    <x v="0"/>
    <s v=" MH"/>
    <x v="2"/>
    <x v="0"/>
    <x v="0"/>
    <x v="0"/>
    <d v="2019-03-12T04:25:12"/>
    <d v="2019-03-21T04:25:12"/>
    <d v="2019-03-15T04:25:12"/>
    <x v="1"/>
    <n v="47"/>
    <n v="110"/>
    <n v="3787.9823324534982"/>
  </r>
  <r>
    <n v="454180"/>
    <x v="2"/>
    <s v="Delhi"/>
    <x v="0"/>
    <s v=" MH"/>
    <x v="0"/>
    <x v="0"/>
    <x v="0"/>
    <x v="0"/>
    <d v="2019-03-12T04:28:45"/>
    <d v="2019-03-15T04:28:45"/>
    <d v="2019-03-16T04:28:45"/>
    <x v="4"/>
    <n v="42"/>
    <n v="107"/>
    <n v="756.84376600855455"/>
  </r>
  <r>
    <n v="722635"/>
    <x v="2"/>
    <s v="Delhi"/>
    <x v="3"/>
    <s v=" KA"/>
    <x v="0"/>
    <x v="0"/>
    <x v="1"/>
    <x v="0"/>
    <d v="2019-03-12T04:37:11"/>
    <d v="2019-03-17T04:37:11"/>
    <d v="2019-03-16T04:37:11"/>
    <x v="9"/>
    <n v="79"/>
    <n v="109"/>
    <n v="3282.3948082864545"/>
  </r>
  <r>
    <n v="256986"/>
    <x v="2"/>
    <s v="Delhi"/>
    <x v="2"/>
    <s v=" DL"/>
    <x v="0"/>
    <x v="0"/>
    <x v="0"/>
    <x v="1"/>
    <d v="2019-03-12T05:31:40"/>
    <d v="2019-03-13T05:31:40"/>
    <d v="2019-03-18T05:31:40"/>
    <x v="2"/>
    <n v="0"/>
    <n v="106"/>
    <n v="841.75518137592996"/>
  </r>
  <r>
    <n v="623063"/>
    <x v="2"/>
    <s v="Bangalore"/>
    <x v="4"/>
    <s v=" WB"/>
    <x v="1"/>
    <x v="0"/>
    <x v="2"/>
    <x v="0"/>
    <d v="2019-03-12T05:38:37"/>
    <d v="2019-03-14T05:38:37"/>
    <d v="2019-03-15T05:38:37"/>
    <x v="0"/>
    <n v="32"/>
    <n v="115"/>
    <n v="451"/>
  </r>
  <r>
    <n v="970110"/>
    <x v="2"/>
    <s v="Delhi"/>
    <x v="3"/>
    <s v=" KA"/>
    <x v="2"/>
    <x v="0"/>
    <x v="0"/>
    <x v="1"/>
    <d v="2019-03-12T05:59:40"/>
    <d v="2019-03-16T05:59:40"/>
    <d v="2019-03-17T05:59:40"/>
    <x v="6"/>
    <n v="25"/>
    <n v="122"/>
    <n v="1202.2274935152834"/>
  </r>
  <r>
    <n v="933308"/>
    <x v="2"/>
    <s v="Delhi"/>
    <x v="4"/>
    <s v=" WB"/>
    <x v="0"/>
    <x v="0"/>
    <x v="0"/>
    <x v="0"/>
    <d v="2019-03-12T06:00:24"/>
    <d v="2019-03-16T06:00:24"/>
    <d v="2019-03-17T06:00:24"/>
    <x v="6"/>
    <n v="79"/>
    <n v="86"/>
    <n v="1152.2518598856775"/>
  </r>
  <r>
    <n v="746862"/>
    <x v="2"/>
    <s v="Bangalore"/>
    <x v="3"/>
    <s v=" KA"/>
    <x v="2"/>
    <x v="0"/>
    <x v="0"/>
    <x v="1"/>
    <d v="2019-03-12T06:36:45"/>
    <d v="2019-03-15T06:36:45"/>
    <d v="2019-03-15T06:36:45"/>
    <x v="4"/>
    <n v="0"/>
    <n v="125"/>
    <n v="2911.2204023848913"/>
  </r>
  <r>
    <n v="934090"/>
    <x v="2"/>
    <s v="Bangalore"/>
    <x v="2"/>
    <s v=" DL"/>
    <x v="0"/>
    <x v="0"/>
    <x v="0"/>
    <x v="0"/>
    <d v="2019-03-12T07:05:29"/>
    <d v="2019-03-18T07:05:29"/>
    <d v="2019-03-18T07:05:29"/>
    <x v="3"/>
    <n v="79"/>
    <n v="107"/>
    <n v="2258"/>
  </r>
  <r>
    <n v="792337"/>
    <x v="2"/>
    <s v="Bangalore"/>
    <x v="1"/>
    <s v=" TN"/>
    <x v="1"/>
    <x v="0"/>
    <x v="2"/>
    <x v="0"/>
    <d v="2019-03-12T07:27:58"/>
    <d v="2019-03-15T07:27:58"/>
    <d v="2019-03-17T07:27:58"/>
    <x v="4"/>
    <n v="29"/>
    <n v="125"/>
    <n v="1875.6375584086325"/>
  </r>
  <r>
    <n v="385288"/>
    <x v="2"/>
    <s v="Bangalore"/>
    <x v="1"/>
    <s v=" TN"/>
    <x v="0"/>
    <x v="0"/>
    <x v="0"/>
    <x v="0"/>
    <d v="2019-03-12T07:56:48"/>
    <d v="2019-03-21T07:56:48"/>
    <d v="2019-03-19T07:56:48"/>
    <x v="1"/>
    <n v="70"/>
    <n v="103"/>
    <n v="2875.1226467111933"/>
  </r>
  <r>
    <n v="917253"/>
    <x v="2"/>
    <s v="Delhi"/>
    <x v="0"/>
    <s v=" MH"/>
    <x v="0"/>
    <x v="0"/>
    <x v="1"/>
    <x v="1"/>
    <d v="2019-03-12T07:57:46"/>
    <d v="2019-03-14T07:57:46"/>
    <d v="2019-03-15T07:57:46"/>
    <x v="0"/>
    <n v="75"/>
    <n v="86"/>
    <n v="2998.1412703776441"/>
  </r>
  <r>
    <n v="934457"/>
    <x v="2"/>
    <s v="Delhi"/>
    <x v="3"/>
    <s v=" KA"/>
    <x v="0"/>
    <x v="0"/>
    <x v="1"/>
    <x v="0"/>
    <d v="2019-03-12T08:20:56"/>
    <d v="2019-03-18T08:20:56"/>
    <d v="2019-03-15T08:20:56"/>
    <x v="3"/>
    <n v="72"/>
    <n v="104"/>
    <n v="3342"/>
  </r>
  <r>
    <n v="217101"/>
    <x v="2"/>
    <s v="Bangalore"/>
    <x v="3"/>
    <s v=" KA"/>
    <x v="0"/>
    <x v="0"/>
    <x v="1"/>
    <x v="1"/>
    <d v="2019-03-12T11:09:27"/>
    <d v="2019-03-13T11:09:27"/>
    <d v="2019-03-16T11:09:27"/>
    <x v="2"/>
    <n v="0"/>
    <n v="101"/>
    <n v="1491.9895888771214"/>
  </r>
  <r>
    <n v="828707"/>
    <x v="2"/>
    <s v="Delhi"/>
    <x v="3"/>
    <s v=" KA"/>
    <x v="1"/>
    <x v="0"/>
    <x v="1"/>
    <x v="0"/>
    <d v="2019-03-12T12:07:04"/>
    <d v="2019-03-17T12:07:04"/>
    <d v="2019-03-16T12:07:04"/>
    <x v="9"/>
    <n v="32"/>
    <n v="126"/>
    <n v="1976.9071457683792"/>
  </r>
  <r>
    <n v="923609"/>
    <x v="2"/>
    <s v="Delhi"/>
    <x v="3"/>
    <s v=" KA"/>
    <x v="0"/>
    <x v="0"/>
    <x v="1"/>
    <x v="0"/>
    <d v="2019-03-12T12:23:37"/>
    <d v="2019-03-18T12:23:37"/>
    <d v="2019-03-16T12:23:37"/>
    <x v="3"/>
    <n v="67"/>
    <n v="109"/>
    <n v="1696.3396227672297"/>
  </r>
  <r>
    <n v="414172"/>
    <x v="2"/>
    <s v="Bangalore"/>
    <x v="2"/>
    <s v=" DL"/>
    <x v="0"/>
    <x v="0"/>
    <x v="0"/>
    <x v="0"/>
    <d v="2019-03-12T12:31:49"/>
    <d v="2019-03-17T12:31:49"/>
    <d v="2019-03-15T12:31:49"/>
    <x v="9"/>
    <n v="26"/>
    <n v="124"/>
    <n v="373"/>
  </r>
  <r>
    <n v="594401"/>
    <x v="2"/>
    <s v="Delhi"/>
    <x v="2"/>
    <s v=" DL"/>
    <x v="1"/>
    <x v="0"/>
    <x v="1"/>
    <x v="0"/>
    <d v="2019-03-12T12:55:40"/>
    <d v="2019-03-14T12:55:40"/>
    <d v="2019-03-17T12:55:40"/>
    <x v="0"/>
    <n v="0"/>
    <n v="129"/>
    <n v="2310.5298136133615"/>
  </r>
  <r>
    <n v="235854"/>
    <x v="2"/>
    <s v="Delhi"/>
    <x v="2"/>
    <s v=" DL"/>
    <x v="0"/>
    <x v="0"/>
    <x v="0"/>
    <x v="1"/>
    <d v="2019-03-12T13:33:36"/>
    <d v="2019-03-13T13:33:36"/>
    <d v="2019-03-17T13:33:36"/>
    <x v="2"/>
    <n v="0"/>
    <n v="109"/>
    <n v="1703"/>
  </r>
  <r>
    <n v="689836"/>
    <x v="2"/>
    <s v="Delhi"/>
    <x v="2"/>
    <s v=" DL"/>
    <x v="0"/>
    <x v="0"/>
    <x v="0"/>
    <x v="0"/>
    <d v="2019-03-12T13:56:27"/>
    <d v="2019-03-14T13:56:27"/>
    <d v="2019-03-15T13:56:27"/>
    <x v="0"/>
    <n v="0"/>
    <n v="102"/>
    <n v="3259.1982067763852"/>
  </r>
  <r>
    <n v="837509"/>
    <x v="2"/>
    <s v="Delhi"/>
    <x v="2"/>
    <s v=" DL"/>
    <x v="1"/>
    <x v="0"/>
    <x v="1"/>
    <x v="0"/>
    <d v="2019-03-12T14:18:10"/>
    <d v="2019-03-13T14:18:10"/>
    <d v="2019-03-16T14:18:10"/>
    <x v="2"/>
    <n v="0"/>
    <n v="121"/>
    <n v="3587"/>
  </r>
  <r>
    <n v="139384"/>
    <x v="2"/>
    <s v="Bangalore"/>
    <x v="3"/>
    <s v=" KA"/>
    <x v="0"/>
    <x v="0"/>
    <x v="0"/>
    <x v="0"/>
    <d v="2019-03-12T14:25:56"/>
    <d v="2019-03-13T14:25:56"/>
    <d v="2019-03-18T14:25:56"/>
    <x v="2"/>
    <n v="0"/>
    <n v="124"/>
    <n v="2751"/>
  </r>
  <r>
    <n v="690444"/>
    <x v="2"/>
    <s v="Delhi"/>
    <x v="0"/>
    <s v=" MH"/>
    <x v="0"/>
    <x v="0"/>
    <x v="0"/>
    <x v="1"/>
    <d v="2019-03-12T14:54:21"/>
    <d v="2019-03-16T14:54:21"/>
    <d v="2019-03-15T14:54:21"/>
    <x v="6"/>
    <n v="44"/>
    <n v="107"/>
    <n v="355.48802702960586"/>
  </r>
  <r>
    <n v="818965"/>
    <x v="2"/>
    <s v="Bangalore"/>
    <x v="4"/>
    <s v=" WB"/>
    <x v="0"/>
    <x v="0"/>
    <x v="2"/>
    <x v="0"/>
    <d v="2019-03-12T14:54:52"/>
    <d v="2019-03-19T14:54:52"/>
    <d v="2019-03-15T14:54:52"/>
    <x v="8"/>
    <n v="82"/>
    <n v="93"/>
    <n v="1180.0779580146384"/>
  </r>
  <r>
    <n v="1447"/>
    <x v="2"/>
    <s v="Bangalore"/>
    <x v="0"/>
    <s v=" MH"/>
    <x v="0"/>
    <x v="0"/>
    <x v="1"/>
    <x v="0"/>
    <d v="2019-03-12T15:57:45"/>
    <d v="2019-03-14T15:57:45"/>
    <d v="2019-03-18T15:57:45"/>
    <x v="0"/>
    <n v="63"/>
    <n v="87"/>
    <n v="2638.9150815522175"/>
  </r>
  <r>
    <n v="330314"/>
    <x v="2"/>
    <s v="Delhi"/>
    <x v="0"/>
    <s v=" MH"/>
    <x v="0"/>
    <x v="0"/>
    <x v="0"/>
    <x v="0"/>
    <d v="2019-03-12T16:06:46"/>
    <d v="2019-03-18T16:06:46"/>
    <d v="2019-03-15T16:06:46"/>
    <x v="3"/>
    <n v="80"/>
    <n v="88"/>
    <n v="2917.6903341394973"/>
  </r>
  <r>
    <n v="321376"/>
    <x v="2"/>
    <s v="Bangalore"/>
    <x v="0"/>
    <s v=" MH"/>
    <x v="0"/>
    <x v="0"/>
    <x v="0"/>
    <x v="0"/>
    <d v="2019-03-12T16:54:54"/>
    <d v="2019-03-17T16:54:54"/>
    <d v="2019-03-16T16:54:54"/>
    <x v="9"/>
    <n v="29"/>
    <n v="107"/>
    <n v="525.19294128978947"/>
  </r>
  <r>
    <n v="757545"/>
    <x v="2"/>
    <s v="Bangalore"/>
    <x v="3"/>
    <s v=" KA"/>
    <x v="1"/>
    <x v="0"/>
    <x v="1"/>
    <x v="1"/>
    <d v="2019-03-12T17:03:33"/>
    <d v="2019-03-18T17:03:33"/>
    <d v="2019-03-17T17:03:33"/>
    <x v="3"/>
    <n v="0"/>
    <n v="125"/>
    <n v="1985"/>
  </r>
  <r>
    <n v="979684"/>
    <x v="2"/>
    <s v="Delhi"/>
    <x v="3"/>
    <s v=" KA"/>
    <x v="0"/>
    <x v="0"/>
    <x v="0"/>
    <x v="0"/>
    <d v="2019-03-12T17:04:00"/>
    <d v="2019-03-17T17:04:00"/>
    <d v="2019-03-17T17:04:00"/>
    <x v="9"/>
    <n v="49"/>
    <n v="127"/>
    <n v="428.6111083862001"/>
  </r>
  <r>
    <n v="799285"/>
    <x v="2"/>
    <s v="Delhi"/>
    <x v="4"/>
    <s v=" WB"/>
    <x v="0"/>
    <x v="0"/>
    <x v="1"/>
    <x v="0"/>
    <d v="2019-03-12T17:36:16"/>
    <d v="2019-03-18T17:36:16"/>
    <d v="2019-03-16T17:36:16"/>
    <x v="3"/>
    <n v="73"/>
    <n v="90"/>
    <n v="1356.7918286090146"/>
  </r>
  <r>
    <n v="408790"/>
    <x v="2"/>
    <s v="Delhi"/>
    <x v="0"/>
    <s v=" MH"/>
    <x v="2"/>
    <x v="0"/>
    <x v="0"/>
    <x v="0"/>
    <d v="2019-03-12T17:39:26"/>
    <d v="2019-03-18T17:39:26"/>
    <d v="2019-03-17T17:39:26"/>
    <x v="3"/>
    <n v="49"/>
    <n v="108"/>
    <n v="1523.868625769021"/>
  </r>
  <r>
    <n v="155563"/>
    <x v="2"/>
    <s v="Delhi"/>
    <x v="2"/>
    <s v=" DL"/>
    <x v="1"/>
    <x v="0"/>
    <x v="1"/>
    <x v="0"/>
    <d v="2019-03-12T17:43:54"/>
    <d v="2019-03-18T17:43:54"/>
    <d v="2019-03-19T17:43:54"/>
    <x v="3"/>
    <n v="0"/>
    <n v="125"/>
    <n v="1216.6667747665167"/>
  </r>
  <r>
    <n v="237278"/>
    <x v="2"/>
    <s v="Delhi"/>
    <x v="1"/>
    <s v=" TN"/>
    <x v="2"/>
    <x v="0"/>
    <x v="0"/>
    <x v="0"/>
    <d v="2019-03-12T18:10:03"/>
    <d v="2019-03-17T18:10:03"/>
    <d v="2019-03-15T18:10:03"/>
    <x v="9"/>
    <n v="28"/>
    <n v="122"/>
    <n v="2849"/>
  </r>
  <r>
    <n v="161867"/>
    <x v="2"/>
    <s v="Bangalore"/>
    <x v="2"/>
    <s v=" DL"/>
    <x v="0"/>
    <x v="0"/>
    <x v="1"/>
    <x v="0"/>
    <d v="2019-03-12T18:21:00"/>
    <d v="2019-03-15T18:21:00"/>
    <d v="2019-03-19T18:21:00"/>
    <x v="4"/>
    <n v="82"/>
    <n v="109"/>
    <n v="510.60893884282154"/>
  </r>
  <r>
    <n v="32400"/>
    <x v="2"/>
    <s v="Delhi"/>
    <x v="0"/>
    <s v=" MH"/>
    <x v="0"/>
    <x v="0"/>
    <x v="0"/>
    <x v="1"/>
    <d v="2019-03-12T18:28:14"/>
    <d v="2019-03-18T18:28:14"/>
    <d v="2019-03-16T18:28:14"/>
    <x v="3"/>
    <n v="43"/>
    <n v="106"/>
    <n v="2246.8132504521745"/>
  </r>
  <r>
    <n v="414469"/>
    <x v="2"/>
    <s v="Delhi"/>
    <x v="0"/>
    <s v=" MH"/>
    <x v="0"/>
    <x v="0"/>
    <x v="1"/>
    <x v="0"/>
    <d v="2019-03-12T19:07:54"/>
    <d v="2019-03-18T19:07:54"/>
    <d v="2019-03-18T19:07:54"/>
    <x v="3"/>
    <n v="58"/>
    <n v="94"/>
    <n v="1523.1215481425547"/>
  </r>
  <r>
    <n v="389413"/>
    <x v="2"/>
    <s v="Bangalore"/>
    <x v="1"/>
    <s v=" TN"/>
    <x v="1"/>
    <x v="0"/>
    <x v="1"/>
    <x v="0"/>
    <d v="2019-03-12T19:44:21"/>
    <d v="2019-03-14T19:44:21"/>
    <d v="2019-03-17T19:44:21"/>
    <x v="0"/>
    <n v="49"/>
    <n v="122"/>
    <n v="2569.4180780808965"/>
  </r>
  <r>
    <n v="935970"/>
    <x v="2"/>
    <s v="Bangalore"/>
    <x v="3"/>
    <s v=" KA"/>
    <x v="2"/>
    <x v="0"/>
    <x v="0"/>
    <x v="1"/>
    <d v="2019-03-12T20:03:41"/>
    <d v="2019-03-14T20:03:41"/>
    <d v="2019-03-19T20:03:41"/>
    <x v="0"/>
    <n v="0"/>
    <n v="121"/>
    <n v="1648"/>
  </r>
  <r>
    <n v="563540"/>
    <x v="2"/>
    <s v="Bangalore"/>
    <x v="3"/>
    <s v=" KA"/>
    <x v="0"/>
    <x v="0"/>
    <x v="0"/>
    <x v="0"/>
    <d v="2019-03-12T20:10:02"/>
    <d v="2019-03-12T20:10:02"/>
    <d v="2019-03-19T20:10:02"/>
    <x v="10"/>
    <n v="0"/>
    <n v="121"/>
    <n v="2983.3252785068853"/>
  </r>
  <r>
    <n v="760635"/>
    <x v="2"/>
    <s v="Delhi"/>
    <x v="4"/>
    <s v=" WB"/>
    <x v="1"/>
    <x v="0"/>
    <x v="1"/>
    <x v="1"/>
    <d v="2019-03-12T20:16:15"/>
    <d v="2019-03-14T20:16:15"/>
    <d v="2019-03-16T20:16:15"/>
    <x v="0"/>
    <n v="39"/>
    <n v="109"/>
    <n v="347"/>
  </r>
  <r>
    <n v="173895"/>
    <x v="2"/>
    <s v="Delhi"/>
    <x v="0"/>
    <s v=" MH"/>
    <x v="1"/>
    <x v="0"/>
    <x v="1"/>
    <x v="1"/>
    <d v="2019-03-12T20:23:38"/>
    <d v="2019-03-18T20:23:38"/>
    <d v="2019-03-19T20:23:38"/>
    <x v="3"/>
    <n v="43"/>
    <n v="113"/>
    <n v="1000.9495842822364"/>
  </r>
  <r>
    <n v="806346"/>
    <x v="2"/>
    <s v="Delhi"/>
    <x v="1"/>
    <s v=" TN"/>
    <x v="2"/>
    <x v="0"/>
    <x v="0"/>
    <x v="1"/>
    <d v="2019-03-12T20:32:03"/>
    <d v="2019-03-14T20:32:03"/>
    <d v="2019-03-19T20:32:03"/>
    <x v="0"/>
    <n v="49"/>
    <n v="125"/>
    <n v="727.07658239751333"/>
  </r>
  <r>
    <n v="67688"/>
    <x v="2"/>
    <s v="Bangalore"/>
    <x v="4"/>
    <s v=" WB"/>
    <x v="0"/>
    <x v="0"/>
    <x v="0"/>
    <x v="0"/>
    <d v="2019-03-12T20:39:15"/>
    <d v="2019-03-19T20:39:15"/>
    <d v="2019-03-16T20:39:15"/>
    <x v="8"/>
    <n v="64"/>
    <n v="90"/>
    <n v="1798.5083034775669"/>
  </r>
  <r>
    <n v="306207"/>
    <x v="2"/>
    <s v="Delhi"/>
    <x v="2"/>
    <s v=" DL"/>
    <x v="0"/>
    <x v="0"/>
    <x v="1"/>
    <x v="1"/>
    <d v="2019-03-12T20:45:59"/>
    <d v="2019-03-13T20:45:59"/>
    <d v="2019-03-17T20:45:59"/>
    <x v="2"/>
    <n v="0"/>
    <n v="103"/>
    <n v="952"/>
  </r>
  <r>
    <n v="101053"/>
    <x v="2"/>
    <s v="Bangalore"/>
    <x v="1"/>
    <s v=" TN"/>
    <x v="1"/>
    <x v="0"/>
    <x v="1"/>
    <x v="0"/>
    <d v="2019-03-12T20:48:56"/>
    <d v="2019-03-15T20:48:56"/>
    <d v="2019-03-16T20:48:56"/>
    <x v="4"/>
    <n v="34"/>
    <n v="129"/>
    <n v="3549.3009661786427"/>
  </r>
  <r>
    <n v="499505"/>
    <x v="2"/>
    <s v="Delhi"/>
    <x v="1"/>
    <s v=" TN"/>
    <x v="1"/>
    <x v="0"/>
    <x v="1"/>
    <x v="0"/>
    <d v="2019-03-12T21:45:12"/>
    <d v="2019-03-15T21:45:12"/>
    <d v="2019-03-19T21:45:12"/>
    <x v="4"/>
    <n v="42"/>
    <n v="123"/>
    <n v="1508.2424984565639"/>
  </r>
  <r>
    <n v="822202"/>
    <x v="2"/>
    <s v="Delhi"/>
    <x v="0"/>
    <s v=" MH"/>
    <x v="2"/>
    <x v="0"/>
    <x v="0"/>
    <x v="0"/>
    <d v="2019-03-12T21:54:00"/>
    <d v="2019-03-19T21:54:00"/>
    <d v="2019-03-18T21:54:00"/>
    <x v="8"/>
    <n v="30"/>
    <n v="111"/>
    <n v="2984"/>
  </r>
  <r>
    <n v="495435"/>
    <x v="2"/>
    <s v="Bangalore"/>
    <x v="4"/>
    <s v=" WB"/>
    <x v="0"/>
    <x v="0"/>
    <x v="1"/>
    <x v="1"/>
    <d v="2019-03-12T22:06:43"/>
    <d v="2019-03-18T22:06:43"/>
    <d v="2019-03-15T22:06:43"/>
    <x v="3"/>
    <n v="76"/>
    <n v="88"/>
    <n v="1876.1651299038683"/>
  </r>
  <r>
    <n v="788147"/>
    <x v="2"/>
    <s v="Delhi"/>
    <x v="3"/>
    <s v=" KA"/>
    <x v="1"/>
    <x v="0"/>
    <x v="1"/>
    <x v="0"/>
    <d v="2019-03-12T22:26:31"/>
    <d v="2019-03-18T22:26:31"/>
    <d v="2019-03-19T22:26:31"/>
    <x v="3"/>
    <n v="30"/>
    <n v="125"/>
    <n v="2750"/>
  </r>
  <r>
    <n v="134275"/>
    <x v="2"/>
    <s v="Bangalore"/>
    <x v="0"/>
    <s v=" MH"/>
    <x v="1"/>
    <x v="0"/>
    <x v="1"/>
    <x v="0"/>
    <d v="2019-03-12T22:39:44"/>
    <d v="2019-03-21T22:39:44"/>
    <d v="2019-03-15T22:39:44"/>
    <x v="1"/>
    <n v="49"/>
    <n v="113"/>
    <n v="893.87342836712594"/>
  </r>
  <r>
    <n v="96178"/>
    <x v="2"/>
    <s v="Delhi"/>
    <x v="0"/>
    <s v=" MH"/>
    <x v="0"/>
    <x v="0"/>
    <x v="0"/>
    <x v="0"/>
    <d v="2019-03-12T22:53:33"/>
    <d v="2019-03-16T22:53:33"/>
    <d v="2019-03-18T22:53:33"/>
    <x v="6"/>
    <n v="67"/>
    <n v="88"/>
    <n v="3283.2223254378691"/>
  </r>
  <r>
    <n v="105604"/>
    <x v="2"/>
    <s v="Bangalore"/>
    <x v="0"/>
    <s v=" MH"/>
    <x v="0"/>
    <x v="0"/>
    <x v="0"/>
    <x v="0"/>
    <d v="2019-03-12T23:43:56"/>
    <d v="2019-03-14T23:43:56"/>
    <d v="2019-03-18T23:43:56"/>
    <x v="0"/>
    <n v="29"/>
    <n v="106"/>
    <n v="3716.016957801824"/>
  </r>
  <r>
    <n v="677549"/>
    <x v="2"/>
    <s v="Delhi"/>
    <x v="0"/>
    <s v=" MH"/>
    <x v="1"/>
    <x v="0"/>
    <x v="1"/>
    <x v="0"/>
    <d v="2019-03-12T23:46:32"/>
    <d v="2019-03-21T23:46:32"/>
    <d v="2019-03-18T23:46:32"/>
    <x v="1"/>
    <n v="29"/>
    <n v="114"/>
    <n v="541.5847393030009"/>
  </r>
  <r>
    <n v="248945"/>
    <x v="2"/>
    <s v="Delhi"/>
    <x v="3"/>
    <s v=" KA"/>
    <x v="1"/>
    <x v="0"/>
    <x v="1"/>
    <x v="0"/>
    <d v="2019-03-12T23:49:46"/>
    <d v="2019-03-19T23:49:46"/>
    <d v="2019-03-15T23:49:46"/>
    <x v="8"/>
    <n v="47"/>
    <n v="122"/>
    <n v="1349.7770500508009"/>
  </r>
  <r>
    <n v="166540"/>
    <x v="2"/>
    <s v="Delhi"/>
    <x v="3"/>
    <s v=" KA"/>
    <x v="0"/>
    <x v="0"/>
    <x v="0"/>
    <x v="0"/>
    <d v="2019-03-13T00:03:17"/>
    <d v="2019-03-16T00:03:17"/>
    <d v="2019-03-19T00:03:17"/>
    <x v="4"/>
    <n v="35"/>
    <n v="130"/>
    <n v="2615.8950945250299"/>
  </r>
  <r>
    <n v="343646"/>
    <x v="2"/>
    <s v="Delhi"/>
    <x v="4"/>
    <s v=" WB"/>
    <x v="2"/>
    <x v="0"/>
    <x v="0"/>
    <x v="0"/>
    <d v="2019-03-13T00:03:43"/>
    <d v="2019-03-15T00:03:43"/>
    <d v="2019-03-19T00:03:43"/>
    <x v="0"/>
    <n v="28"/>
    <n v="107"/>
    <n v="2387.5248072971858"/>
  </r>
  <r>
    <n v="442383"/>
    <x v="2"/>
    <s v="Delhi"/>
    <x v="4"/>
    <s v=" WB"/>
    <x v="1"/>
    <x v="0"/>
    <x v="1"/>
    <x v="1"/>
    <d v="2019-03-13T01:19:37"/>
    <d v="2019-03-20T01:19:37"/>
    <d v="2019-03-17T01:19:37"/>
    <x v="8"/>
    <n v="28"/>
    <n v="106"/>
    <n v="1582.0464965867234"/>
  </r>
  <r>
    <n v="201495"/>
    <x v="2"/>
    <s v="Bangalore"/>
    <x v="0"/>
    <s v=" MH"/>
    <x v="1"/>
    <x v="0"/>
    <x v="2"/>
    <x v="1"/>
    <d v="2019-03-13T01:36:42"/>
    <d v="2019-03-19T01:36:42"/>
    <d v="2019-03-17T01:36:42"/>
    <x v="3"/>
    <n v="38"/>
    <n v="114"/>
    <n v="1244"/>
  </r>
  <r>
    <n v="620639"/>
    <x v="2"/>
    <s v="Bangalore"/>
    <x v="2"/>
    <s v=" DL"/>
    <x v="0"/>
    <x v="0"/>
    <x v="1"/>
    <x v="0"/>
    <d v="2019-03-13T01:43:01"/>
    <d v="2019-03-17T01:43:01"/>
    <d v="2019-03-17T01:43:01"/>
    <x v="6"/>
    <n v="74"/>
    <n v="108"/>
    <n v="2852.9931216281748"/>
  </r>
  <r>
    <n v="575755"/>
    <x v="2"/>
    <s v="Delhi"/>
    <x v="3"/>
    <s v=" KA"/>
    <x v="1"/>
    <x v="0"/>
    <x v="1"/>
    <x v="0"/>
    <d v="2019-03-13T01:47:57"/>
    <d v="2019-03-20T01:47:57"/>
    <d v="2019-03-19T01:47:57"/>
    <x v="8"/>
    <n v="37"/>
    <n v="128"/>
    <n v="3357.3572805557924"/>
  </r>
  <r>
    <n v="458589"/>
    <x v="2"/>
    <s v="Delhi"/>
    <x v="0"/>
    <s v=" MH"/>
    <x v="1"/>
    <x v="0"/>
    <x v="1"/>
    <x v="1"/>
    <d v="2019-03-13T01:48:42"/>
    <d v="2019-03-20T01:48:42"/>
    <d v="2019-03-16T01:48:42"/>
    <x v="8"/>
    <n v="44"/>
    <n v="114"/>
    <n v="880.59132748702757"/>
  </r>
  <r>
    <n v="493346"/>
    <x v="2"/>
    <s v="Bangalore"/>
    <x v="2"/>
    <s v=" DL"/>
    <x v="2"/>
    <x v="0"/>
    <x v="0"/>
    <x v="0"/>
    <d v="2019-03-13T02:03:43"/>
    <d v="2019-03-17T02:03:43"/>
    <d v="2019-03-20T02:03:43"/>
    <x v="6"/>
    <n v="37"/>
    <n v="124"/>
    <n v="1101.5283342697385"/>
  </r>
  <r>
    <n v="244882"/>
    <x v="2"/>
    <s v="Bangalore"/>
    <x v="2"/>
    <s v=" DL"/>
    <x v="2"/>
    <x v="0"/>
    <x v="0"/>
    <x v="0"/>
    <d v="2019-03-13T02:04:30"/>
    <d v="2019-03-22T02:04:30"/>
    <d v="2019-03-17T02:04:30"/>
    <x v="1"/>
    <n v="30"/>
    <n v="123"/>
    <n v="2989.5938484259996"/>
  </r>
  <r>
    <n v="74005"/>
    <x v="2"/>
    <s v="Delhi"/>
    <x v="0"/>
    <s v=" MH"/>
    <x v="1"/>
    <x v="0"/>
    <x v="1"/>
    <x v="0"/>
    <d v="2019-03-13T02:23:27"/>
    <d v="2019-03-16T02:23:27"/>
    <d v="2019-03-17T02:23:27"/>
    <x v="4"/>
    <n v="38"/>
    <n v="107"/>
    <n v="2875.2195826820575"/>
  </r>
  <r>
    <n v="363032"/>
    <x v="2"/>
    <s v="Delhi"/>
    <x v="1"/>
    <s v=" TN"/>
    <x v="0"/>
    <x v="0"/>
    <x v="0"/>
    <x v="0"/>
    <d v="2019-03-13T02:25:26"/>
    <d v="2019-03-21T02:25:26"/>
    <d v="2019-03-18T02:25:26"/>
    <x v="5"/>
    <n v="49"/>
    <n v="130"/>
    <n v="1719.2817363146005"/>
  </r>
  <r>
    <n v="345961"/>
    <x v="2"/>
    <s v="Bangalore"/>
    <x v="0"/>
    <s v=" MH"/>
    <x v="1"/>
    <x v="0"/>
    <x v="2"/>
    <x v="0"/>
    <d v="2019-03-13T02:31:01"/>
    <d v="2019-03-18T02:31:01"/>
    <d v="2019-03-18T02:31:01"/>
    <x v="9"/>
    <n v="28"/>
    <n v="115"/>
    <n v="297.97649868351169"/>
  </r>
  <r>
    <n v="179068"/>
    <x v="2"/>
    <s v="Delhi"/>
    <x v="2"/>
    <s v=" DL"/>
    <x v="0"/>
    <x v="0"/>
    <x v="0"/>
    <x v="0"/>
    <d v="2019-03-13T02:32:44"/>
    <d v="2019-03-14T02:32:44"/>
    <d v="2019-03-16T02:32:44"/>
    <x v="2"/>
    <n v="0"/>
    <n v="122"/>
    <n v="353"/>
  </r>
  <r>
    <n v="62430"/>
    <x v="2"/>
    <s v="Delhi"/>
    <x v="3"/>
    <s v=" KA"/>
    <x v="2"/>
    <x v="0"/>
    <x v="0"/>
    <x v="1"/>
    <d v="2019-03-13T03:45:26"/>
    <d v="2019-03-21T03:45:26"/>
    <d v="2019-03-20T03:45:26"/>
    <x v="5"/>
    <n v="44"/>
    <n v="124"/>
    <n v="1775.784401301783"/>
  </r>
  <r>
    <n v="303265"/>
    <x v="2"/>
    <s v="Delhi"/>
    <x v="0"/>
    <s v=" MH"/>
    <x v="1"/>
    <x v="0"/>
    <x v="1"/>
    <x v="0"/>
    <d v="2019-03-13T04:20:33"/>
    <d v="2019-03-17T04:20:33"/>
    <d v="2019-03-17T04:20:33"/>
    <x v="6"/>
    <n v="50"/>
    <n v="106"/>
    <n v="3452.8437167146021"/>
  </r>
  <r>
    <n v="917459"/>
    <x v="2"/>
    <s v="Delhi"/>
    <x v="2"/>
    <s v=" DL"/>
    <x v="0"/>
    <x v="0"/>
    <x v="1"/>
    <x v="0"/>
    <d v="2019-03-13T04:31:27"/>
    <d v="2019-03-13T04:31:27"/>
    <d v="2019-03-18T04:31:27"/>
    <x v="10"/>
    <n v="0"/>
    <n v="104"/>
    <n v="2720.194092496607"/>
  </r>
  <r>
    <n v="470071"/>
    <x v="2"/>
    <s v="Bangalore"/>
    <x v="0"/>
    <s v=" MH"/>
    <x v="0"/>
    <x v="0"/>
    <x v="2"/>
    <x v="0"/>
    <d v="2019-03-13T04:35:20"/>
    <d v="2019-03-15T04:35:20"/>
    <d v="2019-03-18T04:35:20"/>
    <x v="0"/>
    <n v="68"/>
    <n v="88"/>
    <n v="1644.9667217485849"/>
  </r>
  <r>
    <n v="30702"/>
    <x v="2"/>
    <s v="Bangalore"/>
    <x v="0"/>
    <s v=" MH"/>
    <x v="2"/>
    <x v="0"/>
    <x v="0"/>
    <x v="1"/>
    <d v="2019-03-13T04:57:52"/>
    <d v="2019-03-21T04:57:52"/>
    <d v="2019-03-20T04:57:52"/>
    <x v="5"/>
    <n v="9999"/>
    <n v="109"/>
    <n v="915"/>
  </r>
  <r>
    <n v="274327"/>
    <x v="2"/>
    <s v="Delhi"/>
    <x v="3"/>
    <s v=" KA"/>
    <x v="1"/>
    <x v="0"/>
    <x v="1"/>
    <x v="0"/>
    <d v="2019-03-13T05:01:17"/>
    <d v="2019-03-18T05:01:17"/>
    <d v="2019-03-18T05:01:17"/>
    <x v="9"/>
    <n v="43"/>
    <n v="121"/>
    <n v="3247.3538454675763"/>
  </r>
  <r>
    <n v="519884"/>
    <x v="2"/>
    <s v="Bangalore"/>
    <x v="0"/>
    <s v=" MH"/>
    <x v="0"/>
    <x v="0"/>
    <x v="0"/>
    <x v="0"/>
    <d v="2019-03-13T05:20:18"/>
    <d v="2019-03-15T05:20:18"/>
    <d v="2019-03-20T05:20:18"/>
    <x v="0"/>
    <n v="32"/>
    <n v="110"/>
    <n v="350"/>
  </r>
  <r>
    <n v="361534"/>
    <x v="2"/>
    <s v="Delhi"/>
    <x v="0"/>
    <s v=" MH"/>
    <x v="2"/>
    <x v="0"/>
    <x v="0"/>
    <x v="0"/>
    <d v="2019-03-13T05:58:03"/>
    <d v="2019-03-22T05:58:03"/>
    <d v="2019-03-19T05:58:03"/>
    <x v="1"/>
    <n v="38"/>
    <n v="111"/>
    <n v="392"/>
  </r>
  <r>
    <n v="332"/>
    <x v="2"/>
    <s v="Bangalore"/>
    <x v="1"/>
    <s v=" TN"/>
    <x v="0"/>
    <x v="0"/>
    <x v="0"/>
    <x v="0"/>
    <d v="2019-03-13T06:15:27"/>
    <d v="2019-03-17T06:15:27"/>
    <d v="2019-03-16T06:15:27"/>
    <x v="6"/>
    <n v="44"/>
    <n v="123"/>
    <n v="3705.9256759586729"/>
  </r>
  <r>
    <n v="944201"/>
    <x v="2"/>
    <s v="Delhi"/>
    <x v="0"/>
    <s v=" MH"/>
    <x v="1"/>
    <x v="0"/>
    <x v="1"/>
    <x v="0"/>
    <d v="2019-03-13T06:19:09"/>
    <d v="2019-03-17T06:19:09"/>
    <d v="2019-03-20T06:19:09"/>
    <x v="6"/>
    <n v="36"/>
    <n v="111"/>
    <n v="459"/>
  </r>
  <r>
    <n v="287343"/>
    <x v="2"/>
    <s v="Bangalore"/>
    <x v="2"/>
    <s v=" DL"/>
    <x v="1"/>
    <x v="0"/>
    <x v="2"/>
    <x v="1"/>
    <d v="2019-03-13T06:22:58"/>
    <d v="2019-03-17T06:22:58"/>
    <d v="2019-03-20T06:22:58"/>
    <x v="6"/>
    <n v="28"/>
    <n v="130"/>
    <n v="3710.6579313908505"/>
  </r>
  <r>
    <n v="541860"/>
    <x v="2"/>
    <s v="Delhi"/>
    <x v="4"/>
    <s v=" WB"/>
    <x v="0"/>
    <x v="0"/>
    <x v="0"/>
    <x v="1"/>
    <d v="2019-03-13T06:47:42"/>
    <d v="2019-03-16T06:47:42"/>
    <d v="2019-03-19T06:47:42"/>
    <x v="4"/>
    <n v="43"/>
    <n v="106"/>
    <n v="3377.0384937426888"/>
  </r>
  <r>
    <n v="438346"/>
    <x v="2"/>
    <s v="Bangalore"/>
    <x v="2"/>
    <s v=" DL"/>
    <x v="2"/>
    <x v="0"/>
    <x v="0"/>
    <x v="0"/>
    <d v="2019-03-13T06:51:17"/>
    <d v="2019-03-22T06:51:17"/>
    <d v="2019-03-18T06:51:17"/>
    <x v="1"/>
    <n v="34"/>
    <n v="124"/>
    <n v="1598"/>
  </r>
  <r>
    <n v="374667"/>
    <x v="2"/>
    <s v="Bangalore"/>
    <x v="0"/>
    <s v=" MH"/>
    <x v="1"/>
    <x v="0"/>
    <x v="1"/>
    <x v="1"/>
    <d v="2019-03-13T07:06:48"/>
    <d v="2019-03-22T07:06:48"/>
    <d v="2019-03-17T07:06:48"/>
    <x v="1"/>
    <n v="32"/>
    <n v="112"/>
    <n v="516"/>
  </r>
  <r>
    <n v="741777"/>
    <x v="2"/>
    <s v="Bangalore"/>
    <x v="1"/>
    <s v=" TN"/>
    <x v="1"/>
    <x v="0"/>
    <x v="1"/>
    <x v="1"/>
    <d v="2019-03-13T07:27:09"/>
    <d v="2019-03-19T07:27:09"/>
    <d v="2019-03-20T07:27:09"/>
    <x v="3"/>
    <n v="40"/>
    <n v="127"/>
    <n v="3374.6729944077779"/>
  </r>
  <r>
    <n v="984075"/>
    <x v="2"/>
    <s v="Bangalore"/>
    <x v="3"/>
    <s v=" KA"/>
    <x v="1"/>
    <x v="0"/>
    <x v="1"/>
    <x v="1"/>
    <d v="2019-03-13T07:28:48"/>
    <d v="2019-03-19T07:28:48"/>
    <d v="2019-03-17T07:28:48"/>
    <x v="3"/>
    <n v="0"/>
    <n v="128"/>
    <n v="993.62634448378242"/>
  </r>
  <r>
    <n v="36419"/>
    <x v="2"/>
    <s v="Delhi"/>
    <x v="1"/>
    <s v=" TN"/>
    <x v="1"/>
    <x v="0"/>
    <x v="1"/>
    <x v="0"/>
    <d v="2019-03-13T07:33:45"/>
    <d v="2019-03-15T07:33:45"/>
    <d v="2019-03-19T07:33:45"/>
    <x v="0"/>
    <n v="31"/>
    <n v="122"/>
    <n v="1594"/>
  </r>
  <r>
    <n v="974133"/>
    <x v="2"/>
    <s v="Delhi"/>
    <x v="0"/>
    <s v=" MH"/>
    <x v="0"/>
    <x v="0"/>
    <x v="1"/>
    <x v="1"/>
    <d v="2019-03-13T07:58:56"/>
    <d v="2019-03-17T07:58:56"/>
    <d v="2019-03-20T07:58:56"/>
    <x v="6"/>
    <n v="81"/>
    <n v="86"/>
    <n v="2743"/>
  </r>
  <r>
    <n v="636099"/>
    <x v="2"/>
    <s v="Bangalore"/>
    <x v="2"/>
    <s v=" DL"/>
    <x v="1"/>
    <x v="0"/>
    <x v="1"/>
    <x v="1"/>
    <d v="2019-03-13T08:34:31"/>
    <d v="2019-03-18T08:34:31"/>
    <d v="2019-03-16T08:34:31"/>
    <x v="9"/>
    <n v="42"/>
    <n v="130"/>
    <n v="2638.772550086082"/>
  </r>
  <r>
    <n v="55695"/>
    <x v="2"/>
    <s v="Bangalore"/>
    <x v="3"/>
    <s v=" KA"/>
    <x v="1"/>
    <x v="0"/>
    <x v="1"/>
    <x v="1"/>
    <d v="2019-03-13T08:46:21"/>
    <d v="2019-03-19T08:46:21"/>
    <d v="2019-03-18T08:46:21"/>
    <x v="3"/>
    <n v="0"/>
    <n v="127"/>
    <n v="3006"/>
  </r>
  <r>
    <n v="315369"/>
    <x v="2"/>
    <s v="Delhi"/>
    <x v="3"/>
    <s v=" KA"/>
    <x v="1"/>
    <x v="0"/>
    <x v="1"/>
    <x v="1"/>
    <d v="2019-03-13T09:27:18"/>
    <d v="2019-03-18T09:27:18"/>
    <d v="2019-03-19T09:27:18"/>
    <x v="9"/>
    <n v="0"/>
    <n v="124"/>
    <n v="2433.8096180722641"/>
  </r>
  <r>
    <n v="618076"/>
    <x v="2"/>
    <s v="Delhi"/>
    <x v="2"/>
    <s v=" DL"/>
    <x v="0"/>
    <x v="0"/>
    <x v="0"/>
    <x v="0"/>
    <d v="2019-03-13T09:35:57"/>
    <d v="2019-03-17T09:35:57"/>
    <d v="2019-03-20T09:35:57"/>
    <x v="6"/>
    <n v="0"/>
    <n v="107"/>
    <n v="1267.9073464171493"/>
  </r>
  <r>
    <n v="895648"/>
    <x v="2"/>
    <s v="Delhi"/>
    <x v="0"/>
    <s v=" MH"/>
    <x v="0"/>
    <x v="0"/>
    <x v="0"/>
    <x v="0"/>
    <d v="2019-03-13T09:38:31"/>
    <d v="2019-03-15T09:38:31"/>
    <d v="2019-03-20T09:38:31"/>
    <x v="0"/>
    <n v="29"/>
    <n v="107"/>
    <n v="3377.1000055459731"/>
  </r>
  <r>
    <n v="187461"/>
    <x v="2"/>
    <s v="Bangalore"/>
    <x v="0"/>
    <s v=" MH"/>
    <x v="1"/>
    <x v="0"/>
    <x v="1"/>
    <x v="1"/>
    <d v="2019-03-13T09:38:58"/>
    <d v="2019-03-21T09:38:58"/>
    <d v="2019-03-17T09:38:58"/>
    <x v="5"/>
    <n v="44"/>
    <n v="107"/>
    <n v="451.13204136080674"/>
  </r>
  <r>
    <n v="220930"/>
    <x v="2"/>
    <s v="Delhi"/>
    <x v="3"/>
    <s v=" KA"/>
    <x v="2"/>
    <x v="0"/>
    <x v="0"/>
    <x v="0"/>
    <d v="2019-03-13T10:01:01"/>
    <d v="2019-03-17T10:01:01"/>
    <d v="2019-03-19T10:01:01"/>
    <x v="6"/>
    <n v="46"/>
    <n v="124"/>
    <n v="3309"/>
  </r>
  <r>
    <n v="40720"/>
    <x v="2"/>
    <s v="Delhi"/>
    <x v="3"/>
    <s v=" KA"/>
    <x v="0"/>
    <x v="0"/>
    <x v="0"/>
    <x v="0"/>
    <d v="2019-03-13T10:16:02"/>
    <d v="2019-03-15T10:16:02"/>
    <d v="2019-03-19T10:16:02"/>
    <x v="0"/>
    <n v="33"/>
    <n v="126"/>
    <n v="287"/>
  </r>
  <r>
    <n v="288278"/>
    <x v="2"/>
    <s v="Delhi"/>
    <x v="2"/>
    <s v=" DL"/>
    <x v="0"/>
    <x v="0"/>
    <x v="0"/>
    <x v="0"/>
    <d v="2019-03-13T10:31:22"/>
    <d v="2019-03-13T10:31:22"/>
    <d v="2019-03-16T10:31:22"/>
    <x v="10"/>
    <n v="0"/>
    <n v="100"/>
    <n v="1614"/>
  </r>
  <r>
    <n v="552788"/>
    <x v="2"/>
    <s v="Bangalore"/>
    <x v="3"/>
    <s v=" KA"/>
    <x v="0"/>
    <x v="0"/>
    <x v="0"/>
    <x v="0"/>
    <d v="2019-03-13T10:42:20"/>
    <d v="2019-03-18T10:42:20"/>
    <d v="2019-03-17T10:42:20"/>
    <x v="9"/>
    <n v="0"/>
    <n v="104"/>
    <n v="994"/>
  </r>
  <r>
    <n v="592581"/>
    <x v="2"/>
    <s v="Delhi"/>
    <x v="4"/>
    <s v=" WB"/>
    <x v="1"/>
    <x v="0"/>
    <x v="1"/>
    <x v="1"/>
    <d v="2019-03-13T10:45:29"/>
    <d v="2019-03-18T10:45:29"/>
    <d v="2019-03-18T10:45:29"/>
    <x v="9"/>
    <n v="28"/>
    <n v="108"/>
    <n v="2290.9925452467364"/>
  </r>
  <r>
    <n v="123538"/>
    <x v="2"/>
    <s v="Delhi"/>
    <x v="2"/>
    <s v=" DL"/>
    <x v="2"/>
    <x v="0"/>
    <x v="0"/>
    <x v="0"/>
    <d v="2019-03-13T10:48:26"/>
    <d v="2019-03-18T10:48:26"/>
    <d v="2019-03-20T10:48:26"/>
    <x v="9"/>
    <n v="0"/>
    <n v="130"/>
    <n v="2536.32588907742"/>
  </r>
  <r>
    <n v="864294"/>
    <x v="2"/>
    <s v="Bangalore"/>
    <x v="3"/>
    <s v=" KA"/>
    <x v="2"/>
    <x v="0"/>
    <x v="0"/>
    <x v="1"/>
    <d v="2019-03-13T11:20:53"/>
    <d v="2019-03-18T11:20:53"/>
    <d v="2019-03-19T11:20:53"/>
    <x v="9"/>
    <n v="0"/>
    <n v="128"/>
    <n v="953"/>
  </r>
  <r>
    <n v="171196"/>
    <x v="2"/>
    <s v="Delhi"/>
    <x v="1"/>
    <s v=" TN"/>
    <x v="0"/>
    <x v="0"/>
    <x v="0"/>
    <x v="0"/>
    <d v="2019-03-13T11:24:49"/>
    <d v="2019-03-21T11:24:49"/>
    <d v="2019-03-16T11:24:49"/>
    <x v="5"/>
    <n v="39"/>
    <n v="130"/>
    <n v="1153.0131222974769"/>
  </r>
  <r>
    <n v="897580"/>
    <x v="2"/>
    <s v="Bangalore"/>
    <x v="0"/>
    <s v=" MH"/>
    <x v="0"/>
    <x v="0"/>
    <x v="0"/>
    <x v="0"/>
    <d v="2019-03-13T11:28:33"/>
    <d v="2019-03-15T11:28:33"/>
    <d v="2019-03-19T11:28:33"/>
    <x v="0"/>
    <n v="80"/>
    <n v="92"/>
    <n v="3557.343512776009"/>
  </r>
  <r>
    <n v="176536"/>
    <x v="2"/>
    <s v="Bangalore"/>
    <x v="0"/>
    <s v=" MH"/>
    <x v="0"/>
    <x v="0"/>
    <x v="0"/>
    <x v="0"/>
    <d v="2019-03-13T11:40:47"/>
    <d v="2019-03-15T11:40:47"/>
    <d v="2019-03-19T11:40:47"/>
    <x v="0"/>
    <n v="37"/>
    <n v="107"/>
    <n v="3509.987209697309"/>
  </r>
  <r>
    <n v="394360"/>
    <x v="2"/>
    <s v="Delhi"/>
    <x v="1"/>
    <s v=" TN"/>
    <x v="0"/>
    <x v="0"/>
    <x v="0"/>
    <x v="0"/>
    <d v="2019-03-13T11:47:58"/>
    <d v="2019-03-20T11:47:58"/>
    <d v="2019-03-20T11:47:58"/>
    <x v="8"/>
    <n v="44"/>
    <n v="122"/>
    <n v="1633"/>
  </r>
  <r>
    <n v="754064"/>
    <x v="2"/>
    <s v="Delhi"/>
    <x v="0"/>
    <s v=" MH"/>
    <x v="0"/>
    <x v="0"/>
    <x v="0"/>
    <x v="0"/>
    <d v="2019-03-13T11:57:54"/>
    <d v="2019-03-18T11:57:54"/>
    <d v="2019-03-16T11:57:54"/>
    <x v="9"/>
    <n v="85"/>
    <n v="89"/>
    <n v="3730.3627308491009"/>
  </r>
  <r>
    <n v="945576"/>
    <x v="2"/>
    <s v="Bangalore"/>
    <x v="4"/>
    <s v=" WB"/>
    <x v="0"/>
    <x v="0"/>
    <x v="0"/>
    <x v="1"/>
    <d v="2019-03-13T12:11:40"/>
    <d v="2019-03-18T12:11:40"/>
    <d v="2019-03-20T12:11:40"/>
    <x v="9"/>
    <n v="88"/>
    <n v="88"/>
    <n v="1411.5899279966263"/>
  </r>
  <r>
    <n v="603677"/>
    <x v="2"/>
    <s v="Bangalore"/>
    <x v="2"/>
    <s v=" DL"/>
    <x v="1"/>
    <x v="0"/>
    <x v="1"/>
    <x v="0"/>
    <d v="2019-03-13T12:56:30"/>
    <d v="2019-03-19T12:56:30"/>
    <d v="2019-03-20T12:56:30"/>
    <x v="3"/>
    <n v="43"/>
    <n v="121"/>
    <n v="2797.7013897145648"/>
  </r>
  <r>
    <n v="177100"/>
    <x v="2"/>
    <s v="Delhi"/>
    <x v="3"/>
    <s v=" KA"/>
    <x v="0"/>
    <x v="0"/>
    <x v="0"/>
    <x v="0"/>
    <d v="2019-03-13T13:34:02"/>
    <d v="2019-03-15T13:34:02"/>
    <d v="2019-03-20T13:34:02"/>
    <x v="0"/>
    <n v="47"/>
    <n v="127"/>
    <n v="410.84195894996253"/>
  </r>
  <r>
    <n v="759880"/>
    <x v="2"/>
    <s v="Bangalore"/>
    <x v="0"/>
    <s v=" MH"/>
    <x v="0"/>
    <x v="0"/>
    <x v="0"/>
    <x v="0"/>
    <d v="2019-03-13T13:37:10"/>
    <d v="2019-03-15T13:37:10"/>
    <d v="2019-03-20T13:37:10"/>
    <x v="0"/>
    <n v="83"/>
    <n v="89"/>
    <n v="365.33515771620398"/>
  </r>
  <r>
    <n v="265920"/>
    <x v="2"/>
    <s v="Delhi"/>
    <x v="3"/>
    <s v=" KA"/>
    <x v="0"/>
    <x v="0"/>
    <x v="0"/>
    <x v="1"/>
    <d v="2019-03-13T13:46:58"/>
    <d v="2019-03-16T13:46:58"/>
    <d v="2019-03-20T13:46:58"/>
    <x v="4"/>
    <n v="27"/>
    <n v="121"/>
    <n v="1203.8142285024178"/>
  </r>
  <r>
    <n v="875847"/>
    <x v="2"/>
    <s v="Delhi"/>
    <x v="0"/>
    <s v=" MH"/>
    <x v="1"/>
    <x v="0"/>
    <x v="2"/>
    <x v="1"/>
    <d v="2019-03-13T13:56:41"/>
    <d v="2019-03-20T13:56:41"/>
    <d v="2019-03-17T13:56:41"/>
    <x v="8"/>
    <n v="48"/>
    <n v="112"/>
    <n v="2198.7378520396551"/>
  </r>
  <r>
    <n v="868641"/>
    <x v="2"/>
    <s v="Bangalore"/>
    <x v="3"/>
    <s v=" KA"/>
    <x v="1"/>
    <x v="0"/>
    <x v="1"/>
    <x v="1"/>
    <d v="2019-03-13T14:09:09"/>
    <d v="2019-03-18T14:09:09"/>
    <d v="2019-03-18T14:09:09"/>
    <x v="9"/>
    <n v="0"/>
    <n v="125"/>
    <n v="1184.4360107164557"/>
  </r>
  <r>
    <n v="987538"/>
    <x v="2"/>
    <s v="Delhi"/>
    <x v="2"/>
    <s v=" DL"/>
    <x v="2"/>
    <x v="0"/>
    <x v="0"/>
    <x v="0"/>
    <d v="2019-03-13T14:10:23"/>
    <d v="2019-03-20T14:10:23"/>
    <d v="2019-03-16T14:10:23"/>
    <x v="8"/>
    <n v="0"/>
    <n v="130"/>
    <n v="1143.5597485227863"/>
  </r>
  <r>
    <n v="107894"/>
    <x v="2"/>
    <s v="Delhi"/>
    <x v="0"/>
    <s v=" MH"/>
    <x v="2"/>
    <x v="0"/>
    <x v="0"/>
    <x v="0"/>
    <d v="2019-03-13T14:25:10"/>
    <d v="2019-03-16T14:25:10"/>
    <d v="2019-03-16T14:25:10"/>
    <x v="4"/>
    <n v="25"/>
    <n v="113"/>
    <n v="2302.368341474777"/>
  </r>
  <r>
    <n v="558124"/>
    <x v="2"/>
    <s v="Bangalore"/>
    <x v="1"/>
    <s v=" TN"/>
    <x v="0"/>
    <x v="0"/>
    <x v="0"/>
    <x v="0"/>
    <d v="2019-03-13T14:57:25"/>
    <d v="2019-03-22T14:57:25"/>
    <d v="2019-03-19T14:57:25"/>
    <x v="1"/>
    <n v="32"/>
    <n v="121"/>
    <n v="712.5431055682609"/>
  </r>
  <r>
    <n v="109360"/>
    <x v="2"/>
    <s v="Delhi"/>
    <x v="0"/>
    <s v=" MH"/>
    <x v="0"/>
    <x v="0"/>
    <x v="0"/>
    <x v="0"/>
    <d v="2019-03-13T15:11:45"/>
    <d v="2019-03-15T15:11:45"/>
    <d v="2019-03-18T15:11:45"/>
    <x v="0"/>
    <n v="29"/>
    <n v="115"/>
    <n v="2172.2160183494971"/>
  </r>
  <r>
    <n v="172901"/>
    <x v="2"/>
    <s v="Bangalore"/>
    <x v="0"/>
    <s v=" MH"/>
    <x v="1"/>
    <x v="0"/>
    <x v="1"/>
    <x v="0"/>
    <d v="2019-03-13T15:29:15"/>
    <d v="2019-03-16T15:29:15"/>
    <d v="2019-03-17T15:29:15"/>
    <x v="4"/>
    <n v="32"/>
    <n v="111"/>
    <n v="3425"/>
  </r>
  <r>
    <n v="819966"/>
    <x v="2"/>
    <s v="Bangalore"/>
    <x v="2"/>
    <s v=" DL"/>
    <x v="2"/>
    <x v="0"/>
    <x v="0"/>
    <x v="1"/>
    <d v="2019-03-13T16:07:47"/>
    <d v="2019-03-20T16:07:47"/>
    <d v="2019-03-19T16:07:47"/>
    <x v="8"/>
    <n v="49"/>
    <n v="124"/>
    <n v="2963"/>
  </r>
  <r>
    <n v="52636"/>
    <x v="2"/>
    <s v="Bangalore"/>
    <x v="4"/>
    <s v=" WB"/>
    <x v="0"/>
    <x v="0"/>
    <x v="0"/>
    <x v="0"/>
    <d v="2019-03-13T16:12:13"/>
    <d v="2019-03-20T16:12:13"/>
    <d v="2019-03-20T16:12:13"/>
    <x v="8"/>
    <n v="40"/>
    <n v="115"/>
    <n v="2564"/>
  </r>
  <r>
    <n v="912261"/>
    <x v="2"/>
    <s v="Delhi"/>
    <x v="2"/>
    <s v=" DL"/>
    <x v="0"/>
    <x v="0"/>
    <x v="2"/>
    <x v="1"/>
    <d v="2019-03-13T16:21:46"/>
    <d v="2019-03-16T16:21:46"/>
    <d v="2019-03-20T16:21:46"/>
    <x v="4"/>
    <n v="0"/>
    <n v="103"/>
    <n v="3877.98251985761"/>
  </r>
  <r>
    <n v="779548"/>
    <x v="2"/>
    <s v="Delhi"/>
    <x v="3"/>
    <s v=" KA"/>
    <x v="0"/>
    <x v="0"/>
    <x v="0"/>
    <x v="0"/>
    <d v="2019-03-13T16:30:32"/>
    <d v="2019-03-15T16:30:32"/>
    <d v="2019-03-20T16:30:32"/>
    <x v="0"/>
    <n v="38"/>
    <n v="126"/>
    <n v="2225.4958284685281"/>
  </r>
  <r>
    <n v="921686"/>
    <x v="2"/>
    <s v="Delhi"/>
    <x v="0"/>
    <s v=" MH"/>
    <x v="2"/>
    <x v="0"/>
    <x v="0"/>
    <x v="0"/>
    <d v="2019-03-13T16:38:33"/>
    <d v="2019-03-22T16:38:33"/>
    <d v="2019-03-17T16:38:33"/>
    <x v="1"/>
    <n v="25"/>
    <n v="111"/>
    <n v="2730.6234513475151"/>
  </r>
  <r>
    <n v="200574"/>
    <x v="2"/>
    <s v="Delhi"/>
    <x v="3"/>
    <s v=" KA"/>
    <x v="2"/>
    <x v="0"/>
    <x v="0"/>
    <x v="1"/>
    <d v="2019-03-13T16:39:45"/>
    <d v="2019-03-20T16:39:45"/>
    <d v="2019-03-20T16:39:45"/>
    <x v="8"/>
    <n v="47"/>
    <n v="124"/>
    <n v="438.91831927921129"/>
  </r>
  <r>
    <n v="58297"/>
    <x v="2"/>
    <s v="Delhi"/>
    <x v="1"/>
    <s v=" TN"/>
    <x v="0"/>
    <x v="0"/>
    <x v="1"/>
    <x v="0"/>
    <d v="2019-03-13T17:33:04"/>
    <d v="2019-03-22T17:33:04"/>
    <d v="2019-03-17T17:33:04"/>
    <x v="1"/>
    <n v="56"/>
    <n v="104"/>
    <n v="2412.4713816910862"/>
  </r>
  <r>
    <n v="506957"/>
    <x v="2"/>
    <s v="Delhi"/>
    <x v="0"/>
    <s v=" MH"/>
    <x v="0"/>
    <x v="0"/>
    <x v="1"/>
    <x v="0"/>
    <d v="2019-03-13T17:35:22"/>
    <d v="2019-03-15T17:35:22"/>
    <d v="2019-03-20T17:35:22"/>
    <x v="0"/>
    <n v="81"/>
    <n v="90"/>
    <n v="3233.5824173232149"/>
  </r>
  <r>
    <n v="54785"/>
    <x v="2"/>
    <s v="Bangalore"/>
    <x v="4"/>
    <s v=" WB"/>
    <x v="1"/>
    <x v="0"/>
    <x v="1"/>
    <x v="0"/>
    <d v="2019-03-13T17:47:42"/>
    <d v="2019-03-17T17:47:42"/>
    <d v="2019-03-17T17:47:42"/>
    <x v="6"/>
    <n v="44"/>
    <n v="111"/>
    <n v="2776.1120466241882"/>
  </r>
  <r>
    <n v="482264"/>
    <x v="2"/>
    <s v="Delhi"/>
    <x v="3"/>
    <s v=" KA"/>
    <x v="0"/>
    <x v="0"/>
    <x v="0"/>
    <x v="0"/>
    <d v="2019-03-13T18:04:15"/>
    <d v="2019-03-15T18:04:15"/>
    <d v="2019-03-19T18:04:15"/>
    <x v="0"/>
    <n v="32"/>
    <n v="127"/>
    <n v="2717.297723916623"/>
  </r>
  <r>
    <n v="329691"/>
    <x v="2"/>
    <s v="Delhi"/>
    <x v="0"/>
    <s v=" MH"/>
    <x v="1"/>
    <x v="0"/>
    <x v="1"/>
    <x v="1"/>
    <d v="2019-03-13T19:40:57"/>
    <d v="2019-03-22T19:40:57"/>
    <d v="2019-03-20T19:40:57"/>
    <x v="1"/>
    <n v="30"/>
    <n v="107"/>
    <n v="2753.5687186941791"/>
  </r>
  <r>
    <n v="714534"/>
    <x v="2"/>
    <s v="Delhi"/>
    <x v="0"/>
    <s v=" MH"/>
    <x v="0"/>
    <x v="0"/>
    <x v="0"/>
    <x v="1"/>
    <d v="2019-03-13T19:48:04"/>
    <d v="2019-03-16T19:48:04"/>
    <d v="2019-03-17T19:48:04"/>
    <x v="4"/>
    <n v="80"/>
    <n v="90"/>
    <n v="2548.419246749304"/>
  </r>
  <r>
    <n v="730468"/>
    <x v="2"/>
    <s v="Delhi"/>
    <x v="2"/>
    <s v=" DL"/>
    <x v="0"/>
    <x v="0"/>
    <x v="0"/>
    <x v="0"/>
    <d v="2019-03-13T20:18:48"/>
    <d v="2019-03-14T20:18:48"/>
    <d v="2019-03-18T20:18:48"/>
    <x v="2"/>
    <n v="0"/>
    <n v="128"/>
    <n v="1433.2584590723786"/>
  </r>
  <r>
    <n v="562345"/>
    <x v="2"/>
    <s v="Bangalore"/>
    <x v="3"/>
    <s v=" KA"/>
    <x v="1"/>
    <x v="0"/>
    <x v="2"/>
    <x v="0"/>
    <d v="2019-03-13T20:46:32"/>
    <d v="2019-03-19T20:46:32"/>
    <d v="2019-03-19T20:46:32"/>
    <x v="3"/>
    <n v="0"/>
    <n v="121"/>
    <n v="620.47957674409588"/>
  </r>
  <r>
    <n v="140450"/>
    <x v="2"/>
    <s v="Bangalore"/>
    <x v="0"/>
    <s v=" MH"/>
    <x v="0"/>
    <x v="0"/>
    <x v="0"/>
    <x v="0"/>
    <d v="2019-03-13T20:49:47"/>
    <d v="2019-03-15T20:49:47"/>
    <d v="2019-03-16T20:49:47"/>
    <x v="0"/>
    <n v="66"/>
    <n v="94"/>
    <n v="2465.498005717292"/>
  </r>
  <r>
    <n v="213097"/>
    <x v="2"/>
    <s v="Bangalore"/>
    <x v="0"/>
    <s v=" MH"/>
    <x v="1"/>
    <x v="0"/>
    <x v="1"/>
    <x v="0"/>
    <d v="2019-03-13T20:56:57"/>
    <d v="2019-03-17T20:56:57"/>
    <d v="2019-03-20T20:56:57"/>
    <x v="6"/>
    <n v="27"/>
    <n v="113"/>
    <n v="1782.9071541729741"/>
  </r>
  <r>
    <n v="101532"/>
    <x v="2"/>
    <s v="Bangalore"/>
    <x v="0"/>
    <s v=" MH"/>
    <x v="0"/>
    <x v="0"/>
    <x v="0"/>
    <x v="1"/>
    <d v="2019-03-13T21:00:08"/>
    <d v="2019-03-17T21:00:08"/>
    <d v="2019-03-19T21:00:08"/>
    <x v="6"/>
    <n v="46"/>
    <n v="111"/>
    <n v="1842"/>
  </r>
  <r>
    <n v="217654"/>
    <x v="2"/>
    <s v="Delhi"/>
    <x v="4"/>
    <s v=" WB"/>
    <x v="2"/>
    <x v="0"/>
    <x v="0"/>
    <x v="0"/>
    <d v="2019-03-13T21:32:06"/>
    <d v="2019-03-20T21:32:06"/>
    <d v="2019-03-16T21:32:06"/>
    <x v="8"/>
    <n v="36"/>
    <n v="112"/>
    <n v="1485"/>
  </r>
  <r>
    <n v="626369"/>
    <x v="2"/>
    <s v="Bangalore"/>
    <x v="2"/>
    <s v=" DL"/>
    <x v="1"/>
    <x v="0"/>
    <x v="1"/>
    <x v="0"/>
    <d v="2019-03-13T21:34:25"/>
    <d v="2019-03-20T21:34:25"/>
    <d v="2019-03-16T21:34:25"/>
    <x v="8"/>
    <n v="30"/>
    <n v="123"/>
    <n v="1550.2842906209637"/>
  </r>
  <r>
    <n v="470237"/>
    <x v="2"/>
    <s v="Delhi"/>
    <x v="0"/>
    <s v=" MH"/>
    <x v="0"/>
    <x v="0"/>
    <x v="1"/>
    <x v="0"/>
    <d v="2019-03-13T21:42:27"/>
    <d v="2019-03-17T21:42:27"/>
    <d v="2019-03-17T21:42:27"/>
    <x v="6"/>
    <n v="67"/>
    <n v="88"/>
    <n v="1078"/>
  </r>
  <r>
    <n v="117657"/>
    <x v="2"/>
    <s v="Delhi"/>
    <x v="2"/>
    <s v=" DL"/>
    <x v="1"/>
    <x v="0"/>
    <x v="1"/>
    <x v="1"/>
    <d v="2019-03-13T22:27:10"/>
    <d v="2019-03-15T22:27:10"/>
    <d v="2019-03-20T22:27:10"/>
    <x v="0"/>
    <n v="0"/>
    <n v="130"/>
    <n v="796.13588583144031"/>
  </r>
  <r>
    <n v="883466"/>
    <x v="2"/>
    <s v="Bangalore"/>
    <x v="3"/>
    <s v=" KA"/>
    <x v="2"/>
    <x v="0"/>
    <x v="0"/>
    <x v="0"/>
    <d v="2019-03-13T22:53:23"/>
    <d v="2019-03-19T22:53:23"/>
    <d v="2019-03-16T22:53:23"/>
    <x v="3"/>
    <n v="0"/>
    <n v="128"/>
    <n v="3344"/>
  </r>
  <r>
    <n v="68058"/>
    <x v="2"/>
    <s v="Delhi"/>
    <x v="2"/>
    <s v=" DL"/>
    <x v="2"/>
    <x v="0"/>
    <x v="0"/>
    <x v="1"/>
    <d v="2019-03-13T23:05:12"/>
    <d v="2019-03-17T23:05:12"/>
    <d v="2019-03-20T23:05:12"/>
    <x v="6"/>
    <n v="0"/>
    <n v="123"/>
    <n v="1823.4700129355681"/>
  </r>
  <r>
    <n v="515815"/>
    <x v="2"/>
    <s v="Bangalore"/>
    <x v="0"/>
    <s v=" MH"/>
    <x v="1"/>
    <x v="0"/>
    <x v="1"/>
    <x v="0"/>
    <d v="2019-03-13T23:19:28"/>
    <d v="2019-03-19T23:19:28"/>
    <d v="2019-03-17T23:19:28"/>
    <x v="3"/>
    <n v="33"/>
    <n v="109"/>
    <n v="1792.1624072316499"/>
  </r>
  <r>
    <n v="176962"/>
    <x v="2"/>
    <s v="Delhi"/>
    <x v="2"/>
    <s v=" DL"/>
    <x v="2"/>
    <x v="0"/>
    <x v="0"/>
    <x v="0"/>
    <d v="2019-03-13T23:29:37"/>
    <d v="2019-03-19T23:29:37"/>
    <d v="2019-03-20T23:29:37"/>
    <x v="3"/>
    <n v="0"/>
    <n v="123"/>
    <n v="236.2881583621872"/>
  </r>
  <r>
    <n v="634757"/>
    <x v="2"/>
    <s v="Bangalore"/>
    <x v="3"/>
    <s v=" KA"/>
    <x v="1"/>
    <x v="0"/>
    <x v="1"/>
    <x v="0"/>
    <d v="2019-03-13T23:33:43"/>
    <d v="2019-03-19T23:33:43"/>
    <d v="2019-03-19T23:33:43"/>
    <x v="3"/>
    <n v="0"/>
    <n v="126"/>
    <n v="1817.4864327579055"/>
  </r>
  <r>
    <n v="354008"/>
    <x v="2"/>
    <s v="Delhi"/>
    <x v="1"/>
    <s v=" TN"/>
    <x v="0"/>
    <x v="0"/>
    <x v="0"/>
    <x v="0"/>
    <d v="2019-03-14T00:03:03"/>
    <d v="2019-03-24T00:03:03"/>
    <d v="2019-03-21T00:03:03"/>
    <x v="7"/>
    <n v="76"/>
    <n v="101"/>
    <n v="750"/>
  </r>
  <r>
    <n v="75784"/>
    <x v="2"/>
    <s v="Bangalore"/>
    <x v="3"/>
    <s v=" KA"/>
    <x v="0"/>
    <x v="0"/>
    <x v="0"/>
    <x v="0"/>
    <d v="2019-03-14T00:13:18"/>
    <d v="2019-03-15T00:13:18"/>
    <d v="2019-03-19T00:13:18"/>
    <x v="2"/>
    <n v="0"/>
    <n v="101"/>
    <n v="2412.4018238600479"/>
  </r>
  <r>
    <n v="213122"/>
    <x v="2"/>
    <s v="Delhi"/>
    <x v="4"/>
    <s v=" WB"/>
    <x v="2"/>
    <x v="0"/>
    <x v="0"/>
    <x v="0"/>
    <d v="2019-03-14T00:33:03"/>
    <d v="2019-03-18T00:33:03"/>
    <d v="2019-03-20T00:33:03"/>
    <x v="6"/>
    <n v="41"/>
    <n v="106"/>
    <n v="2500.3668246866946"/>
  </r>
  <r>
    <n v="370301"/>
    <x v="2"/>
    <s v="Delhi"/>
    <x v="2"/>
    <s v=" DL"/>
    <x v="1"/>
    <x v="0"/>
    <x v="1"/>
    <x v="0"/>
    <d v="2019-03-14T01:17:37"/>
    <d v="2019-03-15T01:17:37"/>
    <d v="2019-03-18T01:17:37"/>
    <x v="2"/>
    <n v="0"/>
    <n v="121"/>
    <n v="3763.7622409137225"/>
  </r>
  <r>
    <n v="295805"/>
    <x v="2"/>
    <s v="Delhi"/>
    <x v="4"/>
    <s v=" WB"/>
    <x v="0"/>
    <x v="0"/>
    <x v="1"/>
    <x v="0"/>
    <d v="2019-03-14T01:21:19"/>
    <d v="2019-03-20T01:21:19"/>
    <d v="2019-03-20T01:21:19"/>
    <x v="3"/>
    <n v="82"/>
    <n v="94"/>
    <n v="1451.4281538427947"/>
  </r>
  <r>
    <n v="988298"/>
    <x v="2"/>
    <s v="Delhi"/>
    <x v="0"/>
    <s v=" MH"/>
    <x v="0"/>
    <x v="0"/>
    <x v="0"/>
    <x v="0"/>
    <d v="2019-03-14T01:31:36"/>
    <d v="2019-03-20T01:31:36"/>
    <d v="2019-03-18T01:31:36"/>
    <x v="3"/>
    <n v="71"/>
    <n v="90"/>
    <n v="2104"/>
  </r>
  <r>
    <n v="188913"/>
    <x v="2"/>
    <s v="Delhi"/>
    <x v="0"/>
    <s v=" MH"/>
    <x v="0"/>
    <x v="0"/>
    <x v="1"/>
    <x v="1"/>
    <d v="2019-03-14T01:32:07"/>
    <d v="2019-03-16T01:32:07"/>
    <d v="2019-03-21T01:32:07"/>
    <x v="0"/>
    <n v="68"/>
    <n v="93"/>
    <n v="3706.2102873406311"/>
  </r>
  <r>
    <n v="608766"/>
    <x v="2"/>
    <s v="Delhi"/>
    <x v="0"/>
    <s v=" MH"/>
    <x v="2"/>
    <x v="0"/>
    <x v="0"/>
    <x v="1"/>
    <d v="2019-03-14T01:39:16"/>
    <d v="2019-03-19T01:39:16"/>
    <d v="2019-03-17T01:39:16"/>
    <x v="9"/>
    <n v="48"/>
    <n v="106"/>
    <n v="2885.1856139406896"/>
  </r>
  <r>
    <n v="122966"/>
    <x v="2"/>
    <s v="Bangalore"/>
    <x v="0"/>
    <s v=" MH"/>
    <x v="0"/>
    <x v="0"/>
    <x v="0"/>
    <x v="0"/>
    <d v="2019-03-14T01:39:30"/>
    <d v="2019-03-16T01:39:30"/>
    <d v="2019-03-19T01:39:30"/>
    <x v="0"/>
    <n v="67"/>
    <n v="85"/>
    <n v="1756.1438530808198"/>
  </r>
  <r>
    <n v="533449"/>
    <x v="2"/>
    <s v="Bangalore"/>
    <x v="1"/>
    <s v=" TN"/>
    <x v="1"/>
    <x v="0"/>
    <x v="2"/>
    <x v="0"/>
    <d v="2019-03-14T01:49:33"/>
    <d v="2019-03-17T01:49:33"/>
    <d v="2019-03-18T01:49:33"/>
    <x v="4"/>
    <n v="48"/>
    <n v="123"/>
    <n v="1573"/>
  </r>
  <r>
    <n v="464709"/>
    <x v="2"/>
    <s v="Delhi"/>
    <x v="1"/>
    <s v=" TN"/>
    <x v="1"/>
    <x v="0"/>
    <x v="2"/>
    <x v="1"/>
    <d v="2019-03-14T02:20:44"/>
    <d v="2019-03-16T02:20:44"/>
    <d v="2019-03-20T02:20:44"/>
    <x v="0"/>
    <n v="47"/>
    <n v="127"/>
    <n v="1195.3391012722193"/>
  </r>
  <r>
    <n v="678551"/>
    <x v="2"/>
    <s v="Delhi"/>
    <x v="1"/>
    <s v=" TN"/>
    <x v="1"/>
    <x v="0"/>
    <x v="1"/>
    <x v="0"/>
    <d v="2019-03-14T02:29:07"/>
    <d v="2019-03-16T02:29:07"/>
    <d v="2019-03-17T02:29:07"/>
    <x v="0"/>
    <n v="32"/>
    <n v="122"/>
    <n v="2522"/>
  </r>
  <r>
    <n v="102690"/>
    <x v="2"/>
    <s v="Delhi"/>
    <x v="4"/>
    <s v=" WB"/>
    <x v="0"/>
    <x v="0"/>
    <x v="0"/>
    <x v="1"/>
    <d v="2019-03-14T02:38:06"/>
    <d v="2019-03-18T02:38:06"/>
    <d v="2019-03-19T02:38:06"/>
    <x v="6"/>
    <n v="78"/>
    <n v="88"/>
    <n v="2947"/>
  </r>
  <r>
    <n v="91146"/>
    <x v="2"/>
    <s v="Delhi"/>
    <x v="0"/>
    <s v=" MH"/>
    <x v="2"/>
    <x v="0"/>
    <x v="0"/>
    <x v="1"/>
    <d v="2019-03-14T03:35:02"/>
    <d v="2019-03-18T03:35:02"/>
    <d v="2019-03-17T03:35:02"/>
    <x v="6"/>
    <n v="40"/>
    <n v="112"/>
    <n v="2923.2563367894168"/>
  </r>
  <r>
    <n v="434376"/>
    <x v="2"/>
    <s v="Delhi"/>
    <x v="0"/>
    <s v=" MH"/>
    <x v="0"/>
    <x v="0"/>
    <x v="0"/>
    <x v="1"/>
    <d v="2019-03-14T03:47:52"/>
    <d v="2019-03-16T03:47:52"/>
    <d v="2019-03-19T03:47:52"/>
    <x v="0"/>
    <n v="28"/>
    <n v="113"/>
    <n v="2040.3812483194151"/>
  </r>
  <r>
    <n v="646977"/>
    <x v="2"/>
    <s v="Bangalore"/>
    <x v="0"/>
    <s v=" MH"/>
    <x v="1"/>
    <x v="0"/>
    <x v="1"/>
    <x v="1"/>
    <d v="2019-03-14T03:49:47"/>
    <d v="2019-03-17T03:49:47"/>
    <d v="2019-03-21T03:49:47"/>
    <x v="4"/>
    <n v="36"/>
    <n v="109"/>
    <n v="3500.7972673538152"/>
  </r>
  <r>
    <n v="729075"/>
    <x v="2"/>
    <s v="Delhi"/>
    <x v="3"/>
    <s v=" KA"/>
    <x v="1"/>
    <x v="0"/>
    <x v="1"/>
    <x v="1"/>
    <d v="2019-03-14T04:00:35"/>
    <d v="2019-03-18T04:00:35"/>
    <d v="2019-03-17T04:00:35"/>
    <x v="6"/>
    <n v="50"/>
    <n v="124"/>
    <n v="2763"/>
  </r>
  <r>
    <n v="946617"/>
    <x v="2"/>
    <s v="Delhi"/>
    <x v="3"/>
    <s v=" KA"/>
    <x v="1"/>
    <x v="0"/>
    <x v="2"/>
    <x v="1"/>
    <d v="2019-03-14T04:01:36"/>
    <d v="2019-03-22T04:01:36"/>
    <d v="2019-03-17T04:01:36"/>
    <x v="5"/>
    <n v="44"/>
    <n v="128"/>
    <n v="2159.3077000101216"/>
  </r>
  <r>
    <n v="67851"/>
    <x v="2"/>
    <s v="Delhi"/>
    <x v="2"/>
    <s v=" DL"/>
    <x v="1"/>
    <x v="0"/>
    <x v="2"/>
    <x v="1"/>
    <d v="2019-03-14T04:06:33"/>
    <d v="2019-03-15T04:06:33"/>
    <d v="2019-03-19T04:06:33"/>
    <x v="2"/>
    <n v="0"/>
    <n v="128"/>
    <n v="412.45368124664242"/>
  </r>
  <r>
    <n v="352730"/>
    <x v="2"/>
    <s v="Bangalore"/>
    <x v="0"/>
    <s v=" MH"/>
    <x v="2"/>
    <x v="0"/>
    <x v="0"/>
    <x v="0"/>
    <d v="2019-03-14T04:59:33"/>
    <d v="2019-03-21T04:59:33"/>
    <d v="2019-03-21T04:59:33"/>
    <x v="8"/>
    <n v="28"/>
    <n v="114"/>
    <n v="3185.5922678159131"/>
  </r>
  <r>
    <n v="935116"/>
    <x v="2"/>
    <s v="Bangalore"/>
    <x v="1"/>
    <s v=" TN"/>
    <x v="0"/>
    <x v="0"/>
    <x v="0"/>
    <x v="0"/>
    <d v="2019-03-14T05:10:32"/>
    <d v="2019-03-24T05:10:32"/>
    <d v="2019-03-19T05:10:32"/>
    <x v="7"/>
    <n v="40"/>
    <n v="129"/>
    <n v="2949.668105658694"/>
  </r>
  <r>
    <n v="890196"/>
    <x v="2"/>
    <s v="Delhi"/>
    <x v="4"/>
    <s v=" WB"/>
    <x v="0"/>
    <x v="0"/>
    <x v="0"/>
    <x v="1"/>
    <d v="2019-03-14T05:22:04"/>
    <d v="2019-03-18T05:22:04"/>
    <d v="2019-03-17T05:22:04"/>
    <x v="6"/>
    <n v="46"/>
    <n v="112"/>
    <n v="1981.6655717809624"/>
  </r>
  <r>
    <n v="611351"/>
    <x v="2"/>
    <s v="Delhi"/>
    <x v="2"/>
    <s v=" DL"/>
    <x v="0"/>
    <x v="0"/>
    <x v="1"/>
    <x v="0"/>
    <d v="2019-03-14T05:47:54"/>
    <d v="2019-03-17T05:47:54"/>
    <d v="2019-03-17T05:47:54"/>
    <x v="4"/>
    <n v="0"/>
    <n v="109"/>
    <n v="2518.8792129211961"/>
  </r>
  <r>
    <n v="728135"/>
    <x v="2"/>
    <s v="Delhi"/>
    <x v="3"/>
    <s v=" KA"/>
    <x v="0"/>
    <x v="0"/>
    <x v="1"/>
    <x v="0"/>
    <d v="2019-03-14T05:48:27"/>
    <d v="2019-03-16T05:48:27"/>
    <d v="2019-03-21T05:48:27"/>
    <x v="0"/>
    <n v="78"/>
    <n v="108"/>
    <n v="708.98419593789458"/>
  </r>
  <r>
    <n v="262927"/>
    <x v="2"/>
    <s v="Delhi"/>
    <x v="3"/>
    <s v=" KA"/>
    <x v="0"/>
    <x v="0"/>
    <x v="2"/>
    <x v="0"/>
    <d v="2019-03-14T05:54:39"/>
    <d v="2019-03-20T05:54:39"/>
    <d v="2019-03-18T05:54:39"/>
    <x v="3"/>
    <n v="87"/>
    <n v="104"/>
    <n v="3624.4062133488624"/>
  </r>
  <r>
    <n v="406532"/>
    <x v="2"/>
    <s v="Bangalore"/>
    <x v="0"/>
    <s v=" MH"/>
    <x v="0"/>
    <x v="0"/>
    <x v="0"/>
    <x v="0"/>
    <d v="2019-03-14T05:58:32"/>
    <d v="2019-03-16T05:58:32"/>
    <d v="2019-03-18T05:58:32"/>
    <x v="0"/>
    <n v="64"/>
    <n v="85"/>
    <n v="3213"/>
  </r>
  <r>
    <n v="286483"/>
    <x v="2"/>
    <s v="Delhi"/>
    <x v="3"/>
    <s v=" KA"/>
    <x v="1"/>
    <x v="0"/>
    <x v="1"/>
    <x v="0"/>
    <d v="2019-03-14T06:05:41"/>
    <d v="2019-03-21T06:05:41"/>
    <d v="2019-03-21T06:05:41"/>
    <x v="8"/>
    <n v="50"/>
    <n v="128"/>
    <n v="3430"/>
  </r>
  <r>
    <n v="475714"/>
    <x v="2"/>
    <s v="Delhi"/>
    <x v="3"/>
    <s v=" KA"/>
    <x v="2"/>
    <x v="0"/>
    <x v="0"/>
    <x v="0"/>
    <d v="2019-03-14T06:08:30"/>
    <d v="2019-03-18T06:08:30"/>
    <d v="2019-03-19T06:08:30"/>
    <x v="6"/>
    <n v="32"/>
    <n v="122"/>
    <n v="2607"/>
  </r>
  <r>
    <n v="667954"/>
    <x v="2"/>
    <s v="Bangalore"/>
    <x v="0"/>
    <s v=" MH"/>
    <x v="2"/>
    <x v="0"/>
    <x v="0"/>
    <x v="0"/>
    <d v="2019-03-14T06:30:42"/>
    <d v="2019-03-18T06:30:42"/>
    <d v="2019-03-19T06:30:42"/>
    <x v="6"/>
    <n v="47"/>
    <n v="111"/>
    <n v="3208.1862129155975"/>
  </r>
  <r>
    <n v="182921"/>
    <x v="2"/>
    <s v="Delhi"/>
    <x v="2"/>
    <s v=" DL"/>
    <x v="1"/>
    <x v="0"/>
    <x v="1"/>
    <x v="0"/>
    <d v="2019-03-14T06:31:12"/>
    <d v="2019-03-15T06:31:12"/>
    <d v="2019-03-20T06:31:12"/>
    <x v="2"/>
    <n v="0"/>
    <n v="129"/>
    <n v="1176"/>
  </r>
  <r>
    <n v="12840"/>
    <x v="2"/>
    <s v="Delhi"/>
    <x v="1"/>
    <s v=" TN"/>
    <x v="0"/>
    <x v="0"/>
    <x v="0"/>
    <x v="1"/>
    <d v="2019-03-14T06:34:34"/>
    <d v="2019-03-22T06:34:34"/>
    <d v="2019-03-21T06:34:34"/>
    <x v="5"/>
    <n v="37"/>
    <n v="130"/>
    <n v="2445.277675473576"/>
  </r>
  <r>
    <n v="111590"/>
    <x v="2"/>
    <s v="Bangalore"/>
    <x v="3"/>
    <s v=" KA"/>
    <x v="0"/>
    <x v="0"/>
    <x v="0"/>
    <x v="0"/>
    <d v="2019-03-14T06:36:10"/>
    <d v="2019-03-14T06:36:10"/>
    <d v="2019-03-21T06:36:10"/>
    <x v="10"/>
    <n v="0"/>
    <n v="109"/>
    <n v="1199.1528972476715"/>
  </r>
  <r>
    <n v="259569"/>
    <x v="2"/>
    <s v="Bangalore"/>
    <x v="0"/>
    <s v=" MH"/>
    <x v="0"/>
    <x v="0"/>
    <x v="1"/>
    <x v="1"/>
    <d v="2019-03-14T06:40:56"/>
    <d v="2019-03-19T06:40:56"/>
    <d v="2019-03-18T06:40:56"/>
    <x v="9"/>
    <n v="72"/>
    <n v="89"/>
    <n v="1663"/>
  </r>
  <r>
    <n v="169383"/>
    <x v="2"/>
    <s v="Bangalore"/>
    <x v="3"/>
    <s v=" KA"/>
    <x v="1"/>
    <x v="0"/>
    <x v="1"/>
    <x v="1"/>
    <d v="2019-03-14T07:30:13"/>
    <d v="2019-03-20T07:30:13"/>
    <d v="2019-03-19T07:30:13"/>
    <x v="3"/>
    <n v="0"/>
    <n v="128"/>
    <n v="2981.7448138547561"/>
  </r>
  <r>
    <n v="28186"/>
    <x v="2"/>
    <s v="Bangalore"/>
    <x v="2"/>
    <s v=" DL"/>
    <x v="2"/>
    <x v="0"/>
    <x v="0"/>
    <x v="0"/>
    <d v="2019-03-14T07:58:19"/>
    <d v="2019-03-17T07:58:19"/>
    <d v="2019-03-19T07:58:19"/>
    <x v="4"/>
    <n v="32"/>
    <n v="120"/>
    <n v="1279.1039665554081"/>
  </r>
  <r>
    <n v="409056"/>
    <x v="2"/>
    <s v="Bangalore"/>
    <x v="4"/>
    <s v=" WB"/>
    <x v="0"/>
    <x v="0"/>
    <x v="0"/>
    <x v="1"/>
    <d v="2019-03-14T08:17:47"/>
    <d v="2019-03-21T08:17:47"/>
    <d v="2019-03-20T08:17:47"/>
    <x v="8"/>
    <n v="35"/>
    <n v="110"/>
    <n v="2443.7608796226677"/>
  </r>
  <r>
    <n v="754001"/>
    <x v="2"/>
    <s v="Delhi"/>
    <x v="2"/>
    <s v=" DL"/>
    <x v="1"/>
    <x v="0"/>
    <x v="1"/>
    <x v="0"/>
    <d v="2019-03-14T08:19:19"/>
    <d v="2019-03-21T08:19:19"/>
    <d v="2019-03-21T08:19:19"/>
    <x v="8"/>
    <n v="0"/>
    <n v="127"/>
    <n v="2061"/>
  </r>
  <r>
    <n v="234571"/>
    <x v="2"/>
    <s v="Delhi"/>
    <x v="0"/>
    <s v=" MH"/>
    <x v="0"/>
    <x v="0"/>
    <x v="1"/>
    <x v="0"/>
    <d v="2019-03-14T08:20:16"/>
    <d v="2019-03-16T08:20:16"/>
    <d v="2019-03-20T08:20:16"/>
    <x v="0"/>
    <n v="80"/>
    <n v="90"/>
    <n v="2260.7119443120641"/>
  </r>
  <r>
    <n v="628967"/>
    <x v="2"/>
    <s v="Delhi"/>
    <x v="1"/>
    <s v=" TN"/>
    <x v="1"/>
    <x v="0"/>
    <x v="1"/>
    <x v="0"/>
    <d v="2019-03-14T08:22:27"/>
    <d v="2019-03-16T08:22:27"/>
    <d v="2019-03-20T08:22:27"/>
    <x v="0"/>
    <n v="48"/>
    <n v="120"/>
    <n v="351.77000614400322"/>
  </r>
  <r>
    <n v="201895"/>
    <x v="2"/>
    <s v="Bangalore"/>
    <x v="3"/>
    <s v=" KA"/>
    <x v="0"/>
    <x v="0"/>
    <x v="1"/>
    <x v="0"/>
    <d v="2019-03-14T08:42:37"/>
    <d v="2019-03-14T08:42:37"/>
    <d v="2019-03-20T08:42:37"/>
    <x v="10"/>
    <n v="0"/>
    <n v="105"/>
    <n v="951.27434858437834"/>
  </r>
  <r>
    <n v="631811"/>
    <x v="2"/>
    <s v="Delhi"/>
    <x v="1"/>
    <s v=" TN"/>
    <x v="1"/>
    <x v="0"/>
    <x v="1"/>
    <x v="0"/>
    <d v="2019-03-14T08:51:40"/>
    <d v="2019-03-16T08:51:40"/>
    <d v="2019-03-18T08:51:40"/>
    <x v="0"/>
    <n v="47"/>
    <n v="126"/>
    <n v="3426.2133833987791"/>
  </r>
  <r>
    <n v="989203"/>
    <x v="2"/>
    <s v="Bangalore"/>
    <x v="3"/>
    <s v=" KA"/>
    <x v="1"/>
    <x v="0"/>
    <x v="1"/>
    <x v="0"/>
    <d v="2019-03-14T08:56:33"/>
    <d v="2019-03-15T08:56:33"/>
    <d v="2019-03-19T08:56:33"/>
    <x v="2"/>
    <n v="0"/>
    <n v="121"/>
    <n v="2095"/>
  </r>
  <r>
    <n v="901283"/>
    <x v="2"/>
    <s v="Bangalore"/>
    <x v="2"/>
    <s v=" DL"/>
    <x v="1"/>
    <x v="0"/>
    <x v="1"/>
    <x v="0"/>
    <d v="2019-03-14T09:31:44"/>
    <d v="2019-03-23T09:31:44"/>
    <d v="2019-03-20T09:31:44"/>
    <x v="1"/>
    <n v="39"/>
    <n v="123"/>
    <n v="1416.3673826097956"/>
  </r>
  <r>
    <n v="685327"/>
    <x v="2"/>
    <s v="Bangalore"/>
    <x v="0"/>
    <s v=" MH"/>
    <x v="0"/>
    <x v="0"/>
    <x v="1"/>
    <x v="0"/>
    <d v="2019-03-14T09:44:40"/>
    <d v="2019-03-18T09:44:40"/>
    <d v="2019-03-18T09:44:40"/>
    <x v="6"/>
    <n v="68"/>
    <n v="86"/>
    <n v="3082.5435147205421"/>
  </r>
  <r>
    <n v="568499"/>
    <x v="2"/>
    <s v="Delhi"/>
    <x v="2"/>
    <s v=" DL"/>
    <x v="1"/>
    <x v="0"/>
    <x v="1"/>
    <x v="0"/>
    <d v="2019-03-14T10:19:55"/>
    <d v="2019-03-18T10:19:55"/>
    <d v="2019-03-19T10:19:55"/>
    <x v="6"/>
    <n v="0"/>
    <n v="125"/>
    <n v="2705"/>
  </r>
  <r>
    <n v="608667"/>
    <x v="2"/>
    <s v="Delhi"/>
    <x v="3"/>
    <s v=" KA"/>
    <x v="1"/>
    <x v="0"/>
    <x v="1"/>
    <x v="1"/>
    <d v="2019-03-14T10:42:42"/>
    <d v="2019-03-22T10:42:42"/>
    <d v="2019-03-17T10:42:42"/>
    <x v="5"/>
    <n v="25"/>
    <n v="123"/>
    <n v="3458.0066609724513"/>
  </r>
  <r>
    <n v="46130"/>
    <x v="2"/>
    <s v="Bangalore"/>
    <x v="4"/>
    <s v=" WB"/>
    <x v="2"/>
    <x v="0"/>
    <x v="0"/>
    <x v="0"/>
    <d v="2019-03-14T10:45:45"/>
    <d v="2019-03-21T10:45:45"/>
    <d v="2019-03-17T10:45:45"/>
    <x v="8"/>
    <n v="25"/>
    <n v="115"/>
    <n v="2499.9694236968794"/>
  </r>
  <r>
    <n v="812370"/>
    <x v="2"/>
    <s v="Delhi"/>
    <x v="4"/>
    <s v=" WB"/>
    <x v="2"/>
    <x v="0"/>
    <x v="0"/>
    <x v="1"/>
    <d v="2019-03-14T11:14:41"/>
    <d v="2019-03-21T11:14:41"/>
    <d v="2019-03-21T11:14:41"/>
    <x v="8"/>
    <n v="50"/>
    <n v="114"/>
    <n v="2920"/>
  </r>
  <r>
    <n v="963235"/>
    <x v="2"/>
    <s v="Bangalore"/>
    <x v="3"/>
    <s v=" KA"/>
    <x v="0"/>
    <x v="0"/>
    <x v="2"/>
    <x v="0"/>
    <d v="2019-03-14T11:42:29"/>
    <d v="2019-03-16T11:42:29"/>
    <d v="2019-03-17T11:42:29"/>
    <x v="0"/>
    <n v="0"/>
    <n v="105"/>
    <n v="2930.0232860970787"/>
  </r>
  <r>
    <n v="931633"/>
    <x v="2"/>
    <s v="Bangalore"/>
    <x v="3"/>
    <s v=" KA"/>
    <x v="0"/>
    <x v="0"/>
    <x v="1"/>
    <x v="0"/>
    <d v="2019-03-14T11:51:29"/>
    <d v="2019-03-14T11:51:29"/>
    <d v="2019-03-20T11:51:29"/>
    <x v="10"/>
    <n v="0"/>
    <n v="107"/>
    <n v="2202.2452940856278"/>
  </r>
  <r>
    <n v="651369"/>
    <x v="2"/>
    <s v="Delhi"/>
    <x v="2"/>
    <s v=" DL"/>
    <x v="1"/>
    <x v="0"/>
    <x v="1"/>
    <x v="1"/>
    <d v="2019-03-14T12:02:55"/>
    <d v="2019-03-16T12:02:55"/>
    <d v="2019-03-19T12:02:55"/>
    <x v="0"/>
    <n v="0"/>
    <n v="125"/>
    <n v="3084"/>
  </r>
  <r>
    <n v="846741"/>
    <x v="2"/>
    <s v="Bangalore"/>
    <x v="3"/>
    <s v=" KA"/>
    <x v="1"/>
    <x v="0"/>
    <x v="2"/>
    <x v="1"/>
    <d v="2019-03-14T12:20:23"/>
    <d v="2019-03-18T12:20:23"/>
    <d v="2019-03-19T12:20:23"/>
    <x v="6"/>
    <n v="0"/>
    <n v="123"/>
    <n v="690.75784395316373"/>
  </r>
  <r>
    <n v="917383"/>
    <x v="2"/>
    <s v="Bangalore"/>
    <x v="3"/>
    <s v=" KA"/>
    <x v="1"/>
    <x v="0"/>
    <x v="1"/>
    <x v="0"/>
    <d v="2019-03-14T12:32:33"/>
    <d v="2019-03-18T12:32:33"/>
    <d v="2019-03-20T12:32:33"/>
    <x v="6"/>
    <n v="0"/>
    <n v="123"/>
    <n v="709.08665483195341"/>
  </r>
  <r>
    <n v="354666"/>
    <x v="2"/>
    <s v="Bangalore"/>
    <x v="2"/>
    <s v=" DL"/>
    <x v="0"/>
    <x v="0"/>
    <x v="0"/>
    <x v="1"/>
    <d v="2019-03-14T12:40:26"/>
    <d v="2019-03-16T12:40:26"/>
    <d v="2019-03-19T12:40:26"/>
    <x v="0"/>
    <n v="77"/>
    <n v="100"/>
    <n v="1031.2511010063824"/>
  </r>
  <r>
    <n v="428508"/>
    <x v="2"/>
    <s v="Delhi"/>
    <x v="4"/>
    <s v=" WB"/>
    <x v="0"/>
    <x v="0"/>
    <x v="0"/>
    <x v="1"/>
    <d v="2019-03-14T13:10:11"/>
    <d v="2019-03-19T13:10:11"/>
    <d v="2019-03-20T13:10:11"/>
    <x v="9"/>
    <n v="48"/>
    <n v="108"/>
    <n v="700"/>
  </r>
  <r>
    <n v="393898"/>
    <x v="2"/>
    <s v="Bangalore"/>
    <x v="3"/>
    <s v=" KA"/>
    <x v="2"/>
    <x v="0"/>
    <x v="0"/>
    <x v="0"/>
    <d v="2019-03-14T13:38:18"/>
    <d v="2019-03-19T13:38:18"/>
    <d v="2019-03-19T13:38:18"/>
    <x v="9"/>
    <n v="0"/>
    <n v="121"/>
    <n v="2446.758578789254"/>
  </r>
  <r>
    <n v="90979"/>
    <x v="2"/>
    <s v="Bangalore"/>
    <x v="3"/>
    <s v=" KA"/>
    <x v="1"/>
    <x v="0"/>
    <x v="2"/>
    <x v="0"/>
    <d v="2019-03-14T14:03:12"/>
    <d v="2019-03-20T14:03:12"/>
    <d v="2019-03-17T14:03:12"/>
    <x v="3"/>
    <n v="0"/>
    <n v="122"/>
    <n v="1226.0338030938451"/>
  </r>
  <r>
    <n v="676818"/>
    <x v="2"/>
    <s v="Delhi"/>
    <x v="1"/>
    <s v=" TN"/>
    <x v="2"/>
    <x v="0"/>
    <x v="0"/>
    <x v="1"/>
    <d v="2019-03-14T14:07:10"/>
    <d v="2019-03-19T14:07:10"/>
    <d v="2019-03-20T14:07:10"/>
    <x v="9"/>
    <n v="38"/>
    <n v="123"/>
    <n v="2086.9119549528064"/>
  </r>
  <r>
    <n v="779664"/>
    <x v="2"/>
    <s v="Bangalore"/>
    <x v="1"/>
    <s v=" TN"/>
    <x v="0"/>
    <x v="0"/>
    <x v="0"/>
    <x v="1"/>
    <d v="2019-03-14T14:23:24"/>
    <d v="2019-03-20T14:23:24"/>
    <d v="2019-03-18T14:23:24"/>
    <x v="3"/>
    <n v="27"/>
    <n v="128"/>
    <n v="2256.4734623850795"/>
  </r>
  <r>
    <n v="692686"/>
    <x v="2"/>
    <s v="Bangalore"/>
    <x v="1"/>
    <s v=" TN"/>
    <x v="2"/>
    <x v="0"/>
    <x v="0"/>
    <x v="0"/>
    <d v="2019-03-14T14:29:55"/>
    <d v="2019-03-19T14:29:55"/>
    <d v="2019-03-17T14:29:55"/>
    <x v="9"/>
    <n v="36"/>
    <n v="122"/>
    <n v="509.81102422629056"/>
  </r>
  <r>
    <n v="788514"/>
    <x v="2"/>
    <s v="Delhi"/>
    <x v="0"/>
    <s v=" MH"/>
    <x v="0"/>
    <x v="0"/>
    <x v="0"/>
    <x v="1"/>
    <d v="2019-03-14T14:30:52"/>
    <d v="2019-03-16T14:30:52"/>
    <d v="2019-03-18T14:30:52"/>
    <x v="0"/>
    <n v="67"/>
    <n v="89"/>
    <n v="1840.4028829692977"/>
  </r>
  <r>
    <n v="5018"/>
    <x v="2"/>
    <s v="Bangalore"/>
    <x v="1"/>
    <s v=" TN"/>
    <x v="0"/>
    <x v="0"/>
    <x v="0"/>
    <x v="0"/>
    <d v="2019-03-14T14:34:37"/>
    <d v="2019-03-18T14:34:37"/>
    <d v="2019-03-20T14:34:37"/>
    <x v="6"/>
    <n v="63"/>
    <n v="110"/>
    <n v="3189.131025550867"/>
  </r>
  <r>
    <n v="89560"/>
    <x v="2"/>
    <s v="Delhi"/>
    <x v="4"/>
    <s v=" WB"/>
    <x v="0"/>
    <x v="0"/>
    <x v="0"/>
    <x v="0"/>
    <d v="2019-03-14T14:49:28"/>
    <d v="2019-03-19T14:49:28"/>
    <d v="2019-03-17T14:49:28"/>
    <x v="9"/>
    <n v="35"/>
    <n v="109"/>
    <n v="1496.5427878324481"/>
  </r>
  <r>
    <n v="652681"/>
    <x v="2"/>
    <s v="Delhi"/>
    <x v="1"/>
    <s v=" TN"/>
    <x v="1"/>
    <x v="0"/>
    <x v="1"/>
    <x v="0"/>
    <d v="2019-03-14T15:53:51"/>
    <d v="2019-03-19T15:53:51"/>
    <d v="2019-03-21T15:53:51"/>
    <x v="9"/>
    <n v="37"/>
    <n v="123"/>
    <n v="1268"/>
  </r>
  <r>
    <n v="516157"/>
    <x v="2"/>
    <s v="Bangalore"/>
    <x v="4"/>
    <s v=" WB"/>
    <x v="1"/>
    <x v="0"/>
    <x v="1"/>
    <x v="0"/>
    <d v="2019-03-14T16:27:08"/>
    <d v="2019-03-21T16:27:08"/>
    <d v="2019-03-18T16:27:08"/>
    <x v="8"/>
    <n v="27"/>
    <n v="108"/>
    <n v="1492.7020605327025"/>
  </r>
  <r>
    <n v="231141"/>
    <x v="2"/>
    <s v="Delhi"/>
    <x v="0"/>
    <s v=" MH"/>
    <x v="1"/>
    <x v="0"/>
    <x v="1"/>
    <x v="1"/>
    <d v="2019-03-14T16:41:31"/>
    <d v="2019-03-18T16:41:31"/>
    <d v="2019-03-21T16:41:31"/>
    <x v="6"/>
    <n v="30"/>
    <n v="113"/>
    <n v="2464.1546322046506"/>
  </r>
  <r>
    <n v="652389"/>
    <x v="2"/>
    <s v="Bangalore"/>
    <x v="3"/>
    <s v=" KA"/>
    <x v="1"/>
    <x v="0"/>
    <x v="1"/>
    <x v="1"/>
    <d v="2019-03-14T16:43:54"/>
    <d v="2019-03-20T16:43:54"/>
    <d v="2019-03-20T16:43:54"/>
    <x v="3"/>
    <n v="0"/>
    <n v="121"/>
    <n v="2431.4900606731603"/>
  </r>
  <r>
    <n v="7139"/>
    <x v="2"/>
    <s v="Bangalore"/>
    <x v="2"/>
    <s v=" DL"/>
    <x v="1"/>
    <x v="0"/>
    <x v="1"/>
    <x v="0"/>
    <d v="2019-03-14T16:58:24"/>
    <d v="2019-03-19T16:58:24"/>
    <d v="2019-03-18T16:58:24"/>
    <x v="9"/>
    <n v="35"/>
    <n v="125"/>
    <n v="435.38780948002915"/>
  </r>
  <r>
    <n v="497312"/>
    <x v="2"/>
    <s v="Delhi"/>
    <x v="3"/>
    <s v=" KA"/>
    <x v="0"/>
    <x v="0"/>
    <x v="0"/>
    <x v="0"/>
    <d v="2019-03-14T17:04:41"/>
    <d v="2019-03-16T17:04:41"/>
    <d v="2019-03-18T17:04:41"/>
    <x v="0"/>
    <n v="25"/>
    <n v="130"/>
    <n v="2919"/>
  </r>
  <r>
    <n v="289790"/>
    <x v="2"/>
    <s v="Bangalore"/>
    <x v="3"/>
    <s v=" KA"/>
    <x v="2"/>
    <x v="0"/>
    <x v="0"/>
    <x v="0"/>
    <d v="2019-03-14T17:10:13"/>
    <d v="2019-03-14T17:10:13"/>
    <d v="2019-03-18T17:10:13"/>
    <x v="10"/>
    <n v="0"/>
    <n v="128"/>
    <n v="3550.4153071125393"/>
  </r>
  <r>
    <n v="118567"/>
    <x v="2"/>
    <s v="Delhi"/>
    <x v="2"/>
    <s v=" DL"/>
    <x v="0"/>
    <x v="0"/>
    <x v="1"/>
    <x v="0"/>
    <d v="2019-03-14T18:12:41"/>
    <d v="2019-03-17T18:12:41"/>
    <d v="2019-03-20T18:12:41"/>
    <x v="4"/>
    <n v="0"/>
    <n v="104"/>
    <n v="1521.1004453551791"/>
  </r>
  <r>
    <n v="785115"/>
    <x v="2"/>
    <s v="Delhi"/>
    <x v="3"/>
    <s v=" KA"/>
    <x v="1"/>
    <x v="0"/>
    <x v="1"/>
    <x v="1"/>
    <d v="2019-03-14T18:33:49"/>
    <d v="2019-03-22T18:33:49"/>
    <d v="2019-03-17T18:33:49"/>
    <x v="5"/>
    <n v="26"/>
    <n v="121"/>
    <n v="1575.759355320844"/>
  </r>
  <r>
    <n v="994059"/>
    <x v="2"/>
    <s v="Delhi"/>
    <x v="3"/>
    <s v=" KA"/>
    <x v="1"/>
    <x v="0"/>
    <x v="1"/>
    <x v="1"/>
    <d v="2019-03-14T19:07:23"/>
    <d v="2019-03-23T19:07:23"/>
    <d v="2019-03-21T19:07:23"/>
    <x v="1"/>
    <n v="43"/>
    <n v="129"/>
    <n v="3348.2620711443551"/>
  </r>
  <r>
    <n v="159534"/>
    <x v="2"/>
    <s v="Delhi"/>
    <x v="0"/>
    <s v=" MH"/>
    <x v="2"/>
    <x v="0"/>
    <x v="0"/>
    <x v="1"/>
    <d v="2019-03-14T19:32:40"/>
    <d v="2019-03-18T19:32:40"/>
    <d v="2019-03-17T19:32:40"/>
    <x v="6"/>
    <n v="34"/>
    <n v="111"/>
    <n v="3105.0309811807483"/>
  </r>
  <r>
    <n v="275228"/>
    <x v="2"/>
    <s v="Bangalore"/>
    <x v="3"/>
    <s v=" KA"/>
    <x v="0"/>
    <x v="0"/>
    <x v="0"/>
    <x v="0"/>
    <d v="2019-03-14T19:38:06"/>
    <d v="2019-03-14T19:38:06"/>
    <d v="2019-03-19T19:38:06"/>
    <x v="10"/>
    <n v="0"/>
    <n v="109"/>
    <n v="3379"/>
  </r>
  <r>
    <n v="328200"/>
    <x v="2"/>
    <s v="Bangalore"/>
    <x v="0"/>
    <s v=" MH"/>
    <x v="0"/>
    <x v="0"/>
    <x v="0"/>
    <x v="1"/>
    <d v="2019-03-14T19:38:52"/>
    <d v="2019-03-19T19:38:52"/>
    <d v="2019-03-17T19:38:52"/>
    <x v="9"/>
    <n v="28"/>
    <n v="108"/>
    <n v="3574"/>
  </r>
  <r>
    <n v="398638"/>
    <x v="2"/>
    <s v="Bangalore"/>
    <x v="3"/>
    <s v=" KA"/>
    <x v="2"/>
    <x v="0"/>
    <x v="0"/>
    <x v="0"/>
    <d v="2019-03-14T19:48:08"/>
    <d v="2019-03-16T19:48:08"/>
    <d v="2019-03-20T19:48:08"/>
    <x v="0"/>
    <n v="0"/>
    <n v="121"/>
    <n v="2966"/>
  </r>
  <r>
    <n v="478450"/>
    <x v="2"/>
    <s v="Delhi"/>
    <x v="4"/>
    <s v=" WB"/>
    <x v="0"/>
    <x v="0"/>
    <x v="0"/>
    <x v="0"/>
    <d v="2019-03-14T21:39:32"/>
    <d v="2019-03-22T21:39:32"/>
    <d v="2019-03-19T21:39:32"/>
    <x v="5"/>
    <n v="68"/>
    <n v="87"/>
    <n v="825.90659286184962"/>
  </r>
  <r>
    <n v="675820"/>
    <x v="2"/>
    <s v="Delhi"/>
    <x v="3"/>
    <s v=" KA"/>
    <x v="0"/>
    <x v="0"/>
    <x v="0"/>
    <x v="0"/>
    <d v="2019-03-14T21:41:20"/>
    <d v="2019-03-18T21:41:20"/>
    <d v="2019-03-21T21:41:20"/>
    <x v="6"/>
    <n v="64"/>
    <n v="100"/>
    <n v="1071.7084551737255"/>
  </r>
  <r>
    <n v="633425"/>
    <x v="2"/>
    <s v="Delhi"/>
    <x v="0"/>
    <s v=" MH"/>
    <x v="1"/>
    <x v="0"/>
    <x v="1"/>
    <x v="0"/>
    <d v="2019-03-14T21:54:40"/>
    <d v="2019-03-23T21:54:40"/>
    <d v="2019-03-18T21:54:40"/>
    <x v="1"/>
    <n v="49"/>
    <n v="107"/>
    <n v="1927.2982692490368"/>
  </r>
  <r>
    <n v="306484"/>
    <x v="2"/>
    <s v="Delhi"/>
    <x v="3"/>
    <s v=" KA"/>
    <x v="0"/>
    <x v="0"/>
    <x v="0"/>
    <x v="0"/>
    <d v="2019-03-14T22:05:08"/>
    <d v="2019-03-17T22:05:08"/>
    <d v="2019-03-18T22:05:08"/>
    <x v="4"/>
    <n v="61"/>
    <n v="103"/>
    <n v="3181.9386240451058"/>
  </r>
  <r>
    <n v="84507"/>
    <x v="2"/>
    <s v="Bangalore"/>
    <x v="1"/>
    <s v=" TN"/>
    <x v="1"/>
    <x v="0"/>
    <x v="1"/>
    <x v="1"/>
    <d v="2019-03-14T22:33:15"/>
    <d v="2019-03-16T22:33:15"/>
    <d v="2019-03-17T22:33:15"/>
    <x v="0"/>
    <n v="41"/>
    <n v="124"/>
    <n v="2287"/>
  </r>
  <r>
    <n v="8279"/>
    <x v="2"/>
    <s v="Delhi"/>
    <x v="0"/>
    <s v=" MH"/>
    <x v="0"/>
    <x v="0"/>
    <x v="1"/>
    <x v="0"/>
    <d v="2019-03-14T22:45:16"/>
    <d v="2019-03-16T22:45:16"/>
    <d v="2019-03-20T22:45:16"/>
    <x v="0"/>
    <n v="62"/>
    <n v="91"/>
    <n v="2761.3103665847884"/>
  </r>
  <r>
    <n v="774596"/>
    <x v="2"/>
    <s v="Delhi"/>
    <x v="4"/>
    <s v=" WB"/>
    <x v="0"/>
    <x v="0"/>
    <x v="0"/>
    <x v="0"/>
    <d v="2019-03-14T22:50:04"/>
    <d v="2019-03-19T22:50:04"/>
    <d v="2019-03-21T22:50:04"/>
    <x v="9"/>
    <n v="81"/>
    <n v="87"/>
    <n v="2288.0775800305059"/>
  </r>
  <r>
    <n v="923479"/>
    <x v="2"/>
    <s v="Delhi"/>
    <x v="3"/>
    <s v=" KA"/>
    <x v="1"/>
    <x v="0"/>
    <x v="1"/>
    <x v="0"/>
    <d v="2019-03-14T22:51:37"/>
    <d v="2019-03-21T22:51:37"/>
    <d v="2019-03-17T22:51:37"/>
    <x v="8"/>
    <n v="38"/>
    <n v="124"/>
    <n v="2679.8610812720317"/>
  </r>
  <r>
    <n v="651279"/>
    <x v="2"/>
    <s v="Bangalore"/>
    <x v="3"/>
    <s v=" KA"/>
    <x v="0"/>
    <x v="0"/>
    <x v="1"/>
    <x v="1"/>
    <d v="2019-03-14T23:33:55"/>
    <d v="2019-03-14T23:33:55"/>
    <d v="2019-03-17T23:33:55"/>
    <x v="10"/>
    <n v="0"/>
    <n v="101"/>
    <n v="2812.5415342191395"/>
  </r>
  <r>
    <n v="68474"/>
    <x v="2"/>
    <s v="Delhi"/>
    <x v="2"/>
    <s v=" DL"/>
    <x v="2"/>
    <x v="0"/>
    <x v="0"/>
    <x v="0"/>
    <d v="2019-03-14T23:47:01"/>
    <d v="2019-03-21T23:47:01"/>
    <d v="2019-03-17T23:47:01"/>
    <x v="8"/>
    <n v="0"/>
    <n v="128"/>
    <n v="3407.6056110539384"/>
  </r>
  <r>
    <n v="341837"/>
    <x v="2"/>
    <s v="Bangalore"/>
    <x v="3"/>
    <s v=" KA"/>
    <x v="1"/>
    <x v="0"/>
    <x v="1"/>
    <x v="0"/>
    <d v="2019-03-15T00:00:00"/>
    <d v="2019-03-18T00:00:00"/>
    <d v="2019-03-21T00:00:00"/>
    <x v="4"/>
    <n v="0"/>
    <n v="124"/>
    <n v="2984.3970946445661"/>
  </r>
  <r>
    <n v="132102"/>
    <x v="2"/>
    <s v="Bangalore"/>
    <x v="2"/>
    <s v=" DL"/>
    <x v="2"/>
    <x v="1"/>
    <x v="0"/>
    <x v="1"/>
    <d v="2019-03-01T02:19:41"/>
    <d v="2019-03-05T02:19:41"/>
    <d v="2019-03-08T02:19:41"/>
    <x v="6"/>
    <n v="42"/>
    <n v="124"/>
    <n v="2896.9604156176952"/>
  </r>
  <r>
    <n v="10516"/>
    <x v="2"/>
    <s v="Delhi"/>
    <x v="2"/>
    <s v=" DL"/>
    <x v="0"/>
    <x v="1"/>
    <x v="0"/>
    <x v="0"/>
    <d v="2019-03-01T11:18:59"/>
    <d v="2019-03-06T11:18:59"/>
    <d v="2019-03-05T11:18:59"/>
    <x v="9"/>
    <n v="0"/>
    <n v="126"/>
    <n v="608.5793359701629"/>
  </r>
  <r>
    <n v="319442"/>
    <x v="2"/>
    <s v="Bangalore"/>
    <x v="1"/>
    <s v=" TN"/>
    <x v="2"/>
    <x v="1"/>
    <x v="0"/>
    <x v="0"/>
    <d v="2019-03-02T14:27:43"/>
    <d v="2019-03-04T14:27:43"/>
    <d v="2019-03-08T14:27:43"/>
    <x v="0"/>
    <n v="31"/>
    <n v="128"/>
    <n v="3456.4382424839296"/>
  </r>
  <r>
    <n v="397427"/>
    <x v="2"/>
    <s v="Delhi"/>
    <x v="0"/>
    <s v=" MH"/>
    <x v="0"/>
    <x v="1"/>
    <x v="1"/>
    <x v="0"/>
    <d v="2019-03-02T15:32:16"/>
    <d v="2019-03-04T15:32:16"/>
    <d v="2019-03-08T15:32:16"/>
    <x v="0"/>
    <n v="72"/>
    <n v="87"/>
    <n v="2521.6187957178608"/>
  </r>
  <r>
    <n v="937514"/>
    <x v="2"/>
    <s v="Bangalore"/>
    <x v="0"/>
    <s v=" MH"/>
    <x v="2"/>
    <x v="1"/>
    <x v="0"/>
    <x v="0"/>
    <d v="2019-03-03T02:28:29"/>
    <d v="2019-03-07T02:28:29"/>
    <d v="2019-03-08T02:28:29"/>
    <x v="6"/>
    <n v="47"/>
    <n v="109"/>
    <n v="2987"/>
  </r>
  <r>
    <n v="795472"/>
    <x v="2"/>
    <s v="Delhi"/>
    <x v="2"/>
    <s v=" DL"/>
    <x v="0"/>
    <x v="1"/>
    <x v="0"/>
    <x v="0"/>
    <d v="2019-03-04T06:30:04"/>
    <d v="2019-03-07T06:30:04"/>
    <d v="2019-03-11T06:30:04"/>
    <x v="4"/>
    <n v="0"/>
    <n v="127"/>
    <n v="2437"/>
  </r>
  <r>
    <n v="944407"/>
    <x v="2"/>
    <s v="Delhi"/>
    <x v="2"/>
    <s v=" DL"/>
    <x v="1"/>
    <x v="1"/>
    <x v="1"/>
    <x v="0"/>
    <d v="2019-03-04T06:31:32"/>
    <d v="2019-03-09T06:31:32"/>
    <d v="2019-03-09T06:31:32"/>
    <x v="9"/>
    <n v="0"/>
    <n v="129"/>
    <n v="1605.4915925155567"/>
  </r>
  <r>
    <n v="414295"/>
    <x v="2"/>
    <s v="Delhi"/>
    <x v="0"/>
    <s v=" MH"/>
    <x v="1"/>
    <x v="1"/>
    <x v="2"/>
    <x v="0"/>
    <d v="2019-03-04T08:18:30"/>
    <d v="2019-03-11T08:18:30"/>
    <d v="2019-03-11T08:18:30"/>
    <x v="8"/>
    <n v="32"/>
    <n v="107"/>
    <n v="2846.8048943893787"/>
  </r>
  <r>
    <n v="645956"/>
    <x v="2"/>
    <s v="Delhi"/>
    <x v="3"/>
    <s v=" KA"/>
    <x v="0"/>
    <x v="1"/>
    <x v="0"/>
    <x v="0"/>
    <d v="2019-03-04T12:22:07"/>
    <d v="2019-03-09T12:22:07"/>
    <d v="2019-03-08T12:22:07"/>
    <x v="9"/>
    <n v="44"/>
    <n v="124"/>
    <n v="2891"/>
  </r>
  <r>
    <n v="384460"/>
    <x v="2"/>
    <s v="Bangalore"/>
    <x v="2"/>
    <s v=" DL"/>
    <x v="0"/>
    <x v="1"/>
    <x v="0"/>
    <x v="0"/>
    <d v="2019-03-05T08:40:46"/>
    <d v="2019-03-11T08:40:46"/>
    <d v="2019-03-11T08:40:46"/>
    <x v="3"/>
    <n v="26"/>
    <n v="129"/>
    <n v="3599"/>
  </r>
  <r>
    <n v="371271"/>
    <x v="2"/>
    <s v="Delhi"/>
    <x v="2"/>
    <s v=" DL"/>
    <x v="1"/>
    <x v="1"/>
    <x v="1"/>
    <x v="1"/>
    <d v="2019-03-05T13:00:32"/>
    <d v="2019-03-10T13:00:32"/>
    <d v="2019-03-10T13:00:32"/>
    <x v="9"/>
    <n v="0"/>
    <n v="128"/>
    <n v="3131"/>
  </r>
  <r>
    <n v="732099"/>
    <x v="2"/>
    <s v="Bangalore"/>
    <x v="4"/>
    <s v=" WB"/>
    <x v="1"/>
    <x v="1"/>
    <x v="1"/>
    <x v="1"/>
    <d v="2019-03-06T13:08:56"/>
    <d v="2019-03-12T13:08:56"/>
    <d v="2019-03-10T13:08:56"/>
    <x v="3"/>
    <n v="30"/>
    <n v="111"/>
    <n v="951.77630111067299"/>
  </r>
  <r>
    <n v="851653"/>
    <x v="2"/>
    <s v="Bangalore"/>
    <x v="2"/>
    <s v=" DL"/>
    <x v="1"/>
    <x v="1"/>
    <x v="1"/>
    <x v="0"/>
    <d v="2019-03-06T18:19:08"/>
    <d v="2019-03-13T18:19:08"/>
    <d v="2019-03-13T18:19:08"/>
    <x v="8"/>
    <n v="50"/>
    <n v="123"/>
    <n v="1110.4892710200895"/>
  </r>
  <r>
    <n v="154140"/>
    <x v="2"/>
    <s v="Bangalore"/>
    <x v="2"/>
    <s v=" DL"/>
    <x v="0"/>
    <x v="1"/>
    <x v="0"/>
    <x v="1"/>
    <d v="2019-03-06T23:04:46"/>
    <d v="2019-03-08T23:04:46"/>
    <d v="2019-03-13T23:04:46"/>
    <x v="0"/>
    <n v="47"/>
    <n v="125"/>
    <n v="901"/>
  </r>
  <r>
    <n v="725208"/>
    <x v="2"/>
    <s v="Bangalore"/>
    <x v="4"/>
    <s v=" WB"/>
    <x v="0"/>
    <x v="1"/>
    <x v="0"/>
    <x v="1"/>
    <d v="2019-03-07T08:40:21"/>
    <d v="2019-03-13T08:40:21"/>
    <d v="2019-03-14T08:40:21"/>
    <x v="3"/>
    <n v="0"/>
    <n v="93"/>
    <n v="3073.9820441182451"/>
  </r>
  <r>
    <n v="559631"/>
    <x v="2"/>
    <s v="Delhi"/>
    <x v="2"/>
    <s v=" DL"/>
    <x v="1"/>
    <x v="1"/>
    <x v="1"/>
    <x v="0"/>
    <d v="2019-03-07T15:01:44"/>
    <d v="2019-03-12T15:01:44"/>
    <d v="2019-03-14T15:01:44"/>
    <x v="9"/>
    <n v="0"/>
    <n v="125"/>
    <n v="3205.1190437193945"/>
  </r>
  <r>
    <n v="596503"/>
    <x v="2"/>
    <s v="Bangalore"/>
    <x v="2"/>
    <s v=" DL"/>
    <x v="1"/>
    <x v="1"/>
    <x v="1"/>
    <x v="0"/>
    <d v="2019-03-07T16:43:22"/>
    <d v="2019-03-13T16:43:22"/>
    <d v="2019-03-14T16:43:22"/>
    <x v="3"/>
    <n v="29"/>
    <n v="121"/>
    <n v="2118.9965528759303"/>
  </r>
  <r>
    <n v="754311"/>
    <x v="2"/>
    <s v="Delhi"/>
    <x v="3"/>
    <s v=" KA"/>
    <x v="0"/>
    <x v="1"/>
    <x v="1"/>
    <x v="1"/>
    <d v="2019-03-08T11:25:20"/>
    <d v="2019-03-10T11:25:20"/>
    <d v="2019-03-12T11:25:20"/>
    <x v="0"/>
    <n v="77"/>
    <n v="106"/>
    <n v="330"/>
  </r>
  <r>
    <n v="270534"/>
    <x v="2"/>
    <s v="Bangalore"/>
    <x v="2"/>
    <s v=" DL"/>
    <x v="0"/>
    <x v="1"/>
    <x v="0"/>
    <x v="1"/>
    <d v="2019-03-09T07:10:16"/>
    <d v="2019-03-11T07:10:16"/>
    <d v="2019-03-16T07:10:16"/>
    <x v="0"/>
    <n v="64"/>
    <n v="107"/>
    <n v="1222.4048205231338"/>
  </r>
  <r>
    <n v="808971"/>
    <x v="2"/>
    <s v="Bangalore"/>
    <x v="1"/>
    <s v=" TN"/>
    <x v="1"/>
    <x v="1"/>
    <x v="1"/>
    <x v="1"/>
    <d v="2019-03-10T05:10:15"/>
    <d v="2019-03-12T05:10:15"/>
    <d v="2019-03-16T05:10:15"/>
    <x v="0"/>
    <n v="40"/>
    <n v="123"/>
    <n v="1362.3751313156702"/>
  </r>
  <r>
    <n v="313662"/>
    <x v="2"/>
    <s v="Delhi"/>
    <x v="1"/>
    <s v=" TN"/>
    <x v="2"/>
    <x v="1"/>
    <x v="0"/>
    <x v="1"/>
    <d v="2019-03-10T05:28:46"/>
    <d v="2019-03-15T05:28:46"/>
    <d v="2019-03-16T05:28:46"/>
    <x v="9"/>
    <n v="40"/>
    <n v="127"/>
    <n v="894"/>
  </r>
  <r>
    <n v="330343"/>
    <x v="2"/>
    <s v="Delhi"/>
    <x v="4"/>
    <s v=" WB"/>
    <x v="0"/>
    <x v="1"/>
    <x v="1"/>
    <x v="0"/>
    <d v="2019-03-10T08:16:45"/>
    <d v="2019-03-14T08:16:45"/>
    <d v="2019-03-16T08:16:45"/>
    <x v="6"/>
    <n v="75"/>
    <n v="93"/>
    <n v="3725.9496522120062"/>
  </r>
  <r>
    <n v="888043"/>
    <x v="2"/>
    <s v="Bangalore"/>
    <x v="1"/>
    <s v=" TN"/>
    <x v="0"/>
    <x v="1"/>
    <x v="1"/>
    <x v="0"/>
    <d v="2019-03-11T08:10:46"/>
    <d v="2019-03-15T08:10:46"/>
    <d v="2019-03-17T08:10:46"/>
    <x v="6"/>
    <n v="81"/>
    <n v="108"/>
    <n v="343"/>
  </r>
  <r>
    <n v="748725"/>
    <x v="2"/>
    <s v="Delhi"/>
    <x v="4"/>
    <s v=" WB"/>
    <x v="0"/>
    <x v="1"/>
    <x v="1"/>
    <x v="1"/>
    <d v="2019-03-11T19:12:31"/>
    <d v="2019-03-18T19:12:31"/>
    <d v="2019-03-15T19:12:31"/>
    <x v="8"/>
    <n v="0"/>
    <n v="92"/>
    <n v="1352.3370903459586"/>
  </r>
  <r>
    <n v="840262"/>
    <x v="2"/>
    <s v="Bangalore"/>
    <x v="2"/>
    <s v=" DL"/>
    <x v="0"/>
    <x v="1"/>
    <x v="0"/>
    <x v="0"/>
    <d v="2019-03-12T10:27:35"/>
    <d v="2019-03-14T10:27:35"/>
    <d v="2019-03-17T10:27:35"/>
    <x v="0"/>
    <n v="85"/>
    <n v="107"/>
    <n v="290"/>
  </r>
  <r>
    <n v="562147"/>
    <x v="2"/>
    <s v="Bangalore"/>
    <x v="0"/>
    <s v=" MH"/>
    <x v="0"/>
    <x v="1"/>
    <x v="1"/>
    <x v="0"/>
    <d v="2019-03-12T22:12:11"/>
    <d v="2019-03-17T22:12:11"/>
    <d v="2019-03-17T22:12:11"/>
    <x v="9"/>
    <n v="74"/>
    <n v="89"/>
    <n v="1821.6628570497512"/>
  </r>
  <r>
    <n v="785185"/>
    <x v="2"/>
    <s v="Delhi"/>
    <x v="1"/>
    <s v=" TN"/>
    <x v="1"/>
    <x v="1"/>
    <x v="1"/>
    <x v="0"/>
    <d v="2019-03-13T00:16:54"/>
    <d v="2019-03-18T00:16:54"/>
    <d v="2019-03-19T00:16:54"/>
    <x v="9"/>
    <n v="49"/>
    <n v="123"/>
    <n v="1134.9519673214666"/>
  </r>
  <r>
    <n v="651655"/>
    <x v="2"/>
    <s v="Delhi"/>
    <x v="1"/>
    <s v=" TN"/>
    <x v="1"/>
    <x v="1"/>
    <x v="1"/>
    <x v="0"/>
    <d v="2019-03-13T03:46:30"/>
    <d v="2019-03-19T03:46:30"/>
    <d v="2019-03-19T03:46:30"/>
    <x v="3"/>
    <n v="27"/>
    <n v="129"/>
    <n v="2735.436393996476"/>
  </r>
  <r>
    <n v="767635"/>
    <x v="2"/>
    <s v="Bangalore"/>
    <x v="0"/>
    <s v=" MH"/>
    <x v="1"/>
    <x v="1"/>
    <x v="1"/>
    <x v="0"/>
    <d v="2019-03-13T10:06:46"/>
    <d v="2019-03-19T10:06:46"/>
    <d v="2019-03-20T10:06:46"/>
    <x v="3"/>
    <n v="37"/>
    <n v="110"/>
    <n v="1731.939383335794"/>
  </r>
  <r>
    <n v="143779"/>
    <x v="2"/>
    <s v="Bangalore"/>
    <x v="2"/>
    <s v=" DL"/>
    <x v="1"/>
    <x v="1"/>
    <x v="1"/>
    <x v="0"/>
    <d v="2019-03-13T18:05:12"/>
    <d v="2019-03-16T18:05:12"/>
    <d v="2019-03-19T18:05:12"/>
    <x v="4"/>
    <n v="35"/>
    <n v="124"/>
    <n v="1228.233719000915"/>
  </r>
  <r>
    <n v="156726"/>
    <x v="2"/>
    <s v="Bangalore"/>
    <x v="4"/>
    <s v=" WB"/>
    <x v="2"/>
    <x v="1"/>
    <x v="0"/>
    <x v="1"/>
    <d v="2019-03-13T18:59:33"/>
    <d v="2019-03-17T18:59:33"/>
    <d v="2019-03-16T18:59:33"/>
    <x v="6"/>
    <n v="47"/>
    <n v="107"/>
    <n v="3756.7474650414911"/>
  </r>
  <r>
    <n v="45753"/>
    <x v="2"/>
    <s v="Bangalore"/>
    <x v="2"/>
    <s v=" DL"/>
    <x v="0"/>
    <x v="1"/>
    <x v="1"/>
    <x v="1"/>
    <d v="2019-03-14T04:24:16"/>
    <d v="2019-03-21T04:24:16"/>
    <d v="2019-03-19T04:24:16"/>
    <x v="8"/>
    <n v="69"/>
    <n v="105"/>
    <n v="609"/>
  </r>
  <r>
    <n v="962768"/>
    <x v="2"/>
    <s v="Delhi"/>
    <x v="1"/>
    <s v=" TN"/>
    <x v="0"/>
    <x v="1"/>
    <x v="0"/>
    <x v="0"/>
    <d v="2019-03-14T23:46:50"/>
    <d v="2019-03-22T23:46:50"/>
    <d v="2019-03-20T23:46:50"/>
    <x v="5"/>
    <n v="38"/>
    <n v="123"/>
    <n v="3387.8894718688366"/>
  </r>
  <r>
    <n v="318813"/>
    <x v="3"/>
    <s v="Bangalore"/>
    <x v="2"/>
    <s v=" DL"/>
    <x v="1"/>
    <x v="0"/>
    <x v="1"/>
    <x v="1"/>
    <d v="2019-03-01T00:03:36"/>
    <d v="2019-03-04T00:03:36"/>
    <d v="2019-03-06T00:03:36"/>
    <x v="4"/>
    <n v="26"/>
    <n v="129"/>
    <n v="3259.85"/>
  </r>
  <r>
    <n v="116731"/>
    <x v="3"/>
    <s v="Delhi"/>
    <x v="1"/>
    <s v=" TN"/>
    <x v="1"/>
    <x v="0"/>
    <x v="1"/>
    <x v="0"/>
    <d v="2019-03-01T01:05:46"/>
    <d v="2019-03-03T01:05:46"/>
    <d v="2019-03-06T01:05:46"/>
    <x v="0"/>
    <n v="36"/>
    <n v="126"/>
    <n v="901.97309410255855"/>
  </r>
  <r>
    <n v="361228"/>
    <x v="3"/>
    <s v="Bangalore"/>
    <x v="4"/>
    <s v=" WB"/>
    <x v="0"/>
    <x v="0"/>
    <x v="0"/>
    <x v="0"/>
    <d v="2019-03-01T01:17:49"/>
    <d v="2019-03-04T01:17:49"/>
    <d v="2019-03-04T01:17:49"/>
    <x v="4"/>
    <n v="46"/>
    <n v="113"/>
    <n v="3650.8724411950625"/>
  </r>
  <r>
    <n v="487298"/>
    <x v="3"/>
    <s v="Bangalore"/>
    <x v="1"/>
    <s v=" TN"/>
    <x v="2"/>
    <x v="0"/>
    <x v="0"/>
    <x v="0"/>
    <d v="2019-03-01T02:10:37"/>
    <d v="2019-03-03T02:10:37"/>
    <d v="2019-03-06T02:10:37"/>
    <x v="0"/>
    <n v="45"/>
    <n v="121"/>
    <n v="2127.6438340726691"/>
  </r>
  <r>
    <n v="271556"/>
    <x v="3"/>
    <s v="Delhi"/>
    <x v="2"/>
    <s v=" DL"/>
    <x v="0"/>
    <x v="0"/>
    <x v="0"/>
    <x v="0"/>
    <d v="2019-03-01T02:22:10"/>
    <d v="2019-03-04T02:22:10"/>
    <d v="2019-03-08T02:22:10"/>
    <x v="4"/>
    <n v="0"/>
    <n v="108"/>
    <n v="2370.2787693667451"/>
  </r>
  <r>
    <n v="503378"/>
    <x v="3"/>
    <s v="Delhi"/>
    <x v="0"/>
    <s v=" MH"/>
    <x v="0"/>
    <x v="0"/>
    <x v="0"/>
    <x v="0"/>
    <d v="2019-03-01T02:38:45"/>
    <d v="2019-03-03T02:38:45"/>
    <d v="2019-03-06T02:38:45"/>
    <x v="0"/>
    <n v="81"/>
    <n v="93"/>
    <n v="861.14456984146193"/>
  </r>
  <r>
    <n v="409223"/>
    <x v="3"/>
    <s v="Bangalore"/>
    <x v="2"/>
    <s v=" DL"/>
    <x v="1"/>
    <x v="0"/>
    <x v="1"/>
    <x v="0"/>
    <d v="2019-03-01T03:24:14"/>
    <d v="2019-03-06T03:24:14"/>
    <d v="2019-03-06T03:24:14"/>
    <x v="9"/>
    <n v="38"/>
    <n v="129"/>
    <n v="606.08294842620569"/>
  </r>
  <r>
    <n v="331111"/>
    <x v="3"/>
    <s v="Delhi"/>
    <x v="3"/>
    <s v=" KA"/>
    <x v="1"/>
    <x v="0"/>
    <x v="1"/>
    <x v="0"/>
    <d v="2019-03-01T03:37:53"/>
    <d v="2019-03-07T03:37:53"/>
    <d v="2019-03-08T03:37:53"/>
    <x v="3"/>
    <n v="26"/>
    <n v="121"/>
    <n v="921.8830540266182"/>
  </r>
  <r>
    <n v="43994"/>
    <x v="3"/>
    <s v="Bangalore"/>
    <x v="0"/>
    <s v=" MH"/>
    <x v="0"/>
    <x v="0"/>
    <x v="0"/>
    <x v="0"/>
    <d v="2019-03-01T04:47:35"/>
    <d v="2019-03-03T04:47:35"/>
    <d v="2019-03-04T04:47:35"/>
    <x v="0"/>
    <n v="65"/>
    <n v="88"/>
    <n v="901.99200128433313"/>
  </r>
  <r>
    <n v="466929"/>
    <x v="3"/>
    <s v="Delhi"/>
    <x v="0"/>
    <s v=" MH"/>
    <x v="1"/>
    <x v="0"/>
    <x v="1"/>
    <x v="1"/>
    <d v="2019-03-01T05:09:00"/>
    <d v="2019-03-05T05:09:00"/>
    <d v="2019-03-07T05:09:00"/>
    <x v="6"/>
    <n v="31"/>
    <n v="112"/>
    <n v="417.7"/>
  </r>
  <r>
    <n v="169427"/>
    <x v="3"/>
    <s v="Delhi"/>
    <x v="0"/>
    <s v=" MH"/>
    <x v="1"/>
    <x v="0"/>
    <x v="1"/>
    <x v="0"/>
    <d v="2019-03-01T05:13:36"/>
    <d v="2019-03-10T05:13:36"/>
    <d v="2019-03-05T05:13:36"/>
    <x v="1"/>
    <n v="44"/>
    <n v="114"/>
    <n v="2911.9751790748351"/>
  </r>
  <r>
    <n v="887088"/>
    <x v="3"/>
    <s v="Delhi"/>
    <x v="4"/>
    <s v=" WB"/>
    <x v="0"/>
    <x v="0"/>
    <x v="0"/>
    <x v="1"/>
    <d v="2019-03-01T06:24:08"/>
    <d v="2019-03-07T06:24:08"/>
    <d v="2019-03-04T06:24:08"/>
    <x v="3"/>
    <n v="47"/>
    <n v="111"/>
    <n v="708.3"/>
  </r>
  <r>
    <n v="575591"/>
    <x v="3"/>
    <s v="Delhi"/>
    <x v="0"/>
    <s v=" MH"/>
    <x v="1"/>
    <x v="0"/>
    <x v="1"/>
    <x v="0"/>
    <d v="2019-03-01T07:25:47"/>
    <d v="2019-03-04T07:25:47"/>
    <d v="2019-03-06T07:25:47"/>
    <x v="4"/>
    <n v="50"/>
    <n v="113"/>
    <n v="651.82310924871092"/>
  </r>
  <r>
    <n v="217660"/>
    <x v="3"/>
    <s v="Delhi"/>
    <x v="2"/>
    <s v=" DL"/>
    <x v="0"/>
    <x v="0"/>
    <x v="0"/>
    <x v="0"/>
    <d v="2019-03-01T07:45:47"/>
    <d v="2019-03-04T07:45:47"/>
    <d v="2019-03-05T07:45:47"/>
    <x v="4"/>
    <n v="0"/>
    <n v="121"/>
    <n v="924.32133835905665"/>
  </r>
  <r>
    <n v="458152"/>
    <x v="3"/>
    <s v="Delhi"/>
    <x v="1"/>
    <s v=" TN"/>
    <x v="0"/>
    <x v="0"/>
    <x v="0"/>
    <x v="0"/>
    <d v="2019-03-01T07:49:19"/>
    <d v="2019-03-08T07:49:19"/>
    <d v="2019-03-07T07:49:19"/>
    <x v="8"/>
    <n v="41"/>
    <n v="127"/>
    <n v="3365.0038192260467"/>
  </r>
  <r>
    <n v="621572"/>
    <x v="3"/>
    <s v="Bangalore"/>
    <x v="2"/>
    <s v=" DL"/>
    <x v="0"/>
    <x v="0"/>
    <x v="0"/>
    <x v="0"/>
    <d v="2019-03-01T08:09:22"/>
    <d v="2019-03-05T08:09:22"/>
    <d v="2019-03-07T08:09:22"/>
    <x v="6"/>
    <n v="77"/>
    <n v="102"/>
    <n v="972.35696961655333"/>
  </r>
  <r>
    <n v="125497"/>
    <x v="3"/>
    <s v="Bangalore"/>
    <x v="2"/>
    <s v=" DL"/>
    <x v="1"/>
    <x v="0"/>
    <x v="1"/>
    <x v="0"/>
    <d v="2019-03-01T08:17:20"/>
    <d v="2019-03-08T08:17:20"/>
    <d v="2019-03-04T08:17:20"/>
    <x v="8"/>
    <n v="27"/>
    <n v="125"/>
    <n v="787.72128790219426"/>
  </r>
  <r>
    <n v="463067"/>
    <x v="3"/>
    <s v="Delhi"/>
    <x v="4"/>
    <s v=" WB"/>
    <x v="1"/>
    <x v="0"/>
    <x v="1"/>
    <x v="0"/>
    <d v="2019-03-01T09:06:50"/>
    <d v="2019-03-06T09:06:50"/>
    <d v="2019-03-04T09:06:50"/>
    <x v="9"/>
    <n v="26"/>
    <n v="109"/>
    <n v="2951.5607333044959"/>
  </r>
  <r>
    <n v="6005"/>
    <x v="3"/>
    <s v="Delhi"/>
    <x v="3"/>
    <s v=" KA"/>
    <x v="1"/>
    <x v="0"/>
    <x v="1"/>
    <x v="0"/>
    <d v="2019-03-01T11:20:26"/>
    <d v="2019-03-05T11:20:26"/>
    <d v="2019-03-06T11:20:26"/>
    <x v="6"/>
    <n v="43"/>
    <n v="122"/>
    <n v="2144.9767498592059"/>
  </r>
  <r>
    <n v="406942"/>
    <x v="3"/>
    <s v="Bangalore"/>
    <x v="4"/>
    <s v=" WB"/>
    <x v="2"/>
    <x v="0"/>
    <x v="0"/>
    <x v="0"/>
    <d v="2019-03-01T11:37:32"/>
    <d v="2019-03-03T11:37:32"/>
    <d v="2019-03-07T11:37:32"/>
    <x v="0"/>
    <n v="31"/>
    <n v="108"/>
    <n v="2572.5813643867195"/>
  </r>
  <r>
    <n v="392298"/>
    <x v="3"/>
    <s v="Delhi"/>
    <x v="0"/>
    <s v=" MH"/>
    <x v="2"/>
    <x v="0"/>
    <x v="0"/>
    <x v="1"/>
    <d v="2019-03-01T11:49:33"/>
    <d v="2019-03-07T11:49:33"/>
    <d v="2019-03-06T11:49:33"/>
    <x v="3"/>
    <n v="50"/>
    <n v="112"/>
    <n v="3462.93"/>
  </r>
  <r>
    <n v="836756"/>
    <x v="3"/>
    <s v="Bangalore"/>
    <x v="4"/>
    <s v=" WB"/>
    <x v="0"/>
    <x v="0"/>
    <x v="0"/>
    <x v="0"/>
    <d v="2019-03-01T12:00:47"/>
    <d v="2019-03-04T12:00:47"/>
    <d v="2019-03-07T12:00:47"/>
    <x v="4"/>
    <n v="26"/>
    <n v="115"/>
    <n v="586.91424298940626"/>
  </r>
  <r>
    <n v="702219"/>
    <x v="3"/>
    <s v="Delhi"/>
    <x v="1"/>
    <s v=" TN"/>
    <x v="1"/>
    <x v="0"/>
    <x v="2"/>
    <x v="1"/>
    <d v="2019-03-01T12:01:27"/>
    <d v="2019-03-03T12:01:27"/>
    <d v="2019-03-06T12:01:27"/>
    <x v="0"/>
    <n v="40"/>
    <n v="128"/>
    <n v="2961.43"/>
  </r>
  <r>
    <n v="971439"/>
    <x v="3"/>
    <s v="Delhi"/>
    <x v="3"/>
    <s v=" KA"/>
    <x v="1"/>
    <x v="0"/>
    <x v="2"/>
    <x v="1"/>
    <d v="2019-03-01T12:25:08"/>
    <d v="2019-03-06T12:25:08"/>
    <d v="2019-03-04T12:25:08"/>
    <x v="9"/>
    <n v="47"/>
    <n v="128"/>
    <n v="544.71"/>
  </r>
  <r>
    <n v="878354"/>
    <x v="3"/>
    <s v="Bangalore"/>
    <x v="2"/>
    <s v=" DL"/>
    <x v="2"/>
    <x v="0"/>
    <x v="0"/>
    <x v="0"/>
    <d v="2019-03-01T12:33:00"/>
    <d v="2019-03-06T12:33:00"/>
    <d v="2019-03-05T12:33:00"/>
    <x v="9"/>
    <n v="43"/>
    <n v="125"/>
    <n v="3624.4905785872238"/>
  </r>
  <r>
    <n v="956162"/>
    <x v="3"/>
    <s v="Bangalore"/>
    <x v="1"/>
    <s v=" TN"/>
    <x v="2"/>
    <x v="0"/>
    <x v="0"/>
    <x v="0"/>
    <d v="2019-03-01T13:09:50"/>
    <d v="2019-03-07T13:09:50"/>
    <d v="2019-03-07T13:09:50"/>
    <x v="3"/>
    <n v="43"/>
    <n v="123"/>
    <n v="939.64583189549637"/>
  </r>
  <r>
    <n v="256116"/>
    <x v="3"/>
    <s v="Delhi"/>
    <x v="2"/>
    <s v=" DL"/>
    <x v="0"/>
    <x v="0"/>
    <x v="0"/>
    <x v="1"/>
    <d v="2019-03-01T13:12:17"/>
    <d v="2019-03-03T13:12:17"/>
    <d v="2019-03-08T13:12:17"/>
    <x v="0"/>
    <n v="0"/>
    <n v="106"/>
    <n v="1727.65"/>
  </r>
  <r>
    <n v="940427"/>
    <x v="3"/>
    <s v="Delhi"/>
    <x v="0"/>
    <s v=" MH"/>
    <x v="0"/>
    <x v="0"/>
    <x v="1"/>
    <x v="0"/>
    <d v="2019-03-01T13:16:14"/>
    <d v="2019-03-06T13:16:14"/>
    <d v="2019-03-08T13:16:14"/>
    <x v="9"/>
    <n v="68"/>
    <n v="88"/>
    <n v="2942.2516044543677"/>
  </r>
  <r>
    <n v="787897"/>
    <x v="3"/>
    <s v="Delhi"/>
    <x v="0"/>
    <s v=" MH"/>
    <x v="1"/>
    <x v="0"/>
    <x v="1"/>
    <x v="0"/>
    <d v="2019-03-01T13:27:59"/>
    <d v="2019-03-10T13:27:59"/>
    <d v="2019-03-04T13:27:59"/>
    <x v="1"/>
    <n v="50"/>
    <n v="111"/>
    <n v="2205.3838349550838"/>
  </r>
  <r>
    <n v="689839"/>
    <x v="3"/>
    <s v="Delhi"/>
    <x v="0"/>
    <s v=" MH"/>
    <x v="1"/>
    <x v="0"/>
    <x v="1"/>
    <x v="0"/>
    <d v="2019-03-01T13:29:30"/>
    <d v="2019-03-10T13:29:30"/>
    <d v="2019-03-04T13:29:30"/>
    <x v="1"/>
    <n v="44"/>
    <n v="110"/>
    <n v="2967.7822174474873"/>
  </r>
  <r>
    <n v="338911"/>
    <x v="3"/>
    <s v="Delhi"/>
    <x v="2"/>
    <s v=" DL"/>
    <x v="1"/>
    <x v="0"/>
    <x v="1"/>
    <x v="0"/>
    <d v="2019-03-01T16:01:49"/>
    <d v="2019-03-07T16:01:49"/>
    <d v="2019-03-06T16:01:49"/>
    <x v="3"/>
    <n v="0"/>
    <n v="123"/>
    <n v="413.74526498835985"/>
  </r>
  <r>
    <n v="205088"/>
    <x v="3"/>
    <s v="Delhi"/>
    <x v="3"/>
    <s v=" KA"/>
    <x v="0"/>
    <x v="0"/>
    <x v="0"/>
    <x v="0"/>
    <d v="2019-03-01T16:09:31"/>
    <d v="2019-03-05T16:09:31"/>
    <d v="2019-03-07T16:09:31"/>
    <x v="6"/>
    <n v="65"/>
    <n v="105"/>
    <n v="447.43629893029674"/>
  </r>
  <r>
    <n v="809826"/>
    <x v="3"/>
    <s v="Delhi"/>
    <x v="0"/>
    <s v=" MH"/>
    <x v="0"/>
    <x v="0"/>
    <x v="0"/>
    <x v="1"/>
    <d v="2019-03-01T16:41:34"/>
    <d v="2019-03-03T16:41:34"/>
    <d v="2019-03-04T16:41:34"/>
    <x v="0"/>
    <n v="71"/>
    <n v="87"/>
    <n v="1744.64"/>
  </r>
  <r>
    <n v="686763"/>
    <x v="3"/>
    <s v="Delhi"/>
    <x v="4"/>
    <s v=" WB"/>
    <x v="1"/>
    <x v="0"/>
    <x v="2"/>
    <x v="1"/>
    <d v="2019-03-01T17:31:53"/>
    <d v="2019-03-06T17:31:53"/>
    <d v="2019-03-04T17:31:53"/>
    <x v="9"/>
    <n v="42"/>
    <n v="109"/>
    <n v="757.66"/>
  </r>
  <r>
    <n v="125824"/>
    <x v="3"/>
    <s v="Bangalore"/>
    <x v="4"/>
    <s v=" WB"/>
    <x v="0"/>
    <x v="0"/>
    <x v="0"/>
    <x v="0"/>
    <d v="2019-03-01T17:57:16"/>
    <d v="2019-03-04T17:57:16"/>
    <d v="2019-03-07T17:57:16"/>
    <x v="4"/>
    <n v="30"/>
    <n v="109"/>
    <n v="3432.0203322587649"/>
  </r>
  <r>
    <n v="755612"/>
    <x v="3"/>
    <s v="Delhi"/>
    <x v="2"/>
    <s v=" DL"/>
    <x v="0"/>
    <x v="0"/>
    <x v="0"/>
    <x v="0"/>
    <d v="2019-03-01T19:31:35"/>
    <d v="2019-03-06T19:31:35"/>
    <d v="2019-03-08T19:31:35"/>
    <x v="9"/>
    <n v="0"/>
    <n v="108"/>
    <n v="528.34584496725699"/>
  </r>
  <r>
    <n v="965162"/>
    <x v="3"/>
    <s v="Delhi"/>
    <x v="1"/>
    <s v=" TN"/>
    <x v="2"/>
    <x v="0"/>
    <x v="0"/>
    <x v="0"/>
    <d v="2019-03-01T20:09:04"/>
    <d v="2019-03-04T20:09:04"/>
    <d v="2019-03-07T20:09:04"/>
    <x v="4"/>
    <n v="48"/>
    <n v="127"/>
    <n v="2045.0847387383037"/>
  </r>
  <r>
    <n v="225035"/>
    <x v="3"/>
    <s v="Delhi"/>
    <x v="3"/>
    <s v=" KA"/>
    <x v="1"/>
    <x v="0"/>
    <x v="1"/>
    <x v="0"/>
    <d v="2019-03-01T20:33:50"/>
    <d v="2019-03-11T20:33:50"/>
    <d v="2019-03-07T20:33:50"/>
    <x v="7"/>
    <n v="47"/>
    <n v="126"/>
    <n v="2911.8216778632568"/>
  </r>
  <r>
    <n v="65841"/>
    <x v="3"/>
    <s v="Bangalore"/>
    <x v="0"/>
    <s v=" MH"/>
    <x v="0"/>
    <x v="0"/>
    <x v="1"/>
    <x v="1"/>
    <d v="2019-03-01T20:34:21"/>
    <d v="2019-03-04T20:34:21"/>
    <d v="2019-03-08T20:34:21"/>
    <x v="4"/>
    <n v="59"/>
    <n v="91"/>
    <n v="2535.89"/>
  </r>
  <r>
    <n v="673917"/>
    <x v="3"/>
    <s v="Delhi"/>
    <x v="1"/>
    <s v=" TN"/>
    <x v="1"/>
    <x v="0"/>
    <x v="1"/>
    <x v="1"/>
    <d v="2019-03-01T20:40:15"/>
    <d v="2019-03-03T20:40:15"/>
    <d v="2019-03-07T20:40:15"/>
    <x v="0"/>
    <n v="46"/>
    <n v="124"/>
    <n v="2039.86"/>
  </r>
  <r>
    <n v="465936"/>
    <x v="3"/>
    <s v="Delhi"/>
    <x v="1"/>
    <s v=" TN"/>
    <x v="0"/>
    <x v="0"/>
    <x v="0"/>
    <x v="1"/>
    <d v="2019-03-01T20:49:36"/>
    <d v="2019-03-12T20:49:36"/>
    <d v="2019-03-06T20:49:36"/>
    <x v="11"/>
    <n v="28"/>
    <n v="125"/>
    <n v="2333.1"/>
  </r>
  <r>
    <n v="625283"/>
    <x v="3"/>
    <s v="Delhi"/>
    <x v="0"/>
    <s v=" MH"/>
    <x v="0"/>
    <x v="0"/>
    <x v="1"/>
    <x v="0"/>
    <d v="2019-03-01T22:17:50"/>
    <d v="2019-03-07T22:17:50"/>
    <d v="2019-03-04T22:17:50"/>
    <x v="3"/>
    <n v="87"/>
    <n v="92"/>
    <n v="314.74039443477437"/>
  </r>
  <r>
    <n v="705732"/>
    <x v="3"/>
    <s v="Delhi"/>
    <x v="0"/>
    <s v=" MH"/>
    <x v="0"/>
    <x v="0"/>
    <x v="0"/>
    <x v="1"/>
    <d v="2019-03-01T23:31:09"/>
    <d v="2019-03-03T23:31:09"/>
    <d v="2019-03-08T23:31:09"/>
    <x v="0"/>
    <n v="32"/>
    <n v="114"/>
    <n v="2106.7800000000002"/>
  </r>
  <r>
    <n v="303359"/>
    <x v="3"/>
    <s v="Bangalore"/>
    <x v="1"/>
    <s v=" TN"/>
    <x v="1"/>
    <x v="0"/>
    <x v="2"/>
    <x v="0"/>
    <d v="2019-03-01T23:43:37"/>
    <d v="2019-03-05T23:43:37"/>
    <d v="2019-03-04T23:43:37"/>
    <x v="6"/>
    <n v="41"/>
    <n v="124"/>
    <n v="3557.8818993874324"/>
  </r>
  <r>
    <n v="228840"/>
    <x v="3"/>
    <s v="Delhi"/>
    <x v="0"/>
    <s v=" MH"/>
    <x v="0"/>
    <x v="0"/>
    <x v="0"/>
    <x v="1"/>
    <d v="2019-03-01T23:57:25"/>
    <d v="2019-03-06T23:57:25"/>
    <d v="2019-03-08T23:57:25"/>
    <x v="9"/>
    <n v="82"/>
    <n v="87"/>
    <n v="2116.56"/>
  </r>
  <r>
    <n v="379572"/>
    <x v="3"/>
    <s v="Delhi"/>
    <x v="2"/>
    <s v=" DL"/>
    <x v="0"/>
    <x v="0"/>
    <x v="0"/>
    <x v="1"/>
    <d v="2019-03-02T01:07:00"/>
    <d v="2019-03-02T01:07:00"/>
    <d v="2019-03-05T01:07:00"/>
    <x v="10"/>
    <n v="0"/>
    <n v="101"/>
    <n v="2133.0300000000002"/>
  </r>
  <r>
    <n v="805662"/>
    <x v="3"/>
    <s v="Bangalore"/>
    <x v="2"/>
    <s v=" DL"/>
    <x v="0"/>
    <x v="0"/>
    <x v="0"/>
    <x v="1"/>
    <d v="2019-03-02T01:36:51"/>
    <d v="2019-03-06T01:36:51"/>
    <d v="2019-03-09T01:36:51"/>
    <x v="6"/>
    <n v="60"/>
    <n v="100"/>
    <n v="2549.85"/>
  </r>
  <r>
    <n v="266483"/>
    <x v="3"/>
    <s v="Delhi"/>
    <x v="2"/>
    <s v=" DL"/>
    <x v="1"/>
    <x v="0"/>
    <x v="2"/>
    <x v="0"/>
    <d v="2019-03-02T01:48:01"/>
    <d v="2019-03-03T01:48:01"/>
    <d v="2019-03-09T01:48:01"/>
    <x v="2"/>
    <n v="0"/>
    <n v="130"/>
    <n v="3461.5531694902415"/>
  </r>
  <r>
    <n v="383203"/>
    <x v="3"/>
    <s v="Bangalore"/>
    <x v="2"/>
    <s v=" DL"/>
    <x v="1"/>
    <x v="0"/>
    <x v="1"/>
    <x v="0"/>
    <d v="2019-03-02T01:56:49"/>
    <d v="2019-03-08T01:56:49"/>
    <d v="2019-03-07T01:56:49"/>
    <x v="3"/>
    <n v="39"/>
    <n v="125"/>
    <n v="3443.4548761458564"/>
  </r>
  <r>
    <n v="704398"/>
    <x v="3"/>
    <s v="Bangalore"/>
    <x v="3"/>
    <s v=" KA"/>
    <x v="0"/>
    <x v="0"/>
    <x v="0"/>
    <x v="0"/>
    <d v="2019-03-02T02:04:22"/>
    <d v="2019-03-03T02:04:22"/>
    <d v="2019-03-05T02:04:22"/>
    <x v="2"/>
    <n v="0"/>
    <n v="104"/>
    <n v="789.16184922428124"/>
  </r>
  <r>
    <n v="27233"/>
    <x v="3"/>
    <s v="Delhi"/>
    <x v="1"/>
    <s v=" TN"/>
    <x v="1"/>
    <x v="0"/>
    <x v="1"/>
    <x v="0"/>
    <d v="2019-03-02T02:25:42"/>
    <d v="2019-03-04T02:25:42"/>
    <d v="2019-03-07T02:25:42"/>
    <x v="0"/>
    <n v="41"/>
    <n v="127"/>
    <n v="3602.7538360106669"/>
  </r>
  <r>
    <n v="694898"/>
    <x v="3"/>
    <s v="Delhi"/>
    <x v="3"/>
    <s v=" KA"/>
    <x v="2"/>
    <x v="0"/>
    <x v="0"/>
    <x v="0"/>
    <d v="2019-03-02T02:41:39"/>
    <d v="2019-03-11T02:41:39"/>
    <d v="2019-03-05T02:41:39"/>
    <x v="1"/>
    <n v="37"/>
    <n v="122"/>
    <n v="1513.6467246570205"/>
  </r>
  <r>
    <n v="345158"/>
    <x v="3"/>
    <s v="Bangalore"/>
    <x v="3"/>
    <s v=" KA"/>
    <x v="0"/>
    <x v="0"/>
    <x v="0"/>
    <x v="0"/>
    <d v="2019-03-02T02:48:01"/>
    <d v="2019-03-07T02:48:01"/>
    <d v="2019-03-07T02:48:01"/>
    <x v="9"/>
    <n v="0"/>
    <n v="106"/>
    <n v="281.49623784720774"/>
  </r>
  <r>
    <n v="149737"/>
    <x v="3"/>
    <s v="Delhi"/>
    <x v="3"/>
    <s v=" KA"/>
    <x v="1"/>
    <x v="0"/>
    <x v="2"/>
    <x v="0"/>
    <d v="2019-03-02T03:10:19"/>
    <d v="2019-03-11T03:10:19"/>
    <d v="2019-03-09T03:10:19"/>
    <x v="1"/>
    <n v="45"/>
    <n v="128"/>
    <n v="1363.4534993085681"/>
  </r>
  <r>
    <n v="720594"/>
    <x v="3"/>
    <s v="Bangalore"/>
    <x v="2"/>
    <s v=" DL"/>
    <x v="2"/>
    <x v="0"/>
    <x v="0"/>
    <x v="1"/>
    <d v="2019-03-02T03:18:00"/>
    <d v="2019-03-07T03:18:00"/>
    <d v="2019-03-05T03:18:00"/>
    <x v="9"/>
    <n v="9999"/>
    <n v="128"/>
    <n v="3228.69"/>
  </r>
  <r>
    <n v="519182"/>
    <x v="3"/>
    <s v="Bangalore"/>
    <x v="0"/>
    <s v=" MH"/>
    <x v="2"/>
    <x v="0"/>
    <x v="0"/>
    <x v="0"/>
    <d v="2019-03-02T04:07:31"/>
    <d v="2019-03-07T04:07:31"/>
    <d v="2019-03-09T04:07:31"/>
    <x v="9"/>
    <n v="31"/>
    <n v="111"/>
    <n v="1704.2376384427514"/>
  </r>
  <r>
    <n v="237871"/>
    <x v="3"/>
    <s v="Delhi"/>
    <x v="3"/>
    <s v=" KA"/>
    <x v="1"/>
    <x v="0"/>
    <x v="1"/>
    <x v="0"/>
    <d v="2019-03-02T04:07:36"/>
    <d v="2019-03-11T04:07:36"/>
    <d v="2019-03-09T04:07:36"/>
    <x v="1"/>
    <n v="42"/>
    <n v="123"/>
    <n v="2859.6548921375124"/>
  </r>
  <r>
    <n v="506030"/>
    <x v="3"/>
    <s v="Delhi"/>
    <x v="3"/>
    <s v=" KA"/>
    <x v="2"/>
    <x v="0"/>
    <x v="0"/>
    <x v="0"/>
    <d v="2019-03-02T05:20:04"/>
    <d v="2019-03-11T05:20:04"/>
    <d v="2019-03-05T05:20:04"/>
    <x v="1"/>
    <n v="26"/>
    <n v="122"/>
    <n v="1619.2847331791677"/>
  </r>
  <r>
    <n v="487016"/>
    <x v="3"/>
    <s v="Bangalore"/>
    <x v="3"/>
    <s v=" KA"/>
    <x v="0"/>
    <x v="0"/>
    <x v="0"/>
    <x v="0"/>
    <d v="2019-03-02T05:21:58"/>
    <d v="2019-03-04T05:21:58"/>
    <d v="2019-03-06T05:21:58"/>
    <x v="0"/>
    <n v="0"/>
    <n v="122"/>
    <n v="1709.6671532790513"/>
  </r>
  <r>
    <n v="459459"/>
    <x v="3"/>
    <s v="Bangalore"/>
    <x v="0"/>
    <s v=" MH"/>
    <x v="1"/>
    <x v="0"/>
    <x v="2"/>
    <x v="1"/>
    <d v="2019-03-02T06:11:44"/>
    <d v="2019-03-09T06:11:44"/>
    <d v="2019-03-06T06:11:44"/>
    <x v="8"/>
    <n v="50"/>
    <n v="108"/>
    <n v="3444.25"/>
  </r>
  <r>
    <n v="826814"/>
    <x v="3"/>
    <s v="Bangalore"/>
    <x v="0"/>
    <s v=" MH"/>
    <x v="2"/>
    <x v="0"/>
    <x v="0"/>
    <x v="0"/>
    <d v="2019-03-02T06:25:11"/>
    <d v="2019-03-06T06:25:11"/>
    <d v="2019-03-05T06:25:11"/>
    <x v="6"/>
    <n v="46"/>
    <n v="111"/>
    <n v="1573.5846203671051"/>
  </r>
  <r>
    <n v="368617"/>
    <x v="3"/>
    <s v="Bangalore"/>
    <x v="0"/>
    <s v=" MH"/>
    <x v="1"/>
    <x v="0"/>
    <x v="1"/>
    <x v="0"/>
    <d v="2019-03-02T07:07:27"/>
    <d v="2019-03-08T07:07:27"/>
    <d v="2019-03-08T07:07:27"/>
    <x v="3"/>
    <n v="35"/>
    <n v="115"/>
    <n v="1907.6573322609081"/>
  </r>
  <r>
    <n v="761581"/>
    <x v="3"/>
    <s v="Delhi"/>
    <x v="0"/>
    <s v=" MH"/>
    <x v="1"/>
    <x v="0"/>
    <x v="1"/>
    <x v="0"/>
    <d v="2019-03-02T07:22:51"/>
    <d v="2019-03-05T07:22:51"/>
    <d v="2019-03-06T07:22:51"/>
    <x v="4"/>
    <n v="31"/>
    <n v="112"/>
    <n v="3236.773300299079"/>
  </r>
  <r>
    <n v="134092"/>
    <x v="3"/>
    <s v="Bangalore"/>
    <x v="3"/>
    <s v=" KA"/>
    <x v="0"/>
    <x v="0"/>
    <x v="0"/>
    <x v="0"/>
    <d v="2019-03-02T07:30:31"/>
    <d v="2019-03-05T07:30:31"/>
    <d v="2019-03-09T07:30:31"/>
    <x v="4"/>
    <n v="0"/>
    <n v="109"/>
    <n v="2146.1341641533791"/>
  </r>
  <r>
    <n v="143957"/>
    <x v="3"/>
    <s v="Delhi"/>
    <x v="2"/>
    <s v=" DL"/>
    <x v="1"/>
    <x v="0"/>
    <x v="1"/>
    <x v="0"/>
    <d v="2019-03-02T08:08:59"/>
    <d v="2019-03-08T08:08:59"/>
    <d v="2019-03-05T08:08:59"/>
    <x v="3"/>
    <n v="0"/>
    <n v="124"/>
    <n v="2165.7016042809855"/>
  </r>
  <r>
    <n v="763166"/>
    <x v="3"/>
    <s v="Delhi"/>
    <x v="2"/>
    <s v=" DL"/>
    <x v="0"/>
    <x v="0"/>
    <x v="0"/>
    <x v="0"/>
    <d v="2019-03-02T08:33:15"/>
    <d v="2019-03-05T08:33:15"/>
    <d v="2019-03-06T08:33:15"/>
    <x v="4"/>
    <n v="0"/>
    <n v="108"/>
    <n v="2392.5031148964999"/>
  </r>
  <r>
    <n v="951464"/>
    <x v="3"/>
    <s v="Bangalore"/>
    <x v="1"/>
    <s v=" TN"/>
    <x v="0"/>
    <x v="0"/>
    <x v="0"/>
    <x v="0"/>
    <d v="2019-03-02T09:39:11"/>
    <d v="2019-03-10T09:39:11"/>
    <d v="2019-03-05T09:39:11"/>
    <x v="5"/>
    <n v="39"/>
    <n v="124"/>
    <n v="1319.3792092184428"/>
  </r>
  <r>
    <n v="696776"/>
    <x v="3"/>
    <s v="Delhi"/>
    <x v="1"/>
    <s v=" TN"/>
    <x v="0"/>
    <x v="0"/>
    <x v="0"/>
    <x v="0"/>
    <d v="2019-03-02T10:22:59"/>
    <d v="2019-03-10T10:22:59"/>
    <d v="2019-03-05T10:22:59"/>
    <x v="5"/>
    <n v="31"/>
    <n v="126"/>
    <n v="2112.4016178172642"/>
  </r>
  <r>
    <n v="16648"/>
    <x v="3"/>
    <s v="Bangalore"/>
    <x v="2"/>
    <s v=" DL"/>
    <x v="0"/>
    <x v="0"/>
    <x v="0"/>
    <x v="0"/>
    <d v="2019-03-02T11:14:53"/>
    <d v="2019-03-06T11:14:53"/>
    <d v="2019-03-07T11:14:53"/>
    <x v="6"/>
    <n v="85"/>
    <n v="107"/>
    <n v="3159.9173261905985"/>
  </r>
  <r>
    <n v="270015"/>
    <x v="3"/>
    <s v="Delhi"/>
    <x v="3"/>
    <s v=" KA"/>
    <x v="1"/>
    <x v="0"/>
    <x v="1"/>
    <x v="1"/>
    <d v="2019-03-02T12:06:18"/>
    <d v="2019-03-08T12:06:18"/>
    <d v="2019-03-07T12:06:18"/>
    <x v="3"/>
    <n v="49"/>
    <n v="121"/>
    <n v="743.72"/>
  </r>
  <r>
    <n v="653384"/>
    <x v="3"/>
    <s v="Bangalore"/>
    <x v="4"/>
    <s v=" WB"/>
    <x v="0"/>
    <x v="0"/>
    <x v="0"/>
    <x v="0"/>
    <d v="2019-03-02T13:28:14"/>
    <d v="2019-03-08T13:28:14"/>
    <d v="2019-03-05T13:28:14"/>
    <x v="3"/>
    <n v="45"/>
    <n v="111"/>
    <n v="1683.9121291284955"/>
  </r>
  <r>
    <n v="558092"/>
    <x v="3"/>
    <s v="Delhi"/>
    <x v="3"/>
    <s v=" KA"/>
    <x v="0"/>
    <x v="0"/>
    <x v="0"/>
    <x v="0"/>
    <d v="2019-03-02T13:47:03"/>
    <d v="2019-03-05T13:47:03"/>
    <d v="2019-03-06T13:47:03"/>
    <x v="4"/>
    <n v="42"/>
    <n v="129"/>
    <n v="2033.7477580142629"/>
  </r>
  <r>
    <n v="722336"/>
    <x v="3"/>
    <s v="Delhi"/>
    <x v="3"/>
    <s v=" KA"/>
    <x v="0"/>
    <x v="0"/>
    <x v="0"/>
    <x v="0"/>
    <d v="2019-03-02T13:48:37"/>
    <d v="2019-03-07T13:48:37"/>
    <d v="2019-03-07T13:48:37"/>
    <x v="9"/>
    <n v="66"/>
    <n v="109"/>
    <n v="1227.4860855195775"/>
  </r>
  <r>
    <n v="385097"/>
    <x v="3"/>
    <s v="Delhi"/>
    <x v="0"/>
    <s v=" MH"/>
    <x v="1"/>
    <x v="0"/>
    <x v="1"/>
    <x v="0"/>
    <d v="2019-03-02T13:59:25"/>
    <d v="2019-03-09T13:59:25"/>
    <d v="2019-03-06T13:59:25"/>
    <x v="8"/>
    <n v="29"/>
    <n v="115"/>
    <n v="1246.8149037138298"/>
  </r>
  <r>
    <n v="396906"/>
    <x v="3"/>
    <s v="Delhi"/>
    <x v="3"/>
    <s v=" KA"/>
    <x v="2"/>
    <x v="0"/>
    <x v="0"/>
    <x v="1"/>
    <d v="2019-03-02T14:20:16"/>
    <d v="2019-03-11T14:20:16"/>
    <d v="2019-03-07T14:20:16"/>
    <x v="1"/>
    <n v="50"/>
    <n v="123"/>
    <n v="811.98"/>
  </r>
  <r>
    <n v="41268"/>
    <x v="3"/>
    <s v="Delhi"/>
    <x v="0"/>
    <s v=" MH"/>
    <x v="0"/>
    <x v="0"/>
    <x v="0"/>
    <x v="1"/>
    <d v="2019-03-02T14:52:30"/>
    <d v="2019-03-04T14:52:30"/>
    <d v="2019-03-09T14:52:30"/>
    <x v="0"/>
    <n v="67"/>
    <n v="92"/>
    <n v="2212.4699999999998"/>
  </r>
  <r>
    <n v="708330"/>
    <x v="3"/>
    <s v="Bangalore"/>
    <x v="4"/>
    <s v=" WB"/>
    <x v="2"/>
    <x v="0"/>
    <x v="0"/>
    <x v="1"/>
    <d v="2019-03-02T15:10:46"/>
    <d v="2019-03-04T15:10:46"/>
    <d v="2019-03-09T15:10:46"/>
    <x v="0"/>
    <n v="50"/>
    <n v="113"/>
    <n v="1626.53"/>
  </r>
  <r>
    <n v="228730"/>
    <x v="3"/>
    <s v="Bangalore"/>
    <x v="4"/>
    <s v=" WB"/>
    <x v="2"/>
    <x v="0"/>
    <x v="0"/>
    <x v="0"/>
    <d v="2019-03-02T15:11:51"/>
    <d v="2019-03-05T15:11:51"/>
    <d v="2019-03-09T15:11:51"/>
    <x v="4"/>
    <n v="39"/>
    <n v="107"/>
    <n v="2639.5709497624234"/>
  </r>
  <r>
    <n v="346579"/>
    <x v="3"/>
    <s v="Bangalore"/>
    <x v="1"/>
    <s v=" TN"/>
    <x v="1"/>
    <x v="0"/>
    <x v="1"/>
    <x v="0"/>
    <d v="2019-03-02T16:05:31"/>
    <d v="2019-03-04T16:05:31"/>
    <d v="2019-03-07T16:05:31"/>
    <x v="0"/>
    <n v="45"/>
    <n v="125"/>
    <n v="792.27980199191757"/>
  </r>
  <r>
    <n v="983757"/>
    <x v="3"/>
    <s v="Delhi"/>
    <x v="0"/>
    <s v=" MH"/>
    <x v="0"/>
    <x v="0"/>
    <x v="1"/>
    <x v="1"/>
    <d v="2019-03-02T16:16:45"/>
    <d v="2019-03-04T16:16:45"/>
    <d v="2019-03-06T16:16:45"/>
    <x v="0"/>
    <n v="68"/>
    <n v="90"/>
    <n v="859.69"/>
  </r>
  <r>
    <n v="102142"/>
    <x v="3"/>
    <s v="Bangalore"/>
    <x v="1"/>
    <s v=" TN"/>
    <x v="2"/>
    <x v="0"/>
    <x v="0"/>
    <x v="0"/>
    <d v="2019-03-02T16:26:31"/>
    <d v="2019-03-05T16:26:31"/>
    <d v="2019-03-08T16:26:31"/>
    <x v="4"/>
    <n v="36"/>
    <n v="129"/>
    <n v="3560.37373316204"/>
  </r>
  <r>
    <n v="851061"/>
    <x v="3"/>
    <s v="Delhi"/>
    <x v="2"/>
    <s v=" DL"/>
    <x v="0"/>
    <x v="0"/>
    <x v="1"/>
    <x v="1"/>
    <d v="2019-03-02T16:52:49"/>
    <d v="2019-03-02T16:52:49"/>
    <d v="2019-03-05T16:52:49"/>
    <x v="10"/>
    <n v="0"/>
    <n v="109"/>
    <n v="1400.39"/>
  </r>
  <r>
    <n v="629579"/>
    <x v="3"/>
    <s v="Delhi"/>
    <x v="0"/>
    <s v=" MH"/>
    <x v="0"/>
    <x v="0"/>
    <x v="1"/>
    <x v="0"/>
    <d v="2019-03-02T17:18:46"/>
    <d v="2019-03-04T17:18:46"/>
    <d v="2019-03-05T17:18:46"/>
    <x v="0"/>
    <n v="77"/>
    <n v="92"/>
    <n v="3106.5910602771978"/>
  </r>
  <r>
    <n v="702652"/>
    <x v="3"/>
    <s v="Delhi"/>
    <x v="4"/>
    <s v=" WB"/>
    <x v="0"/>
    <x v="0"/>
    <x v="0"/>
    <x v="0"/>
    <d v="2019-03-02T18:18:39"/>
    <d v="2019-03-05T18:18:39"/>
    <d v="2019-03-05T18:18:39"/>
    <x v="4"/>
    <n v="35"/>
    <n v="112"/>
    <n v="3458.0421437016084"/>
  </r>
  <r>
    <n v="881007"/>
    <x v="3"/>
    <s v="Delhi"/>
    <x v="0"/>
    <s v=" MH"/>
    <x v="1"/>
    <x v="0"/>
    <x v="1"/>
    <x v="1"/>
    <d v="2019-03-02T19:17:55"/>
    <d v="2019-03-08T19:17:55"/>
    <d v="2019-03-09T19:17:55"/>
    <x v="3"/>
    <n v="43"/>
    <n v="110"/>
    <n v="1481.38"/>
  </r>
  <r>
    <n v="504853"/>
    <x v="3"/>
    <s v="Bangalore"/>
    <x v="2"/>
    <s v=" DL"/>
    <x v="1"/>
    <x v="0"/>
    <x v="1"/>
    <x v="0"/>
    <d v="2019-03-02T20:00:05"/>
    <d v="2019-03-07T20:00:05"/>
    <d v="2019-03-05T20:00:05"/>
    <x v="9"/>
    <n v="39"/>
    <n v="129"/>
    <n v="1538.671940302045"/>
  </r>
  <r>
    <n v="875248"/>
    <x v="3"/>
    <s v="Delhi"/>
    <x v="0"/>
    <s v=" MH"/>
    <x v="0"/>
    <x v="0"/>
    <x v="0"/>
    <x v="0"/>
    <d v="2019-03-02T20:24:22"/>
    <d v="2019-03-08T20:24:22"/>
    <d v="2019-03-09T20:24:22"/>
    <x v="3"/>
    <n v="39"/>
    <n v="112"/>
    <n v="1412.6628964294855"/>
  </r>
  <r>
    <n v="736023"/>
    <x v="3"/>
    <s v="Delhi"/>
    <x v="0"/>
    <s v=" MH"/>
    <x v="1"/>
    <x v="0"/>
    <x v="1"/>
    <x v="1"/>
    <d v="2019-03-02T20:29:36"/>
    <d v="2019-03-09T20:29:36"/>
    <d v="2019-03-06T20:29:36"/>
    <x v="8"/>
    <n v="47"/>
    <n v="113"/>
    <n v="2549.77"/>
  </r>
  <r>
    <n v="121372"/>
    <x v="3"/>
    <s v="Delhi"/>
    <x v="3"/>
    <s v=" KA"/>
    <x v="0"/>
    <x v="0"/>
    <x v="0"/>
    <x v="0"/>
    <d v="2019-03-02T21:18:59"/>
    <d v="2019-03-05T21:18:59"/>
    <d v="2019-03-06T21:18:59"/>
    <x v="4"/>
    <n v="36"/>
    <n v="123"/>
    <n v="411.91980010414437"/>
  </r>
  <r>
    <n v="479155"/>
    <x v="3"/>
    <s v="Delhi"/>
    <x v="0"/>
    <s v=" MH"/>
    <x v="1"/>
    <x v="0"/>
    <x v="1"/>
    <x v="0"/>
    <d v="2019-03-02T22:13:39"/>
    <d v="2019-03-05T22:13:39"/>
    <d v="2019-03-05T22:13:39"/>
    <x v="4"/>
    <n v="41"/>
    <n v="107"/>
    <n v="496.8602171198454"/>
  </r>
  <r>
    <n v="388959"/>
    <x v="3"/>
    <s v="Delhi"/>
    <x v="0"/>
    <s v=" MH"/>
    <x v="1"/>
    <x v="0"/>
    <x v="1"/>
    <x v="1"/>
    <d v="2019-03-02T22:25:54"/>
    <d v="2019-03-06T22:25:54"/>
    <d v="2019-03-06T22:25:54"/>
    <x v="6"/>
    <n v="36"/>
    <n v="105"/>
    <n v="237.15"/>
  </r>
  <r>
    <n v="945109"/>
    <x v="3"/>
    <s v="Delhi"/>
    <x v="0"/>
    <s v=" MH"/>
    <x v="1"/>
    <x v="0"/>
    <x v="1"/>
    <x v="0"/>
    <d v="2019-03-02T22:38:45"/>
    <d v="2019-03-07T22:38:45"/>
    <d v="2019-03-09T22:38:45"/>
    <x v="9"/>
    <n v="28"/>
    <n v="114"/>
    <n v="924.68508285792484"/>
  </r>
  <r>
    <n v="837223"/>
    <x v="3"/>
    <s v="Delhi"/>
    <x v="2"/>
    <s v=" DL"/>
    <x v="0"/>
    <x v="0"/>
    <x v="1"/>
    <x v="0"/>
    <d v="2019-03-02T23:36:29"/>
    <d v="2019-03-05T23:36:29"/>
    <d v="2019-03-09T23:36:29"/>
    <x v="4"/>
    <n v="0"/>
    <n v="101"/>
    <n v="2310.4804407243314"/>
  </r>
  <r>
    <n v="764120"/>
    <x v="3"/>
    <s v="Delhi"/>
    <x v="1"/>
    <s v=" TN"/>
    <x v="0"/>
    <x v="0"/>
    <x v="0"/>
    <x v="0"/>
    <d v="2019-03-03T01:15:54"/>
    <d v="2019-03-08T01:15:54"/>
    <d v="2019-03-10T01:15:54"/>
    <x v="9"/>
    <n v="30"/>
    <n v="124"/>
    <n v="2531.0798566890771"/>
  </r>
  <r>
    <n v="587937"/>
    <x v="3"/>
    <s v="Delhi"/>
    <x v="0"/>
    <s v=" MH"/>
    <x v="0"/>
    <x v="0"/>
    <x v="2"/>
    <x v="1"/>
    <d v="2019-03-03T03:20:36"/>
    <d v="2019-03-05T03:20:36"/>
    <d v="2019-03-08T03:20:36"/>
    <x v="0"/>
    <n v="71"/>
    <n v="87"/>
    <n v="758.8"/>
  </r>
  <r>
    <n v="49247"/>
    <x v="3"/>
    <s v="Delhi"/>
    <x v="2"/>
    <s v=" DL"/>
    <x v="1"/>
    <x v="0"/>
    <x v="1"/>
    <x v="0"/>
    <d v="2019-03-03T03:33:01"/>
    <d v="2019-03-05T03:33:01"/>
    <d v="2019-03-09T03:33:01"/>
    <x v="0"/>
    <n v="0"/>
    <n v="126"/>
    <n v="1973.8288995764597"/>
  </r>
  <r>
    <n v="308089"/>
    <x v="3"/>
    <s v="Delhi"/>
    <x v="2"/>
    <s v=" DL"/>
    <x v="1"/>
    <x v="0"/>
    <x v="1"/>
    <x v="0"/>
    <d v="2019-03-03T04:25:43"/>
    <d v="2019-03-09T04:25:43"/>
    <d v="2019-03-06T04:25:43"/>
    <x v="3"/>
    <n v="0"/>
    <n v="126"/>
    <n v="2183.479746444737"/>
  </r>
  <r>
    <n v="676675"/>
    <x v="3"/>
    <s v="Bangalore"/>
    <x v="3"/>
    <s v=" KA"/>
    <x v="1"/>
    <x v="0"/>
    <x v="1"/>
    <x v="0"/>
    <d v="2019-03-03T04:28:09"/>
    <d v="2019-03-07T04:28:09"/>
    <d v="2019-03-08T04:28:09"/>
    <x v="6"/>
    <n v="0"/>
    <n v="130"/>
    <n v="931.50280556583084"/>
  </r>
  <r>
    <n v="787440"/>
    <x v="3"/>
    <s v="Bangalore"/>
    <x v="2"/>
    <s v=" DL"/>
    <x v="0"/>
    <x v="0"/>
    <x v="0"/>
    <x v="1"/>
    <d v="2019-03-03T04:29:48"/>
    <d v="2019-03-05T04:29:48"/>
    <d v="2019-03-06T04:29:48"/>
    <x v="0"/>
    <n v="28"/>
    <n v="125"/>
    <n v="2797.73"/>
  </r>
  <r>
    <n v="41098"/>
    <x v="3"/>
    <s v="Delhi"/>
    <x v="4"/>
    <s v=" WB"/>
    <x v="0"/>
    <x v="0"/>
    <x v="0"/>
    <x v="0"/>
    <d v="2019-03-03T04:50:26"/>
    <d v="2019-03-10T04:50:26"/>
    <d v="2019-03-10T04:50:26"/>
    <x v="8"/>
    <n v="82"/>
    <n v="89"/>
    <n v="2196.86201135284"/>
  </r>
  <r>
    <n v="907102"/>
    <x v="3"/>
    <s v="Bangalore"/>
    <x v="3"/>
    <s v=" KA"/>
    <x v="2"/>
    <x v="0"/>
    <x v="0"/>
    <x v="0"/>
    <d v="2019-03-03T05:12:23"/>
    <d v="2019-03-05T05:12:23"/>
    <d v="2019-03-07T05:12:23"/>
    <x v="0"/>
    <n v="0"/>
    <n v="129"/>
    <n v="2175.3802343191933"/>
  </r>
  <r>
    <n v="385988"/>
    <x v="3"/>
    <s v="Delhi"/>
    <x v="2"/>
    <s v=" DL"/>
    <x v="0"/>
    <x v="0"/>
    <x v="0"/>
    <x v="0"/>
    <d v="2019-03-03T05:42:07"/>
    <d v="2019-03-08T05:42:07"/>
    <d v="2019-03-08T05:42:07"/>
    <x v="9"/>
    <n v="0"/>
    <n v="124"/>
    <n v="2308.413403791581"/>
  </r>
  <r>
    <n v="706033"/>
    <x v="3"/>
    <s v="Bangalore"/>
    <x v="0"/>
    <s v=" MH"/>
    <x v="1"/>
    <x v="0"/>
    <x v="1"/>
    <x v="0"/>
    <d v="2019-03-03T05:59:15"/>
    <d v="2019-03-09T05:59:15"/>
    <d v="2019-03-06T05:59:15"/>
    <x v="3"/>
    <n v="32"/>
    <n v="107"/>
    <n v="3531.1698828135059"/>
  </r>
  <r>
    <n v="534219"/>
    <x v="3"/>
    <s v="Delhi"/>
    <x v="2"/>
    <s v=" DL"/>
    <x v="1"/>
    <x v="0"/>
    <x v="2"/>
    <x v="1"/>
    <d v="2019-03-03T06:14:18"/>
    <d v="2019-03-10T06:14:18"/>
    <d v="2019-03-10T06:14:18"/>
    <x v="8"/>
    <n v="0"/>
    <n v="121"/>
    <n v="188.49"/>
  </r>
  <r>
    <n v="197448"/>
    <x v="3"/>
    <s v="Bangalore"/>
    <x v="0"/>
    <s v=" MH"/>
    <x v="0"/>
    <x v="0"/>
    <x v="0"/>
    <x v="1"/>
    <d v="2019-03-03T06:25:01"/>
    <d v="2019-03-06T06:25:01"/>
    <d v="2019-03-10T06:25:01"/>
    <x v="4"/>
    <n v="49"/>
    <n v="111"/>
    <n v="1287.1300000000001"/>
  </r>
  <r>
    <n v="992229"/>
    <x v="3"/>
    <s v="Bangalore"/>
    <x v="0"/>
    <s v=" MH"/>
    <x v="1"/>
    <x v="0"/>
    <x v="2"/>
    <x v="1"/>
    <d v="2019-03-03T06:49:33"/>
    <d v="2019-03-10T06:49:33"/>
    <d v="2019-03-09T06:49:33"/>
    <x v="8"/>
    <n v="43"/>
    <n v="111"/>
    <n v="1429.74"/>
  </r>
  <r>
    <n v="553995"/>
    <x v="3"/>
    <s v="Delhi"/>
    <x v="0"/>
    <s v=" MH"/>
    <x v="0"/>
    <x v="0"/>
    <x v="1"/>
    <x v="1"/>
    <d v="2019-03-03T06:49:51"/>
    <d v="2019-03-07T06:49:51"/>
    <d v="2019-03-07T06:49:51"/>
    <x v="6"/>
    <n v="69"/>
    <n v="92"/>
    <n v="637.77"/>
  </r>
  <r>
    <n v="7508"/>
    <x v="3"/>
    <s v="Delhi"/>
    <x v="2"/>
    <s v=" DL"/>
    <x v="0"/>
    <x v="0"/>
    <x v="0"/>
    <x v="0"/>
    <d v="2019-03-03T07:41:43"/>
    <d v="2019-03-07T07:41:43"/>
    <d v="2019-03-06T07:41:43"/>
    <x v="6"/>
    <n v="0"/>
    <n v="107"/>
    <n v="2426.9212374600688"/>
  </r>
  <r>
    <n v="409055"/>
    <x v="3"/>
    <s v="Delhi"/>
    <x v="3"/>
    <s v=" KA"/>
    <x v="1"/>
    <x v="0"/>
    <x v="1"/>
    <x v="0"/>
    <d v="2019-03-03T07:43:11"/>
    <d v="2019-03-12T07:43:11"/>
    <d v="2019-03-09T07:43:11"/>
    <x v="1"/>
    <n v="35"/>
    <n v="130"/>
    <n v="3476.642196585175"/>
  </r>
  <r>
    <n v="829271"/>
    <x v="3"/>
    <s v="Delhi"/>
    <x v="3"/>
    <s v=" KA"/>
    <x v="1"/>
    <x v="0"/>
    <x v="1"/>
    <x v="0"/>
    <d v="2019-03-03T08:04:55"/>
    <d v="2019-03-12T08:04:55"/>
    <d v="2019-03-09T08:04:55"/>
    <x v="1"/>
    <n v="36"/>
    <n v="130"/>
    <n v="1257.4433388582092"/>
  </r>
  <r>
    <n v="389782"/>
    <x v="3"/>
    <s v="Bangalore"/>
    <x v="0"/>
    <s v=" MH"/>
    <x v="2"/>
    <x v="0"/>
    <x v="0"/>
    <x v="0"/>
    <d v="2019-03-03T08:20:09"/>
    <d v="2019-03-06T08:20:09"/>
    <d v="2019-03-10T08:20:09"/>
    <x v="4"/>
    <n v="40"/>
    <n v="109"/>
    <n v="2235.701265515288"/>
  </r>
  <r>
    <n v="146767"/>
    <x v="3"/>
    <s v="Delhi"/>
    <x v="0"/>
    <s v=" MH"/>
    <x v="0"/>
    <x v="0"/>
    <x v="1"/>
    <x v="0"/>
    <d v="2019-03-03T08:32:11"/>
    <d v="2019-03-09T08:32:11"/>
    <d v="2019-03-07T08:32:11"/>
    <x v="3"/>
    <n v="67"/>
    <n v="93"/>
    <n v="1965.2659297959419"/>
  </r>
  <r>
    <n v="475044"/>
    <x v="3"/>
    <s v="Delhi"/>
    <x v="0"/>
    <s v=" MH"/>
    <x v="0"/>
    <x v="0"/>
    <x v="0"/>
    <x v="1"/>
    <d v="2019-03-03T08:44:30"/>
    <d v="2019-03-08T08:44:30"/>
    <d v="2019-03-10T08:44:30"/>
    <x v="9"/>
    <n v="41"/>
    <n v="110"/>
    <n v="579.33000000000004"/>
  </r>
  <r>
    <n v="344360"/>
    <x v="3"/>
    <s v="Bangalore"/>
    <x v="0"/>
    <s v=" MH"/>
    <x v="0"/>
    <x v="0"/>
    <x v="0"/>
    <x v="0"/>
    <d v="2019-03-03T08:47:16"/>
    <d v="2019-03-05T08:47:16"/>
    <d v="2019-03-08T08:47:16"/>
    <x v="0"/>
    <n v="27"/>
    <n v="113"/>
    <n v="2244.0835111683209"/>
  </r>
  <r>
    <n v="684887"/>
    <x v="3"/>
    <s v="Delhi"/>
    <x v="0"/>
    <s v=" MH"/>
    <x v="1"/>
    <x v="0"/>
    <x v="2"/>
    <x v="0"/>
    <d v="2019-03-03T09:32:02"/>
    <d v="2019-03-07T09:32:02"/>
    <d v="2019-03-08T09:32:02"/>
    <x v="6"/>
    <n v="33"/>
    <n v="115"/>
    <n v="475.43718894282824"/>
  </r>
  <r>
    <n v="201712"/>
    <x v="3"/>
    <s v="Bangalore"/>
    <x v="4"/>
    <s v=" WB"/>
    <x v="0"/>
    <x v="0"/>
    <x v="0"/>
    <x v="0"/>
    <d v="2019-03-03T09:48:34"/>
    <d v="2019-03-11T09:48:34"/>
    <d v="2019-03-07T09:48:34"/>
    <x v="5"/>
    <n v="77"/>
    <n v="85"/>
    <n v="1311.1255281631859"/>
  </r>
  <r>
    <n v="294420"/>
    <x v="3"/>
    <s v="Delhi"/>
    <x v="0"/>
    <s v=" MH"/>
    <x v="0"/>
    <x v="0"/>
    <x v="0"/>
    <x v="1"/>
    <d v="2019-03-03T11:08:25"/>
    <d v="2019-03-05T11:08:25"/>
    <d v="2019-03-06T11:08:25"/>
    <x v="0"/>
    <n v="43"/>
    <n v="113"/>
    <n v="3113.45"/>
  </r>
  <r>
    <n v="551340"/>
    <x v="3"/>
    <s v="Delhi"/>
    <x v="0"/>
    <s v=" MH"/>
    <x v="0"/>
    <x v="0"/>
    <x v="0"/>
    <x v="1"/>
    <d v="2019-03-03T11:12:37"/>
    <d v="2019-03-09T11:12:37"/>
    <d v="2019-03-10T11:12:37"/>
    <x v="3"/>
    <n v="44"/>
    <n v="106"/>
    <n v="695.34"/>
  </r>
  <r>
    <n v="330104"/>
    <x v="3"/>
    <s v="Delhi"/>
    <x v="0"/>
    <s v=" MH"/>
    <x v="0"/>
    <x v="0"/>
    <x v="0"/>
    <x v="0"/>
    <d v="2019-03-03T11:25:49"/>
    <d v="2019-03-07T11:25:49"/>
    <d v="2019-03-06T11:25:49"/>
    <x v="6"/>
    <n v="46"/>
    <n v="112"/>
    <n v="1914.6191854701783"/>
  </r>
  <r>
    <n v="683617"/>
    <x v="3"/>
    <s v="Bangalore"/>
    <x v="2"/>
    <s v=" DL"/>
    <x v="1"/>
    <x v="0"/>
    <x v="1"/>
    <x v="0"/>
    <d v="2019-03-03T11:46:09"/>
    <d v="2019-03-10T11:46:09"/>
    <d v="2019-03-08T11:46:09"/>
    <x v="8"/>
    <n v="37"/>
    <n v="127"/>
    <n v="3307.3142384265434"/>
  </r>
  <r>
    <n v="30728"/>
    <x v="3"/>
    <s v="Bangalore"/>
    <x v="3"/>
    <s v=" KA"/>
    <x v="0"/>
    <x v="0"/>
    <x v="0"/>
    <x v="0"/>
    <d v="2019-03-03T12:55:05"/>
    <d v="2019-03-05T12:55:05"/>
    <d v="2019-03-09T12:55:05"/>
    <x v="0"/>
    <n v="0"/>
    <n v="130"/>
    <n v="2235.0726238908692"/>
  </r>
  <r>
    <n v="68203"/>
    <x v="3"/>
    <s v="Bangalore"/>
    <x v="1"/>
    <s v=" TN"/>
    <x v="0"/>
    <x v="0"/>
    <x v="1"/>
    <x v="0"/>
    <d v="2019-03-03T13:17:53"/>
    <d v="2019-03-08T13:17:53"/>
    <d v="2019-03-10T13:17:53"/>
    <x v="9"/>
    <n v="68"/>
    <n v="106"/>
    <n v="1363.9240923843049"/>
  </r>
  <r>
    <n v="440631"/>
    <x v="3"/>
    <s v="Bangalore"/>
    <x v="2"/>
    <s v=" DL"/>
    <x v="1"/>
    <x v="0"/>
    <x v="1"/>
    <x v="1"/>
    <d v="2019-03-03T14:40:16"/>
    <d v="2019-03-12T14:40:16"/>
    <d v="2019-03-07T14:40:16"/>
    <x v="1"/>
    <n v="39"/>
    <n v="121"/>
    <n v="813.2"/>
  </r>
  <r>
    <n v="273623"/>
    <x v="3"/>
    <s v="Bangalore"/>
    <x v="1"/>
    <s v=" TN"/>
    <x v="1"/>
    <x v="0"/>
    <x v="2"/>
    <x v="0"/>
    <d v="2019-03-03T15:26:11"/>
    <d v="2019-03-05T15:26:11"/>
    <d v="2019-03-07T15:26:11"/>
    <x v="0"/>
    <n v="48"/>
    <n v="123"/>
    <n v="1123.8446765590545"/>
  </r>
  <r>
    <n v="912301"/>
    <x v="3"/>
    <s v="Delhi"/>
    <x v="3"/>
    <s v=" KA"/>
    <x v="1"/>
    <x v="0"/>
    <x v="1"/>
    <x v="0"/>
    <d v="2019-03-03T15:35:05"/>
    <d v="2019-03-07T15:35:05"/>
    <d v="2019-03-06T15:35:05"/>
    <x v="6"/>
    <n v="38"/>
    <n v="125"/>
    <n v="3066.58635472162"/>
  </r>
  <r>
    <n v="674736"/>
    <x v="3"/>
    <s v="Bangalore"/>
    <x v="1"/>
    <s v=" TN"/>
    <x v="0"/>
    <x v="0"/>
    <x v="0"/>
    <x v="1"/>
    <d v="2019-03-03T16:09:32"/>
    <d v="2019-03-09T16:09:32"/>
    <d v="2019-03-06T16:09:32"/>
    <x v="3"/>
    <n v="43"/>
    <n v="123"/>
    <n v="1774.08"/>
  </r>
  <r>
    <n v="723607"/>
    <x v="3"/>
    <s v="Bangalore"/>
    <x v="0"/>
    <s v=" MH"/>
    <x v="1"/>
    <x v="0"/>
    <x v="1"/>
    <x v="0"/>
    <d v="2019-03-03T16:27:10"/>
    <d v="2019-03-09T16:27:10"/>
    <d v="2019-03-09T16:27:10"/>
    <x v="3"/>
    <n v="50"/>
    <n v="108"/>
    <n v="3139.4433316765826"/>
  </r>
  <r>
    <n v="64104"/>
    <x v="3"/>
    <s v="Bangalore"/>
    <x v="2"/>
    <s v=" DL"/>
    <x v="0"/>
    <x v="0"/>
    <x v="0"/>
    <x v="1"/>
    <d v="2019-03-03T16:31:42"/>
    <d v="2019-03-05T16:31:42"/>
    <d v="2019-03-08T16:31:42"/>
    <x v="0"/>
    <n v="67"/>
    <n v="103"/>
    <n v="618.29"/>
  </r>
  <r>
    <n v="553216"/>
    <x v="3"/>
    <s v="Delhi"/>
    <x v="0"/>
    <s v=" MH"/>
    <x v="0"/>
    <x v="0"/>
    <x v="0"/>
    <x v="0"/>
    <d v="2019-03-03T17:13:12"/>
    <d v="2019-03-09T17:13:12"/>
    <d v="2019-03-06T17:13:12"/>
    <x v="3"/>
    <n v="66"/>
    <n v="92"/>
    <n v="2038.33052197538"/>
  </r>
  <r>
    <n v="303499"/>
    <x v="3"/>
    <s v="Bangalore"/>
    <x v="2"/>
    <s v=" DL"/>
    <x v="0"/>
    <x v="0"/>
    <x v="2"/>
    <x v="0"/>
    <d v="2019-03-03T17:27:29"/>
    <d v="2019-03-09T17:27:29"/>
    <d v="2019-03-06T17:27:29"/>
    <x v="3"/>
    <n v="68"/>
    <n v="108"/>
    <n v="3079.830641027419"/>
  </r>
  <r>
    <n v="763301"/>
    <x v="3"/>
    <s v="Delhi"/>
    <x v="4"/>
    <s v=" WB"/>
    <x v="0"/>
    <x v="0"/>
    <x v="2"/>
    <x v="0"/>
    <d v="2019-03-03T17:54:12"/>
    <d v="2019-03-06T17:54:12"/>
    <d v="2019-03-06T17:54:12"/>
    <x v="4"/>
    <n v="67"/>
    <n v="86"/>
    <n v="1460.5521454925413"/>
  </r>
  <r>
    <n v="588110"/>
    <x v="3"/>
    <s v="Bangalore"/>
    <x v="0"/>
    <s v=" MH"/>
    <x v="2"/>
    <x v="0"/>
    <x v="0"/>
    <x v="0"/>
    <d v="2019-03-03T17:55:04"/>
    <d v="2019-03-09T17:55:04"/>
    <d v="2019-03-10T17:55:04"/>
    <x v="3"/>
    <n v="43"/>
    <n v="111"/>
    <n v="1273.6463662519484"/>
  </r>
  <r>
    <n v="829821"/>
    <x v="3"/>
    <s v="Bangalore"/>
    <x v="0"/>
    <s v=" MH"/>
    <x v="1"/>
    <x v="0"/>
    <x v="1"/>
    <x v="1"/>
    <d v="2019-03-03T18:07:53"/>
    <d v="2019-03-07T18:07:53"/>
    <d v="2019-03-08T18:07:53"/>
    <x v="6"/>
    <n v="48"/>
    <n v="110"/>
    <n v="2150.38"/>
  </r>
  <r>
    <n v="322073"/>
    <x v="3"/>
    <s v="Bangalore"/>
    <x v="4"/>
    <s v=" WB"/>
    <x v="0"/>
    <x v="0"/>
    <x v="1"/>
    <x v="0"/>
    <d v="2019-03-03T18:12:27"/>
    <d v="2019-03-09T18:12:27"/>
    <d v="2019-03-08T18:12:27"/>
    <x v="3"/>
    <n v="64"/>
    <n v="91"/>
    <n v="2090.8103415774158"/>
  </r>
  <r>
    <n v="133505"/>
    <x v="3"/>
    <s v="Delhi"/>
    <x v="4"/>
    <s v=" WB"/>
    <x v="1"/>
    <x v="0"/>
    <x v="1"/>
    <x v="0"/>
    <d v="2019-03-03T19:28:53"/>
    <d v="2019-03-05T19:28:53"/>
    <d v="2019-03-09T19:28:53"/>
    <x v="0"/>
    <n v="37"/>
    <n v="110"/>
    <n v="2441.9660925419385"/>
  </r>
  <r>
    <n v="949759"/>
    <x v="3"/>
    <s v="Bangalore"/>
    <x v="0"/>
    <s v=" MH"/>
    <x v="0"/>
    <x v="0"/>
    <x v="1"/>
    <x v="0"/>
    <d v="2019-03-03T19:57:17"/>
    <d v="2019-03-05T19:57:17"/>
    <d v="2019-03-08T19:57:17"/>
    <x v="0"/>
    <n v="70"/>
    <n v="90"/>
    <n v="2587.950282911997"/>
  </r>
  <r>
    <n v="899244"/>
    <x v="3"/>
    <s v="Bangalore"/>
    <x v="0"/>
    <s v=" MH"/>
    <x v="0"/>
    <x v="0"/>
    <x v="0"/>
    <x v="1"/>
    <d v="2019-03-03T20:31:18"/>
    <d v="2019-03-09T20:31:18"/>
    <d v="2019-03-07T20:31:18"/>
    <x v="3"/>
    <n v="50"/>
    <n v="109"/>
    <n v="180.85"/>
  </r>
  <r>
    <n v="873479"/>
    <x v="3"/>
    <s v="Bangalore"/>
    <x v="3"/>
    <s v=" KA"/>
    <x v="0"/>
    <x v="0"/>
    <x v="1"/>
    <x v="0"/>
    <d v="2019-03-03T20:45:34"/>
    <d v="2019-03-06T20:45:34"/>
    <d v="2019-03-06T20:45:34"/>
    <x v="4"/>
    <n v="0"/>
    <n v="106"/>
    <n v="2290.1115021566507"/>
  </r>
  <r>
    <n v="522406"/>
    <x v="3"/>
    <s v="Delhi"/>
    <x v="1"/>
    <s v=" TN"/>
    <x v="2"/>
    <x v="0"/>
    <x v="0"/>
    <x v="0"/>
    <d v="2019-03-03T21:03:50"/>
    <d v="2019-03-10T21:03:50"/>
    <d v="2019-03-08T21:03:50"/>
    <x v="8"/>
    <n v="28"/>
    <n v="128"/>
    <n v="2474.3709338419744"/>
  </r>
  <r>
    <n v="977315"/>
    <x v="3"/>
    <s v="Delhi"/>
    <x v="2"/>
    <s v=" DL"/>
    <x v="1"/>
    <x v="0"/>
    <x v="1"/>
    <x v="0"/>
    <d v="2019-03-03T21:38:56"/>
    <d v="2019-03-05T21:38:56"/>
    <d v="2019-03-09T21:38:56"/>
    <x v="0"/>
    <n v="0"/>
    <n v="121"/>
    <n v="511.24334252997966"/>
  </r>
  <r>
    <n v="748323"/>
    <x v="3"/>
    <s v="Delhi"/>
    <x v="2"/>
    <s v=" DL"/>
    <x v="1"/>
    <x v="0"/>
    <x v="1"/>
    <x v="1"/>
    <d v="2019-03-03T21:41:57"/>
    <d v="2019-03-09T21:41:57"/>
    <d v="2019-03-10T21:41:57"/>
    <x v="3"/>
    <n v="0"/>
    <n v="122"/>
    <n v="1545.83"/>
  </r>
  <r>
    <n v="442876"/>
    <x v="3"/>
    <s v="Delhi"/>
    <x v="4"/>
    <s v=" WB"/>
    <x v="0"/>
    <x v="0"/>
    <x v="0"/>
    <x v="0"/>
    <d v="2019-03-03T21:53:18"/>
    <d v="2019-03-12T21:53:18"/>
    <d v="2019-03-10T21:53:18"/>
    <x v="1"/>
    <n v="36"/>
    <n v="113"/>
    <n v="881.31121865124533"/>
  </r>
  <r>
    <n v="729925"/>
    <x v="3"/>
    <s v="Delhi"/>
    <x v="4"/>
    <s v=" WB"/>
    <x v="1"/>
    <x v="0"/>
    <x v="2"/>
    <x v="0"/>
    <d v="2019-03-03T23:11:12"/>
    <d v="2019-03-10T23:11:12"/>
    <d v="2019-03-06T23:11:12"/>
    <x v="8"/>
    <n v="9999"/>
    <n v="109"/>
    <n v="2658.8005846504311"/>
  </r>
  <r>
    <n v="118101"/>
    <x v="3"/>
    <s v="Bangalore"/>
    <x v="3"/>
    <s v=" KA"/>
    <x v="1"/>
    <x v="0"/>
    <x v="1"/>
    <x v="1"/>
    <d v="2019-03-03T23:53:37"/>
    <d v="2019-03-05T23:53:37"/>
    <d v="2019-03-07T23:53:37"/>
    <x v="0"/>
    <n v="0"/>
    <n v="122"/>
    <n v="251.07"/>
  </r>
  <r>
    <n v="19188"/>
    <x v="3"/>
    <s v="Delhi"/>
    <x v="0"/>
    <s v=" MH"/>
    <x v="0"/>
    <x v="0"/>
    <x v="0"/>
    <x v="1"/>
    <d v="2019-03-03T23:59:52"/>
    <d v="2019-03-09T23:59:52"/>
    <d v="2019-03-10T23:59:52"/>
    <x v="3"/>
    <n v="82"/>
    <n v="87"/>
    <n v="1482.8"/>
  </r>
  <r>
    <n v="749960"/>
    <x v="3"/>
    <s v="Delhi"/>
    <x v="2"/>
    <s v=" DL"/>
    <x v="0"/>
    <x v="0"/>
    <x v="0"/>
    <x v="0"/>
    <d v="2019-03-04T00:54:15"/>
    <d v="2019-03-08T00:54:15"/>
    <d v="2019-03-09T00:54:15"/>
    <x v="6"/>
    <n v="0"/>
    <n v="103"/>
    <n v="3181.4846345537094"/>
  </r>
  <r>
    <n v="233956"/>
    <x v="3"/>
    <s v="Bangalore"/>
    <x v="2"/>
    <s v=" DL"/>
    <x v="0"/>
    <x v="0"/>
    <x v="0"/>
    <x v="0"/>
    <d v="2019-03-04T01:13:18"/>
    <d v="2019-03-10T01:13:18"/>
    <d v="2019-03-08T01:13:18"/>
    <x v="3"/>
    <n v="38"/>
    <n v="123"/>
    <n v="1079.5984712134191"/>
  </r>
  <r>
    <n v="880884"/>
    <x v="3"/>
    <s v="Delhi"/>
    <x v="3"/>
    <s v=" KA"/>
    <x v="0"/>
    <x v="0"/>
    <x v="0"/>
    <x v="1"/>
    <d v="2019-03-04T01:16:43"/>
    <d v="2019-03-06T01:16:43"/>
    <d v="2019-03-08T01:16:43"/>
    <x v="0"/>
    <n v="32"/>
    <n v="128"/>
    <n v="3426.86"/>
  </r>
  <r>
    <n v="438657"/>
    <x v="3"/>
    <s v="Bangalore"/>
    <x v="3"/>
    <s v=" KA"/>
    <x v="0"/>
    <x v="0"/>
    <x v="1"/>
    <x v="1"/>
    <d v="2019-03-04T02:00:59"/>
    <d v="2019-03-09T02:00:59"/>
    <d v="2019-03-11T02:00:59"/>
    <x v="9"/>
    <n v="0"/>
    <n v="100"/>
    <n v="1690.91"/>
  </r>
  <r>
    <n v="557507"/>
    <x v="3"/>
    <s v="Bangalore"/>
    <x v="1"/>
    <s v=" TN"/>
    <x v="1"/>
    <x v="0"/>
    <x v="1"/>
    <x v="0"/>
    <d v="2019-03-04T02:07:01"/>
    <d v="2019-03-06T02:07:01"/>
    <d v="2019-03-09T02:07:01"/>
    <x v="0"/>
    <n v="32"/>
    <n v="128"/>
    <n v="3725.8777176126282"/>
  </r>
  <r>
    <n v="649939"/>
    <x v="3"/>
    <s v="Delhi"/>
    <x v="0"/>
    <s v=" MH"/>
    <x v="1"/>
    <x v="0"/>
    <x v="1"/>
    <x v="0"/>
    <d v="2019-03-04T04:07:15"/>
    <d v="2019-03-09T04:07:15"/>
    <d v="2019-03-07T04:07:15"/>
    <x v="9"/>
    <n v="40"/>
    <n v="111"/>
    <n v="2722.3385479450644"/>
  </r>
  <r>
    <n v="228046"/>
    <x v="3"/>
    <s v="Delhi"/>
    <x v="0"/>
    <s v=" MH"/>
    <x v="2"/>
    <x v="0"/>
    <x v="0"/>
    <x v="0"/>
    <d v="2019-03-04T04:33:24"/>
    <d v="2019-03-11T04:33:24"/>
    <d v="2019-03-09T04:33:24"/>
    <x v="8"/>
    <n v="27"/>
    <n v="108"/>
    <n v="1052.0515518651273"/>
  </r>
  <r>
    <n v="619096"/>
    <x v="3"/>
    <s v="Delhi"/>
    <x v="4"/>
    <s v=" WB"/>
    <x v="0"/>
    <x v="0"/>
    <x v="0"/>
    <x v="0"/>
    <d v="2019-03-04T05:35:56"/>
    <d v="2019-03-07T05:35:56"/>
    <d v="2019-03-09T05:35:56"/>
    <x v="4"/>
    <n v="69"/>
    <n v="95"/>
    <n v="2832.7101518453178"/>
  </r>
  <r>
    <n v="549679"/>
    <x v="3"/>
    <s v="Delhi"/>
    <x v="1"/>
    <s v=" TN"/>
    <x v="1"/>
    <x v="0"/>
    <x v="1"/>
    <x v="0"/>
    <d v="2019-03-04T06:01:26"/>
    <d v="2019-03-08T06:01:26"/>
    <d v="2019-03-07T06:01:26"/>
    <x v="6"/>
    <n v="31"/>
    <n v="124"/>
    <n v="1153.8531333617982"/>
  </r>
  <r>
    <n v="357366"/>
    <x v="3"/>
    <s v="Bangalore"/>
    <x v="4"/>
    <s v=" WB"/>
    <x v="2"/>
    <x v="0"/>
    <x v="0"/>
    <x v="1"/>
    <d v="2019-03-04T06:25:51"/>
    <d v="2019-03-06T06:25:51"/>
    <d v="2019-03-07T06:25:51"/>
    <x v="0"/>
    <n v="40"/>
    <n v="106"/>
    <n v="3497.73"/>
  </r>
  <r>
    <n v="688557"/>
    <x v="3"/>
    <s v="Bangalore"/>
    <x v="2"/>
    <s v=" DL"/>
    <x v="1"/>
    <x v="0"/>
    <x v="1"/>
    <x v="1"/>
    <d v="2019-03-04T07:00:58"/>
    <d v="2019-03-11T07:00:58"/>
    <d v="2019-03-10T07:00:58"/>
    <x v="8"/>
    <n v="49"/>
    <n v="126"/>
    <n v="882.1"/>
  </r>
  <r>
    <n v="733044"/>
    <x v="3"/>
    <s v="Delhi"/>
    <x v="3"/>
    <s v=" KA"/>
    <x v="0"/>
    <x v="0"/>
    <x v="0"/>
    <x v="1"/>
    <d v="2019-03-04T07:13:08"/>
    <d v="2019-03-09T07:13:08"/>
    <d v="2019-03-09T07:13:08"/>
    <x v="9"/>
    <n v="62"/>
    <n v="100"/>
    <n v="2508.88"/>
  </r>
  <r>
    <n v="454739"/>
    <x v="3"/>
    <s v="Bangalore"/>
    <x v="2"/>
    <s v=" DL"/>
    <x v="1"/>
    <x v="0"/>
    <x v="1"/>
    <x v="0"/>
    <d v="2019-03-04T07:30:00"/>
    <d v="2019-03-08T07:30:00"/>
    <d v="2019-03-07T07:30:00"/>
    <x v="6"/>
    <n v="35"/>
    <n v="125"/>
    <n v="1804.7607267517369"/>
  </r>
  <r>
    <n v="938257"/>
    <x v="3"/>
    <s v="Delhi"/>
    <x v="4"/>
    <s v=" WB"/>
    <x v="1"/>
    <x v="0"/>
    <x v="1"/>
    <x v="0"/>
    <d v="2019-03-04T07:48:44"/>
    <d v="2019-03-09T07:48:44"/>
    <d v="2019-03-11T07:48:44"/>
    <x v="9"/>
    <n v="43"/>
    <n v="113"/>
    <n v="673.89357188942745"/>
  </r>
  <r>
    <n v="160163"/>
    <x v="3"/>
    <s v="Delhi"/>
    <x v="2"/>
    <s v=" DL"/>
    <x v="1"/>
    <x v="0"/>
    <x v="1"/>
    <x v="0"/>
    <d v="2019-03-04T08:23:42"/>
    <d v="2019-03-11T08:23:42"/>
    <d v="2019-03-08T08:23:42"/>
    <x v="8"/>
    <n v="0"/>
    <n v="127"/>
    <n v="2452.4813506095693"/>
  </r>
  <r>
    <n v="966853"/>
    <x v="3"/>
    <s v="Delhi"/>
    <x v="0"/>
    <s v=" MH"/>
    <x v="1"/>
    <x v="0"/>
    <x v="1"/>
    <x v="0"/>
    <d v="2019-03-04T08:45:18"/>
    <d v="2019-03-13T08:45:18"/>
    <d v="2019-03-07T08:45:18"/>
    <x v="1"/>
    <n v="30"/>
    <n v="110"/>
    <n v="890.35608791381389"/>
  </r>
  <r>
    <n v="372074"/>
    <x v="3"/>
    <s v="Delhi"/>
    <x v="2"/>
    <s v=" DL"/>
    <x v="2"/>
    <x v="0"/>
    <x v="0"/>
    <x v="0"/>
    <d v="2019-03-04T09:32:46"/>
    <d v="2019-03-09T09:32:46"/>
    <d v="2019-03-09T09:32:46"/>
    <x v="9"/>
    <n v="0"/>
    <n v="129"/>
    <n v="3587.1656744127645"/>
  </r>
  <r>
    <n v="342976"/>
    <x v="3"/>
    <s v="Bangalore"/>
    <x v="0"/>
    <s v=" MH"/>
    <x v="0"/>
    <x v="0"/>
    <x v="0"/>
    <x v="0"/>
    <d v="2019-03-04T10:11:32"/>
    <d v="2019-03-06T10:11:32"/>
    <d v="2019-03-10T10:11:32"/>
    <x v="0"/>
    <n v="57"/>
    <n v="94"/>
    <n v="2439.5602906575009"/>
  </r>
  <r>
    <n v="81876"/>
    <x v="3"/>
    <s v="Delhi"/>
    <x v="2"/>
    <s v=" DL"/>
    <x v="0"/>
    <x v="0"/>
    <x v="0"/>
    <x v="1"/>
    <d v="2019-03-04T11:47:35"/>
    <d v="2019-03-04T11:47:35"/>
    <d v="2019-03-09T11:47:35"/>
    <x v="10"/>
    <n v="0"/>
    <n v="123"/>
    <n v="1002.86"/>
  </r>
  <r>
    <n v="923214"/>
    <x v="3"/>
    <s v="Delhi"/>
    <x v="0"/>
    <s v=" MH"/>
    <x v="0"/>
    <x v="0"/>
    <x v="0"/>
    <x v="1"/>
    <d v="2019-03-04T12:26:18"/>
    <d v="2019-03-06T12:26:18"/>
    <d v="2019-03-07T12:26:18"/>
    <x v="0"/>
    <n v="62"/>
    <n v="91"/>
    <n v="718.85"/>
  </r>
  <r>
    <n v="883932"/>
    <x v="3"/>
    <s v="Delhi"/>
    <x v="1"/>
    <s v=" TN"/>
    <x v="0"/>
    <x v="0"/>
    <x v="0"/>
    <x v="1"/>
    <d v="2019-03-04T14:02:28"/>
    <d v="2019-03-15T14:02:28"/>
    <d v="2019-03-09T14:02:28"/>
    <x v="11"/>
    <n v="86"/>
    <n v="108"/>
    <n v="546.51"/>
  </r>
  <r>
    <n v="690151"/>
    <x v="3"/>
    <s v="Delhi"/>
    <x v="0"/>
    <s v=" MH"/>
    <x v="1"/>
    <x v="0"/>
    <x v="2"/>
    <x v="0"/>
    <d v="2019-03-04T14:14:08"/>
    <d v="2019-03-10T14:14:08"/>
    <d v="2019-03-08T14:14:08"/>
    <x v="3"/>
    <n v="47"/>
    <n v="112"/>
    <n v="1013.775528868932"/>
  </r>
  <r>
    <n v="666630"/>
    <x v="3"/>
    <s v="Delhi"/>
    <x v="2"/>
    <s v=" DL"/>
    <x v="2"/>
    <x v="0"/>
    <x v="0"/>
    <x v="1"/>
    <d v="2019-03-04T16:08:43"/>
    <d v="2019-03-07T16:08:43"/>
    <d v="2019-03-09T16:08:43"/>
    <x v="4"/>
    <n v="0"/>
    <n v="129"/>
    <n v="1838.47"/>
  </r>
  <r>
    <n v="211980"/>
    <x v="3"/>
    <s v="Delhi"/>
    <x v="2"/>
    <s v=" DL"/>
    <x v="0"/>
    <x v="0"/>
    <x v="0"/>
    <x v="1"/>
    <d v="2019-03-04T16:48:18"/>
    <d v="2019-03-05T16:48:18"/>
    <d v="2019-03-10T16:48:18"/>
    <x v="2"/>
    <n v="0"/>
    <n v="127"/>
    <n v="1339.13"/>
  </r>
  <r>
    <n v="644925"/>
    <x v="3"/>
    <s v="Bangalore"/>
    <x v="0"/>
    <s v=" MH"/>
    <x v="0"/>
    <x v="0"/>
    <x v="1"/>
    <x v="1"/>
    <d v="2019-03-04T17:11:05"/>
    <d v="2019-03-10T17:11:05"/>
    <d v="2019-03-09T17:11:05"/>
    <x v="3"/>
    <n v="79"/>
    <n v="91"/>
    <n v="2828.99"/>
  </r>
  <r>
    <n v="996345"/>
    <x v="3"/>
    <s v="Delhi"/>
    <x v="1"/>
    <s v=" TN"/>
    <x v="1"/>
    <x v="0"/>
    <x v="2"/>
    <x v="1"/>
    <d v="2019-03-04T17:15:32"/>
    <d v="2019-03-10T17:15:32"/>
    <d v="2019-03-09T17:15:32"/>
    <x v="3"/>
    <n v="25"/>
    <n v="127"/>
    <n v="1011.93"/>
  </r>
  <r>
    <n v="573556"/>
    <x v="3"/>
    <s v="Delhi"/>
    <x v="3"/>
    <s v=" KA"/>
    <x v="0"/>
    <x v="0"/>
    <x v="0"/>
    <x v="0"/>
    <d v="2019-03-04T17:48:33"/>
    <d v="2019-03-08T17:48:33"/>
    <d v="2019-03-10T17:48:33"/>
    <x v="6"/>
    <n v="70"/>
    <n v="106"/>
    <n v="2255.5173821806607"/>
  </r>
  <r>
    <n v="146329"/>
    <x v="3"/>
    <s v="Bangalore"/>
    <x v="0"/>
    <s v=" MH"/>
    <x v="1"/>
    <x v="0"/>
    <x v="1"/>
    <x v="0"/>
    <d v="2019-03-04T18:03:03"/>
    <d v="2019-03-10T18:03:03"/>
    <d v="2019-03-11T18:03:03"/>
    <x v="3"/>
    <n v="38"/>
    <n v="113"/>
    <n v="2073.7759969351487"/>
  </r>
  <r>
    <n v="480275"/>
    <x v="3"/>
    <s v="Bangalore"/>
    <x v="0"/>
    <s v=" MH"/>
    <x v="1"/>
    <x v="0"/>
    <x v="1"/>
    <x v="0"/>
    <d v="2019-03-04T18:19:29"/>
    <d v="2019-03-09T18:19:29"/>
    <d v="2019-03-09T18:19:29"/>
    <x v="9"/>
    <n v="44"/>
    <n v="114"/>
    <n v="579.57459139309776"/>
  </r>
  <r>
    <n v="971935"/>
    <x v="3"/>
    <s v="Bangalore"/>
    <x v="2"/>
    <s v=" DL"/>
    <x v="0"/>
    <x v="0"/>
    <x v="1"/>
    <x v="0"/>
    <d v="2019-03-04T18:19:32"/>
    <d v="2019-03-06T18:19:32"/>
    <d v="2019-03-10T18:19:32"/>
    <x v="0"/>
    <n v="84"/>
    <n v="109"/>
    <n v="2676.4196068743522"/>
  </r>
  <r>
    <n v="846959"/>
    <x v="3"/>
    <s v="Bangalore"/>
    <x v="2"/>
    <s v=" DL"/>
    <x v="1"/>
    <x v="0"/>
    <x v="1"/>
    <x v="0"/>
    <d v="2019-03-04T18:35:52"/>
    <d v="2019-03-09T18:35:52"/>
    <d v="2019-03-10T18:35:52"/>
    <x v="9"/>
    <n v="26"/>
    <n v="129"/>
    <n v="1817.4665149887976"/>
  </r>
  <r>
    <n v="950883"/>
    <x v="3"/>
    <s v="Delhi"/>
    <x v="2"/>
    <s v=" DL"/>
    <x v="1"/>
    <x v="0"/>
    <x v="1"/>
    <x v="1"/>
    <d v="2019-03-04T18:53:49"/>
    <d v="2019-03-11T18:53:49"/>
    <d v="2019-03-10T18:53:49"/>
    <x v="8"/>
    <n v="0"/>
    <n v="122"/>
    <n v="2529.4299999999998"/>
  </r>
  <r>
    <n v="320495"/>
    <x v="3"/>
    <s v="Bangalore"/>
    <x v="0"/>
    <s v=" MH"/>
    <x v="0"/>
    <x v="0"/>
    <x v="2"/>
    <x v="0"/>
    <d v="2019-03-04T19:34:44"/>
    <d v="2019-03-06T19:34:44"/>
    <d v="2019-03-10T19:34:44"/>
    <x v="0"/>
    <n v="71"/>
    <n v="87"/>
    <n v="1271.1101503732448"/>
  </r>
  <r>
    <n v="981044"/>
    <x v="3"/>
    <s v="Bangalore"/>
    <x v="0"/>
    <s v=" MH"/>
    <x v="0"/>
    <x v="0"/>
    <x v="0"/>
    <x v="0"/>
    <d v="2019-03-04T19:45:04"/>
    <d v="2019-03-08T19:45:04"/>
    <d v="2019-03-10T19:45:04"/>
    <x v="6"/>
    <n v="67"/>
    <n v="92"/>
    <n v="1157.2699942278532"/>
  </r>
  <r>
    <n v="599593"/>
    <x v="3"/>
    <s v="Bangalore"/>
    <x v="2"/>
    <s v=" DL"/>
    <x v="1"/>
    <x v="0"/>
    <x v="1"/>
    <x v="0"/>
    <d v="2019-03-04T20:52:21"/>
    <d v="2019-03-11T20:52:21"/>
    <d v="2019-03-07T20:52:21"/>
    <x v="8"/>
    <n v="41"/>
    <n v="128"/>
    <n v="866.67608686840549"/>
  </r>
  <r>
    <n v="21665"/>
    <x v="3"/>
    <s v="Delhi"/>
    <x v="3"/>
    <s v=" KA"/>
    <x v="1"/>
    <x v="0"/>
    <x v="2"/>
    <x v="0"/>
    <d v="2019-03-04T21:03:24"/>
    <d v="2019-03-10T21:03:24"/>
    <d v="2019-03-11T21:03:24"/>
    <x v="3"/>
    <n v="47"/>
    <n v="126"/>
    <n v="2741.1896436270758"/>
  </r>
  <r>
    <n v="311186"/>
    <x v="3"/>
    <s v="Delhi"/>
    <x v="2"/>
    <s v=" DL"/>
    <x v="2"/>
    <x v="0"/>
    <x v="0"/>
    <x v="0"/>
    <d v="2019-03-04T21:32:58"/>
    <d v="2019-03-08T21:32:58"/>
    <d v="2019-03-10T21:32:58"/>
    <x v="6"/>
    <n v="0"/>
    <n v="124"/>
    <n v="1388.4143468436266"/>
  </r>
  <r>
    <n v="956080"/>
    <x v="3"/>
    <s v="Delhi"/>
    <x v="3"/>
    <s v=" KA"/>
    <x v="0"/>
    <x v="0"/>
    <x v="0"/>
    <x v="0"/>
    <d v="2019-03-04T21:35:53"/>
    <d v="2019-03-06T21:35:53"/>
    <d v="2019-03-10T21:35:53"/>
    <x v="0"/>
    <n v="42"/>
    <n v="127"/>
    <n v="2029.986107745917"/>
  </r>
  <r>
    <n v="348655"/>
    <x v="3"/>
    <s v="Bangalore"/>
    <x v="4"/>
    <s v=" WB"/>
    <x v="1"/>
    <x v="0"/>
    <x v="1"/>
    <x v="0"/>
    <d v="2019-03-04T21:41:44"/>
    <d v="2019-03-08T21:41:44"/>
    <d v="2019-03-08T21:41:44"/>
    <x v="6"/>
    <n v="46"/>
    <n v="109"/>
    <n v="887.73349730061284"/>
  </r>
  <r>
    <n v="807889"/>
    <x v="3"/>
    <s v="Delhi"/>
    <x v="2"/>
    <s v=" DL"/>
    <x v="1"/>
    <x v="0"/>
    <x v="1"/>
    <x v="0"/>
    <d v="2019-03-04T21:50:57"/>
    <d v="2019-03-07T21:50:57"/>
    <d v="2019-03-08T21:50:57"/>
    <x v="4"/>
    <n v="0"/>
    <n v="122"/>
    <n v="663.66624298941815"/>
  </r>
  <r>
    <n v="752562"/>
    <x v="3"/>
    <s v="Delhi"/>
    <x v="0"/>
    <s v=" MH"/>
    <x v="0"/>
    <x v="0"/>
    <x v="0"/>
    <x v="1"/>
    <d v="2019-03-04T22:10:07"/>
    <d v="2019-03-06T22:10:07"/>
    <d v="2019-03-09T22:10:07"/>
    <x v="0"/>
    <n v="57"/>
    <n v="85"/>
    <n v="585.03"/>
  </r>
  <r>
    <n v="452597"/>
    <x v="3"/>
    <s v="Delhi"/>
    <x v="4"/>
    <s v=" WB"/>
    <x v="0"/>
    <x v="0"/>
    <x v="1"/>
    <x v="0"/>
    <d v="2019-03-04T22:17:54"/>
    <d v="2019-03-11T22:17:54"/>
    <d v="2019-03-07T22:17:54"/>
    <x v="8"/>
    <n v="78"/>
    <n v="89"/>
    <n v="719.54286541406339"/>
  </r>
  <r>
    <n v="364057"/>
    <x v="3"/>
    <s v="Delhi"/>
    <x v="3"/>
    <s v=" KA"/>
    <x v="1"/>
    <x v="0"/>
    <x v="1"/>
    <x v="0"/>
    <d v="2019-03-04T22:40:07"/>
    <d v="2019-03-10T22:40:07"/>
    <d v="2019-03-08T22:40:07"/>
    <x v="3"/>
    <n v="50"/>
    <n v="120"/>
    <n v="539.41381275868025"/>
  </r>
  <r>
    <n v="885932"/>
    <x v="3"/>
    <s v="Delhi"/>
    <x v="3"/>
    <s v=" KA"/>
    <x v="0"/>
    <x v="0"/>
    <x v="0"/>
    <x v="0"/>
    <d v="2019-03-05T00:40:15"/>
    <d v="2019-03-08T00:40:15"/>
    <d v="2019-03-12T00:40:15"/>
    <x v="4"/>
    <n v="32"/>
    <n v="120"/>
    <n v="3379.7430205370574"/>
  </r>
  <r>
    <n v="710717"/>
    <x v="3"/>
    <s v="Bangalore"/>
    <x v="3"/>
    <s v=" KA"/>
    <x v="1"/>
    <x v="0"/>
    <x v="2"/>
    <x v="0"/>
    <d v="2019-03-05T01:15:17"/>
    <d v="2019-03-09T01:15:17"/>
    <d v="2019-03-08T01:15:17"/>
    <x v="6"/>
    <n v="0"/>
    <n v="128"/>
    <n v="3479.3132321679077"/>
  </r>
  <r>
    <n v="888203"/>
    <x v="3"/>
    <s v="Delhi"/>
    <x v="4"/>
    <s v=" WB"/>
    <x v="1"/>
    <x v="0"/>
    <x v="1"/>
    <x v="0"/>
    <d v="2019-03-05T01:52:30"/>
    <d v="2019-03-12T01:52:30"/>
    <d v="2019-03-08T01:52:30"/>
    <x v="8"/>
    <n v="38"/>
    <n v="109"/>
    <n v="3669.2802833860378"/>
  </r>
  <r>
    <n v="66742"/>
    <x v="3"/>
    <s v="Delhi"/>
    <x v="0"/>
    <s v=" MH"/>
    <x v="2"/>
    <x v="0"/>
    <x v="0"/>
    <x v="0"/>
    <d v="2019-03-05T02:39:38"/>
    <d v="2019-03-12T02:39:38"/>
    <d v="2019-03-09T02:39:38"/>
    <x v="8"/>
    <n v="25"/>
    <n v="113"/>
    <n v="1593.0788812098724"/>
  </r>
  <r>
    <n v="465353"/>
    <x v="3"/>
    <s v="Delhi"/>
    <x v="2"/>
    <s v=" DL"/>
    <x v="1"/>
    <x v="0"/>
    <x v="2"/>
    <x v="0"/>
    <d v="2019-03-05T03:17:10"/>
    <d v="2019-03-06T03:17:10"/>
    <d v="2019-03-08T03:17:10"/>
    <x v="2"/>
    <n v="0"/>
    <n v="121"/>
    <n v="2292.2087161547211"/>
  </r>
  <r>
    <n v="830554"/>
    <x v="3"/>
    <s v="Delhi"/>
    <x v="4"/>
    <s v=" WB"/>
    <x v="2"/>
    <x v="0"/>
    <x v="0"/>
    <x v="0"/>
    <d v="2019-03-05T04:23:41"/>
    <d v="2019-03-07T04:23:41"/>
    <d v="2019-03-12T04:23:41"/>
    <x v="0"/>
    <n v="36"/>
    <n v="105"/>
    <n v="580.09375319804872"/>
  </r>
  <r>
    <n v="275351"/>
    <x v="3"/>
    <s v="Bangalore"/>
    <x v="4"/>
    <s v=" WB"/>
    <x v="1"/>
    <x v="0"/>
    <x v="1"/>
    <x v="0"/>
    <d v="2019-03-05T05:16:20"/>
    <d v="2019-03-11T05:16:20"/>
    <d v="2019-03-10T05:16:20"/>
    <x v="3"/>
    <n v="30"/>
    <n v="114"/>
    <n v="3056.3083804865505"/>
  </r>
  <r>
    <n v="783266"/>
    <x v="3"/>
    <s v="Bangalore"/>
    <x v="4"/>
    <s v=" WB"/>
    <x v="2"/>
    <x v="0"/>
    <x v="0"/>
    <x v="0"/>
    <d v="2019-03-05T05:21:51"/>
    <d v="2019-03-08T05:21:51"/>
    <d v="2019-03-11T05:21:51"/>
    <x v="4"/>
    <n v="50"/>
    <n v="112"/>
    <n v="1261.3404496446606"/>
  </r>
  <r>
    <n v="735063"/>
    <x v="3"/>
    <s v="Delhi"/>
    <x v="3"/>
    <s v=" KA"/>
    <x v="1"/>
    <x v="0"/>
    <x v="2"/>
    <x v="1"/>
    <d v="2019-03-05T05:24:14"/>
    <d v="2019-03-09T05:24:14"/>
    <d v="2019-03-11T05:24:14"/>
    <x v="6"/>
    <n v="30"/>
    <n v="127"/>
    <n v="3359.57"/>
  </r>
  <r>
    <n v="528622"/>
    <x v="3"/>
    <s v="Bangalore"/>
    <x v="2"/>
    <s v=" DL"/>
    <x v="2"/>
    <x v="0"/>
    <x v="0"/>
    <x v="0"/>
    <d v="2019-03-05T06:20:36"/>
    <d v="2019-03-13T06:20:36"/>
    <d v="2019-03-10T06:20:36"/>
    <x v="5"/>
    <n v="42"/>
    <n v="127"/>
    <n v="3269.6929532229483"/>
  </r>
  <r>
    <n v="637543"/>
    <x v="3"/>
    <s v="Delhi"/>
    <x v="2"/>
    <s v=" DL"/>
    <x v="0"/>
    <x v="0"/>
    <x v="1"/>
    <x v="0"/>
    <d v="2019-03-05T06:31:30"/>
    <d v="2019-03-07T06:31:30"/>
    <d v="2019-03-12T06:31:30"/>
    <x v="0"/>
    <n v="0"/>
    <n v="109"/>
    <n v="1212.1079269171532"/>
  </r>
  <r>
    <n v="443611"/>
    <x v="3"/>
    <s v="Delhi"/>
    <x v="1"/>
    <s v=" TN"/>
    <x v="1"/>
    <x v="0"/>
    <x v="2"/>
    <x v="0"/>
    <d v="2019-03-05T07:22:12"/>
    <d v="2019-03-07T07:22:12"/>
    <d v="2019-03-10T07:22:12"/>
    <x v="0"/>
    <n v="37"/>
    <n v="126"/>
    <n v="3553.1398334143487"/>
  </r>
  <r>
    <n v="391460"/>
    <x v="3"/>
    <s v="Bangalore"/>
    <x v="3"/>
    <s v=" KA"/>
    <x v="0"/>
    <x v="0"/>
    <x v="0"/>
    <x v="0"/>
    <d v="2019-03-05T08:18:21"/>
    <d v="2019-03-05T08:18:21"/>
    <d v="2019-03-08T08:18:21"/>
    <x v="10"/>
    <n v="0"/>
    <n v="123"/>
    <n v="2978.1358337894712"/>
  </r>
  <r>
    <n v="366014"/>
    <x v="3"/>
    <s v="Bangalore"/>
    <x v="0"/>
    <s v=" MH"/>
    <x v="2"/>
    <x v="0"/>
    <x v="0"/>
    <x v="0"/>
    <d v="2019-03-05T08:18:45"/>
    <d v="2019-03-09T08:18:45"/>
    <d v="2019-03-11T08:18:45"/>
    <x v="6"/>
    <n v="40"/>
    <n v="112"/>
    <n v="446.12845213744072"/>
  </r>
  <r>
    <n v="950428"/>
    <x v="3"/>
    <s v="Delhi"/>
    <x v="4"/>
    <s v=" WB"/>
    <x v="0"/>
    <x v="0"/>
    <x v="0"/>
    <x v="0"/>
    <d v="2019-03-05T08:19:34"/>
    <d v="2019-03-13T08:19:34"/>
    <d v="2019-03-09T08:19:34"/>
    <x v="5"/>
    <n v="40"/>
    <n v="110"/>
    <n v="584.81396261625559"/>
  </r>
  <r>
    <n v="552124"/>
    <x v="3"/>
    <s v="Delhi"/>
    <x v="2"/>
    <s v=" DL"/>
    <x v="0"/>
    <x v="0"/>
    <x v="0"/>
    <x v="0"/>
    <d v="2019-03-05T08:21:53"/>
    <d v="2019-03-05T08:21:53"/>
    <d v="2019-03-12T08:21:53"/>
    <x v="10"/>
    <n v="0"/>
    <n v="103"/>
    <n v="2995.6540795525357"/>
  </r>
  <r>
    <n v="744996"/>
    <x v="3"/>
    <s v="Bangalore"/>
    <x v="3"/>
    <s v=" KA"/>
    <x v="0"/>
    <x v="0"/>
    <x v="0"/>
    <x v="1"/>
    <d v="2019-03-05T08:25:21"/>
    <d v="2019-03-09T08:25:21"/>
    <d v="2019-03-09T08:25:21"/>
    <x v="6"/>
    <n v="0"/>
    <n v="108"/>
    <n v="3593.86"/>
  </r>
  <r>
    <n v="24828"/>
    <x v="3"/>
    <s v="Bangalore"/>
    <x v="0"/>
    <s v=" MH"/>
    <x v="0"/>
    <x v="0"/>
    <x v="0"/>
    <x v="1"/>
    <d v="2019-03-05T08:33:18"/>
    <d v="2019-03-07T08:33:18"/>
    <d v="2019-03-12T08:33:18"/>
    <x v="0"/>
    <n v="41"/>
    <n v="107"/>
    <n v="1579.7"/>
  </r>
  <r>
    <n v="633436"/>
    <x v="3"/>
    <s v="Delhi"/>
    <x v="0"/>
    <s v=" MH"/>
    <x v="0"/>
    <x v="0"/>
    <x v="0"/>
    <x v="0"/>
    <d v="2019-03-05T10:51:54"/>
    <d v="2019-03-08T10:51:54"/>
    <d v="2019-03-12T10:51:54"/>
    <x v="4"/>
    <n v="36"/>
    <n v="113"/>
    <n v="845.23625733184747"/>
  </r>
  <r>
    <n v="345682"/>
    <x v="3"/>
    <s v="Bangalore"/>
    <x v="2"/>
    <s v=" DL"/>
    <x v="2"/>
    <x v="0"/>
    <x v="0"/>
    <x v="0"/>
    <d v="2019-03-05T10:58:59"/>
    <d v="2019-03-11T10:58:59"/>
    <d v="2019-03-08T10:58:59"/>
    <x v="3"/>
    <n v="50"/>
    <n v="127"/>
    <n v="452.71796934222738"/>
  </r>
  <r>
    <n v="841339"/>
    <x v="3"/>
    <s v="Bangalore"/>
    <x v="2"/>
    <s v=" DL"/>
    <x v="1"/>
    <x v="0"/>
    <x v="1"/>
    <x v="0"/>
    <d v="2019-03-05T11:24:27"/>
    <d v="2019-03-13T11:24:27"/>
    <d v="2019-03-09T11:24:27"/>
    <x v="5"/>
    <n v="35"/>
    <n v="122"/>
    <n v="1480.3234605239873"/>
  </r>
  <r>
    <n v="170086"/>
    <x v="3"/>
    <s v="Delhi"/>
    <x v="2"/>
    <s v=" DL"/>
    <x v="2"/>
    <x v="0"/>
    <x v="0"/>
    <x v="0"/>
    <d v="2019-03-05T12:17:36"/>
    <d v="2019-03-11T12:17:36"/>
    <d v="2019-03-09T12:17:36"/>
    <x v="3"/>
    <n v="0"/>
    <n v="123"/>
    <n v="1149.3304718659133"/>
  </r>
  <r>
    <n v="628647"/>
    <x v="3"/>
    <s v="Delhi"/>
    <x v="0"/>
    <s v=" MH"/>
    <x v="0"/>
    <x v="0"/>
    <x v="1"/>
    <x v="1"/>
    <d v="2019-03-05T12:18:39"/>
    <d v="2019-03-09T12:18:39"/>
    <d v="2019-03-08T12:18:39"/>
    <x v="6"/>
    <n v="88"/>
    <n v="92"/>
    <n v="2832.78"/>
  </r>
  <r>
    <n v="3150"/>
    <x v="3"/>
    <s v="Bangalore"/>
    <x v="2"/>
    <s v=" DL"/>
    <x v="0"/>
    <x v="0"/>
    <x v="0"/>
    <x v="1"/>
    <d v="2019-03-05T12:49:01"/>
    <d v="2019-03-10T12:49:01"/>
    <d v="2019-03-11T12:49:01"/>
    <x v="9"/>
    <n v="83"/>
    <n v="105"/>
    <n v="3331.27"/>
  </r>
  <r>
    <n v="193488"/>
    <x v="3"/>
    <s v="Delhi"/>
    <x v="4"/>
    <s v=" WB"/>
    <x v="0"/>
    <x v="0"/>
    <x v="0"/>
    <x v="1"/>
    <d v="2019-03-05T13:19:01"/>
    <d v="2019-03-09T13:19:01"/>
    <d v="2019-03-10T13:19:01"/>
    <x v="6"/>
    <n v="31"/>
    <n v="115"/>
    <n v="2439.89"/>
  </r>
  <r>
    <n v="583896"/>
    <x v="3"/>
    <s v="Bangalore"/>
    <x v="0"/>
    <s v=" MH"/>
    <x v="0"/>
    <x v="0"/>
    <x v="0"/>
    <x v="1"/>
    <d v="2019-03-05T13:27:51"/>
    <d v="2019-03-09T13:27:51"/>
    <d v="2019-03-08T13:27:51"/>
    <x v="6"/>
    <n v="33"/>
    <n v="110"/>
    <n v="1832.15"/>
  </r>
  <r>
    <n v="79932"/>
    <x v="3"/>
    <s v="Delhi"/>
    <x v="0"/>
    <s v=" MH"/>
    <x v="0"/>
    <x v="0"/>
    <x v="0"/>
    <x v="1"/>
    <d v="2019-03-05T13:53:43"/>
    <d v="2019-03-11T13:53:43"/>
    <d v="2019-03-12T13:53:43"/>
    <x v="3"/>
    <n v="37"/>
    <n v="115"/>
    <n v="1899.89"/>
  </r>
  <r>
    <n v="595536"/>
    <x v="3"/>
    <s v="Bangalore"/>
    <x v="4"/>
    <s v=" WB"/>
    <x v="0"/>
    <x v="0"/>
    <x v="0"/>
    <x v="1"/>
    <d v="2019-03-05T13:54:43"/>
    <d v="2019-03-12T13:54:43"/>
    <d v="2019-03-09T13:54:43"/>
    <x v="8"/>
    <n v="35"/>
    <n v="111"/>
    <n v="503.78"/>
  </r>
  <r>
    <n v="396777"/>
    <x v="3"/>
    <s v="Delhi"/>
    <x v="2"/>
    <s v=" DL"/>
    <x v="1"/>
    <x v="0"/>
    <x v="1"/>
    <x v="1"/>
    <d v="2019-03-05T14:22:29"/>
    <d v="2019-03-11T14:22:29"/>
    <d v="2019-03-12T14:22:29"/>
    <x v="3"/>
    <n v="0"/>
    <n v="124"/>
    <n v="2932.84"/>
  </r>
  <r>
    <n v="229138"/>
    <x v="3"/>
    <s v="Delhi"/>
    <x v="2"/>
    <s v=" DL"/>
    <x v="2"/>
    <x v="0"/>
    <x v="0"/>
    <x v="0"/>
    <d v="2019-03-05T14:42:44"/>
    <d v="2019-03-07T14:42:44"/>
    <d v="2019-03-12T14:42:44"/>
    <x v="0"/>
    <n v="0"/>
    <n v="120"/>
    <n v="1940.2818125712272"/>
  </r>
  <r>
    <n v="60361"/>
    <x v="3"/>
    <s v="Bangalore"/>
    <x v="2"/>
    <s v=" DL"/>
    <x v="1"/>
    <x v="0"/>
    <x v="2"/>
    <x v="0"/>
    <d v="2019-03-05T15:34:58"/>
    <d v="2019-03-12T15:34:58"/>
    <d v="2019-03-12T15:34:58"/>
    <x v="8"/>
    <n v="39"/>
    <n v="125"/>
    <n v="2341.7020494029234"/>
  </r>
  <r>
    <n v="115173"/>
    <x v="3"/>
    <s v="Bangalore"/>
    <x v="3"/>
    <s v=" KA"/>
    <x v="1"/>
    <x v="0"/>
    <x v="1"/>
    <x v="1"/>
    <d v="2019-03-05T15:39:38"/>
    <d v="2019-03-05T15:39:38"/>
    <d v="2019-03-12T15:39:38"/>
    <x v="10"/>
    <n v="0"/>
    <n v="126"/>
    <n v="2079.86"/>
  </r>
  <r>
    <n v="338573"/>
    <x v="3"/>
    <s v="Delhi"/>
    <x v="4"/>
    <s v=" WB"/>
    <x v="1"/>
    <x v="0"/>
    <x v="1"/>
    <x v="0"/>
    <d v="2019-03-05T16:37:43"/>
    <d v="2019-03-11T16:37:43"/>
    <d v="2019-03-11T16:37:43"/>
    <x v="3"/>
    <n v="25"/>
    <n v="105"/>
    <n v="1728.0271594765272"/>
  </r>
  <r>
    <n v="73476"/>
    <x v="3"/>
    <s v="Bangalore"/>
    <x v="2"/>
    <s v=" DL"/>
    <x v="0"/>
    <x v="0"/>
    <x v="0"/>
    <x v="1"/>
    <d v="2019-03-05T17:07:26"/>
    <d v="2019-03-09T17:07:26"/>
    <d v="2019-03-10T17:07:26"/>
    <x v="6"/>
    <n v="73"/>
    <n v="108"/>
    <n v="519.66"/>
  </r>
  <r>
    <n v="126501"/>
    <x v="3"/>
    <s v="Bangalore"/>
    <x v="4"/>
    <s v=" WB"/>
    <x v="0"/>
    <x v="0"/>
    <x v="1"/>
    <x v="1"/>
    <d v="2019-03-05T17:09:32"/>
    <d v="2019-03-10T17:09:32"/>
    <d v="2019-03-11T17:09:32"/>
    <x v="9"/>
    <n v="76"/>
    <n v="90"/>
    <n v="1859.33"/>
  </r>
  <r>
    <n v="585749"/>
    <x v="3"/>
    <s v="Delhi"/>
    <x v="2"/>
    <s v=" DL"/>
    <x v="1"/>
    <x v="0"/>
    <x v="1"/>
    <x v="0"/>
    <d v="2019-03-05T17:23:39"/>
    <d v="2019-03-08T17:23:39"/>
    <d v="2019-03-11T17:23:39"/>
    <x v="4"/>
    <n v="0"/>
    <n v="129"/>
    <n v="205.0233415682298"/>
  </r>
  <r>
    <n v="131623"/>
    <x v="3"/>
    <s v="Bangalore"/>
    <x v="3"/>
    <s v=" KA"/>
    <x v="1"/>
    <x v="0"/>
    <x v="1"/>
    <x v="0"/>
    <d v="2019-03-05T17:23:57"/>
    <d v="2019-03-05T17:23:57"/>
    <d v="2019-03-11T17:23:57"/>
    <x v="10"/>
    <n v="0"/>
    <n v="122"/>
    <n v="3257.4123798158766"/>
  </r>
  <r>
    <n v="152268"/>
    <x v="3"/>
    <s v="Delhi"/>
    <x v="0"/>
    <s v=" MH"/>
    <x v="0"/>
    <x v="0"/>
    <x v="0"/>
    <x v="1"/>
    <d v="2019-03-05T17:42:33"/>
    <d v="2019-03-10T17:42:33"/>
    <d v="2019-03-08T17:42:33"/>
    <x v="9"/>
    <n v="61"/>
    <n v="88"/>
    <n v="1881.65"/>
  </r>
  <r>
    <n v="683791"/>
    <x v="3"/>
    <s v="Delhi"/>
    <x v="2"/>
    <s v=" DL"/>
    <x v="1"/>
    <x v="0"/>
    <x v="1"/>
    <x v="0"/>
    <d v="2019-03-05T17:42:41"/>
    <d v="2019-03-10T17:42:41"/>
    <d v="2019-03-10T17:42:41"/>
    <x v="9"/>
    <n v="0"/>
    <n v="129"/>
    <n v="3799.16099944183"/>
  </r>
  <r>
    <n v="346390"/>
    <x v="3"/>
    <s v="Bangalore"/>
    <x v="3"/>
    <s v=" KA"/>
    <x v="2"/>
    <x v="0"/>
    <x v="0"/>
    <x v="0"/>
    <d v="2019-03-05T18:10:49"/>
    <d v="2019-03-09T18:10:49"/>
    <d v="2019-03-08T18:10:49"/>
    <x v="6"/>
    <n v="0"/>
    <n v="125"/>
    <n v="1750.6128359630595"/>
  </r>
  <r>
    <n v="631303"/>
    <x v="3"/>
    <s v="Delhi"/>
    <x v="4"/>
    <s v=" WB"/>
    <x v="1"/>
    <x v="0"/>
    <x v="1"/>
    <x v="0"/>
    <d v="2019-03-05T19:49:27"/>
    <d v="2019-03-09T19:49:27"/>
    <d v="2019-03-11T19:49:27"/>
    <x v="6"/>
    <n v="35"/>
    <n v="111"/>
    <n v="1526.3212129209371"/>
  </r>
  <r>
    <n v="192812"/>
    <x v="3"/>
    <s v="Bangalore"/>
    <x v="3"/>
    <s v=" KA"/>
    <x v="0"/>
    <x v="0"/>
    <x v="0"/>
    <x v="0"/>
    <d v="2019-03-05T19:51:14"/>
    <d v="2019-03-07T19:51:14"/>
    <d v="2019-03-12T19:51:14"/>
    <x v="0"/>
    <n v="0"/>
    <n v="121"/>
    <n v="3319.2591521386998"/>
  </r>
  <r>
    <n v="602383"/>
    <x v="3"/>
    <s v="Bangalore"/>
    <x v="1"/>
    <s v=" TN"/>
    <x v="1"/>
    <x v="0"/>
    <x v="1"/>
    <x v="0"/>
    <d v="2019-03-05T20:04:21"/>
    <d v="2019-03-10T20:04:21"/>
    <d v="2019-03-12T20:04:21"/>
    <x v="9"/>
    <n v="42"/>
    <n v="123"/>
    <n v="1764.8799635843834"/>
  </r>
  <r>
    <n v="292961"/>
    <x v="3"/>
    <s v="Delhi"/>
    <x v="3"/>
    <s v=" KA"/>
    <x v="0"/>
    <x v="0"/>
    <x v="1"/>
    <x v="0"/>
    <d v="2019-03-05T20:39:24"/>
    <d v="2019-03-10T20:39:24"/>
    <d v="2019-03-10T20:39:24"/>
    <x v="9"/>
    <n v="68"/>
    <n v="109"/>
    <n v="1500.0101979777487"/>
  </r>
  <r>
    <n v="439489"/>
    <x v="3"/>
    <s v="Delhi"/>
    <x v="0"/>
    <s v=" MH"/>
    <x v="1"/>
    <x v="0"/>
    <x v="1"/>
    <x v="0"/>
    <d v="2019-03-05T21:06:11"/>
    <d v="2019-03-13T21:06:11"/>
    <d v="2019-03-12T21:06:11"/>
    <x v="5"/>
    <n v="50"/>
    <n v="108"/>
    <n v="1596.0519048955705"/>
  </r>
  <r>
    <n v="96914"/>
    <x v="3"/>
    <s v="Bangalore"/>
    <x v="4"/>
    <s v=" WB"/>
    <x v="2"/>
    <x v="0"/>
    <x v="0"/>
    <x v="0"/>
    <d v="2019-03-05T21:43:14"/>
    <d v="2019-03-08T21:43:14"/>
    <d v="2019-03-11T21:43:14"/>
    <x v="4"/>
    <n v="42"/>
    <n v="114"/>
    <n v="3178.0706773804045"/>
  </r>
  <r>
    <n v="837451"/>
    <x v="3"/>
    <s v="Delhi"/>
    <x v="0"/>
    <s v=" MH"/>
    <x v="0"/>
    <x v="0"/>
    <x v="1"/>
    <x v="0"/>
    <d v="2019-03-05T22:02:35"/>
    <d v="2019-03-07T22:02:35"/>
    <d v="2019-03-10T22:02:35"/>
    <x v="0"/>
    <n v="79"/>
    <n v="92"/>
    <n v="2738.0856607087071"/>
  </r>
  <r>
    <n v="50711"/>
    <x v="3"/>
    <s v="Delhi"/>
    <x v="4"/>
    <s v=" WB"/>
    <x v="0"/>
    <x v="0"/>
    <x v="1"/>
    <x v="0"/>
    <d v="2019-03-05T22:02:37"/>
    <d v="2019-03-09T22:02:37"/>
    <d v="2019-03-12T22:02:37"/>
    <x v="6"/>
    <n v="83"/>
    <n v="92"/>
    <n v="901.48439950508941"/>
  </r>
  <r>
    <n v="623974"/>
    <x v="3"/>
    <s v="Bangalore"/>
    <x v="1"/>
    <s v=" TN"/>
    <x v="2"/>
    <x v="0"/>
    <x v="0"/>
    <x v="0"/>
    <d v="2019-03-05T22:21:18"/>
    <d v="2019-03-08T22:21:18"/>
    <d v="2019-03-12T22:21:18"/>
    <x v="4"/>
    <n v="31"/>
    <n v="127"/>
    <n v="2867.211255515942"/>
  </r>
  <r>
    <n v="553029"/>
    <x v="3"/>
    <s v="Delhi"/>
    <x v="3"/>
    <s v=" KA"/>
    <x v="1"/>
    <x v="0"/>
    <x v="1"/>
    <x v="1"/>
    <d v="2019-03-06T00:03:39"/>
    <d v="2019-03-15T00:03:39"/>
    <d v="2019-03-12T00:03:39"/>
    <x v="1"/>
    <n v="27"/>
    <n v="120"/>
    <n v="1025.21"/>
  </r>
  <r>
    <n v="648952"/>
    <x v="3"/>
    <s v="Delhi"/>
    <x v="2"/>
    <s v=" DL"/>
    <x v="0"/>
    <x v="0"/>
    <x v="0"/>
    <x v="0"/>
    <d v="2019-03-06T01:56:31"/>
    <d v="2019-03-09T01:56:31"/>
    <d v="2019-03-13T01:56:31"/>
    <x v="4"/>
    <n v="0"/>
    <n v="127"/>
    <n v="2009.7817628076027"/>
  </r>
  <r>
    <n v="426160"/>
    <x v="3"/>
    <s v="Delhi"/>
    <x v="2"/>
    <s v=" DL"/>
    <x v="0"/>
    <x v="0"/>
    <x v="0"/>
    <x v="0"/>
    <d v="2019-03-06T02:19:47"/>
    <d v="2019-03-11T02:19:47"/>
    <d v="2019-03-13T02:19:47"/>
    <x v="9"/>
    <n v="0"/>
    <n v="126"/>
    <n v="1633.6624561123217"/>
  </r>
  <r>
    <n v="222299"/>
    <x v="3"/>
    <s v="Delhi"/>
    <x v="3"/>
    <s v=" KA"/>
    <x v="0"/>
    <x v="0"/>
    <x v="2"/>
    <x v="0"/>
    <d v="2019-03-06T02:44:53"/>
    <d v="2019-03-12T02:44:53"/>
    <d v="2019-03-10T02:44:53"/>
    <x v="3"/>
    <n v="85"/>
    <n v="101"/>
    <n v="544.47441346186224"/>
  </r>
  <r>
    <n v="919658"/>
    <x v="3"/>
    <s v="Bangalore"/>
    <x v="1"/>
    <s v=" TN"/>
    <x v="2"/>
    <x v="0"/>
    <x v="0"/>
    <x v="0"/>
    <d v="2019-03-06T03:17:17"/>
    <d v="2019-03-08T03:17:17"/>
    <d v="2019-03-13T03:17:17"/>
    <x v="0"/>
    <n v="34"/>
    <n v="128"/>
    <n v="724.96504892600421"/>
  </r>
  <r>
    <n v="152660"/>
    <x v="3"/>
    <s v="Delhi"/>
    <x v="1"/>
    <s v=" TN"/>
    <x v="0"/>
    <x v="0"/>
    <x v="0"/>
    <x v="0"/>
    <d v="2019-03-06T03:18:27"/>
    <d v="2019-03-13T03:18:27"/>
    <d v="2019-03-12T03:18:27"/>
    <x v="8"/>
    <n v="66"/>
    <n v="101"/>
    <n v="2507.6658633935931"/>
  </r>
  <r>
    <n v="188240"/>
    <x v="3"/>
    <s v="Bangalore"/>
    <x v="1"/>
    <s v=" TN"/>
    <x v="0"/>
    <x v="0"/>
    <x v="0"/>
    <x v="0"/>
    <d v="2019-03-06T03:33:50"/>
    <d v="2019-03-14T03:33:50"/>
    <d v="2019-03-10T03:33:50"/>
    <x v="5"/>
    <n v="49"/>
    <n v="124"/>
    <n v="3055.6190370395425"/>
  </r>
  <r>
    <n v="634324"/>
    <x v="3"/>
    <s v="Delhi"/>
    <x v="3"/>
    <s v=" KA"/>
    <x v="0"/>
    <x v="0"/>
    <x v="0"/>
    <x v="0"/>
    <d v="2019-03-06T04:23:49"/>
    <d v="2019-03-08T04:23:49"/>
    <d v="2019-03-09T04:23:49"/>
    <x v="0"/>
    <n v="36"/>
    <n v="121"/>
    <n v="1225.2809576000927"/>
  </r>
  <r>
    <n v="880455"/>
    <x v="3"/>
    <s v="Bangalore"/>
    <x v="2"/>
    <s v=" DL"/>
    <x v="1"/>
    <x v="0"/>
    <x v="1"/>
    <x v="1"/>
    <d v="2019-03-06T04:40:23"/>
    <d v="2019-03-12T04:40:23"/>
    <d v="2019-03-10T04:40:23"/>
    <x v="3"/>
    <n v="32"/>
    <n v="120"/>
    <n v="2002"/>
  </r>
  <r>
    <n v="453526"/>
    <x v="3"/>
    <s v="Delhi"/>
    <x v="1"/>
    <s v=" TN"/>
    <x v="2"/>
    <x v="0"/>
    <x v="0"/>
    <x v="0"/>
    <d v="2019-03-06T04:59:58"/>
    <d v="2019-03-08T04:59:58"/>
    <d v="2019-03-12T04:59:58"/>
    <x v="0"/>
    <n v="40"/>
    <n v="122"/>
    <n v="2608.8392237599232"/>
  </r>
  <r>
    <n v="305074"/>
    <x v="3"/>
    <s v="Bangalore"/>
    <x v="0"/>
    <s v=" MH"/>
    <x v="0"/>
    <x v="0"/>
    <x v="0"/>
    <x v="0"/>
    <d v="2019-03-06T05:36:21"/>
    <d v="2019-03-08T05:36:21"/>
    <d v="2019-03-09T05:36:21"/>
    <x v="0"/>
    <n v="87"/>
    <n v="93"/>
    <n v="2162"/>
  </r>
  <r>
    <n v="731507"/>
    <x v="3"/>
    <s v="Delhi"/>
    <x v="4"/>
    <s v=" WB"/>
    <x v="0"/>
    <x v="0"/>
    <x v="2"/>
    <x v="0"/>
    <d v="2019-03-06T06:18:56"/>
    <d v="2019-03-14T06:18:56"/>
    <d v="2019-03-09T06:18:56"/>
    <x v="5"/>
    <n v="61"/>
    <n v="94"/>
    <n v="3269.0833333712294"/>
  </r>
  <r>
    <n v="155919"/>
    <x v="3"/>
    <s v="Bangalore"/>
    <x v="2"/>
    <s v=" DL"/>
    <x v="1"/>
    <x v="0"/>
    <x v="1"/>
    <x v="1"/>
    <d v="2019-03-06T06:21:53"/>
    <d v="2019-03-15T06:21:53"/>
    <d v="2019-03-09T06:21:53"/>
    <x v="1"/>
    <n v="30"/>
    <n v="125"/>
    <n v="1832.5483054141891"/>
  </r>
  <r>
    <n v="948230"/>
    <x v="3"/>
    <s v="Bangalore"/>
    <x v="1"/>
    <s v=" TN"/>
    <x v="0"/>
    <x v="0"/>
    <x v="0"/>
    <x v="0"/>
    <d v="2019-03-06T06:40:29"/>
    <d v="2019-03-13T06:40:29"/>
    <d v="2019-03-13T06:40:29"/>
    <x v="8"/>
    <n v="70"/>
    <n v="106"/>
    <n v="797"/>
  </r>
  <r>
    <n v="990642"/>
    <x v="3"/>
    <s v="Delhi"/>
    <x v="2"/>
    <s v=" DL"/>
    <x v="2"/>
    <x v="0"/>
    <x v="0"/>
    <x v="1"/>
    <d v="2019-03-06T06:56:24"/>
    <d v="2019-03-07T06:56:24"/>
    <d v="2019-03-11T06:56:24"/>
    <x v="2"/>
    <n v="0"/>
    <n v="128"/>
    <n v="885"/>
  </r>
  <r>
    <n v="678370"/>
    <x v="3"/>
    <s v="Delhi"/>
    <x v="0"/>
    <s v=" MH"/>
    <x v="2"/>
    <x v="0"/>
    <x v="0"/>
    <x v="0"/>
    <d v="2019-03-06T07:56:12"/>
    <d v="2019-03-11T07:56:12"/>
    <d v="2019-03-09T07:56:12"/>
    <x v="9"/>
    <n v="37"/>
    <n v="109"/>
    <n v="3732.6775247228807"/>
  </r>
  <r>
    <n v="171605"/>
    <x v="3"/>
    <s v="Delhi"/>
    <x v="1"/>
    <s v=" TN"/>
    <x v="1"/>
    <x v="0"/>
    <x v="2"/>
    <x v="0"/>
    <d v="2019-03-06T08:24:55"/>
    <d v="2019-03-10T08:24:55"/>
    <d v="2019-03-09T08:24:55"/>
    <x v="6"/>
    <n v="38"/>
    <n v="128"/>
    <n v="1239.1062402396003"/>
  </r>
  <r>
    <n v="185004"/>
    <x v="3"/>
    <s v="Delhi"/>
    <x v="4"/>
    <s v=" WB"/>
    <x v="0"/>
    <x v="0"/>
    <x v="0"/>
    <x v="1"/>
    <d v="2019-03-06T08:59:03"/>
    <d v="2019-03-09T08:59:03"/>
    <d v="2019-03-09T08:59:03"/>
    <x v="4"/>
    <n v="82"/>
    <n v="88"/>
    <n v="713"/>
  </r>
  <r>
    <n v="351175"/>
    <x v="3"/>
    <s v="Bangalore"/>
    <x v="1"/>
    <s v=" TN"/>
    <x v="0"/>
    <x v="0"/>
    <x v="1"/>
    <x v="0"/>
    <d v="2019-03-06T10:14:42"/>
    <d v="2019-03-12T10:14:42"/>
    <d v="2019-03-12T10:14:42"/>
    <x v="3"/>
    <n v="83"/>
    <n v="107"/>
    <n v="3702.8621370771289"/>
  </r>
  <r>
    <n v="39978"/>
    <x v="3"/>
    <s v="Delhi"/>
    <x v="4"/>
    <s v=" WB"/>
    <x v="0"/>
    <x v="0"/>
    <x v="0"/>
    <x v="1"/>
    <d v="2019-03-06T11:48:17"/>
    <d v="2019-03-12T11:48:17"/>
    <d v="2019-03-13T11:48:17"/>
    <x v="3"/>
    <n v="66"/>
    <n v="90"/>
    <n v="2211"/>
  </r>
  <r>
    <n v="338024"/>
    <x v="3"/>
    <s v="Bangalore"/>
    <x v="0"/>
    <s v=" MH"/>
    <x v="0"/>
    <x v="0"/>
    <x v="0"/>
    <x v="0"/>
    <d v="2019-03-06T12:09:39"/>
    <d v="2019-03-08T12:09:39"/>
    <d v="2019-03-12T12:09:39"/>
    <x v="0"/>
    <n v="71"/>
    <n v="95"/>
    <n v="1394.4625308972329"/>
  </r>
  <r>
    <n v="803054"/>
    <x v="3"/>
    <s v="Delhi"/>
    <x v="0"/>
    <s v=" MH"/>
    <x v="0"/>
    <x v="0"/>
    <x v="0"/>
    <x v="0"/>
    <d v="2019-03-06T12:51:22"/>
    <d v="2019-03-08T12:51:22"/>
    <d v="2019-03-12T12:51:22"/>
    <x v="0"/>
    <n v="78"/>
    <n v="92"/>
    <n v="1204"/>
  </r>
  <r>
    <n v="77800"/>
    <x v="3"/>
    <s v="Bangalore"/>
    <x v="2"/>
    <s v=" DL"/>
    <x v="0"/>
    <x v="0"/>
    <x v="0"/>
    <x v="0"/>
    <d v="2019-03-06T13:14:12"/>
    <d v="2019-03-08T13:14:12"/>
    <d v="2019-03-13T13:14:12"/>
    <x v="0"/>
    <n v="46"/>
    <n v="124"/>
    <n v="1223"/>
  </r>
  <r>
    <n v="563095"/>
    <x v="3"/>
    <s v="Delhi"/>
    <x v="2"/>
    <s v=" DL"/>
    <x v="1"/>
    <x v="0"/>
    <x v="1"/>
    <x v="0"/>
    <d v="2019-03-06T13:30:32"/>
    <d v="2019-03-12T13:30:32"/>
    <d v="2019-03-09T13:30:32"/>
    <x v="3"/>
    <n v="0"/>
    <n v="121"/>
    <n v="2753.7043644730138"/>
  </r>
  <r>
    <n v="194778"/>
    <x v="3"/>
    <s v="Delhi"/>
    <x v="4"/>
    <s v=" WB"/>
    <x v="2"/>
    <x v="0"/>
    <x v="0"/>
    <x v="1"/>
    <d v="2019-03-06T13:53:55"/>
    <d v="2019-03-11T13:53:55"/>
    <d v="2019-03-09T13:53:55"/>
    <x v="9"/>
    <n v="26"/>
    <n v="115"/>
    <n v="386.64313876506475"/>
  </r>
  <r>
    <n v="920939"/>
    <x v="3"/>
    <s v="Bangalore"/>
    <x v="1"/>
    <s v=" TN"/>
    <x v="1"/>
    <x v="0"/>
    <x v="1"/>
    <x v="0"/>
    <d v="2019-03-06T14:15:09"/>
    <d v="2019-03-12T14:15:09"/>
    <d v="2019-03-13T14:15:09"/>
    <x v="3"/>
    <n v="38"/>
    <n v="129"/>
    <n v="2439"/>
  </r>
  <r>
    <n v="911492"/>
    <x v="3"/>
    <s v="Delhi"/>
    <x v="0"/>
    <s v=" MH"/>
    <x v="0"/>
    <x v="0"/>
    <x v="0"/>
    <x v="0"/>
    <d v="2019-03-06T14:49:56"/>
    <d v="2019-03-12T14:49:56"/>
    <d v="2019-03-13T14:49:56"/>
    <x v="3"/>
    <n v="33"/>
    <n v="105"/>
    <n v="1423.9850792214172"/>
  </r>
  <r>
    <n v="730307"/>
    <x v="3"/>
    <s v="Delhi"/>
    <x v="3"/>
    <s v=" KA"/>
    <x v="1"/>
    <x v="0"/>
    <x v="1"/>
    <x v="0"/>
    <d v="2019-03-06T14:51:23"/>
    <d v="2019-03-13T14:51:23"/>
    <d v="2019-03-10T14:51:23"/>
    <x v="8"/>
    <n v="47"/>
    <n v="127"/>
    <n v="2020.4009612632267"/>
  </r>
  <r>
    <n v="509788"/>
    <x v="3"/>
    <s v="Delhi"/>
    <x v="1"/>
    <s v=" TN"/>
    <x v="0"/>
    <x v="0"/>
    <x v="0"/>
    <x v="0"/>
    <d v="2019-03-06T14:53:49"/>
    <d v="2019-03-14T14:53:49"/>
    <d v="2019-03-11T14:53:49"/>
    <x v="5"/>
    <n v="50"/>
    <n v="122"/>
    <n v="2557.2973540476705"/>
  </r>
  <r>
    <n v="340634"/>
    <x v="3"/>
    <s v="Delhi"/>
    <x v="0"/>
    <s v=" MH"/>
    <x v="2"/>
    <x v="0"/>
    <x v="0"/>
    <x v="0"/>
    <d v="2019-03-06T15:22:44"/>
    <d v="2019-03-15T15:22:44"/>
    <d v="2019-03-09T15:22:44"/>
    <x v="1"/>
    <n v="34"/>
    <n v="113"/>
    <n v="549.70459573745541"/>
  </r>
  <r>
    <n v="339072"/>
    <x v="3"/>
    <s v="Delhi"/>
    <x v="2"/>
    <s v=" DL"/>
    <x v="0"/>
    <x v="0"/>
    <x v="0"/>
    <x v="1"/>
    <d v="2019-03-06T15:54:23"/>
    <d v="2019-03-06T15:54:23"/>
    <d v="2019-03-11T15:54:23"/>
    <x v="10"/>
    <n v="0"/>
    <n v="124"/>
    <n v="958"/>
  </r>
  <r>
    <n v="91382"/>
    <x v="3"/>
    <s v="Bangalore"/>
    <x v="0"/>
    <s v=" MH"/>
    <x v="2"/>
    <x v="0"/>
    <x v="0"/>
    <x v="0"/>
    <d v="2019-03-06T16:31:24"/>
    <d v="2019-03-12T16:31:24"/>
    <d v="2019-03-09T16:31:24"/>
    <x v="3"/>
    <n v="34"/>
    <n v="113"/>
    <n v="858.61328815312481"/>
  </r>
  <r>
    <n v="74196"/>
    <x v="3"/>
    <s v="Bangalore"/>
    <x v="0"/>
    <s v=" MH"/>
    <x v="0"/>
    <x v="0"/>
    <x v="0"/>
    <x v="1"/>
    <d v="2019-03-06T17:06:46"/>
    <d v="2019-03-10T17:06:46"/>
    <d v="2019-03-13T17:06:46"/>
    <x v="6"/>
    <n v="33"/>
    <n v="110"/>
    <n v="755.64673326789205"/>
  </r>
  <r>
    <n v="562703"/>
    <x v="3"/>
    <s v="Delhi"/>
    <x v="2"/>
    <s v=" DL"/>
    <x v="1"/>
    <x v="0"/>
    <x v="1"/>
    <x v="0"/>
    <d v="2019-03-06T17:53:46"/>
    <d v="2019-03-13T17:53:46"/>
    <d v="2019-03-10T17:53:46"/>
    <x v="8"/>
    <n v="0"/>
    <n v="123"/>
    <n v="1587.7298735328825"/>
  </r>
  <r>
    <n v="735316"/>
    <x v="3"/>
    <s v="Bangalore"/>
    <x v="0"/>
    <s v=" MH"/>
    <x v="0"/>
    <x v="0"/>
    <x v="0"/>
    <x v="0"/>
    <d v="2019-03-06T18:03:30"/>
    <d v="2019-03-10T18:03:30"/>
    <d v="2019-03-12T18:03:30"/>
    <x v="6"/>
    <n v="43"/>
    <n v="107"/>
    <n v="585"/>
  </r>
  <r>
    <n v="364852"/>
    <x v="3"/>
    <s v="Delhi"/>
    <x v="2"/>
    <s v=" DL"/>
    <x v="0"/>
    <x v="0"/>
    <x v="0"/>
    <x v="0"/>
    <d v="2019-03-06T18:51:48"/>
    <d v="2019-03-10T18:51:48"/>
    <d v="2019-03-09T18:51:48"/>
    <x v="6"/>
    <n v="0"/>
    <n v="123"/>
    <n v="2315"/>
  </r>
  <r>
    <n v="984162"/>
    <x v="3"/>
    <s v="Delhi"/>
    <x v="3"/>
    <s v=" KA"/>
    <x v="0"/>
    <x v="0"/>
    <x v="0"/>
    <x v="1"/>
    <d v="2019-03-06T19:39:03"/>
    <d v="2019-03-11T19:39:03"/>
    <d v="2019-03-10T19:39:03"/>
    <x v="9"/>
    <n v="66"/>
    <n v="106"/>
    <n v="1539.9331461870952"/>
  </r>
  <r>
    <n v="835558"/>
    <x v="3"/>
    <s v="Bangalore"/>
    <x v="4"/>
    <s v=" WB"/>
    <x v="2"/>
    <x v="0"/>
    <x v="0"/>
    <x v="0"/>
    <d v="2019-03-06T19:59:42"/>
    <d v="2019-03-09T19:59:42"/>
    <d v="2019-03-13T19:59:42"/>
    <x v="4"/>
    <n v="37"/>
    <n v="110"/>
    <n v="1558.463081358826"/>
  </r>
  <r>
    <n v="583371"/>
    <x v="3"/>
    <s v="Delhi"/>
    <x v="1"/>
    <s v=" TN"/>
    <x v="1"/>
    <x v="0"/>
    <x v="1"/>
    <x v="1"/>
    <d v="2019-03-06T20:41:26"/>
    <d v="2019-03-10T20:41:26"/>
    <d v="2019-03-11T20:41:26"/>
    <x v="6"/>
    <n v="47"/>
    <n v="124"/>
    <n v="2909.4468247028244"/>
  </r>
  <r>
    <n v="545810"/>
    <x v="3"/>
    <s v="Delhi"/>
    <x v="0"/>
    <s v=" MH"/>
    <x v="2"/>
    <x v="0"/>
    <x v="0"/>
    <x v="0"/>
    <d v="2019-03-06T20:44:15"/>
    <d v="2019-03-11T20:44:15"/>
    <d v="2019-03-09T20:44:15"/>
    <x v="9"/>
    <n v="44"/>
    <n v="108"/>
    <n v="1846"/>
  </r>
  <r>
    <n v="760796"/>
    <x v="3"/>
    <s v="Bangalore"/>
    <x v="0"/>
    <s v=" MH"/>
    <x v="0"/>
    <x v="0"/>
    <x v="0"/>
    <x v="0"/>
    <d v="2019-03-06T21:11:48"/>
    <d v="2019-03-11T21:11:48"/>
    <d v="2019-03-13T21:11:48"/>
    <x v="9"/>
    <n v="49"/>
    <n v="110"/>
    <n v="3204.7472417403819"/>
  </r>
  <r>
    <n v="247438"/>
    <x v="3"/>
    <s v="Delhi"/>
    <x v="4"/>
    <s v=" WB"/>
    <x v="0"/>
    <x v="0"/>
    <x v="0"/>
    <x v="0"/>
    <d v="2019-03-06T21:55:34"/>
    <d v="2019-03-10T21:55:34"/>
    <d v="2019-03-13T21:55:34"/>
    <x v="6"/>
    <n v="72"/>
    <n v="93"/>
    <n v="2452"/>
  </r>
  <r>
    <n v="585925"/>
    <x v="3"/>
    <s v="Delhi"/>
    <x v="1"/>
    <s v=" TN"/>
    <x v="0"/>
    <x v="0"/>
    <x v="1"/>
    <x v="0"/>
    <d v="2019-03-06T22:02:47"/>
    <d v="2019-03-13T22:02:47"/>
    <d v="2019-03-13T22:02:47"/>
    <x v="8"/>
    <n v="73"/>
    <n v="105"/>
    <n v="3058.973177947772"/>
  </r>
  <r>
    <n v="402023"/>
    <x v="3"/>
    <s v="Bangalore"/>
    <x v="0"/>
    <s v=" MH"/>
    <x v="1"/>
    <x v="0"/>
    <x v="1"/>
    <x v="0"/>
    <d v="2019-03-06T22:08:33"/>
    <d v="2019-03-13T22:08:33"/>
    <d v="2019-03-12T22:08:33"/>
    <x v="8"/>
    <n v="28"/>
    <n v="110"/>
    <n v="2479"/>
  </r>
  <r>
    <n v="873180"/>
    <x v="3"/>
    <s v="Bangalore"/>
    <x v="0"/>
    <s v=" MH"/>
    <x v="0"/>
    <x v="0"/>
    <x v="0"/>
    <x v="1"/>
    <d v="2019-03-06T23:47:38"/>
    <d v="2019-03-09T23:47:38"/>
    <d v="2019-03-13T23:47:38"/>
    <x v="4"/>
    <n v="83"/>
    <n v="92"/>
    <n v="3589.3815944574367"/>
  </r>
  <r>
    <n v="946438"/>
    <x v="3"/>
    <s v="Bangalore"/>
    <x v="1"/>
    <s v=" TN"/>
    <x v="2"/>
    <x v="0"/>
    <x v="0"/>
    <x v="0"/>
    <d v="2019-03-07T00:00:37"/>
    <d v="2019-03-10T00:00:37"/>
    <d v="2019-03-11T00:00:37"/>
    <x v="4"/>
    <n v="49"/>
    <n v="123"/>
    <n v="1586"/>
  </r>
  <r>
    <n v="881099"/>
    <x v="3"/>
    <s v="Delhi"/>
    <x v="0"/>
    <s v=" MH"/>
    <x v="1"/>
    <x v="0"/>
    <x v="1"/>
    <x v="0"/>
    <d v="2019-03-07T00:19:38"/>
    <d v="2019-03-14T00:19:38"/>
    <d v="2019-03-12T00:19:38"/>
    <x v="8"/>
    <n v="34"/>
    <n v="115"/>
    <n v="3413.7379843294061"/>
  </r>
  <r>
    <n v="649086"/>
    <x v="3"/>
    <s v="Delhi"/>
    <x v="0"/>
    <s v=" MH"/>
    <x v="2"/>
    <x v="0"/>
    <x v="0"/>
    <x v="1"/>
    <d v="2019-03-07T00:34:44"/>
    <d v="2019-03-16T00:34:44"/>
    <d v="2019-03-11T00:34:44"/>
    <x v="1"/>
    <n v="31"/>
    <n v="107"/>
    <n v="3384.2526483817428"/>
  </r>
  <r>
    <n v="715064"/>
    <x v="3"/>
    <s v="Delhi"/>
    <x v="1"/>
    <s v=" TN"/>
    <x v="0"/>
    <x v="0"/>
    <x v="0"/>
    <x v="0"/>
    <d v="2019-03-07T00:50:48"/>
    <d v="2019-03-16T00:50:48"/>
    <d v="2019-03-12T00:50:48"/>
    <x v="1"/>
    <n v="33"/>
    <n v="126"/>
    <n v="2584.3135490774043"/>
  </r>
  <r>
    <n v="69781"/>
    <x v="3"/>
    <s v="Delhi"/>
    <x v="3"/>
    <s v=" KA"/>
    <x v="0"/>
    <x v="0"/>
    <x v="1"/>
    <x v="0"/>
    <d v="2019-03-07T01:06:45"/>
    <d v="2019-03-09T01:06:45"/>
    <d v="2019-03-10T01:06:45"/>
    <x v="0"/>
    <n v="66"/>
    <n v="102"/>
    <n v="1405"/>
  </r>
  <r>
    <n v="670889"/>
    <x v="3"/>
    <s v="Delhi"/>
    <x v="0"/>
    <s v=" MH"/>
    <x v="1"/>
    <x v="0"/>
    <x v="1"/>
    <x v="0"/>
    <d v="2019-03-07T01:11:18"/>
    <d v="2019-03-11T01:11:18"/>
    <d v="2019-03-11T01:11:18"/>
    <x v="6"/>
    <n v="33"/>
    <n v="106"/>
    <n v="3375.4402040025589"/>
  </r>
  <r>
    <n v="127389"/>
    <x v="3"/>
    <s v="Delhi"/>
    <x v="2"/>
    <s v=" DL"/>
    <x v="1"/>
    <x v="0"/>
    <x v="1"/>
    <x v="1"/>
    <d v="2019-03-07T01:14:09"/>
    <d v="2019-03-08T01:14:09"/>
    <d v="2019-03-11T01:14:09"/>
    <x v="2"/>
    <n v="0"/>
    <n v="126"/>
    <n v="1505.3555049444194"/>
  </r>
  <r>
    <n v="578340"/>
    <x v="3"/>
    <s v="Delhi"/>
    <x v="3"/>
    <s v=" KA"/>
    <x v="0"/>
    <x v="0"/>
    <x v="0"/>
    <x v="1"/>
    <d v="2019-03-07T02:21:16"/>
    <d v="2019-03-13T02:21:16"/>
    <d v="2019-03-12T02:21:16"/>
    <x v="3"/>
    <n v="49"/>
    <n v="129"/>
    <n v="1113.4313607457195"/>
  </r>
  <r>
    <n v="274430"/>
    <x v="3"/>
    <s v="Bangalore"/>
    <x v="0"/>
    <s v=" MH"/>
    <x v="0"/>
    <x v="0"/>
    <x v="0"/>
    <x v="0"/>
    <d v="2019-03-07T02:34:28"/>
    <d v="2019-03-09T02:34:28"/>
    <d v="2019-03-13T02:34:28"/>
    <x v="0"/>
    <n v="90"/>
    <n v="93"/>
    <n v="796.54167239450987"/>
  </r>
  <r>
    <n v="499441"/>
    <x v="3"/>
    <s v="Bangalore"/>
    <x v="3"/>
    <s v=" KA"/>
    <x v="1"/>
    <x v="0"/>
    <x v="1"/>
    <x v="0"/>
    <d v="2019-03-07T02:35:26"/>
    <d v="2019-03-07T02:35:26"/>
    <d v="2019-03-10T02:35:26"/>
    <x v="10"/>
    <n v="0"/>
    <n v="126"/>
    <n v="744"/>
  </r>
  <r>
    <n v="942567"/>
    <x v="3"/>
    <s v="Delhi"/>
    <x v="2"/>
    <s v=" DL"/>
    <x v="1"/>
    <x v="0"/>
    <x v="1"/>
    <x v="1"/>
    <d v="2019-03-07T02:46:27"/>
    <d v="2019-03-11T02:46:27"/>
    <d v="2019-03-10T02:46:27"/>
    <x v="6"/>
    <n v="0"/>
    <n v="128"/>
    <n v="2097.3668282480239"/>
  </r>
  <r>
    <n v="808856"/>
    <x v="3"/>
    <s v="Bangalore"/>
    <x v="4"/>
    <s v=" WB"/>
    <x v="0"/>
    <x v="0"/>
    <x v="0"/>
    <x v="0"/>
    <d v="2019-03-07T02:47:59"/>
    <d v="2019-03-12T02:47:59"/>
    <d v="2019-03-13T02:47:59"/>
    <x v="9"/>
    <n v="32"/>
    <n v="107"/>
    <n v="2853.8790362597838"/>
  </r>
  <r>
    <n v="893289"/>
    <x v="3"/>
    <s v="Bangalore"/>
    <x v="2"/>
    <s v=" DL"/>
    <x v="1"/>
    <x v="0"/>
    <x v="1"/>
    <x v="1"/>
    <d v="2019-03-07T03:15:02"/>
    <d v="2019-03-16T03:15:02"/>
    <d v="2019-03-14T03:15:02"/>
    <x v="1"/>
    <n v="42"/>
    <n v="123"/>
    <n v="2226"/>
  </r>
  <r>
    <n v="236596"/>
    <x v="3"/>
    <s v="Bangalore"/>
    <x v="2"/>
    <s v=" DL"/>
    <x v="0"/>
    <x v="0"/>
    <x v="0"/>
    <x v="0"/>
    <d v="2019-03-07T04:10:38"/>
    <d v="2019-03-09T04:10:38"/>
    <d v="2019-03-12T04:10:38"/>
    <x v="0"/>
    <n v="35"/>
    <n v="128"/>
    <n v="1088"/>
  </r>
  <r>
    <n v="107165"/>
    <x v="3"/>
    <s v="Bangalore"/>
    <x v="3"/>
    <s v=" KA"/>
    <x v="1"/>
    <x v="0"/>
    <x v="1"/>
    <x v="0"/>
    <d v="2019-03-07T04:42:28"/>
    <d v="2019-03-07T04:42:28"/>
    <d v="2019-03-13T04:42:28"/>
    <x v="10"/>
    <n v="0"/>
    <n v="121"/>
    <n v="2555.3837136830111"/>
  </r>
  <r>
    <n v="327912"/>
    <x v="3"/>
    <s v="Delhi"/>
    <x v="3"/>
    <s v=" KA"/>
    <x v="0"/>
    <x v="0"/>
    <x v="0"/>
    <x v="1"/>
    <d v="2019-03-07T05:07:25"/>
    <d v="2019-03-12T05:07:25"/>
    <d v="2019-03-13T05:07:25"/>
    <x v="9"/>
    <n v="25"/>
    <n v="124"/>
    <n v="510"/>
  </r>
  <r>
    <n v="537344"/>
    <x v="3"/>
    <s v="Delhi"/>
    <x v="2"/>
    <s v=" DL"/>
    <x v="0"/>
    <x v="0"/>
    <x v="0"/>
    <x v="0"/>
    <d v="2019-03-07T05:09:07"/>
    <d v="2019-03-11T05:09:07"/>
    <d v="2019-03-14T05:09:07"/>
    <x v="6"/>
    <n v="0"/>
    <n v="108"/>
    <n v="1666.8138811433321"/>
  </r>
  <r>
    <n v="913213"/>
    <x v="3"/>
    <s v="Bangalore"/>
    <x v="2"/>
    <s v=" DL"/>
    <x v="1"/>
    <x v="0"/>
    <x v="2"/>
    <x v="0"/>
    <d v="2019-03-07T05:50:49"/>
    <d v="2019-03-11T05:50:49"/>
    <d v="2019-03-14T05:50:49"/>
    <x v="6"/>
    <n v="31"/>
    <n v="129"/>
    <n v="3205.651483431775"/>
  </r>
  <r>
    <n v="685854"/>
    <x v="3"/>
    <s v="Delhi"/>
    <x v="1"/>
    <s v=" TN"/>
    <x v="2"/>
    <x v="0"/>
    <x v="0"/>
    <x v="1"/>
    <d v="2019-03-07T06:08:33"/>
    <d v="2019-03-11T06:08:33"/>
    <d v="2019-03-12T06:08:33"/>
    <x v="6"/>
    <n v="36"/>
    <n v="123"/>
    <n v="3076.5777498419702"/>
  </r>
  <r>
    <n v="305469"/>
    <x v="3"/>
    <s v="Delhi"/>
    <x v="3"/>
    <s v=" KA"/>
    <x v="1"/>
    <x v="0"/>
    <x v="1"/>
    <x v="1"/>
    <d v="2019-03-07T06:36:18"/>
    <d v="2019-03-15T06:36:18"/>
    <d v="2019-03-11T06:36:18"/>
    <x v="5"/>
    <n v="25"/>
    <n v="122"/>
    <n v="3183.8633377210895"/>
  </r>
  <r>
    <n v="767383"/>
    <x v="3"/>
    <s v="Bangalore"/>
    <x v="0"/>
    <s v=" MH"/>
    <x v="1"/>
    <x v="0"/>
    <x v="1"/>
    <x v="0"/>
    <d v="2019-03-07T07:18:03"/>
    <d v="2019-03-11T07:18:03"/>
    <d v="2019-03-10T07:18:03"/>
    <x v="6"/>
    <n v="36"/>
    <n v="110"/>
    <n v="3512.3023263576692"/>
  </r>
  <r>
    <n v="938228"/>
    <x v="3"/>
    <s v="Delhi"/>
    <x v="2"/>
    <s v=" DL"/>
    <x v="0"/>
    <x v="0"/>
    <x v="0"/>
    <x v="0"/>
    <d v="2019-03-07T07:43:22"/>
    <d v="2019-03-07T07:43:22"/>
    <d v="2019-03-13T07:43:22"/>
    <x v="10"/>
    <n v="0"/>
    <n v="123"/>
    <n v="1577.6698667268131"/>
  </r>
  <r>
    <n v="750733"/>
    <x v="3"/>
    <s v="Delhi"/>
    <x v="2"/>
    <s v=" DL"/>
    <x v="1"/>
    <x v="0"/>
    <x v="1"/>
    <x v="0"/>
    <d v="2019-03-07T07:45:21"/>
    <d v="2019-03-13T07:45:21"/>
    <d v="2019-03-13T07:45:21"/>
    <x v="3"/>
    <n v="0"/>
    <n v="127"/>
    <n v="412.71376096657571"/>
  </r>
  <r>
    <n v="198193"/>
    <x v="3"/>
    <s v="Delhi"/>
    <x v="3"/>
    <s v=" KA"/>
    <x v="1"/>
    <x v="0"/>
    <x v="1"/>
    <x v="0"/>
    <d v="2019-03-07T07:45:54"/>
    <d v="2019-03-14T07:45:54"/>
    <d v="2019-03-14T07:45:54"/>
    <x v="8"/>
    <n v="46"/>
    <n v="128"/>
    <n v="663"/>
  </r>
  <r>
    <n v="236384"/>
    <x v="3"/>
    <s v="Delhi"/>
    <x v="0"/>
    <s v=" MH"/>
    <x v="0"/>
    <x v="0"/>
    <x v="0"/>
    <x v="0"/>
    <d v="2019-03-07T08:19:03"/>
    <d v="2019-03-11T08:19:03"/>
    <d v="2019-03-11T08:19:03"/>
    <x v="6"/>
    <n v="40"/>
    <n v="113"/>
    <n v="1356.1112401582648"/>
  </r>
  <r>
    <n v="105878"/>
    <x v="3"/>
    <s v="Delhi"/>
    <x v="2"/>
    <s v=" DL"/>
    <x v="2"/>
    <x v="0"/>
    <x v="0"/>
    <x v="0"/>
    <d v="2019-03-07T08:51:24"/>
    <d v="2019-03-14T08:51:24"/>
    <d v="2019-03-10T08:51:24"/>
    <x v="8"/>
    <n v="0"/>
    <n v="124"/>
    <n v="2658.0460798235058"/>
  </r>
  <r>
    <n v="730428"/>
    <x v="3"/>
    <s v="Bangalore"/>
    <x v="2"/>
    <s v=" DL"/>
    <x v="0"/>
    <x v="0"/>
    <x v="0"/>
    <x v="1"/>
    <d v="2019-03-07T08:53:27"/>
    <d v="2019-03-10T08:53:27"/>
    <d v="2019-03-12T08:53:27"/>
    <x v="4"/>
    <n v="31"/>
    <n v="120"/>
    <n v="1271"/>
  </r>
  <r>
    <n v="228999"/>
    <x v="3"/>
    <s v="Delhi"/>
    <x v="3"/>
    <s v=" KA"/>
    <x v="1"/>
    <x v="0"/>
    <x v="1"/>
    <x v="1"/>
    <d v="2019-03-07T09:41:21"/>
    <d v="2019-03-15T09:41:21"/>
    <d v="2019-03-13T09:41:21"/>
    <x v="5"/>
    <n v="30"/>
    <n v="130"/>
    <n v="417.21088735174197"/>
  </r>
  <r>
    <n v="270436"/>
    <x v="3"/>
    <s v="Delhi"/>
    <x v="2"/>
    <s v=" DL"/>
    <x v="0"/>
    <x v="0"/>
    <x v="0"/>
    <x v="0"/>
    <d v="2019-03-07T10:32:37"/>
    <d v="2019-03-11T10:32:37"/>
    <d v="2019-03-14T10:32:37"/>
    <x v="6"/>
    <n v="0"/>
    <n v="128"/>
    <n v="1078.6240317692011"/>
  </r>
  <r>
    <n v="727970"/>
    <x v="3"/>
    <s v="Bangalore"/>
    <x v="2"/>
    <s v=" DL"/>
    <x v="2"/>
    <x v="0"/>
    <x v="0"/>
    <x v="0"/>
    <d v="2019-03-07T11:02:26"/>
    <d v="2019-03-12T11:02:26"/>
    <d v="2019-03-11T11:02:26"/>
    <x v="9"/>
    <n v="40"/>
    <n v="124"/>
    <n v="3490.7701870033557"/>
  </r>
  <r>
    <n v="803843"/>
    <x v="3"/>
    <s v="Delhi"/>
    <x v="3"/>
    <s v=" KA"/>
    <x v="1"/>
    <x v="0"/>
    <x v="1"/>
    <x v="0"/>
    <d v="2019-03-07T12:01:20"/>
    <d v="2019-03-17T12:01:20"/>
    <d v="2019-03-12T12:01:20"/>
    <x v="7"/>
    <n v="35"/>
    <n v="121"/>
    <n v="2199"/>
  </r>
  <r>
    <n v="269235"/>
    <x v="3"/>
    <s v="Delhi"/>
    <x v="0"/>
    <s v=" MH"/>
    <x v="0"/>
    <x v="0"/>
    <x v="1"/>
    <x v="1"/>
    <d v="2019-03-07T12:37:00"/>
    <d v="2019-03-09T12:37:00"/>
    <d v="2019-03-11T12:37:00"/>
    <x v="0"/>
    <n v="80"/>
    <n v="93"/>
    <n v="2325.5826378715287"/>
  </r>
  <r>
    <n v="94497"/>
    <x v="3"/>
    <s v="Delhi"/>
    <x v="0"/>
    <s v=" MH"/>
    <x v="1"/>
    <x v="0"/>
    <x v="1"/>
    <x v="1"/>
    <d v="2019-03-07T12:37:09"/>
    <d v="2019-03-12T12:37:09"/>
    <d v="2019-03-14T12:37:09"/>
    <x v="9"/>
    <n v="33"/>
    <n v="107"/>
    <n v="3416"/>
  </r>
  <r>
    <n v="654204"/>
    <x v="3"/>
    <s v="Delhi"/>
    <x v="1"/>
    <s v=" TN"/>
    <x v="0"/>
    <x v="0"/>
    <x v="0"/>
    <x v="1"/>
    <d v="2019-03-07T12:47:04"/>
    <d v="2019-03-13T12:47:04"/>
    <d v="2019-03-11T12:47:04"/>
    <x v="3"/>
    <n v="25"/>
    <n v="121"/>
    <n v="3591"/>
  </r>
  <r>
    <n v="552021"/>
    <x v="3"/>
    <s v="Delhi"/>
    <x v="4"/>
    <s v=" WB"/>
    <x v="1"/>
    <x v="0"/>
    <x v="1"/>
    <x v="1"/>
    <d v="2019-03-07T13:04:36"/>
    <d v="2019-03-13T13:04:36"/>
    <d v="2019-03-11T13:04:36"/>
    <x v="3"/>
    <n v="32"/>
    <n v="112"/>
    <n v="3499.9407681466391"/>
  </r>
  <r>
    <n v="447305"/>
    <x v="3"/>
    <s v="Delhi"/>
    <x v="2"/>
    <s v=" DL"/>
    <x v="0"/>
    <x v="0"/>
    <x v="1"/>
    <x v="0"/>
    <d v="2019-03-07T13:27:33"/>
    <d v="2019-03-11T13:27:33"/>
    <d v="2019-03-13T13:27:33"/>
    <x v="6"/>
    <n v="0"/>
    <n v="108"/>
    <n v="424.12942129479688"/>
  </r>
  <r>
    <n v="571843"/>
    <x v="3"/>
    <s v="Bangalore"/>
    <x v="4"/>
    <s v=" WB"/>
    <x v="1"/>
    <x v="0"/>
    <x v="1"/>
    <x v="0"/>
    <d v="2019-03-07T14:58:00"/>
    <d v="2019-03-09T14:58:00"/>
    <d v="2019-03-12T14:58:00"/>
    <x v="0"/>
    <n v="32"/>
    <n v="113"/>
    <n v="2521.7803064290251"/>
  </r>
  <r>
    <n v="259262"/>
    <x v="3"/>
    <s v="Delhi"/>
    <x v="3"/>
    <s v=" KA"/>
    <x v="2"/>
    <x v="0"/>
    <x v="0"/>
    <x v="0"/>
    <d v="2019-03-07T16:56:28"/>
    <d v="2019-03-16T16:56:28"/>
    <d v="2019-03-10T16:56:28"/>
    <x v="1"/>
    <n v="35"/>
    <n v="122"/>
    <n v="1604.2223426456162"/>
  </r>
  <r>
    <n v="565850"/>
    <x v="3"/>
    <s v="Delhi"/>
    <x v="4"/>
    <s v=" WB"/>
    <x v="2"/>
    <x v="0"/>
    <x v="0"/>
    <x v="0"/>
    <d v="2019-03-07T17:01:16"/>
    <d v="2019-03-14T17:01:16"/>
    <d v="2019-03-10T17:01:16"/>
    <x v="8"/>
    <n v="45"/>
    <n v="115"/>
    <n v="1338"/>
  </r>
  <r>
    <n v="741278"/>
    <x v="3"/>
    <s v="Delhi"/>
    <x v="3"/>
    <s v=" KA"/>
    <x v="0"/>
    <x v="0"/>
    <x v="0"/>
    <x v="0"/>
    <d v="2019-03-07T17:16:00"/>
    <d v="2019-03-09T17:16:00"/>
    <d v="2019-03-11T17:16:00"/>
    <x v="0"/>
    <n v="62"/>
    <n v="103"/>
    <n v="3437"/>
  </r>
  <r>
    <n v="463089"/>
    <x v="3"/>
    <s v="Bangalore"/>
    <x v="1"/>
    <s v=" TN"/>
    <x v="1"/>
    <x v="0"/>
    <x v="1"/>
    <x v="1"/>
    <d v="2019-03-07T17:46:10"/>
    <d v="2019-03-09T17:46:10"/>
    <d v="2019-03-13T17:46:10"/>
    <x v="0"/>
    <n v="33"/>
    <n v="130"/>
    <n v="1424"/>
  </r>
  <r>
    <n v="188281"/>
    <x v="3"/>
    <s v="Bangalore"/>
    <x v="0"/>
    <s v=" MH"/>
    <x v="0"/>
    <x v="0"/>
    <x v="1"/>
    <x v="0"/>
    <d v="2019-03-07T19:12:01"/>
    <d v="2019-03-11T19:12:01"/>
    <d v="2019-03-14T19:12:01"/>
    <x v="6"/>
    <n v="77"/>
    <n v="94"/>
    <n v="844.77529370773652"/>
  </r>
  <r>
    <n v="315560"/>
    <x v="3"/>
    <s v="Bangalore"/>
    <x v="0"/>
    <s v=" MH"/>
    <x v="0"/>
    <x v="0"/>
    <x v="0"/>
    <x v="0"/>
    <d v="2019-03-07T20:37:51"/>
    <d v="2019-03-11T20:37:51"/>
    <d v="2019-03-10T20:37:51"/>
    <x v="6"/>
    <n v="34"/>
    <n v="113"/>
    <n v="1602.763129694765"/>
  </r>
  <r>
    <n v="763493"/>
    <x v="3"/>
    <s v="Bangalore"/>
    <x v="2"/>
    <s v=" DL"/>
    <x v="1"/>
    <x v="0"/>
    <x v="1"/>
    <x v="0"/>
    <d v="2019-03-07T20:51:02"/>
    <d v="2019-03-13T20:51:02"/>
    <d v="2019-03-13T20:51:02"/>
    <x v="3"/>
    <n v="41"/>
    <n v="129"/>
    <n v="2937.5357692796379"/>
  </r>
  <r>
    <n v="81003"/>
    <x v="3"/>
    <s v="Delhi"/>
    <x v="3"/>
    <s v=" KA"/>
    <x v="0"/>
    <x v="0"/>
    <x v="1"/>
    <x v="1"/>
    <d v="2019-03-07T21:00:49"/>
    <d v="2019-03-10T21:00:49"/>
    <d v="2019-03-11T21:00:49"/>
    <x v="4"/>
    <n v="0"/>
    <n v="100"/>
    <n v="2922.3302422472429"/>
  </r>
  <r>
    <n v="47425"/>
    <x v="3"/>
    <s v="Bangalore"/>
    <x v="0"/>
    <s v=" MH"/>
    <x v="1"/>
    <x v="0"/>
    <x v="2"/>
    <x v="0"/>
    <d v="2019-03-07T21:44:29"/>
    <d v="2019-03-10T21:44:29"/>
    <d v="2019-03-10T21:44:29"/>
    <x v="4"/>
    <n v="26"/>
    <n v="112"/>
    <n v="3402"/>
  </r>
  <r>
    <n v="467562"/>
    <x v="3"/>
    <s v="Delhi"/>
    <x v="0"/>
    <s v=" MH"/>
    <x v="2"/>
    <x v="0"/>
    <x v="0"/>
    <x v="1"/>
    <d v="2019-03-07T21:46:05"/>
    <d v="2019-03-10T21:46:05"/>
    <d v="2019-03-11T21:46:05"/>
    <x v="4"/>
    <n v="32"/>
    <n v="106"/>
    <n v="2957.2570233785004"/>
  </r>
  <r>
    <n v="566112"/>
    <x v="3"/>
    <s v="Bangalore"/>
    <x v="0"/>
    <s v=" MH"/>
    <x v="0"/>
    <x v="0"/>
    <x v="0"/>
    <x v="1"/>
    <d v="2019-03-07T22:14:38"/>
    <d v="2019-03-09T22:14:38"/>
    <d v="2019-03-12T22:14:38"/>
    <x v="0"/>
    <n v="42"/>
    <n v="112"/>
    <n v="557"/>
  </r>
  <r>
    <n v="698718"/>
    <x v="3"/>
    <s v="Delhi"/>
    <x v="2"/>
    <s v=" DL"/>
    <x v="2"/>
    <x v="0"/>
    <x v="0"/>
    <x v="1"/>
    <d v="2019-03-07T22:41:33"/>
    <d v="2019-03-10T22:41:33"/>
    <d v="2019-03-14T22:41:33"/>
    <x v="4"/>
    <n v="0"/>
    <n v="126"/>
    <n v="2625"/>
  </r>
  <r>
    <n v="342582"/>
    <x v="3"/>
    <s v="Bangalore"/>
    <x v="0"/>
    <s v=" MH"/>
    <x v="2"/>
    <x v="0"/>
    <x v="0"/>
    <x v="1"/>
    <d v="2019-03-07T22:43:30"/>
    <d v="2019-03-14T22:43:30"/>
    <d v="2019-03-11T22:43:30"/>
    <x v="8"/>
    <n v="39"/>
    <n v="109"/>
    <n v="331"/>
  </r>
  <r>
    <n v="256686"/>
    <x v="3"/>
    <s v="Bangalore"/>
    <x v="0"/>
    <s v=" MH"/>
    <x v="2"/>
    <x v="0"/>
    <x v="0"/>
    <x v="1"/>
    <d v="2019-03-07T22:45:57"/>
    <d v="2019-03-13T22:45:57"/>
    <d v="2019-03-12T22:45:57"/>
    <x v="3"/>
    <n v="47"/>
    <n v="109"/>
    <n v="2315.6778282450914"/>
  </r>
  <r>
    <n v="319228"/>
    <x v="3"/>
    <s v="Bangalore"/>
    <x v="0"/>
    <s v=" MH"/>
    <x v="0"/>
    <x v="0"/>
    <x v="0"/>
    <x v="0"/>
    <d v="2019-03-07T22:59:56"/>
    <d v="2019-03-13T22:59:56"/>
    <d v="2019-03-12T22:59:56"/>
    <x v="3"/>
    <n v="69"/>
    <n v="91"/>
    <n v="1440.8983949530736"/>
  </r>
  <r>
    <n v="199108"/>
    <x v="3"/>
    <s v="Delhi"/>
    <x v="1"/>
    <s v=" TN"/>
    <x v="0"/>
    <x v="0"/>
    <x v="0"/>
    <x v="0"/>
    <d v="2019-03-07T23:11:24"/>
    <d v="2019-03-14T23:11:24"/>
    <d v="2019-03-13T23:11:24"/>
    <x v="8"/>
    <n v="25"/>
    <n v="121"/>
    <n v="1298"/>
  </r>
  <r>
    <n v="940602"/>
    <x v="3"/>
    <s v="Bangalore"/>
    <x v="3"/>
    <s v=" KA"/>
    <x v="2"/>
    <x v="0"/>
    <x v="0"/>
    <x v="1"/>
    <d v="2019-03-07T23:16:49"/>
    <d v="2019-03-08T23:16:49"/>
    <d v="2019-03-11T23:16:49"/>
    <x v="2"/>
    <n v="0"/>
    <n v="125"/>
    <n v="872.4095040224538"/>
  </r>
  <r>
    <n v="222111"/>
    <x v="3"/>
    <s v="Bangalore"/>
    <x v="2"/>
    <s v=" DL"/>
    <x v="1"/>
    <x v="0"/>
    <x v="1"/>
    <x v="1"/>
    <d v="2019-03-07T23:24:14"/>
    <d v="2019-03-13T23:24:14"/>
    <d v="2019-03-13T23:24:14"/>
    <x v="3"/>
    <n v="38"/>
    <n v="120"/>
    <n v="2440"/>
  </r>
  <r>
    <n v="238007"/>
    <x v="3"/>
    <s v="Delhi"/>
    <x v="2"/>
    <s v=" DL"/>
    <x v="1"/>
    <x v="0"/>
    <x v="2"/>
    <x v="0"/>
    <d v="2019-03-07T23:45:34"/>
    <d v="2019-03-09T23:45:34"/>
    <d v="2019-03-13T23:45:34"/>
    <x v="0"/>
    <n v="0"/>
    <n v="128"/>
    <n v="2334.8356500878267"/>
  </r>
  <r>
    <n v="354943"/>
    <x v="3"/>
    <s v="Delhi"/>
    <x v="2"/>
    <s v=" DL"/>
    <x v="1"/>
    <x v="0"/>
    <x v="1"/>
    <x v="0"/>
    <d v="2019-03-08T00:10:14"/>
    <d v="2019-03-09T00:10:14"/>
    <d v="2019-03-12T00:10:14"/>
    <x v="2"/>
    <n v="0"/>
    <n v="129"/>
    <n v="3448"/>
  </r>
  <r>
    <n v="89269"/>
    <x v="3"/>
    <s v="Bangalore"/>
    <x v="3"/>
    <s v=" KA"/>
    <x v="0"/>
    <x v="0"/>
    <x v="1"/>
    <x v="0"/>
    <d v="2019-03-08T00:13:40"/>
    <d v="2019-03-09T00:13:40"/>
    <d v="2019-03-13T00:13:40"/>
    <x v="2"/>
    <n v="0"/>
    <n v="108"/>
    <n v="1756"/>
  </r>
  <r>
    <n v="111513"/>
    <x v="3"/>
    <s v="Delhi"/>
    <x v="3"/>
    <s v=" KA"/>
    <x v="1"/>
    <x v="0"/>
    <x v="1"/>
    <x v="1"/>
    <d v="2019-03-08T00:32:35"/>
    <d v="2019-03-16T00:32:35"/>
    <d v="2019-03-14T00:32:35"/>
    <x v="5"/>
    <n v="41"/>
    <n v="129"/>
    <n v="3418"/>
  </r>
  <r>
    <n v="530172"/>
    <x v="3"/>
    <s v="Bangalore"/>
    <x v="1"/>
    <s v=" TN"/>
    <x v="0"/>
    <x v="0"/>
    <x v="0"/>
    <x v="1"/>
    <d v="2019-03-08T00:42:35"/>
    <d v="2019-03-16T00:42:35"/>
    <d v="2019-03-15T00:42:35"/>
    <x v="5"/>
    <n v="89"/>
    <n v="104"/>
    <n v="3697.5908302901967"/>
  </r>
  <r>
    <n v="894964"/>
    <x v="3"/>
    <s v="Delhi"/>
    <x v="1"/>
    <s v=" TN"/>
    <x v="0"/>
    <x v="0"/>
    <x v="0"/>
    <x v="0"/>
    <d v="2019-03-08T00:47:21"/>
    <d v="2019-03-15T00:47:21"/>
    <d v="2019-03-13T00:47:21"/>
    <x v="8"/>
    <n v="67"/>
    <n v="106"/>
    <n v="483"/>
  </r>
  <r>
    <n v="246135"/>
    <x v="3"/>
    <s v="Delhi"/>
    <x v="3"/>
    <s v=" KA"/>
    <x v="1"/>
    <x v="0"/>
    <x v="1"/>
    <x v="1"/>
    <d v="2019-03-08T01:09:11"/>
    <d v="2019-03-18T01:09:11"/>
    <d v="2019-03-12T01:09:11"/>
    <x v="7"/>
    <n v="31"/>
    <n v="130"/>
    <n v="1771.7300201475605"/>
  </r>
  <r>
    <n v="443245"/>
    <x v="3"/>
    <s v="Bangalore"/>
    <x v="2"/>
    <s v=" DL"/>
    <x v="1"/>
    <x v="0"/>
    <x v="1"/>
    <x v="0"/>
    <d v="2019-03-08T02:14:38"/>
    <d v="2019-03-11T02:14:38"/>
    <d v="2019-03-13T02:14:38"/>
    <x v="4"/>
    <n v="30"/>
    <n v="125"/>
    <n v="2074.543630595268"/>
  </r>
  <r>
    <n v="256427"/>
    <x v="3"/>
    <s v="Delhi"/>
    <x v="3"/>
    <s v=" KA"/>
    <x v="0"/>
    <x v="0"/>
    <x v="1"/>
    <x v="0"/>
    <d v="2019-03-08T02:46:17"/>
    <d v="2019-03-12T02:46:17"/>
    <d v="2019-03-15T02:46:17"/>
    <x v="6"/>
    <n v="63"/>
    <n v="103"/>
    <n v="1768"/>
  </r>
  <r>
    <n v="126668"/>
    <x v="3"/>
    <s v="Bangalore"/>
    <x v="1"/>
    <s v=" TN"/>
    <x v="0"/>
    <x v="0"/>
    <x v="0"/>
    <x v="0"/>
    <d v="2019-03-08T02:51:16"/>
    <d v="2019-03-13T02:51:16"/>
    <d v="2019-03-13T02:51:16"/>
    <x v="9"/>
    <n v="39"/>
    <n v="122"/>
    <n v="873"/>
  </r>
  <r>
    <n v="78131"/>
    <x v="3"/>
    <s v="Bangalore"/>
    <x v="0"/>
    <s v=" MH"/>
    <x v="1"/>
    <x v="0"/>
    <x v="1"/>
    <x v="0"/>
    <d v="2019-03-08T03:37:08"/>
    <d v="2019-03-12T03:37:08"/>
    <d v="2019-03-12T03:37:08"/>
    <x v="6"/>
    <n v="40"/>
    <n v="110"/>
    <n v="1538"/>
  </r>
  <r>
    <n v="578123"/>
    <x v="3"/>
    <s v="Delhi"/>
    <x v="0"/>
    <s v=" MH"/>
    <x v="0"/>
    <x v="0"/>
    <x v="2"/>
    <x v="0"/>
    <d v="2019-03-08T03:42:23"/>
    <d v="2019-03-10T03:42:23"/>
    <d v="2019-03-13T03:42:23"/>
    <x v="0"/>
    <n v="65"/>
    <n v="88"/>
    <n v="1544.099829808767"/>
  </r>
  <r>
    <n v="847528"/>
    <x v="3"/>
    <s v="Delhi"/>
    <x v="3"/>
    <s v=" KA"/>
    <x v="0"/>
    <x v="0"/>
    <x v="0"/>
    <x v="0"/>
    <d v="2019-03-08T03:47:26"/>
    <d v="2019-03-12T03:47:26"/>
    <d v="2019-03-11T03:47:26"/>
    <x v="6"/>
    <n v="59"/>
    <n v="108"/>
    <n v="1132.5579951264756"/>
  </r>
  <r>
    <n v="863770"/>
    <x v="3"/>
    <s v="Delhi"/>
    <x v="4"/>
    <s v=" WB"/>
    <x v="0"/>
    <x v="0"/>
    <x v="0"/>
    <x v="0"/>
    <d v="2019-03-08T04:06:12"/>
    <d v="2019-03-17T04:06:12"/>
    <d v="2019-03-15T04:06:12"/>
    <x v="1"/>
    <n v="63"/>
    <n v="95"/>
    <n v="521"/>
  </r>
  <r>
    <n v="459252"/>
    <x v="3"/>
    <s v="Delhi"/>
    <x v="2"/>
    <s v=" DL"/>
    <x v="0"/>
    <x v="0"/>
    <x v="0"/>
    <x v="1"/>
    <d v="2019-03-08T04:08:15"/>
    <d v="2019-03-12T04:08:15"/>
    <d v="2019-03-14T04:08:15"/>
    <x v="6"/>
    <n v="0"/>
    <n v="100"/>
    <n v="1566.4687483522666"/>
  </r>
  <r>
    <n v="279552"/>
    <x v="3"/>
    <s v="Bangalore"/>
    <x v="0"/>
    <s v=" MH"/>
    <x v="0"/>
    <x v="0"/>
    <x v="0"/>
    <x v="1"/>
    <d v="2019-03-08T04:10:05"/>
    <d v="2019-03-12T04:10:05"/>
    <d v="2019-03-12T04:10:05"/>
    <x v="6"/>
    <n v="75"/>
    <n v="91"/>
    <n v="2328.4363394044308"/>
  </r>
  <r>
    <n v="993304"/>
    <x v="3"/>
    <s v="Bangalore"/>
    <x v="3"/>
    <s v=" KA"/>
    <x v="0"/>
    <x v="0"/>
    <x v="0"/>
    <x v="0"/>
    <d v="2019-03-08T04:47:46"/>
    <d v="2019-03-08T04:47:46"/>
    <d v="2019-03-11T04:47:46"/>
    <x v="10"/>
    <n v="0"/>
    <n v="122"/>
    <n v="2512"/>
  </r>
  <r>
    <n v="116463"/>
    <x v="3"/>
    <s v="Delhi"/>
    <x v="3"/>
    <s v=" KA"/>
    <x v="0"/>
    <x v="0"/>
    <x v="1"/>
    <x v="1"/>
    <d v="2019-03-08T05:10:39"/>
    <d v="2019-03-14T05:10:39"/>
    <d v="2019-03-12T05:10:39"/>
    <x v="3"/>
    <n v="78"/>
    <n v="106"/>
    <n v="2837"/>
  </r>
  <r>
    <n v="597104"/>
    <x v="3"/>
    <s v="Bangalore"/>
    <x v="2"/>
    <s v=" DL"/>
    <x v="0"/>
    <x v="0"/>
    <x v="0"/>
    <x v="0"/>
    <d v="2019-03-08T06:19:16"/>
    <d v="2019-03-14T06:19:16"/>
    <d v="2019-03-11T06:19:16"/>
    <x v="3"/>
    <n v="80"/>
    <n v="106"/>
    <n v="3111.2883211678877"/>
  </r>
  <r>
    <n v="603900"/>
    <x v="3"/>
    <s v="Delhi"/>
    <x v="0"/>
    <s v=" MH"/>
    <x v="0"/>
    <x v="0"/>
    <x v="0"/>
    <x v="1"/>
    <d v="2019-03-08T06:48:18"/>
    <d v="2019-03-10T06:48:18"/>
    <d v="2019-03-11T06:48:18"/>
    <x v="0"/>
    <n v="29"/>
    <n v="109"/>
    <n v="3060.8929831213372"/>
  </r>
  <r>
    <n v="83260"/>
    <x v="3"/>
    <s v="Delhi"/>
    <x v="2"/>
    <s v=" DL"/>
    <x v="0"/>
    <x v="0"/>
    <x v="0"/>
    <x v="0"/>
    <d v="2019-03-08T08:04:17"/>
    <d v="2019-03-10T08:04:17"/>
    <d v="2019-03-14T08:04:17"/>
    <x v="0"/>
    <n v="0"/>
    <n v="125"/>
    <n v="710.8851701404775"/>
  </r>
  <r>
    <n v="896414"/>
    <x v="3"/>
    <s v="Bangalore"/>
    <x v="2"/>
    <s v=" DL"/>
    <x v="2"/>
    <x v="0"/>
    <x v="0"/>
    <x v="0"/>
    <d v="2019-03-08T08:06:25"/>
    <d v="2019-03-11T08:06:25"/>
    <d v="2019-03-15T08:06:25"/>
    <x v="4"/>
    <n v="35"/>
    <n v="124"/>
    <n v="2443.8513089319526"/>
  </r>
  <r>
    <n v="771935"/>
    <x v="3"/>
    <s v="Delhi"/>
    <x v="4"/>
    <s v=" WB"/>
    <x v="1"/>
    <x v="0"/>
    <x v="1"/>
    <x v="0"/>
    <d v="2019-03-08T08:13:20"/>
    <d v="2019-03-15T08:13:20"/>
    <d v="2019-03-15T08:13:20"/>
    <x v="8"/>
    <n v="44"/>
    <n v="111"/>
    <n v="1395"/>
  </r>
  <r>
    <n v="615718"/>
    <x v="3"/>
    <s v="Delhi"/>
    <x v="2"/>
    <s v=" DL"/>
    <x v="0"/>
    <x v="0"/>
    <x v="0"/>
    <x v="0"/>
    <d v="2019-03-08T08:48:45"/>
    <d v="2019-03-09T08:48:45"/>
    <d v="2019-03-12T08:48:45"/>
    <x v="2"/>
    <n v="0"/>
    <n v="108"/>
    <n v="3562.6715799576991"/>
  </r>
  <r>
    <n v="906928"/>
    <x v="3"/>
    <s v="Delhi"/>
    <x v="4"/>
    <s v=" WB"/>
    <x v="0"/>
    <x v="0"/>
    <x v="0"/>
    <x v="0"/>
    <d v="2019-03-08T09:15:11"/>
    <d v="2019-03-14T09:15:11"/>
    <d v="2019-03-15T09:15:11"/>
    <x v="3"/>
    <n v="42"/>
    <n v="109"/>
    <n v="1475.8089307904161"/>
  </r>
  <r>
    <n v="490320"/>
    <x v="3"/>
    <s v="Bangalore"/>
    <x v="1"/>
    <s v=" TN"/>
    <x v="0"/>
    <x v="0"/>
    <x v="0"/>
    <x v="1"/>
    <d v="2019-03-08T09:42:07"/>
    <d v="2019-03-16T09:42:07"/>
    <d v="2019-03-13T09:42:07"/>
    <x v="5"/>
    <n v="30"/>
    <n v="130"/>
    <n v="3530.8446428812767"/>
  </r>
  <r>
    <n v="854642"/>
    <x v="3"/>
    <s v="Delhi"/>
    <x v="3"/>
    <s v=" KA"/>
    <x v="2"/>
    <x v="0"/>
    <x v="0"/>
    <x v="0"/>
    <d v="2019-03-08T09:58:19"/>
    <d v="2019-03-13T09:58:19"/>
    <d v="2019-03-11T09:58:19"/>
    <x v="9"/>
    <n v="37"/>
    <n v="123"/>
    <n v="1915.9695304368693"/>
  </r>
  <r>
    <n v="480224"/>
    <x v="3"/>
    <s v="Delhi"/>
    <x v="0"/>
    <s v=" MH"/>
    <x v="0"/>
    <x v="0"/>
    <x v="0"/>
    <x v="0"/>
    <d v="2019-03-08T10:12:44"/>
    <d v="2019-03-11T10:12:44"/>
    <d v="2019-03-11T10:12:44"/>
    <x v="4"/>
    <n v="35"/>
    <n v="106"/>
    <n v="3695.9134964782111"/>
  </r>
  <r>
    <n v="956061"/>
    <x v="3"/>
    <s v="Bangalore"/>
    <x v="1"/>
    <s v=" TN"/>
    <x v="0"/>
    <x v="0"/>
    <x v="1"/>
    <x v="1"/>
    <d v="2019-03-08T11:29:51"/>
    <d v="2019-03-14T11:29:51"/>
    <d v="2019-03-11T11:29:51"/>
    <x v="3"/>
    <n v="62"/>
    <n v="104"/>
    <n v="410"/>
  </r>
  <r>
    <n v="589877"/>
    <x v="3"/>
    <s v="Delhi"/>
    <x v="0"/>
    <s v=" MH"/>
    <x v="1"/>
    <x v="0"/>
    <x v="1"/>
    <x v="0"/>
    <d v="2019-03-08T12:11:08"/>
    <d v="2019-03-14T12:11:08"/>
    <d v="2019-03-14T12:11:08"/>
    <x v="3"/>
    <n v="26"/>
    <n v="112"/>
    <n v="742.1371522489261"/>
  </r>
  <r>
    <n v="752558"/>
    <x v="3"/>
    <s v="Delhi"/>
    <x v="3"/>
    <s v=" KA"/>
    <x v="0"/>
    <x v="0"/>
    <x v="0"/>
    <x v="0"/>
    <d v="2019-03-08T12:43:25"/>
    <d v="2019-03-10T12:43:25"/>
    <d v="2019-03-11T12:43:25"/>
    <x v="0"/>
    <n v="83"/>
    <n v="105"/>
    <n v="1803.1970968978944"/>
  </r>
  <r>
    <n v="260374"/>
    <x v="3"/>
    <s v="Bangalore"/>
    <x v="3"/>
    <s v=" KA"/>
    <x v="2"/>
    <x v="0"/>
    <x v="0"/>
    <x v="0"/>
    <d v="2019-03-08T12:57:05"/>
    <d v="2019-03-08T12:57:05"/>
    <d v="2019-03-11T12:57:05"/>
    <x v="10"/>
    <n v="0"/>
    <n v="123"/>
    <n v="1219.7874104468981"/>
  </r>
  <r>
    <n v="480938"/>
    <x v="3"/>
    <s v="Bangalore"/>
    <x v="3"/>
    <s v=" KA"/>
    <x v="2"/>
    <x v="0"/>
    <x v="0"/>
    <x v="0"/>
    <d v="2019-03-08T13:07:06"/>
    <d v="2019-03-09T13:07:06"/>
    <d v="2019-03-14T13:07:06"/>
    <x v="2"/>
    <n v="0"/>
    <n v="122"/>
    <n v="849.27475537926171"/>
  </r>
  <r>
    <n v="641326"/>
    <x v="3"/>
    <s v="Delhi"/>
    <x v="1"/>
    <s v=" TN"/>
    <x v="0"/>
    <x v="0"/>
    <x v="0"/>
    <x v="0"/>
    <d v="2019-03-08T13:23:07"/>
    <d v="2019-03-13T13:23:07"/>
    <d v="2019-03-11T13:23:07"/>
    <x v="9"/>
    <n v="65"/>
    <n v="101"/>
    <n v="2323.2095368371938"/>
  </r>
  <r>
    <n v="485970"/>
    <x v="3"/>
    <s v="Bangalore"/>
    <x v="0"/>
    <s v=" MH"/>
    <x v="2"/>
    <x v="0"/>
    <x v="0"/>
    <x v="1"/>
    <d v="2019-03-08T13:28:45"/>
    <d v="2019-03-15T13:28:45"/>
    <d v="2019-03-11T13:28:45"/>
    <x v="8"/>
    <n v="45"/>
    <n v="114"/>
    <n v="2973.1290199569753"/>
  </r>
  <r>
    <n v="437955"/>
    <x v="3"/>
    <s v="Delhi"/>
    <x v="4"/>
    <s v=" WB"/>
    <x v="1"/>
    <x v="0"/>
    <x v="2"/>
    <x v="1"/>
    <d v="2019-03-08T13:33:49"/>
    <d v="2019-03-10T13:33:49"/>
    <d v="2019-03-15T13:33:49"/>
    <x v="0"/>
    <n v="9999"/>
    <n v="108"/>
    <n v="1105.8623386476193"/>
  </r>
  <r>
    <n v="120549"/>
    <x v="3"/>
    <s v="Bangalore"/>
    <x v="4"/>
    <s v=" WB"/>
    <x v="1"/>
    <x v="0"/>
    <x v="1"/>
    <x v="1"/>
    <d v="2019-03-08T13:39:24"/>
    <d v="2019-03-14T13:39:24"/>
    <d v="2019-03-12T13:39:24"/>
    <x v="3"/>
    <n v="45"/>
    <n v="115"/>
    <n v="2867.2613506389857"/>
  </r>
  <r>
    <n v="460833"/>
    <x v="3"/>
    <s v="Bangalore"/>
    <x v="4"/>
    <s v=" WB"/>
    <x v="1"/>
    <x v="0"/>
    <x v="1"/>
    <x v="1"/>
    <d v="2019-03-08T13:47:46"/>
    <d v="2019-03-12T13:47:46"/>
    <d v="2019-03-13T13:47:46"/>
    <x v="6"/>
    <n v="42"/>
    <n v="111"/>
    <n v="1320.2369525162092"/>
  </r>
  <r>
    <n v="200405"/>
    <x v="3"/>
    <s v="Delhi"/>
    <x v="3"/>
    <s v=" KA"/>
    <x v="1"/>
    <x v="0"/>
    <x v="1"/>
    <x v="0"/>
    <d v="2019-03-08T13:48:54"/>
    <d v="2019-03-14T13:48:54"/>
    <d v="2019-03-12T13:48:54"/>
    <x v="3"/>
    <n v="48"/>
    <n v="128"/>
    <n v="2611"/>
  </r>
  <r>
    <n v="266558"/>
    <x v="3"/>
    <s v="Bangalore"/>
    <x v="3"/>
    <s v=" KA"/>
    <x v="2"/>
    <x v="0"/>
    <x v="0"/>
    <x v="0"/>
    <d v="2019-03-08T14:14:44"/>
    <d v="2019-03-14T14:14:44"/>
    <d v="2019-03-12T14:14:44"/>
    <x v="3"/>
    <n v="0"/>
    <n v="125"/>
    <n v="307.31243149549516"/>
  </r>
  <r>
    <n v="276052"/>
    <x v="3"/>
    <s v="Bangalore"/>
    <x v="0"/>
    <s v=" MH"/>
    <x v="0"/>
    <x v="0"/>
    <x v="0"/>
    <x v="0"/>
    <d v="2019-03-08T14:50:10"/>
    <d v="2019-03-10T14:50:10"/>
    <d v="2019-03-15T14:50:10"/>
    <x v="0"/>
    <n v="34"/>
    <n v="107"/>
    <n v="294"/>
  </r>
  <r>
    <n v="371935"/>
    <x v="3"/>
    <s v="Delhi"/>
    <x v="0"/>
    <s v=" MH"/>
    <x v="1"/>
    <x v="0"/>
    <x v="1"/>
    <x v="0"/>
    <d v="2019-03-08T15:07:34"/>
    <d v="2019-03-16T15:07:34"/>
    <d v="2019-03-14T15:07:34"/>
    <x v="5"/>
    <n v="29"/>
    <n v="108"/>
    <n v="1292.0424516630933"/>
  </r>
  <r>
    <n v="68495"/>
    <x v="3"/>
    <s v="Bangalore"/>
    <x v="3"/>
    <s v=" KA"/>
    <x v="1"/>
    <x v="0"/>
    <x v="2"/>
    <x v="0"/>
    <d v="2019-03-08T15:07:36"/>
    <d v="2019-03-14T15:07:36"/>
    <d v="2019-03-15T15:07:36"/>
    <x v="3"/>
    <n v="0"/>
    <n v="128"/>
    <n v="3318.635537359396"/>
  </r>
  <r>
    <n v="398349"/>
    <x v="3"/>
    <s v="Bangalore"/>
    <x v="1"/>
    <s v=" TN"/>
    <x v="1"/>
    <x v="0"/>
    <x v="2"/>
    <x v="1"/>
    <d v="2019-03-08T15:16:42"/>
    <d v="2019-03-12T15:16:42"/>
    <d v="2019-03-15T15:16:42"/>
    <x v="6"/>
    <n v="36"/>
    <n v="129"/>
    <n v="979.472620434693"/>
  </r>
  <r>
    <n v="849923"/>
    <x v="3"/>
    <s v="Delhi"/>
    <x v="0"/>
    <s v=" MH"/>
    <x v="0"/>
    <x v="0"/>
    <x v="1"/>
    <x v="0"/>
    <d v="2019-03-08T16:09:17"/>
    <d v="2019-03-10T16:09:17"/>
    <d v="2019-03-14T16:09:17"/>
    <x v="0"/>
    <n v="69"/>
    <n v="93"/>
    <n v="3454.3245347806119"/>
  </r>
  <r>
    <n v="836401"/>
    <x v="3"/>
    <s v="Delhi"/>
    <x v="0"/>
    <s v=" MH"/>
    <x v="0"/>
    <x v="0"/>
    <x v="1"/>
    <x v="0"/>
    <d v="2019-03-08T16:12:49"/>
    <d v="2019-03-13T16:12:49"/>
    <d v="2019-03-13T16:12:49"/>
    <x v="9"/>
    <n v="74"/>
    <n v="89"/>
    <n v="2626"/>
  </r>
  <r>
    <n v="460308"/>
    <x v="3"/>
    <s v="Bangalore"/>
    <x v="3"/>
    <s v=" KA"/>
    <x v="0"/>
    <x v="0"/>
    <x v="0"/>
    <x v="1"/>
    <d v="2019-03-08T16:30:21"/>
    <d v="2019-03-13T16:30:21"/>
    <d v="2019-03-12T16:30:21"/>
    <x v="9"/>
    <n v="0"/>
    <n v="126"/>
    <n v="1147.0586259371269"/>
  </r>
  <r>
    <n v="485088"/>
    <x v="3"/>
    <s v="Delhi"/>
    <x v="1"/>
    <s v=" TN"/>
    <x v="0"/>
    <x v="0"/>
    <x v="0"/>
    <x v="1"/>
    <d v="2019-03-08T16:44:44"/>
    <d v="2019-03-15T16:44:44"/>
    <d v="2019-03-11T16:44:44"/>
    <x v="8"/>
    <n v="49"/>
    <n v="127"/>
    <n v="1492.681725201807"/>
  </r>
  <r>
    <n v="84705"/>
    <x v="3"/>
    <s v="Bangalore"/>
    <x v="0"/>
    <s v=" MH"/>
    <x v="0"/>
    <x v="0"/>
    <x v="1"/>
    <x v="1"/>
    <d v="2019-03-08T17:12:54"/>
    <d v="2019-03-14T17:12:54"/>
    <d v="2019-03-14T17:12:54"/>
    <x v="3"/>
    <n v="78"/>
    <n v="92"/>
    <n v="2570"/>
  </r>
  <r>
    <n v="652394"/>
    <x v="3"/>
    <s v="Delhi"/>
    <x v="0"/>
    <s v=" MH"/>
    <x v="0"/>
    <x v="0"/>
    <x v="0"/>
    <x v="0"/>
    <d v="2019-03-08T17:30:58"/>
    <d v="2019-03-10T17:30:58"/>
    <d v="2019-03-11T17:30:58"/>
    <x v="0"/>
    <n v="86"/>
    <n v="86"/>
    <n v="653.31398492909182"/>
  </r>
  <r>
    <n v="11905"/>
    <x v="3"/>
    <s v="Bangalore"/>
    <x v="2"/>
    <s v=" DL"/>
    <x v="1"/>
    <x v="0"/>
    <x v="1"/>
    <x v="0"/>
    <d v="2019-03-08T17:39:07"/>
    <d v="2019-03-12T17:39:07"/>
    <d v="2019-03-15T17:39:07"/>
    <x v="6"/>
    <n v="43"/>
    <n v="125"/>
    <n v="3577.0369878699944"/>
  </r>
  <r>
    <n v="427124"/>
    <x v="3"/>
    <s v="Delhi"/>
    <x v="1"/>
    <s v=" TN"/>
    <x v="0"/>
    <x v="0"/>
    <x v="0"/>
    <x v="0"/>
    <d v="2019-03-08T18:47:06"/>
    <d v="2019-03-19T18:47:06"/>
    <d v="2019-03-13T18:47:06"/>
    <x v="11"/>
    <n v="64"/>
    <n v="106"/>
    <n v="320"/>
  </r>
  <r>
    <n v="103390"/>
    <x v="3"/>
    <s v="Delhi"/>
    <x v="3"/>
    <s v=" KA"/>
    <x v="0"/>
    <x v="0"/>
    <x v="0"/>
    <x v="0"/>
    <d v="2019-03-08T18:54:48"/>
    <d v="2019-03-12T18:54:48"/>
    <d v="2019-03-13T18:54:48"/>
    <x v="6"/>
    <n v="76"/>
    <n v="107"/>
    <n v="673.15787323550887"/>
  </r>
  <r>
    <n v="614312"/>
    <x v="3"/>
    <s v="Bangalore"/>
    <x v="2"/>
    <s v=" DL"/>
    <x v="0"/>
    <x v="0"/>
    <x v="0"/>
    <x v="0"/>
    <d v="2019-03-08T21:34:23"/>
    <d v="2019-03-12T21:34:23"/>
    <d v="2019-03-12T21:34:23"/>
    <x v="6"/>
    <n v="49"/>
    <n v="129"/>
    <n v="1555.657888347054"/>
  </r>
  <r>
    <n v="10498"/>
    <x v="3"/>
    <s v="Bangalore"/>
    <x v="2"/>
    <s v=" DL"/>
    <x v="2"/>
    <x v="0"/>
    <x v="0"/>
    <x v="0"/>
    <d v="2019-03-08T21:45:21"/>
    <d v="2019-03-13T21:45:21"/>
    <d v="2019-03-11T21:45:21"/>
    <x v="9"/>
    <n v="40"/>
    <n v="128"/>
    <n v="748"/>
  </r>
  <r>
    <n v="310387"/>
    <x v="3"/>
    <s v="Delhi"/>
    <x v="0"/>
    <s v=" MH"/>
    <x v="1"/>
    <x v="0"/>
    <x v="2"/>
    <x v="0"/>
    <d v="2019-03-08T22:30:48"/>
    <d v="2019-03-12T22:30:48"/>
    <d v="2019-03-12T22:30:48"/>
    <x v="6"/>
    <n v="29"/>
    <n v="113"/>
    <n v="515.15109207195803"/>
  </r>
  <r>
    <n v="759490"/>
    <x v="3"/>
    <s v="Bangalore"/>
    <x v="3"/>
    <s v=" KA"/>
    <x v="0"/>
    <x v="0"/>
    <x v="0"/>
    <x v="0"/>
    <d v="2019-03-08T22:42:43"/>
    <d v="2019-03-11T22:42:43"/>
    <d v="2019-03-11T22:42:43"/>
    <x v="4"/>
    <n v="0"/>
    <n v="105"/>
    <n v="1381.5371662891444"/>
  </r>
  <r>
    <n v="414689"/>
    <x v="3"/>
    <s v="Delhi"/>
    <x v="3"/>
    <s v=" KA"/>
    <x v="1"/>
    <x v="0"/>
    <x v="1"/>
    <x v="0"/>
    <d v="2019-03-08T22:47:36"/>
    <d v="2019-03-13T22:47:36"/>
    <d v="2019-03-12T22:47:36"/>
    <x v="9"/>
    <n v="46"/>
    <n v="123"/>
    <n v="1278.5450630499206"/>
  </r>
  <r>
    <n v="943490"/>
    <x v="3"/>
    <s v="Delhi"/>
    <x v="3"/>
    <s v=" KA"/>
    <x v="0"/>
    <x v="0"/>
    <x v="0"/>
    <x v="0"/>
    <d v="2019-03-08T22:55:01"/>
    <d v="2019-03-10T22:55:01"/>
    <d v="2019-03-12T22:55:01"/>
    <x v="0"/>
    <n v="75"/>
    <n v="108"/>
    <n v="3559.2216201419783"/>
  </r>
  <r>
    <n v="179416"/>
    <x v="3"/>
    <s v="Bangalore"/>
    <x v="3"/>
    <s v=" KA"/>
    <x v="0"/>
    <x v="0"/>
    <x v="0"/>
    <x v="0"/>
    <d v="2019-03-08T23:29:23"/>
    <d v="2019-03-08T23:29:23"/>
    <d v="2019-03-12T23:29:23"/>
    <x v="10"/>
    <n v="0"/>
    <n v="104"/>
    <n v="1512"/>
  </r>
  <r>
    <n v="851084"/>
    <x v="3"/>
    <s v="Bangalore"/>
    <x v="3"/>
    <s v=" KA"/>
    <x v="0"/>
    <x v="0"/>
    <x v="0"/>
    <x v="0"/>
    <d v="2019-03-08T23:52:59"/>
    <d v="2019-03-08T23:52:59"/>
    <d v="2019-03-15T23:52:59"/>
    <x v="10"/>
    <n v="0"/>
    <n v="125"/>
    <n v="1929"/>
  </r>
  <r>
    <n v="667243"/>
    <x v="3"/>
    <s v="Delhi"/>
    <x v="0"/>
    <s v=" MH"/>
    <x v="0"/>
    <x v="0"/>
    <x v="1"/>
    <x v="0"/>
    <d v="2019-03-09T00:20:49"/>
    <d v="2019-03-14T00:20:49"/>
    <d v="2019-03-13T00:20:49"/>
    <x v="9"/>
    <n v="69"/>
    <n v="92"/>
    <n v="2254.9612632783892"/>
  </r>
  <r>
    <n v="784613"/>
    <x v="3"/>
    <s v="Bangalore"/>
    <x v="0"/>
    <s v=" MH"/>
    <x v="1"/>
    <x v="0"/>
    <x v="1"/>
    <x v="0"/>
    <d v="2019-03-09T00:40:36"/>
    <d v="2019-03-14T00:40:36"/>
    <d v="2019-03-15T00:40:36"/>
    <x v="9"/>
    <n v="30"/>
    <n v="106"/>
    <n v="3094.6075868523494"/>
  </r>
  <r>
    <n v="65086"/>
    <x v="3"/>
    <s v="Bangalore"/>
    <x v="3"/>
    <s v=" KA"/>
    <x v="2"/>
    <x v="0"/>
    <x v="0"/>
    <x v="0"/>
    <d v="2019-03-09T01:04:29"/>
    <d v="2019-03-12T01:04:29"/>
    <d v="2019-03-12T01:04:29"/>
    <x v="4"/>
    <n v="0"/>
    <n v="122"/>
    <n v="2792"/>
  </r>
  <r>
    <n v="254731"/>
    <x v="3"/>
    <s v="Bangalore"/>
    <x v="0"/>
    <s v=" MH"/>
    <x v="1"/>
    <x v="0"/>
    <x v="1"/>
    <x v="0"/>
    <d v="2019-03-09T01:26:48"/>
    <d v="2019-03-13T01:26:48"/>
    <d v="2019-03-14T01:26:48"/>
    <x v="6"/>
    <n v="48"/>
    <n v="107"/>
    <n v="1723.0674249644487"/>
  </r>
  <r>
    <n v="736333"/>
    <x v="3"/>
    <s v="Delhi"/>
    <x v="3"/>
    <s v=" KA"/>
    <x v="0"/>
    <x v="0"/>
    <x v="1"/>
    <x v="0"/>
    <d v="2019-03-09T01:27:31"/>
    <d v="2019-03-12T01:27:31"/>
    <d v="2019-03-13T01:27:31"/>
    <x v="4"/>
    <n v="70"/>
    <n v="103"/>
    <n v="1532"/>
  </r>
  <r>
    <n v="209507"/>
    <x v="3"/>
    <s v="Delhi"/>
    <x v="2"/>
    <s v=" DL"/>
    <x v="1"/>
    <x v="0"/>
    <x v="1"/>
    <x v="0"/>
    <d v="2019-03-09T01:49:12"/>
    <d v="2019-03-12T01:49:12"/>
    <d v="2019-03-15T01:49:12"/>
    <x v="4"/>
    <n v="0"/>
    <n v="129"/>
    <n v="1604.5346033115411"/>
  </r>
  <r>
    <n v="190525"/>
    <x v="3"/>
    <s v="Delhi"/>
    <x v="4"/>
    <s v=" WB"/>
    <x v="0"/>
    <x v="0"/>
    <x v="1"/>
    <x v="0"/>
    <d v="2019-03-09T02:02:07"/>
    <d v="2019-03-13T02:02:07"/>
    <d v="2019-03-13T02:02:07"/>
    <x v="6"/>
    <n v="83"/>
    <n v="94"/>
    <n v="2427"/>
  </r>
  <r>
    <n v="393354"/>
    <x v="3"/>
    <s v="Delhi"/>
    <x v="2"/>
    <s v=" DL"/>
    <x v="2"/>
    <x v="0"/>
    <x v="0"/>
    <x v="1"/>
    <d v="2019-03-09T02:48:00"/>
    <d v="2019-03-12T02:48:00"/>
    <d v="2019-03-13T02:48:00"/>
    <x v="4"/>
    <n v="0"/>
    <n v="126"/>
    <n v="2854.6932315956724"/>
  </r>
  <r>
    <n v="701905"/>
    <x v="3"/>
    <s v="Bangalore"/>
    <x v="4"/>
    <s v=" WB"/>
    <x v="0"/>
    <x v="0"/>
    <x v="1"/>
    <x v="0"/>
    <d v="2019-03-09T03:51:56"/>
    <d v="2019-03-12T03:51:56"/>
    <d v="2019-03-16T03:51:56"/>
    <x v="4"/>
    <n v="83"/>
    <n v="91"/>
    <n v="2425.615368988731"/>
  </r>
  <r>
    <n v="44688"/>
    <x v="3"/>
    <s v="Delhi"/>
    <x v="4"/>
    <s v=" WB"/>
    <x v="0"/>
    <x v="0"/>
    <x v="0"/>
    <x v="1"/>
    <d v="2019-03-09T04:24:10"/>
    <d v="2019-03-18T04:24:10"/>
    <d v="2019-03-13T04:24:10"/>
    <x v="1"/>
    <n v="37"/>
    <n v="108"/>
    <n v="1609"/>
  </r>
  <r>
    <n v="758322"/>
    <x v="3"/>
    <s v="Delhi"/>
    <x v="0"/>
    <s v=" MH"/>
    <x v="2"/>
    <x v="0"/>
    <x v="0"/>
    <x v="1"/>
    <d v="2019-03-09T04:42:19"/>
    <d v="2019-03-13T04:42:19"/>
    <d v="2019-03-15T04:42:19"/>
    <x v="6"/>
    <n v="49"/>
    <n v="114"/>
    <n v="3606.4301741350073"/>
  </r>
  <r>
    <n v="550988"/>
    <x v="3"/>
    <s v="Bangalore"/>
    <x v="3"/>
    <s v=" KA"/>
    <x v="0"/>
    <x v="0"/>
    <x v="0"/>
    <x v="0"/>
    <d v="2019-03-09T04:59:42"/>
    <d v="2019-03-14T04:59:42"/>
    <d v="2019-03-15T04:59:42"/>
    <x v="9"/>
    <n v="0"/>
    <n v="124"/>
    <n v="518"/>
  </r>
  <r>
    <n v="124873"/>
    <x v="3"/>
    <s v="Delhi"/>
    <x v="0"/>
    <s v=" MH"/>
    <x v="1"/>
    <x v="0"/>
    <x v="2"/>
    <x v="0"/>
    <d v="2019-03-09T05:07:51"/>
    <d v="2019-03-14T05:07:51"/>
    <d v="2019-03-12T05:07:51"/>
    <x v="9"/>
    <n v="25"/>
    <n v="113"/>
    <n v="1955.2712160996011"/>
  </r>
  <r>
    <n v="765223"/>
    <x v="3"/>
    <s v="Delhi"/>
    <x v="2"/>
    <s v=" DL"/>
    <x v="1"/>
    <x v="0"/>
    <x v="1"/>
    <x v="0"/>
    <d v="2019-03-09T06:27:04"/>
    <d v="2019-03-15T06:27:04"/>
    <d v="2019-03-12T06:27:04"/>
    <x v="3"/>
    <n v="0"/>
    <n v="121"/>
    <n v="3007.8461010086926"/>
  </r>
  <r>
    <n v="398630"/>
    <x v="3"/>
    <s v="Delhi"/>
    <x v="3"/>
    <s v=" KA"/>
    <x v="2"/>
    <x v="0"/>
    <x v="0"/>
    <x v="0"/>
    <d v="2019-03-09T07:37:40"/>
    <d v="2019-03-17T07:37:40"/>
    <d v="2019-03-15T07:37:40"/>
    <x v="5"/>
    <n v="41"/>
    <n v="129"/>
    <n v="399"/>
  </r>
  <r>
    <n v="477274"/>
    <x v="3"/>
    <s v="Delhi"/>
    <x v="0"/>
    <s v=" MH"/>
    <x v="2"/>
    <x v="0"/>
    <x v="0"/>
    <x v="0"/>
    <d v="2019-03-09T10:20:46"/>
    <d v="2019-03-13T10:20:46"/>
    <d v="2019-03-15T10:20:46"/>
    <x v="6"/>
    <n v="25"/>
    <n v="113"/>
    <n v="1343.3161410297014"/>
  </r>
  <r>
    <n v="118242"/>
    <x v="3"/>
    <s v="Delhi"/>
    <x v="1"/>
    <s v=" TN"/>
    <x v="2"/>
    <x v="0"/>
    <x v="0"/>
    <x v="1"/>
    <d v="2019-03-09T10:27:43"/>
    <d v="2019-03-14T10:27:43"/>
    <d v="2019-03-13T10:27:43"/>
    <x v="9"/>
    <n v="30"/>
    <n v="126"/>
    <n v="2033.8074188247635"/>
  </r>
  <r>
    <n v="903277"/>
    <x v="3"/>
    <s v="Delhi"/>
    <x v="3"/>
    <s v=" KA"/>
    <x v="1"/>
    <x v="0"/>
    <x v="1"/>
    <x v="0"/>
    <d v="2019-03-09T11:15:45"/>
    <d v="2019-03-17T11:15:45"/>
    <d v="2019-03-14T11:15:45"/>
    <x v="5"/>
    <n v="36"/>
    <n v="128"/>
    <n v="1994.2474524984725"/>
  </r>
  <r>
    <n v="906334"/>
    <x v="3"/>
    <s v="Bangalore"/>
    <x v="3"/>
    <s v=" KA"/>
    <x v="2"/>
    <x v="0"/>
    <x v="0"/>
    <x v="0"/>
    <d v="2019-03-09T11:58:14"/>
    <d v="2019-03-13T11:58:14"/>
    <d v="2019-03-12T11:58:14"/>
    <x v="6"/>
    <n v="0"/>
    <n v="123"/>
    <n v="1003"/>
  </r>
  <r>
    <n v="682746"/>
    <x v="3"/>
    <s v="Bangalore"/>
    <x v="3"/>
    <s v=" KA"/>
    <x v="2"/>
    <x v="0"/>
    <x v="0"/>
    <x v="1"/>
    <d v="2019-03-09T12:02:54"/>
    <d v="2019-03-09T12:02:54"/>
    <d v="2019-03-15T12:02:54"/>
    <x v="10"/>
    <n v="0"/>
    <n v="126"/>
    <n v="2590"/>
  </r>
  <r>
    <n v="918889"/>
    <x v="3"/>
    <s v="Bangalore"/>
    <x v="2"/>
    <s v=" DL"/>
    <x v="1"/>
    <x v="0"/>
    <x v="1"/>
    <x v="0"/>
    <d v="2019-03-09T12:15:42"/>
    <d v="2019-03-15T12:15:42"/>
    <d v="2019-03-12T12:15:42"/>
    <x v="3"/>
    <n v="29"/>
    <n v="126"/>
    <n v="420.67739308237879"/>
  </r>
  <r>
    <n v="809231"/>
    <x v="3"/>
    <s v="Delhi"/>
    <x v="2"/>
    <s v=" DL"/>
    <x v="1"/>
    <x v="0"/>
    <x v="1"/>
    <x v="0"/>
    <d v="2019-03-09T12:26:11"/>
    <d v="2019-03-15T12:26:11"/>
    <d v="2019-03-14T12:26:11"/>
    <x v="3"/>
    <n v="0"/>
    <n v="126"/>
    <n v="2062.1501166782582"/>
  </r>
  <r>
    <n v="527284"/>
    <x v="3"/>
    <s v="Bangalore"/>
    <x v="1"/>
    <s v=" TN"/>
    <x v="0"/>
    <x v="0"/>
    <x v="0"/>
    <x v="0"/>
    <d v="2019-03-09T12:52:57"/>
    <d v="2019-03-14T12:52:57"/>
    <d v="2019-03-14T12:52:57"/>
    <x v="9"/>
    <n v="47"/>
    <n v="126"/>
    <n v="3170"/>
  </r>
  <r>
    <n v="605656"/>
    <x v="3"/>
    <s v="Delhi"/>
    <x v="0"/>
    <s v=" MH"/>
    <x v="0"/>
    <x v="0"/>
    <x v="0"/>
    <x v="0"/>
    <d v="2019-03-09T12:56:30"/>
    <d v="2019-03-11T12:56:30"/>
    <d v="2019-03-14T12:56:30"/>
    <x v="0"/>
    <n v="37"/>
    <n v="112"/>
    <n v="3528.2684148994631"/>
  </r>
  <r>
    <n v="103221"/>
    <x v="3"/>
    <s v="Bangalore"/>
    <x v="1"/>
    <s v=" TN"/>
    <x v="1"/>
    <x v="0"/>
    <x v="1"/>
    <x v="1"/>
    <d v="2019-03-09T13:04:51"/>
    <d v="2019-03-11T13:04:51"/>
    <d v="2019-03-14T13:04:51"/>
    <x v="0"/>
    <n v="39"/>
    <n v="121"/>
    <n v="1771.5553262919061"/>
  </r>
  <r>
    <n v="119319"/>
    <x v="3"/>
    <s v="Bangalore"/>
    <x v="0"/>
    <s v=" MH"/>
    <x v="1"/>
    <x v="0"/>
    <x v="1"/>
    <x v="1"/>
    <d v="2019-03-09T13:58:58"/>
    <d v="2019-03-13T13:58:58"/>
    <d v="2019-03-16T13:58:58"/>
    <x v="6"/>
    <n v="35"/>
    <n v="111"/>
    <n v="1560"/>
  </r>
  <r>
    <n v="487146"/>
    <x v="3"/>
    <s v="Delhi"/>
    <x v="3"/>
    <s v=" KA"/>
    <x v="0"/>
    <x v="0"/>
    <x v="0"/>
    <x v="1"/>
    <d v="2019-03-09T14:10:42"/>
    <d v="2019-03-13T14:10:42"/>
    <d v="2019-03-14T14:10:42"/>
    <x v="6"/>
    <n v="68"/>
    <n v="109"/>
    <n v="1349.8485457276738"/>
  </r>
  <r>
    <n v="428398"/>
    <x v="3"/>
    <s v="Bangalore"/>
    <x v="4"/>
    <s v=" WB"/>
    <x v="2"/>
    <x v="0"/>
    <x v="0"/>
    <x v="0"/>
    <d v="2019-03-09T15:18:54"/>
    <d v="2019-03-12T15:18:54"/>
    <d v="2019-03-16T15:18:54"/>
    <x v="4"/>
    <n v="33"/>
    <n v="106"/>
    <n v="839.70881792813668"/>
  </r>
  <r>
    <n v="460317"/>
    <x v="3"/>
    <s v="Delhi"/>
    <x v="1"/>
    <s v=" TN"/>
    <x v="1"/>
    <x v="0"/>
    <x v="1"/>
    <x v="1"/>
    <d v="2019-03-09T15:27:39"/>
    <d v="2019-03-12T15:27:39"/>
    <d v="2019-03-15T15:27:39"/>
    <x v="4"/>
    <n v="44"/>
    <n v="129"/>
    <n v="2795.5439280080836"/>
  </r>
  <r>
    <n v="89137"/>
    <x v="3"/>
    <s v="Bangalore"/>
    <x v="0"/>
    <s v=" MH"/>
    <x v="1"/>
    <x v="0"/>
    <x v="1"/>
    <x v="0"/>
    <d v="2019-03-09T15:35:12"/>
    <d v="2019-03-12T15:35:12"/>
    <d v="2019-03-12T15:35:12"/>
    <x v="4"/>
    <n v="26"/>
    <n v="105"/>
    <n v="1955.0490940587256"/>
  </r>
  <r>
    <n v="309428"/>
    <x v="3"/>
    <s v="Delhi"/>
    <x v="3"/>
    <s v=" KA"/>
    <x v="0"/>
    <x v="0"/>
    <x v="0"/>
    <x v="0"/>
    <d v="2019-03-09T15:58:04"/>
    <d v="2019-03-15T15:58:04"/>
    <d v="2019-03-14T15:58:04"/>
    <x v="3"/>
    <n v="9999"/>
    <n v="121"/>
    <n v="1441.8067816992821"/>
  </r>
  <r>
    <n v="127131"/>
    <x v="3"/>
    <s v="Delhi"/>
    <x v="3"/>
    <s v=" KA"/>
    <x v="1"/>
    <x v="0"/>
    <x v="1"/>
    <x v="1"/>
    <d v="2019-03-09T16:02:59"/>
    <d v="2019-03-13T16:02:59"/>
    <d v="2019-03-15T16:02:59"/>
    <x v="6"/>
    <n v="37"/>
    <n v="121"/>
    <n v="2808.0363948624527"/>
  </r>
  <r>
    <n v="604272"/>
    <x v="3"/>
    <s v="Bangalore"/>
    <x v="3"/>
    <s v=" KA"/>
    <x v="0"/>
    <x v="0"/>
    <x v="0"/>
    <x v="1"/>
    <d v="2019-03-09T17:29:45"/>
    <d v="2019-03-14T17:29:45"/>
    <d v="2019-03-16T17:29:45"/>
    <x v="9"/>
    <n v="0"/>
    <n v="129"/>
    <n v="691"/>
  </r>
  <r>
    <n v="412654"/>
    <x v="3"/>
    <s v="Delhi"/>
    <x v="2"/>
    <s v=" DL"/>
    <x v="2"/>
    <x v="0"/>
    <x v="0"/>
    <x v="0"/>
    <d v="2019-03-09T17:42:42"/>
    <d v="2019-03-11T17:42:42"/>
    <d v="2019-03-15T17:42:42"/>
    <x v="0"/>
    <n v="0"/>
    <n v="120"/>
    <n v="932.64320827965503"/>
  </r>
  <r>
    <n v="97447"/>
    <x v="3"/>
    <s v="Bangalore"/>
    <x v="0"/>
    <s v=" MH"/>
    <x v="1"/>
    <x v="0"/>
    <x v="2"/>
    <x v="0"/>
    <d v="2019-03-09T17:50:45"/>
    <d v="2019-03-13T17:50:45"/>
    <d v="2019-03-12T17:50:45"/>
    <x v="6"/>
    <n v="38"/>
    <n v="109"/>
    <n v="3108.4626883820697"/>
  </r>
  <r>
    <n v="44404"/>
    <x v="3"/>
    <s v="Bangalore"/>
    <x v="0"/>
    <s v=" MH"/>
    <x v="0"/>
    <x v="0"/>
    <x v="0"/>
    <x v="0"/>
    <d v="2019-03-09T18:24:14"/>
    <d v="2019-03-14T18:24:14"/>
    <d v="2019-03-16T18:24:14"/>
    <x v="9"/>
    <n v="38"/>
    <n v="107"/>
    <n v="3492.1823479016562"/>
  </r>
  <r>
    <n v="433839"/>
    <x v="3"/>
    <s v="Bangalore"/>
    <x v="2"/>
    <s v=" DL"/>
    <x v="1"/>
    <x v="0"/>
    <x v="2"/>
    <x v="1"/>
    <d v="2019-03-09T18:48:17"/>
    <d v="2019-03-12T18:48:17"/>
    <d v="2019-03-13T18:48:17"/>
    <x v="4"/>
    <n v="25"/>
    <n v="120"/>
    <n v="3495"/>
  </r>
  <r>
    <n v="159408"/>
    <x v="3"/>
    <s v="Bangalore"/>
    <x v="1"/>
    <s v=" TN"/>
    <x v="0"/>
    <x v="0"/>
    <x v="0"/>
    <x v="1"/>
    <d v="2019-03-09T19:06:20"/>
    <d v="2019-03-16T19:06:20"/>
    <d v="2019-03-13T19:06:20"/>
    <x v="8"/>
    <n v="42"/>
    <n v="126"/>
    <n v="2867.5356105534624"/>
  </r>
  <r>
    <n v="714472"/>
    <x v="3"/>
    <s v="Bangalore"/>
    <x v="0"/>
    <s v=" MH"/>
    <x v="0"/>
    <x v="0"/>
    <x v="0"/>
    <x v="0"/>
    <d v="2019-03-09T19:09:59"/>
    <d v="2019-03-11T19:09:59"/>
    <d v="2019-03-12T19:09:59"/>
    <x v="0"/>
    <n v="63"/>
    <n v="88"/>
    <n v="437.68096706534766"/>
  </r>
  <r>
    <n v="960229"/>
    <x v="3"/>
    <s v="Delhi"/>
    <x v="0"/>
    <s v=" MH"/>
    <x v="1"/>
    <x v="0"/>
    <x v="1"/>
    <x v="0"/>
    <d v="2019-03-09T19:49:23"/>
    <d v="2019-03-18T19:49:23"/>
    <d v="2019-03-16T19:49:23"/>
    <x v="1"/>
    <n v="31"/>
    <n v="108"/>
    <n v="2363"/>
  </r>
  <r>
    <n v="143157"/>
    <x v="3"/>
    <s v="Delhi"/>
    <x v="0"/>
    <s v=" MH"/>
    <x v="0"/>
    <x v="0"/>
    <x v="2"/>
    <x v="1"/>
    <d v="2019-03-09T20:04:19"/>
    <d v="2019-03-14T20:04:19"/>
    <d v="2019-03-16T20:04:19"/>
    <x v="9"/>
    <n v="78"/>
    <n v="85"/>
    <n v="3657.2916882759191"/>
  </r>
  <r>
    <n v="567840"/>
    <x v="3"/>
    <s v="Delhi"/>
    <x v="3"/>
    <s v=" KA"/>
    <x v="0"/>
    <x v="0"/>
    <x v="0"/>
    <x v="1"/>
    <d v="2019-03-09T20:36:04"/>
    <d v="2019-03-15T20:36:04"/>
    <d v="2019-03-15T20:36:04"/>
    <x v="3"/>
    <n v="26"/>
    <n v="127"/>
    <n v="3012.7706626189715"/>
  </r>
  <r>
    <n v="913630"/>
    <x v="3"/>
    <s v="Delhi"/>
    <x v="2"/>
    <s v=" DL"/>
    <x v="2"/>
    <x v="0"/>
    <x v="0"/>
    <x v="0"/>
    <d v="2019-03-09T21:04:28"/>
    <d v="2019-03-11T21:04:28"/>
    <d v="2019-03-15T21:04:28"/>
    <x v="0"/>
    <n v="0"/>
    <n v="122"/>
    <n v="1515.5064545552575"/>
  </r>
  <r>
    <n v="392933"/>
    <x v="3"/>
    <s v="Bangalore"/>
    <x v="0"/>
    <s v=" MH"/>
    <x v="1"/>
    <x v="0"/>
    <x v="1"/>
    <x v="0"/>
    <d v="2019-03-09T21:28:35"/>
    <d v="2019-03-17T21:28:35"/>
    <d v="2019-03-16T21:28:35"/>
    <x v="5"/>
    <n v="49"/>
    <n v="115"/>
    <n v="466"/>
  </r>
  <r>
    <n v="79324"/>
    <x v="3"/>
    <s v="Bangalore"/>
    <x v="3"/>
    <s v=" KA"/>
    <x v="0"/>
    <x v="0"/>
    <x v="0"/>
    <x v="0"/>
    <d v="2019-03-09T21:50:49"/>
    <d v="2019-03-09T21:50:49"/>
    <d v="2019-03-16T21:50:49"/>
    <x v="10"/>
    <n v="0"/>
    <n v="127"/>
    <n v="669.45863020349452"/>
  </r>
  <r>
    <n v="534867"/>
    <x v="3"/>
    <s v="Bangalore"/>
    <x v="3"/>
    <s v=" KA"/>
    <x v="1"/>
    <x v="0"/>
    <x v="1"/>
    <x v="1"/>
    <d v="2019-03-09T22:10:02"/>
    <d v="2019-03-13T22:10:02"/>
    <d v="2019-03-16T22:10:02"/>
    <x v="6"/>
    <n v="0"/>
    <n v="126"/>
    <n v="1067.2750545310705"/>
  </r>
  <r>
    <n v="774562"/>
    <x v="3"/>
    <s v="Delhi"/>
    <x v="2"/>
    <s v=" DL"/>
    <x v="0"/>
    <x v="0"/>
    <x v="0"/>
    <x v="0"/>
    <d v="2019-03-09T23:54:46"/>
    <d v="2019-03-10T23:54:46"/>
    <d v="2019-03-13T23:54:46"/>
    <x v="2"/>
    <n v="0"/>
    <n v="110"/>
    <n v="2587"/>
  </r>
  <r>
    <n v="185498"/>
    <x v="3"/>
    <s v="Bangalore"/>
    <x v="0"/>
    <s v=" MH"/>
    <x v="2"/>
    <x v="0"/>
    <x v="0"/>
    <x v="0"/>
    <d v="2019-03-10T01:28:47"/>
    <d v="2019-03-17T01:28:47"/>
    <d v="2019-03-14T01:28:47"/>
    <x v="8"/>
    <n v="32"/>
    <n v="108"/>
    <n v="3513"/>
  </r>
  <r>
    <n v="142294"/>
    <x v="3"/>
    <s v="Bangalore"/>
    <x v="2"/>
    <s v=" DL"/>
    <x v="0"/>
    <x v="0"/>
    <x v="0"/>
    <x v="0"/>
    <d v="2019-03-10T01:35:25"/>
    <d v="2019-03-13T01:35:25"/>
    <d v="2019-03-13T01:35:25"/>
    <x v="4"/>
    <n v="85"/>
    <n v="101"/>
    <n v="3219.6239427893606"/>
  </r>
  <r>
    <n v="49451"/>
    <x v="3"/>
    <s v="Bangalore"/>
    <x v="2"/>
    <s v=" DL"/>
    <x v="1"/>
    <x v="0"/>
    <x v="1"/>
    <x v="0"/>
    <d v="2019-03-10T02:00:59"/>
    <d v="2019-03-18T02:00:59"/>
    <d v="2019-03-13T02:00:59"/>
    <x v="5"/>
    <n v="29"/>
    <n v="121"/>
    <n v="2411.3017304549421"/>
  </r>
  <r>
    <n v="282165"/>
    <x v="3"/>
    <s v="Bangalore"/>
    <x v="2"/>
    <s v=" DL"/>
    <x v="1"/>
    <x v="0"/>
    <x v="1"/>
    <x v="1"/>
    <d v="2019-03-10T03:00:29"/>
    <d v="2019-03-19T03:00:29"/>
    <d v="2019-03-17T03:00:29"/>
    <x v="1"/>
    <n v="46"/>
    <n v="128"/>
    <n v="753"/>
  </r>
  <r>
    <n v="677504"/>
    <x v="3"/>
    <s v="Bangalore"/>
    <x v="2"/>
    <s v=" DL"/>
    <x v="0"/>
    <x v="0"/>
    <x v="0"/>
    <x v="0"/>
    <d v="2019-03-10T03:12:40"/>
    <d v="2019-03-12T03:12:40"/>
    <d v="2019-03-16T03:12:40"/>
    <x v="0"/>
    <n v="40"/>
    <n v="125"/>
    <n v="1937"/>
  </r>
  <r>
    <n v="814929"/>
    <x v="3"/>
    <s v="Bangalore"/>
    <x v="4"/>
    <s v=" WB"/>
    <x v="0"/>
    <x v="0"/>
    <x v="1"/>
    <x v="1"/>
    <d v="2019-03-10T03:38:56"/>
    <d v="2019-03-17T03:38:56"/>
    <d v="2019-03-14T03:38:56"/>
    <x v="8"/>
    <n v="82"/>
    <n v="92"/>
    <n v="3290"/>
  </r>
  <r>
    <n v="779727"/>
    <x v="3"/>
    <s v="Bangalore"/>
    <x v="3"/>
    <s v=" KA"/>
    <x v="1"/>
    <x v="0"/>
    <x v="1"/>
    <x v="1"/>
    <d v="2019-03-10T03:53:37"/>
    <d v="2019-03-14T03:53:37"/>
    <d v="2019-03-15T03:53:37"/>
    <x v="6"/>
    <n v="0"/>
    <n v="130"/>
    <n v="3486.9592183638297"/>
  </r>
  <r>
    <n v="345220"/>
    <x v="3"/>
    <s v="Delhi"/>
    <x v="2"/>
    <s v=" DL"/>
    <x v="0"/>
    <x v="0"/>
    <x v="0"/>
    <x v="0"/>
    <d v="2019-03-10T03:58:43"/>
    <d v="2019-03-11T03:58:43"/>
    <d v="2019-03-17T03:58:43"/>
    <x v="2"/>
    <n v="0"/>
    <n v="127"/>
    <n v="470.57428026773073"/>
  </r>
  <r>
    <n v="886684"/>
    <x v="3"/>
    <s v="Bangalore"/>
    <x v="2"/>
    <s v=" DL"/>
    <x v="0"/>
    <x v="0"/>
    <x v="0"/>
    <x v="0"/>
    <d v="2019-03-10T04:14:27"/>
    <d v="2019-03-12T04:14:27"/>
    <d v="2019-03-17T04:14:27"/>
    <x v="0"/>
    <n v="34"/>
    <n v="129"/>
    <n v="2675.0149594772429"/>
  </r>
  <r>
    <n v="920160"/>
    <x v="3"/>
    <s v="Delhi"/>
    <x v="1"/>
    <s v=" TN"/>
    <x v="0"/>
    <x v="0"/>
    <x v="0"/>
    <x v="1"/>
    <d v="2019-03-10T05:07:04"/>
    <d v="2019-03-16T05:07:04"/>
    <d v="2019-03-15T05:07:04"/>
    <x v="3"/>
    <n v="34"/>
    <n v="126"/>
    <n v="3493.9916413230626"/>
  </r>
  <r>
    <n v="797076"/>
    <x v="3"/>
    <s v="Delhi"/>
    <x v="3"/>
    <s v=" KA"/>
    <x v="0"/>
    <x v="0"/>
    <x v="0"/>
    <x v="1"/>
    <d v="2019-03-10T05:45:26"/>
    <d v="2019-03-13T05:45:26"/>
    <d v="2019-03-13T05:45:26"/>
    <x v="4"/>
    <n v="62"/>
    <n v="108"/>
    <n v="584"/>
  </r>
  <r>
    <n v="98085"/>
    <x v="3"/>
    <s v="Bangalore"/>
    <x v="2"/>
    <s v=" DL"/>
    <x v="0"/>
    <x v="0"/>
    <x v="1"/>
    <x v="1"/>
    <d v="2019-03-10T06:59:01"/>
    <d v="2019-03-12T06:59:01"/>
    <d v="2019-03-13T06:59:01"/>
    <x v="0"/>
    <n v="81"/>
    <n v="109"/>
    <n v="2719.9205575223409"/>
  </r>
  <r>
    <n v="324119"/>
    <x v="3"/>
    <s v="Delhi"/>
    <x v="4"/>
    <s v=" WB"/>
    <x v="0"/>
    <x v="0"/>
    <x v="1"/>
    <x v="0"/>
    <d v="2019-03-10T09:51:07"/>
    <d v="2019-03-15T09:51:07"/>
    <d v="2019-03-17T09:51:07"/>
    <x v="9"/>
    <n v="82"/>
    <n v="90"/>
    <n v="2252.7686777659542"/>
  </r>
  <r>
    <n v="85653"/>
    <x v="3"/>
    <s v="Bangalore"/>
    <x v="3"/>
    <s v=" KA"/>
    <x v="1"/>
    <x v="0"/>
    <x v="1"/>
    <x v="1"/>
    <d v="2019-03-10T10:28:43"/>
    <d v="2019-03-12T10:28:43"/>
    <d v="2019-03-15T10:28:43"/>
    <x v="0"/>
    <n v="0"/>
    <n v="127"/>
    <n v="2896.6179815143378"/>
  </r>
  <r>
    <n v="787763"/>
    <x v="3"/>
    <s v="Bangalore"/>
    <x v="2"/>
    <s v=" DL"/>
    <x v="0"/>
    <x v="0"/>
    <x v="1"/>
    <x v="0"/>
    <d v="2019-03-10T10:33:51"/>
    <d v="2019-03-12T10:33:51"/>
    <d v="2019-03-14T10:33:51"/>
    <x v="0"/>
    <n v="78"/>
    <n v="108"/>
    <n v="690.86730899728491"/>
  </r>
  <r>
    <n v="945804"/>
    <x v="3"/>
    <s v="Bangalore"/>
    <x v="3"/>
    <s v=" KA"/>
    <x v="0"/>
    <x v="0"/>
    <x v="0"/>
    <x v="1"/>
    <d v="2019-03-10T11:16:21"/>
    <d v="2019-03-12T11:16:21"/>
    <d v="2019-03-15T11:16:21"/>
    <x v="0"/>
    <n v="0"/>
    <n v="126"/>
    <n v="1930"/>
  </r>
  <r>
    <n v="585119"/>
    <x v="3"/>
    <s v="Bangalore"/>
    <x v="4"/>
    <s v=" WB"/>
    <x v="1"/>
    <x v="0"/>
    <x v="1"/>
    <x v="0"/>
    <d v="2019-03-10T11:55:30"/>
    <d v="2019-03-16T11:55:30"/>
    <d v="2019-03-13T11:55:30"/>
    <x v="3"/>
    <n v="27"/>
    <n v="112"/>
    <n v="2887.7021807767533"/>
  </r>
  <r>
    <n v="114147"/>
    <x v="3"/>
    <s v="Delhi"/>
    <x v="3"/>
    <s v=" KA"/>
    <x v="1"/>
    <x v="0"/>
    <x v="1"/>
    <x v="1"/>
    <d v="2019-03-10T13:15:29"/>
    <d v="2019-03-18T13:15:29"/>
    <d v="2019-03-17T13:15:29"/>
    <x v="5"/>
    <n v="40"/>
    <n v="122"/>
    <n v="2065.9184457735009"/>
  </r>
  <r>
    <n v="127215"/>
    <x v="3"/>
    <s v="Delhi"/>
    <x v="0"/>
    <s v=" MH"/>
    <x v="1"/>
    <x v="0"/>
    <x v="1"/>
    <x v="1"/>
    <d v="2019-03-10T13:26:08"/>
    <d v="2019-03-15T13:26:08"/>
    <d v="2019-03-16T13:26:08"/>
    <x v="9"/>
    <n v="40"/>
    <n v="108"/>
    <n v="2443.3873539835208"/>
  </r>
  <r>
    <n v="610484"/>
    <x v="3"/>
    <s v="Delhi"/>
    <x v="1"/>
    <s v=" TN"/>
    <x v="0"/>
    <x v="0"/>
    <x v="0"/>
    <x v="0"/>
    <d v="2019-03-10T13:26:15"/>
    <d v="2019-03-15T13:26:15"/>
    <d v="2019-03-16T13:26:15"/>
    <x v="9"/>
    <n v="32"/>
    <n v="128"/>
    <n v="3136.3784073162547"/>
  </r>
  <r>
    <n v="263091"/>
    <x v="3"/>
    <s v="Delhi"/>
    <x v="3"/>
    <s v=" KA"/>
    <x v="1"/>
    <x v="0"/>
    <x v="1"/>
    <x v="1"/>
    <d v="2019-03-10T14:45:05"/>
    <d v="2019-03-15T14:45:05"/>
    <d v="2019-03-15T14:45:05"/>
    <x v="9"/>
    <n v="30"/>
    <n v="123"/>
    <n v="1090.6817222918123"/>
  </r>
  <r>
    <n v="901462"/>
    <x v="3"/>
    <s v="Delhi"/>
    <x v="4"/>
    <s v=" WB"/>
    <x v="2"/>
    <x v="0"/>
    <x v="0"/>
    <x v="0"/>
    <d v="2019-03-10T15:09:19"/>
    <d v="2019-03-17T15:09:19"/>
    <d v="2019-03-15T15:09:19"/>
    <x v="8"/>
    <n v="48"/>
    <n v="115"/>
    <n v="3636.4762366928826"/>
  </r>
  <r>
    <n v="924180"/>
    <x v="3"/>
    <s v="Delhi"/>
    <x v="2"/>
    <s v=" DL"/>
    <x v="0"/>
    <x v="0"/>
    <x v="0"/>
    <x v="1"/>
    <d v="2019-03-10T15:12:12"/>
    <d v="2019-03-15T15:12:12"/>
    <d v="2019-03-15T15:12:12"/>
    <x v="9"/>
    <n v="0"/>
    <n v="129"/>
    <n v="2900.7928360097944"/>
  </r>
  <r>
    <n v="146652"/>
    <x v="3"/>
    <s v="Delhi"/>
    <x v="2"/>
    <s v=" DL"/>
    <x v="0"/>
    <x v="0"/>
    <x v="0"/>
    <x v="1"/>
    <d v="2019-03-10T15:42:22"/>
    <d v="2019-03-15T15:42:22"/>
    <d v="2019-03-14T15:42:22"/>
    <x v="9"/>
    <n v="0"/>
    <n v="120"/>
    <n v="1325.3730862025154"/>
  </r>
  <r>
    <n v="556915"/>
    <x v="3"/>
    <s v="Bangalore"/>
    <x v="0"/>
    <s v=" MH"/>
    <x v="1"/>
    <x v="0"/>
    <x v="1"/>
    <x v="0"/>
    <d v="2019-03-10T15:48:56"/>
    <d v="2019-03-14T15:48:56"/>
    <d v="2019-03-17T15:48:56"/>
    <x v="6"/>
    <n v="26"/>
    <n v="109"/>
    <n v="2799.3842399545806"/>
  </r>
  <r>
    <n v="361245"/>
    <x v="3"/>
    <s v="Delhi"/>
    <x v="2"/>
    <s v=" DL"/>
    <x v="1"/>
    <x v="0"/>
    <x v="1"/>
    <x v="1"/>
    <d v="2019-03-10T16:39:55"/>
    <d v="2019-03-17T16:39:55"/>
    <d v="2019-03-17T16:39:55"/>
    <x v="8"/>
    <n v="0"/>
    <n v="122"/>
    <n v="3149.2012016360018"/>
  </r>
  <r>
    <n v="657780"/>
    <x v="3"/>
    <s v="Delhi"/>
    <x v="2"/>
    <s v=" DL"/>
    <x v="0"/>
    <x v="0"/>
    <x v="0"/>
    <x v="1"/>
    <d v="2019-03-10T16:58:40"/>
    <d v="2019-03-11T16:58:40"/>
    <d v="2019-03-13T16:58:40"/>
    <x v="2"/>
    <n v="0"/>
    <n v="129"/>
    <n v="3658.9175180456336"/>
  </r>
  <r>
    <n v="69015"/>
    <x v="3"/>
    <s v="Bangalore"/>
    <x v="2"/>
    <s v=" DL"/>
    <x v="0"/>
    <x v="0"/>
    <x v="1"/>
    <x v="1"/>
    <d v="2019-03-10T17:12:14"/>
    <d v="2019-03-12T17:12:14"/>
    <d v="2019-03-15T17:12:14"/>
    <x v="0"/>
    <n v="65"/>
    <n v="107"/>
    <n v="1575.1945161713229"/>
  </r>
  <r>
    <n v="687999"/>
    <x v="3"/>
    <s v="Bangalore"/>
    <x v="1"/>
    <s v=" TN"/>
    <x v="1"/>
    <x v="0"/>
    <x v="1"/>
    <x v="1"/>
    <d v="2019-03-10T17:45:09"/>
    <d v="2019-03-14T17:45:09"/>
    <d v="2019-03-13T17:45:09"/>
    <x v="6"/>
    <n v="46"/>
    <n v="128"/>
    <n v="2831"/>
  </r>
  <r>
    <n v="110850"/>
    <x v="3"/>
    <s v="Delhi"/>
    <x v="2"/>
    <s v=" DL"/>
    <x v="0"/>
    <x v="0"/>
    <x v="0"/>
    <x v="1"/>
    <d v="2019-03-10T18:32:17"/>
    <d v="2019-03-11T18:32:17"/>
    <d v="2019-03-13T18:32:17"/>
    <x v="2"/>
    <n v="0"/>
    <n v="110"/>
    <n v="1888"/>
  </r>
  <r>
    <n v="222381"/>
    <x v="3"/>
    <s v="Delhi"/>
    <x v="4"/>
    <s v=" WB"/>
    <x v="0"/>
    <x v="0"/>
    <x v="1"/>
    <x v="1"/>
    <d v="2019-03-10T18:32:40"/>
    <d v="2019-03-17T18:32:40"/>
    <d v="2019-03-14T18:32:40"/>
    <x v="8"/>
    <n v="70"/>
    <n v="87"/>
    <n v="358.85104690373947"/>
  </r>
  <r>
    <n v="892678"/>
    <x v="3"/>
    <s v="Delhi"/>
    <x v="1"/>
    <s v=" TN"/>
    <x v="2"/>
    <x v="0"/>
    <x v="0"/>
    <x v="0"/>
    <d v="2019-03-10T18:44:38"/>
    <d v="2019-03-14T18:44:38"/>
    <d v="2019-03-16T18:44:38"/>
    <x v="6"/>
    <n v="35"/>
    <n v="129"/>
    <n v="3239"/>
  </r>
  <r>
    <n v="178263"/>
    <x v="3"/>
    <s v="Bangalore"/>
    <x v="0"/>
    <s v=" MH"/>
    <x v="1"/>
    <x v="0"/>
    <x v="1"/>
    <x v="1"/>
    <d v="2019-03-10T18:51:34"/>
    <d v="2019-03-13T18:51:34"/>
    <d v="2019-03-14T18:51:34"/>
    <x v="4"/>
    <n v="40"/>
    <n v="106"/>
    <n v="3298"/>
  </r>
  <r>
    <n v="168120"/>
    <x v="3"/>
    <s v="Delhi"/>
    <x v="2"/>
    <s v=" DL"/>
    <x v="0"/>
    <x v="0"/>
    <x v="0"/>
    <x v="1"/>
    <d v="2019-03-10T19:34:54"/>
    <d v="2019-03-12T19:34:54"/>
    <d v="2019-03-14T19:34:54"/>
    <x v="0"/>
    <n v="0"/>
    <n v="122"/>
    <n v="3294.6707128020771"/>
  </r>
  <r>
    <n v="73898"/>
    <x v="3"/>
    <s v="Delhi"/>
    <x v="1"/>
    <s v=" TN"/>
    <x v="2"/>
    <x v="0"/>
    <x v="0"/>
    <x v="0"/>
    <d v="2019-03-10T19:53:31"/>
    <d v="2019-03-16T19:53:31"/>
    <d v="2019-03-14T19:53:31"/>
    <x v="3"/>
    <n v="27"/>
    <n v="128"/>
    <n v="1043"/>
  </r>
  <r>
    <n v="68236"/>
    <x v="3"/>
    <s v="Delhi"/>
    <x v="2"/>
    <s v=" DL"/>
    <x v="0"/>
    <x v="0"/>
    <x v="0"/>
    <x v="0"/>
    <d v="2019-03-10T20:15:33"/>
    <d v="2019-03-14T20:15:33"/>
    <d v="2019-03-16T20:15:33"/>
    <x v="6"/>
    <n v="0"/>
    <n v="102"/>
    <n v="2664.7432751557199"/>
  </r>
  <r>
    <n v="277320"/>
    <x v="3"/>
    <s v="Bangalore"/>
    <x v="4"/>
    <s v=" WB"/>
    <x v="0"/>
    <x v="0"/>
    <x v="0"/>
    <x v="1"/>
    <d v="2019-03-10T20:19:52"/>
    <d v="2019-03-14T20:19:52"/>
    <d v="2019-03-15T20:19:52"/>
    <x v="6"/>
    <n v="64"/>
    <n v="93"/>
    <n v="614.50842234489369"/>
  </r>
  <r>
    <n v="356597"/>
    <x v="3"/>
    <s v="Bangalore"/>
    <x v="2"/>
    <s v=" DL"/>
    <x v="1"/>
    <x v="0"/>
    <x v="1"/>
    <x v="0"/>
    <d v="2019-03-10T21:14:55"/>
    <d v="2019-03-13T21:14:55"/>
    <d v="2019-03-17T21:14:55"/>
    <x v="4"/>
    <n v="26"/>
    <n v="127"/>
    <n v="2296"/>
  </r>
  <r>
    <n v="422586"/>
    <x v="3"/>
    <s v="Delhi"/>
    <x v="0"/>
    <s v=" MH"/>
    <x v="0"/>
    <x v="0"/>
    <x v="0"/>
    <x v="1"/>
    <d v="2019-03-10T22:31:17"/>
    <d v="2019-03-15T22:31:17"/>
    <d v="2019-03-17T22:31:17"/>
    <x v="9"/>
    <n v="83"/>
    <n v="89"/>
    <n v="989.97071031227858"/>
  </r>
  <r>
    <n v="161561"/>
    <x v="3"/>
    <s v="Delhi"/>
    <x v="2"/>
    <s v=" DL"/>
    <x v="1"/>
    <x v="0"/>
    <x v="1"/>
    <x v="0"/>
    <d v="2019-03-10T22:39:16"/>
    <d v="2019-03-17T22:39:16"/>
    <d v="2019-03-14T22:39:16"/>
    <x v="8"/>
    <n v="0"/>
    <n v="127"/>
    <n v="3010"/>
  </r>
  <r>
    <n v="396040"/>
    <x v="3"/>
    <s v="Delhi"/>
    <x v="1"/>
    <s v=" TN"/>
    <x v="0"/>
    <x v="0"/>
    <x v="0"/>
    <x v="0"/>
    <d v="2019-03-10T22:56:01"/>
    <d v="2019-03-21T22:56:01"/>
    <d v="2019-03-16T22:56:01"/>
    <x v="11"/>
    <n v="43"/>
    <n v="126"/>
    <n v="3041.6172720315203"/>
  </r>
  <r>
    <n v="377661"/>
    <x v="3"/>
    <s v="Bangalore"/>
    <x v="0"/>
    <s v=" MH"/>
    <x v="1"/>
    <x v="0"/>
    <x v="1"/>
    <x v="1"/>
    <d v="2019-03-10T23:02:40"/>
    <d v="2019-03-16T23:02:40"/>
    <d v="2019-03-13T23:02:40"/>
    <x v="3"/>
    <n v="45"/>
    <n v="108"/>
    <n v="1410.5845948982733"/>
  </r>
  <r>
    <n v="208829"/>
    <x v="3"/>
    <s v="Bangalore"/>
    <x v="1"/>
    <s v=" TN"/>
    <x v="1"/>
    <x v="0"/>
    <x v="1"/>
    <x v="0"/>
    <d v="2019-03-10T23:10:14"/>
    <d v="2019-03-16T23:10:14"/>
    <d v="2019-03-15T23:10:14"/>
    <x v="3"/>
    <n v="39"/>
    <n v="124"/>
    <n v="3384.4856551615921"/>
  </r>
  <r>
    <n v="467265"/>
    <x v="3"/>
    <s v="Delhi"/>
    <x v="3"/>
    <s v=" KA"/>
    <x v="0"/>
    <x v="0"/>
    <x v="1"/>
    <x v="1"/>
    <d v="2019-03-10T23:46:58"/>
    <d v="2019-03-12T23:46:58"/>
    <d v="2019-03-13T23:46:58"/>
    <x v="0"/>
    <n v="79"/>
    <n v="107"/>
    <n v="1817"/>
  </r>
  <r>
    <n v="74725"/>
    <x v="3"/>
    <s v="Bangalore"/>
    <x v="3"/>
    <s v=" KA"/>
    <x v="0"/>
    <x v="0"/>
    <x v="2"/>
    <x v="0"/>
    <d v="2019-03-11T00:50:58"/>
    <d v="2019-03-11T00:50:58"/>
    <d v="2019-03-17T00:50:58"/>
    <x v="10"/>
    <n v="0"/>
    <n v="108"/>
    <n v="1580.0926499576708"/>
  </r>
  <r>
    <n v="906537"/>
    <x v="3"/>
    <s v="Delhi"/>
    <x v="3"/>
    <s v=" KA"/>
    <x v="1"/>
    <x v="0"/>
    <x v="1"/>
    <x v="1"/>
    <d v="2019-03-11T01:01:38"/>
    <d v="2019-03-20T01:01:38"/>
    <d v="2019-03-18T01:01:38"/>
    <x v="1"/>
    <n v="48"/>
    <n v="126"/>
    <n v="3386"/>
  </r>
  <r>
    <n v="209360"/>
    <x v="3"/>
    <s v="Bangalore"/>
    <x v="0"/>
    <s v=" MH"/>
    <x v="0"/>
    <x v="0"/>
    <x v="0"/>
    <x v="0"/>
    <d v="2019-03-11T01:44:40"/>
    <d v="2019-03-16T01:44:40"/>
    <d v="2019-03-14T01:44:40"/>
    <x v="9"/>
    <n v="43"/>
    <n v="108"/>
    <n v="1476"/>
  </r>
  <r>
    <n v="637652"/>
    <x v="3"/>
    <s v="Bangalore"/>
    <x v="1"/>
    <s v=" TN"/>
    <x v="0"/>
    <x v="0"/>
    <x v="0"/>
    <x v="0"/>
    <d v="2019-03-11T02:05:18"/>
    <d v="2019-03-19T02:05:18"/>
    <d v="2019-03-15T02:05:18"/>
    <x v="5"/>
    <n v="65"/>
    <n v="102"/>
    <n v="2793.7453118279968"/>
  </r>
  <r>
    <n v="943595"/>
    <x v="3"/>
    <s v="Delhi"/>
    <x v="1"/>
    <s v=" TN"/>
    <x v="1"/>
    <x v="0"/>
    <x v="1"/>
    <x v="0"/>
    <d v="2019-03-11T03:02:40"/>
    <d v="2019-03-17T03:02:40"/>
    <d v="2019-03-17T03:02:40"/>
    <x v="3"/>
    <n v="48"/>
    <n v="124"/>
    <n v="1187.9966499330253"/>
  </r>
  <r>
    <n v="82372"/>
    <x v="3"/>
    <s v="Bangalore"/>
    <x v="0"/>
    <s v=" MH"/>
    <x v="0"/>
    <x v="0"/>
    <x v="0"/>
    <x v="0"/>
    <d v="2019-03-11T03:16:14"/>
    <d v="2019-03-17T03:16:14"/>
    <d v="2019-03-14T03:16:14"/>
    <x v="3"/>
    <n v="32"/>
    <n v="108"/>
    <n v="3350.1071929434997"/>
  </r>
  <r>
    <n v="292187"/>
    <x v="3"/>
    <s v="Bangalore"/>
    <x v="3"/>
    <s v=" KA"/>
    <x v="1"/>
    <x v="0"/>
    <x v="2"/>
    <x v="0"/>
    <d v="2019-03-11T04:41:19"/>
    <d v="2019-03-15T04:41:19"/>
    <d v="2019-03-14T04:41:19"/>
    <x v="6"/>
    <n v="0"/>
    <n v="123"/>
    <n v="1984.9594545377115"/>
  </r>
  <r>
    <n v="921811"/>
    <x v="3"/>
    <s v="Bangalore"/>
    <x v="2"/>
    <s v=" DL"/>
    <x v="1"/>
    <x v="0"/>
    <x v="1"/>
    <x v="0"/>
    <d v="2019-03-11T04:59:09"/>
    <d v="2019-03-15T04:59:09"/>
    <d v="2019-03-16T04:59:09"/>
    <x v="6"/>
    <n v="34"/>
    <n v="121"/>
    <n v="506.29940280804624"/>
  </r>
  <r>
    <n v="845182"/>
    <x v="3"/>
    <s v="Bangalore"/>
    <x v="2"/>
    <s v=" DL"/>
    <x v="2"/>
    <x v="0"/>
    <x v="0"/>
    <x v="0"/>
    <d v="2019-03-11T05:01:01"/>
    <d v="2019-03-17T05:01:01"/>
    <d v="2019-03-18T05:01:01"/>
    <x v="3"/>
    <n v="37"/>
    <n v="128"/>
    <n v="2781.373929449479"/>
  </r>
  <r>
    <n v="988387"/>
    <x v="3"/>
    <s v="Delhi"/>
    <x v="3"/>
    <s v=" KA"/>
    <x v="1"/>
    <x v="0"/>
    <x v="1"/>
    <x v="0"/>
    <d v="2019-03-11T05:26:59"/>
    <d v="2019-03-15T05:26:59"/>
    <d v="2019-03-14T05:26:59"/>
    <x v="6"/>
    <n v="47"/>
    <n v="120"/>
    <n v="2836.5420250854063"/>
  </r>
  <r>
    <n v="190791"/>
    <x v="3"/>
    <s v="Delhi"/>
    <x v="4"/>
    <s v=" WB"/>
    <x v="0"/>
    <x v="0"/>
    <x v="1"/>
    <x v="1"/>
    <d v="2019-03-11T05:27:32"/>
    <d v="2019-03-17T05:27:32"/>
    <d v="2019-03-15T05:27:32"/>
    <x v="3"/>
    <n v="70"/>
    <n v="92"/>
    <n v="1017"/>
  </r>
  <r>
    <n v="939858"/>
    <x v="3"/>
    <s v="Delhi"/>
    <x v="1"/>
    <s v=" TN"/>
    <x v="2"/>
    <x v="0"/>
    <x v="0"/>
    <x v="1"/>
    <d v="2019-03-11T05:40:05"/>
    <d v="2019-03-18T05:40:05"/>
    <d v="2019-03-16T05:40:05"/>
    <x v="8"/>
    <n v="41"/>
    <n v="127"/>
    <n v="2388.6158539135758"/>
  </r>
  <r>
    <n v="559008"/>
    <x v="3"/>
    <s v="Bangalore"/>
    <x v="3"/>
    <s v=" KA"/>
    <x v="0"/>
    <x v="0"/>
    <x v="0"/>
    <x v="1"/>
    <d v="2019-03-11T07:12:35"/>
    <d v="2019-03-11T07:12:35"/>
    <d v="2019-03-14T07:12:35"/>
    <x v="10"/>
    <n v="0"/>
    <n v="102"/>
    <n v="2467.082542278572"/>
  </r>
  <r>
    <n v="121407"/>
    <x v="3"/>
    <s v="Bangalore"/>
    <x v="4"/>
    <s v=" WB"/>
    <x v="1"/>
    <x v="0"/>
    <x v="1"/>
    <x v="1"/>
    <d v="2019-03-11T07:12:57"/>
    <d v="2019-03-13T07:12:57"/>
    <d v="2019-03-15T07:12:57"/>
    <x v="0"/>
    <n v="34"/>
    <n v="110"/>
    <n v="1511.862928973231"/>
  </r>
  <r>
    <n v="957358"/>
    <x v="3"/>
    <s v="Bangalore"/>
    <x v="3"/>
    <s v=" KA"/>
    <x v="2"/>
    <x v="0"/>
    <x v="0"/>
    <x v="0"/>
    <d v="2019-03-11T09:01:55"/>
    <d v="2019-03-14T09:01:55"/>
    <d v="2019-03-17T09:01:55"/>
    <x v="4"/>
    <n v="0"/>
    <n v="123"/>
    <n v="2556.6565726319441"/>
  </r>
  <r>
    <n v="898725"/>
    <x v="3"/>
    <s v="Delhi"/>
    <x v="0"/>
    <s v=" MH"/>
    <x v="1"/>
    <x v="0"/>
    <x v="1"/>
    <x v="1"/>
    <d v="2019-03-11T09:02:29"/>
    <d v="2019-03-17T09:02:29"/>
    <d v="2019-03-14T09:02:29"/>
    <x v="3"/>
    <n v="38"/>
    <n v="112"/>
    <n v="3409.4309693647483"/>
  </r>
  <r>
    <n v="995386"/>
    <x v="3"/>
    <s v="Delhi"/>
    <x v="2"/>
    <s v=" DL"/>
    <x v="2"/>
    <x v="0"/>
    <x v="0"/>
    <x v="0"/>
    <d v="2019-03-11T09:37:34"/>
    <d v="2019-03-12T09:37:34"/>
    <d v="2019-03-17T09:37:34"/>
    <x v="2"/>
    <n v="0"/>
    <n v="124"/>
    <n v="2207"/>
  </r>
  <r>
    <n v="750329"/>
    <x v="3"/>
    <s v="Delhi"/>
    <x v="3"/>
    <s v=" KA"/>
    <x v="1"/>
    <x v="0"/>
    <x v="1"/>
    <x v="0"/>
    <d v="2019-03-11T10:10:13"/>
    <d v="2019-03-14T10:10:13"/>
    <d v="2019-03-16T10:10:13"/>
    <x v="4"/>
    <n v="25"/>
    <n v="125"/>
    <n v="3128.1434874282031"/>
  </r>
  <r>
    <n v="925025"/>
    <x v="3"/>
    <s v="Delhi"/>
    <x v="0"/>
    <s v=" MH"/>
    <x v="1"/>
    <x v="0"/>
    <x v="1"/>
    <x v="0"/>
    <d v="2019-03-11T10:14:06"/>
    <d v="2019-03-14T10:14:06"/>
    <d v="2019-03-16T10:14:06"/>
    <x v="4"/>
    <n v="46"/>
    <n v="109"/>
    <n v="1002.5797580149292"/>
  </r>
  <r>
    <n v="723861"/>
    <x v="3"/>
    <s v="Delhi"/>
    <x v="3"/>
    <s v=" KA"/>
    <x v="1"/>
    <x v="0"/>
    <x v="1"/>
    <x v="1"/>
    <d v="2019-03-11T11:02:18"/>
    <d v="2019-03-16T11:02:18"/>
    <d v="2019-03-15T11:02:18"/>
    <x v="9"/>
    <n v="41"/>
    <n v="122"/>
    <n v="2725.4392216045626"/>
  </r>
  <r>
    <n v="304452"/>
    <x v="3"/>
    <s v="Bangalore"/>
    <x v="2"/>
    <s v=" DL"/>
    <x v="0"/>
    <x v="0"/>
    <x v="0"/>
    <x v="1"/>
    <d v="2019-03-11T11:10:01"/>
    <d v="2019-03-14T11:10:01"/>
    <d v="2019-03-18T11:10:01"/>
    <x v="4"/>
    <n v="87"/>
    <n v="104"/>
    <n v="3126.193570125145"/>
  </r>
  <r>
    <n v="942982"/>
    <x v="3"/>
    <s v="Delhi"/>
    <x v="0"/>
    <s v=" MH"/>
    <x v="2"/>
    <x v="0"/>
    <x v="0"/>
    <x v="0"/>
    <d v="2019-03-11T11:15:24"/>
    <d v="2019-03-14T11:15:24"/>
    <d v="2019-03-14T11:15:24"/>
    <x v="4"/>
    <n v="38"/>
    <n v="108"/>
    <n v="1344.7330153106334"/>
  </r>
  <r>
    <n v="742656"/>
    <x v="3"/>
    <s v="Delhi"/>
    <x v="0"/>
    <s v=" MH"/>
    <x v="0"/>
    <x v="0"/>
    <x v="0"/>
    <x v="1"/>
    <d v="2019-03-11T11:20:52"/>
    <d v="2019-03-13T11:20:52"/>
    <d v="2019-03-15T11:20:52"/>
    <x v="0"/>
    <n v="31"/>
    <n v="110"/>
    <n v="1239.4363818505803"/>
  </r>
  <r>
    <n v="469895"/>
    <x v="3"/>
    <s v="Delhi"/>
    <x v="0"/>
    <s v=" MH"/>
    <x v="1"/>
    <x v="0"/>
    <x v="1"/>
    <x v="0"/>
    <d v="2019-03-11T11:30:24"/>
    <d v="2019-03-19T11:30:24"/>
    <d v="2019-03-16T11:30:24"/>
    <x v="5"/>
    <n v="25"/>
    <n v="110"/>
    <n v="835.50385800297147"/>
  </r>
  <r>
    <n v="42973"/>
    <x v="3"/>
    <s v="Bangalore"/>
    <x v="2"/>
    <s v=" DL"/>
    <x v="1"/>
    <x v="0"/>
    <x v="2"/>
    <x v="0"/>
    <d v="2019-03-11T12:26:29"/>
    <d v="2019-03-20T12:26:29"/>
    <d v="2019-03-16T12:26:29"/>
    <x v="1"/>
    <n v="47"/>
    <n v="128"/>
    <n v="2010.839083632284"/>
  </r>
  <r>
    <n v="760821"/>
    <x v="3"/>
    <s v="Delhi"/>
    <x v="2"/>
    <s v=" DL"/>
    <x v="0"/>
    <x v="0"/>
    <x v="1"/>
    <x v="1"/>
    <d v="2019-03-11T13:09:33"/>
    <d v="2019-03-16T13:09:33"/>
    <d v="2019-03-15T13:09:33"/>
    <x v="9"/>
    <n v="0"/>
    <n v="102"/>
    <n v="2935.5134610576633"/>
  </r>
  <r>
    <n v="705043"/>
    <x v="3"/>
    <s v="Delhi"/>
    <x v="2"/>
    <s v=" DL"/>
    <x v="0"/>
    <x v="0"/>
    <x v="1"/>
    <x v="0"/>
    <d v="2019-03-11T13:10:07"/>
    <d v="2019-03-16T13:10:07"/>
    <d v="2019-03-18T13:10:07"/>
    <x v="9"/>
    <n v="0"/>
    <n v="102"/>
    <n v="2436.9775683505009"/>
  </r>
  <r>
    <n v="152986"/>
    <x v="3"/>
    <s v="Bangalore"/>
    <x v="3"/>
    <s v=" KA"/>
    <x v="2"/>
    <x v="0"/>
    <x v="0"/>
    <x v="0"/>
    <d v="2019-03-11T13:49:05"/>
    <d v="2019-03-11T13:49:05"/>
    <d v="2019-03-14T13:49:05"/>
    <x v="10"/>
    <n v="0"/>
    <n v="124"/>
    <n v="2917.701830139546"/>
  </r>
  <r>
    <n v="728781"/>
    <x v="3"/>
    <s v="Delhi"/>
    <x v="3"/>
    <s v=" KA"/>
    <x v="1"/>
    <x v="0"/>
    <x v="1"/>
    <x v="1"/>
    <d v="2019-03-11T14:37:34"/>
    <d v="2019-03-18T14:37:34"/>
    <d v="2019-03-14T14:37:34"/>
    <x v="8"/>
    <n v="39"/>
    <n v="130"/>
    <n v="2259.5547930941498"/>
  </r>
  <r>
    <n v="419359"/>
    <x v="3"/>
    <s v="Bangalore"/>
    <x v="0"/>
    <s v=" MH"/>
    <x v="0"/>
    <x v="0"/>
    <x v="1"/>
    <x v="0"/>
    <d v="2019-03-11T14:52:51"/>
    <d v="2019-03-15T14:52:51"/>
    <d v="2019-03-18T14:52:51"/>
    <x v="6"/>
    <n v="87"/>
    <n v="92"/>
    <n v="1220"/>
  </r>
  <r>
    <n v="367466"/>
    <x v="3"/>
    <s v="Bangalore"/>
    <x v="2"/>
    <s v=" DL"/>
    <x v="2"/>
    <x v="0"/>
    <x v="0"/>
    <x v="0"/>
    <d v="2019-03-11T16:01:12"/>
    <d v="2019-03-17T16:01:12"/>
    <d v="2019-03-14T16:01:12"/>
    <x v="3"/>
    <n v="27"/>
    <n v="125"/>
    <n v="1062.5849235107653"/>
  </r>
  <r>
    <n v="604856"/>
    <x v="3"/>
    <s v="Delhi"/>
    <x v="4"/>
    <s v=" WB"/>
    <x v="0"/>
    <x v="0"/>
    <x v="0"/>
    <x v="0"/>
    <d v="2019-03-11T16:41:47"/>
    <d v="2019-03-16T16:41:47"/>
    <d v="2019-03-14T16:41:47"/>
    <x v="9"/>
    <n v="38"/>
    <n v="109"/>
    <n v="2598.3231053092882"/>
  </r>
  <r>
    <n v="209966"/>
    <x v="3"/>
    <s v="Delhi"/>
    <x v="0"/>
    <s v=" MH"/>
    <x v="2"/>
    <x v="0"/>
    <x v="0"/>
    <x v="0"/>
    <d v="2019-03-11T17:06:19"/>
    <d v="2019-03-16T17:06:19"/>
    <d v="2019-03-17T17:06:19"/>
    <x v="9"/>
    <n v="29"/>
    <n v="108"/>
    <n v="3214.9021475480386"/>
  </r>
  <r>
    <n v="659931"/>
    <x v="3"/>
    <s v="Delhi"/>
    <x v="3"/>
    <s v=" KA"/>
    <x v="1"/>
    <x v="0"/>
    <x v="1"/>
    <x v="1"/>
    <d v="2019-03-11T18:04:09"/>
    <d v="2019-03-20T18:04:09"/>
    <d v="2019-03-17T18:04:09"/>
    <x v="1"/>
    <n v="27"/>
    <n v="124"/>
    <n v="3503.6992086598584"/>
  </r>
  <r>
    <n v="796734"/>
    <x v="3"/>
    <s v="Bangalore"/>
    <x v="2"/>
    <s v=" DL"/>
    <x v="2"/>
    <x v="0"/>
    <x v="0"/>
    <x v="1"/>
    <d v="2019-03-11T18:12:00"/>
    <d v="2019-03-18T18:12:00"/>
    <d v="2019-03-16T18:12:00"/>
    <x v="8"/>
    <n v="30"/>
    <n v="123"/>
    <n v="2682"/>
  </r>
  <r>
    <n v="170011"/>
    <x v="3"/>
    <s v="Bangalore"/>
    <x v="0"/>
    <s v=" MH"/>
    <x v="1"/>
    <x v="0"/>
    <x v="1"/>
    <x v="0"/>
    <d v="2019-03-11T19:49:16"/>
    <d v="2019-03-15T19:49:16"/>
    <d v="2019-03-17T19:49:16"/>
    <x v="6"/>
    <n v="26"/>
    <n v="109"/>
    <n v="1353"/>
  </r>
  <r>
    <n v="833340"/>
    <x v="3"/>
    <s v="Delhi"/>
    <x v="2"/>
    <s v=" DL"/>
    <x v="0"/>
    <x v="0"/>
    <x v="0"/>
    <x v="1"/>
    <d v="2019-03-11T20:22:27"/>
    <d v="2019-03-13T20:22:27"/>
    <d v="2019-03-16T20:22:27"/>
    <x v="0"/>
    <n v="0"/>
    <n v="128"/>
    <n v="2876"/>
  </r>
  <r>
    <n v="748474"/>
    <x v="3"/>
    <s v="Bangalore"/>
    <x v="3"/>
    <s v=" KA"/>
    <x v="2"/>
    <x v="0"/>
    <x v="0"/>
    <x v="0"/>
    <d v="2019-03-11T20:40:25"/>
    <d v="2019-03-17T20:40:25"/>
    <d v="2019-03-14T20:40:25"/>
    <x v="3"/>
    <n v="0"/>
    <n v="120"/>
    <n v="3104.3918582465521"/>
  </r>
  <r>
    <n v="935041"/>
    <x v="3"/>
    <s v="Delhi"/>
    <x v="3"/>
    <s v=" KA"/>
    <x v="1"/>
    <x v="0"/>
    <x v="1"/>
    <x v="0"/>
    <d v="2019-03-11T20:49:28"/>
    <d v="2019-03-20T20:49:28"/>
    <d v="2019-03-17T20:49:28"/>
    <x v="1"/>
    <n v="43"/>
    <n v="125"/>
    <n v="2053"/>
  </r>
  <r>
    <n v="888514"/>
    <x v="3"/>
    <s v="Delhi"/>
    <x v="2"/>
    <s v=" DL"/>
    <x v="2"/>
    <x v="0"/>
    <x v="0"/>
    <x v="0"/>
    <d v="2019-03-11T21:49:53"/>
    <d v="2019-03-17T21:49:53"/>
    <d v="2019-03-15T21:49:53"/>
    <x v="3"/>
    <n v="0"/>
    <n v="128"/>
    <n v="429.02603027477721"/>
  </r>
  <r>
    <n v="71667"/>
    <x v="3"/>
    <s v="Bangalore"/>
    <x v="0"/>
    <s v=" MH"/>
    <x v="1"/>
    <x v="0"/>
    <x v="1"/>
    <x v="1"/>
    <d v="2019-03-11T21:53:15"/>
    <d v="2019-03-20T21:53:15"/>
    <d v="2019-03-16T21:53:15"/>
    <x v="1"/>
    <n v="45"/>
    <n v="107"/>
    <n v="1541.4048909439398"/>
  </r>
  <r>
    <n v="44809"/>
    <x v="3"/>
    <s v="Delhi"/>
    <x v="3"/>
    <s v=" KA"/>
    <x v="0"/>
    <x v="0"/>
    <x v="1"/>
    <x v="0"/>
    <d v="2019-03-11T22:18:29"/>
    <d v="2019-03-16T22:18:29"/>
    <d v="2019-03-16T22:18:29"/>
    <x v="9"/>
    <n v="65"/>
    <n v="103"/>
    <n v="791.6164311104834"/>
  </r>
  <r>
    <n v="538190"/>
    <x v="3"/>
    <s v="Delhi"/>
    <x v="0"/>
    <s v=" MH"/>
    <x v="0"/>
    <x v="0"/>
    <x v="0"/>
    <x v="0"/>
    <d v="2019-03-11T22:38:32"/>
    <d v="2019-03-16T22:38:32"/>
    <d v="2019-03-16T22:38:32"/>
    <x v="9"/>
    <n v="78"/>
    <n v="90"/>
    <n v="1242.6416314212595"/>
  </r>
  <r>
    <n v="499640"/>
    <x v="3"/>
    <s v="Bangalore"/>
    <x v="3"/>
    <s v=" KA"/>
    <x v="0"/>
    <x v="0"/>
    <x v="0"/>
    <x v="0"/>
    <d v="2019-03-11T23:33:35"/>
    <d v="2019-03-12T23:33:35"/>
    <d v="2019-03-17T23:33:35"/>
    <x v="2"/>
    <n v="0"/>
    <n v="129"/>
    <n v="2312.8772278856964"/>
  </r>
  <r>
    <n v="313376"/>
    <x v="3"/>
    <s v="Bangalore"/>
    <x v="4"/>
    <s v=" WB"/>
    <x v="0"/>
    <x v="0"/>
    <x v="0"/>
    <x v="0"/>
    <d v="2019-03-12T00:09:03"/>
    <d v="2019-03-15T00:09:03"/>
    <d v="2019-03-17T00:09:03"/>
    <x v="4"/>
    <n v="70"/>
    <n v="92"/>
    <n v="2706.242042611897"/>
  </r>
  <r>
    <n v="979194"/>
    <x v="3"/>
    <s v="Bangalore"/>
    <x v="0"/>
    <s v=" MH"/>
    <x v="2"/>
    <x v="0"/>
    <x v="0"/>
    <x v="1"/>
    <d v="2019-03-12T00:27:31"/>
    <d v="2019-03-19T00:27:31"/>
    <d v="2019-03-18T00:27:31"/>
    <x v="8"/>
    <n v="30"/>
    <n v="111"/>
    <n v="780"/>
  </r>
  <r>
    <n v="843368"/>
    <x v="3"/>
    <s v="Delhi"/>
    <x v="2"/>
    <s v=" DL"/>
    <x v="0"/>
    <x v="0"/>
    <x v="0"/>
    <x v="0"/>
    <d v="2019-03-12T01:12:34"/>
    <d v="2019-03-12T01:12:34"/>
    <d v="2019-03-17T01:12:34"/>
    <x v="10"/>
    <n v="0"/>
    <n v="130"/>
    <n v="3305.2820854059719"/>
  </r>
  <r>
    <n v="507366"/>
    <x v="3"/>
    <s v="Delhi"/>
    <x v="1"/>
    <s v=" TN"/>
    <x v="2"/>
    <x v="0"/>
    <x v="0"/>
    <x v="1"/>
    <d v="2019-03-12T01:18:55"/>
    <d v="2019-03-16T01:18:55"/>
    <d v="2019-03-17T01:18:55"/>
    <x v="6"/>
    <n v="42"/>
    <n v="129"/>
    <n v="2446"/>
  </r>
  <r>
    <n v="283360"/>
    <x v="3"/>
    <s v="Delhi"/>
    <x v="3"/>
    <s v=" KA"/>
    <x v="0"/>
    <x v="0"/>
    <x v="0"/>
    <x v="0"/>
    <d v="2019-03-12T01:54:37"/>
    <d v="2019-03-16T01:54:37"/>
    <d v="2019-03-16T01:54:37"/>
    <x v="6"/>
    <n v="80"/>
    <n v="109"/>
    <n v="863"/>
  </r>
  <r>
    <n v="48896"/>
    <x v="3"/>
    <s v="Delhi"/>
    <x v="0"/>
    <s v=" MH"/>
    <x v="0"/>
    <x v="0"/>
    <x v="0"/>
    <x v="0"/>
    <d v="2019-03-12T03:17:09"/>
    <d v="2019-03-16T03:17:09"/>
    <d v="2019-03-17T03:17:09"/>
    <x v="6"/>
    <n v="45"/>
    <n v="114"/>
    <n v="2389.5086104754755"/>
  </r>
  <r>
    <n v="594814"/>
    <x v="3"/>
    <s v="Delhi"/>
    <x v="0"/>
    <s v=" MH"/>
    <x v="2"/>
    <x v="0"/>
    <x v="0"/>
    <x v="0"/>
    <d v="2019-03-12T05:25:43"/>
    <d v="2019-03-18T05:25:43"/>
    <d v="2019-03-15T05:25:43"/>
    <x v="3"/>
    <n v="38"/>
    <n v="114"/>
    <n v="354"/>
  </r>
  <r>
    <n v="852941"/>
    <x v="3"/>
    <s v="Delhi"/>
    <x v="3"/>
    <s v=" KA"/>
    <x v="1"/>
    <x v="0"/>
    <x v="1"/>
    <x v="0"/>
    <d v="2019-03-12T05:31:47"/>
    <d v="2019-03-19T05:31:47"/>
    <d v="2019-03-15T05:31:47"/>
    <x v="8"/>
    <n v="29"/>
    <n v="128"/>
    <n v="3263"/>
  </r>
  <r>
    <n v="68443"/>
    <x v="3"/>
    <s v="Delhi"/>
    <x v="3"/>
    <s v=" KA"/>
    <x v="1"/>
    <x v="0"/>
    <x v="1"/>
    <x v="0"/>
    <d v="2019-03-12T06:52:25"/>
    <d v="2019-03-20T06:52:25"/>
    <d v="2019-03-15T06:52:25"/>
    <x v="5"/>
    <n v="33"/>
    <n v="123"/>
    <n v="3434.5225082564871"/>
  </r>
  <r>
    <n v="93395"/>
    <x v="3"/>
    <s v="Delhi"/>
    <x v="2"/>
    <s v=" DL"/>
    <x v="0"/>
    <x v="0"/>
    <x v="1"/>
    <x v="0"/>
    <d v="2019-03-12T08:09:52"/>
    <d v="2019-03-14T08:09:52"/>
    <d v="2019-03-15T08:09:52"/>
    <x v="0"/>
    <n v="0"/>
    <n v="105"/>
    <n v="3636.5084854443544"/>
  </r>
  <r>
    <n v="552095"/>
    <x v="3"/>
    <s v="Delhi"/>
    <x v="0"/>
    <s v=" MH"/>
    <x v="0"/>
    <x v="0"/>
    <x v="1"/>
    <x v="0"/>
    <d v="2019-03-12T08:52:18"/>
    <d v="2019-03-18T08:52:18"/>
    <d v="2019-03-17T08:52:18"/>
    <x v="3"/>
    <n v="75"/>
    <n v="91"/>
    <n v="1521.2486828079093"/>
  </r>
  <r>
    <n v="240393"/>
    <x v="3"/>
    <s v="Bangalore"/>
    <x v="3"/>
    <s v=" KA"/>
    <x v="1"/>
    <x v="0"/>
    <x v="1"/>
    <x v="1"/>
    <d v="2019-03-12T09:02:48"/>
    <d v="2019-03-12T09:02:48"/>
    <d v="2019-03-16T09:02:48"/>
    <x v="10"/>
    <n v="0"/>
    <n v="121"/>
    <n v="663.36659058338557"/>
  </r>
  <r>
    <n v="820298"/>
    <x v="3"/>
    <s v="Delhi"/>
    <x v="3"/>
    <s v=" KA"/>
    <x v="2"/>
    <x v="0"/>
    <x v="0"/>
    <x v="0"/>
    <d v="2019-03-12T09:23:52"/>
    <d v="2019-03-19T09:23:52"/>
    <d v="2019-03-15T09:23:52"/>
    <x v="8"/>
    <n v="47"/>
    <n v="124"/>
    <n v="1202.5625599962764"/>
  </r>
  <r>
    <n v="395384"/>
    <x v="3"/>
    <s v="Bangalore"/>
    <x v="2"/>
    <s v=" DL"/>
    <x v="0"/>
    <x v="0"/>
    <x v="0"/>
    <x v="0"/>
    <d v="2019-03-12T09:40:48"/>
    <d v="2019-03-14T09:40:48"/>
    <d v="2019-03-17T09:40:48"/>
    <x v="0"/>
    <n v="47"/>
    <n v="125"/>
    <n v="2233"/>
  </r>
  <r>
    <n v="435554"/>
    <x v="3"/>
    <s v="Delhi"/>
    <x v="4"/>
    <s v=" WB"/>
    <x v="0"/>
    <x v="0"/>
    <x v="0"/>
    <x v="0"/>
    <d v="2019-03-12T10:08:38"/>
    <d v="2019-03-19T10:08:38"/>
    <d v="2019-03-15T10:08:38"/>
    <x v="8"/>
    <n v="66"/>
    <n v="90"/>
    <n v="3097.9617104161171"/>
  </r>
  <r>
    <n v="865298"/>
    <x v="3"/>
    <s v="Delhi"/>
    <x v="2"/>
    <s v=" DL"/>
    <x v="0"/>
    <x v="0"/>
    <x v="0"/>
    <x v="0"/>
    <d v="2019-03-12T10:28:14"/>
    <d v="2019-03-12T10:28:14"/>
    <d v="2019-03-17T10:28:14"/>
    <x v="10"/>
    <n v="0"/>
    <n v="107"/>
    <n v="2421.5130069800466"/>
  </r>
  <r>
    <n v="618329"/>
    <x v="3"/>
    <s v="Delhi"/>
    <x v="1"/>
    <s v=" TN"/>
    <x v="1"/>
    <x v="0"/>
    <x v="1"/>
    <x v="0"/>
    <d v="2019-03-12T11:58:35"/>
    <d v="2019-03-19T11:58:35"/>
    <d v="2019-03-19T11:58:35"/>
    <x v="8"/>
    <n v="37"/>
    <n v="127"/>
    <n v="3446.6291401524381"/>
  </r>
  <r>
    <n v="60442"/>
    <x v="3"/>
    <s v="Delhi"/>
    <x v="2"/>
    <s v=" DL"/>
    <x v="2"/>
    <x v="0"/>
    <x v="0"/>
    <x v="0"/>
    <d v="2019-03-12T12:35:30"/>
    <d v="2019-03-13T12:35:30"/>
    <d v="2019-03-19T12:35:30"/>
    <x v="2"/>
    <n v="0"/>
    <n v="128"/>
    <n v="3055.0211221924674"/>
  </r>
  <r>
    <n v="543877"/>
    <x v="3"/>
    <s v="Bangalore"/>
    <x v="1"/>
    <s v=" TN"/>
    <x v="1"/>
    <x v="0"/>
    <x v="1"/>
    <x v="0"/>
    <d v="2019-03-12T13:43:53"/>
    <d v="2019-03-14T13:43:53"/>
    <d v="2019-03-16T13:43:53"/>
    <x v="0"/>
    <n v="28"/>
    <n v="125"/>
    <n v="1389.7322359810678"/>
  </r>
  <r>
    <n v="283050"/>
    <x v="3"/>
    <s v="Delhi"/>
    <x v="4"/>
    <s v=" WB"/>
    <x v="2"/>
    <x v="0"/>
    <x v="0"/>
    <x v="1"/>
    <d v="2019-03-12T14:01:23"/>
    <d v="2019-03-14T14:01:23"/>
    <d v="2019-03-15T14:01:23"/>
    <x v="0"/>
    <n v="25"/>
    <n v="110"/>
    <n v="1099.7091125221698"/>
  </r>
  <r>
    <n v="375113"/>
    <x v="3"/>
    <s v="Delhi"/>
    <x v="0"/>
    <s v=" MH"/>
    <x v="1"/>
    <x v="0"/>
    <x v="1"/>
    <x v="0"/>
    <d v="2019-03-12T14:29:26"/>
    <d v="2019-03-16T14:29:26"/>
    <d v="2019-03-19T14:29:26"/>
    <x v="6"/>
    <n v="38"/>
    <n v="110"/>
    <n v="1542.6179065076719"/>
  </r>
  <r>
    <n v="696418"/>
    <x v="3"/>
    <s v="Bangalore"/>
    <x v="2"/>
    <s v=" DL"/>
    <x v="2"/>
    <x v="0"/>
    <x v="0"/>
    <x v="0"/>
    <d v="2019-03-12T15:25:12"/>
    <d v="2019-03-17T15:25:12"/>
    <d v="2019-03-19T15:25:12"/>
    <x v="9"/>
    <n v="29"/>
    <n v="121"/>
    <n v="1928"/>
  </r>
  <r>
    <n v="659844"/>
    <x v="3"/>
    <s v="Delhi"/>
    <x v="0"/>
    <s v=" MH"/>
    <x v="0"/>
    <x v="0"/>
    <x v="0"/>
    <x v="1"/>
    <d v="2019-03-12T15:42:52"/>
    <d v="2019-03-17T15:42:52"/>
    <d v="2019-03-16T15:42:52"/>
    <x v="9"/>
    <n v="44"/>
    <n v="106"/>
    <n v="3329.7912395265334"/>
  </r>
  <r>
    <n v="159914"/>
    <x v="3"/>
    <s v="Delhi"/>
    <x v="3"/>
    <s v=" KA"/>
    <x v="2"/>
    <x v="0"/>
    <x v="0"/>
    <x v="0"/>
    <d v="2019-03-12T16:27:44"/>
    <d v="2019-03-19T16:27:44"/>
    <d v="2019-03-16T16:27:44"/>
    <x v="8"/>
    <n v="29"/>
    <n v="126"/>
    <n v="1104.4202420304605"/>
  </r>
  <r>
    <n v="569314"/>
    <x v="3"/>
    <s v="Delhi"/>
    <x v="0"/>
    <s v=" MH"/>
    <x v="0"/>
    <x v="0"/>
    <x v="0"/>
    <x v="0"/>
    <d v="2019-03-12T16:50:15"/>
    <d v="2019-03-14T16:50:15"/>
    <d v="2019-03-19T16:50:15"/>
    <x v="0"/>
    <n v="83"/>
    <n v="89"/>
    <n v="1820.0513909618323"/>
  </r>
  <r>
    <n v="4769"/>
    <x v="3"/>
    <s v="Delhi"/>
    <x v="3"/>
    <s v=" KA"/>
    <x v="1"/>
    <x v="0"/>
    <x v="1"/>
    <x v="0"/>
    <d v="2019-03-12T17:33:56"/>
    <d v="2019-03-16T17:33:56"/>
    <d v="2019-03-16T17:33:56"/>
    <x v="6"/>
    <n v="50"/>
    <n v="128"/>
    <n v="1656"/>
  </r>
  <r>
    <n v="411933"/>
    <x v="3"/>
    <s v="Delhi"/>
    <x v="0"/>
    <s v=" MH"/>
    <x v="1"/>
    <x v="0"/>
    <x v="1"/>
    <x v="1"/>
    <d v="2019-03-12T17:52:12"/>
    <d v="2019-03-19T17:52:12"/>
    <d v="2019-03-18T17:52:12"/>
    <x v="8"/>
    <n v="40"/>
    <n v="111"/>
    <n v="3736.5561749814942"/>
  </r>
  <r>
    <n v="503842"/>
    <x v="3"/>
    <s v="Delhi"/>
    <x v="3"/>
    <s v=" KA"/>
    <x v="2"/>
    <x v="0"/>
    <x v="0"/>
    <x v="0"/>
    <d v="2019-03-12T17:53:58"/>
    <d v="2019-03-18T17:53:58"/>
    <d v="2019-03-17T17:53:58"/>
    <x v="3"/>
    <n v="31"/>
    <n v="129"/>
    <n v="2721.5001711646132"/>
  </r>
  <r>
    <n v="532753"/>
    <x v="3"/>
    <s v="Bangalore"/>
    <x v="2"/>
    <s v=" DL"/>
    <x v="1"/>
    <x v="0"/>
    <x v="1"/>
    <x v="0"/>
    <d v="2019-03-12T18:37:19"/>
    <d v="2019-03-20T18:37:19"/>
    <d v="2019-03-18T18:37:19"/>
    <x v="5"/>
    <n v="37"/>
    <n v="121"/>
    <n v="855.09499088768337"/>
  </r>
  <r>
    <n v="594470"/>
    <x v="3"/>
    <s v="Delhi"/>
    <x v="1"/>
    <s v=" TN"/>
    <x v="2"/>
    <x v="0"/>
    <x v="0"/>
    <x v="0"/>
    <d v="2019-03-12T19:01:35"/>
    <d v="2019-03-17T19:01:35"/>
    <d v="2019-03-15T19:01:35"/>
    <x v="9"/>
    <n v="50"/>
    <n v="122"/>
    <n v="2705.0492496298621"/>
  </r>
  <r>
    <n v="874622"/>
    <x v="3"/>
    <s v="Delhi"/>
    <x v="4"/>
    <s v=" WB"/>
    <x v="2"/>
    <x v="0"/>
    <x v="0"/>
    <x v="0"/>
    <d v="2019-03-12T19:03:04"/>
    <d v="2019-03-15T19:03:04"/>
    <d v="2019-03-17T19:03:04"/>
    <x v="4"/>
    <n v="42"/>
    <n v="111"/>
    <n v="946.18767109455894"/>
  </r>
  <r>
    <n v="162067"/>
    <x v="3"/>
    <s v="Bangalore"/>
    <x v="4"/>
    <s v=" WB"/>
    <x v="1"/>
    <x v="0"/>
    <x v="1"/>
    <x v="0"/>
    <d v="2019-03-12T19:14:27"/>
    <d v="2019-03-16T19:14:27"/>
    <d v="2019-03-18T19:14:27"/>
    <x v="6"/>
    <n v="38"/>
    <n v="114"/>
    <n v="2074.2346409107122"/>
  </r>
  <r>
    <n v="305456"/>
    <x v="3"/>
    <s v="Delhi"/>
    <x v="2"/>
    <s v=" DL"/>
    <x v="0"/>
    <x v="0"/>
    <x v="0"/>
    <x v="0"/>
    <d v="2019-03-12T20:05:17"/>
    <d v="2019-03-14T20:05:17"/>
    <d v="2019-03-19T20:05:17"/>
    <x v="0"/>
    <n v="0"/>
    <n v="124"/>
    <n v="3510"/>
  </r>
  <r>
    <n v="37844"/>
    <x v="3"/>
    <s v="Delhi"/>
    <x v="3"/>
    <s v=" KA"/>
    <x v="0"/>
    <x v="0"/>
    <x v="0"/>
    <x v="0"/>
    <d v="2019-03-12T20:19:29"/>
    <d v="2019-03-14T20:19:29"/>
    <d v="2019-03-18T20:19:29"/>
    <x v="0"/>
    <n v="36"/>
    <n v="130"/>
    <n v="1832.9670149565195"/>
  </r>
  <r>
    <n v="896840"/>
    <x v="3"/>
    <s v="Bangalore"/>
    <x v="3"/>
    <s v=" KA"/>
    <x v="0"/>
    <x v="0"/>
    <x v="0"/>
    <x v="0"/>
    <d v="2019-03-12T20:27:33"/>
    <d v="2019-03-12T20:27:33"/>
    <d v="2019-03-17T20:27:33"/>
    <x v="10"/>
    <n v="0"/>
    <n v="108"/>
    <n v="2528"/>
  </r>
  <r>
    <n v="173081"/>
    <x v="3"/>
    <s v="Bangalore"/>
    <x v="2"/>
    <s v=" DL"/>
    <x v="1"/>
    <x v="0"/>
    <x v="1"/>
    <x v="0"/>
    <d v="2019-03-12T22:17:10"/>
    <d v="2019-03-20T22:17:10"/>
    <d v="2019-03-17T22:17:10"/>
    <x v="5"/>
    <n v="28"/>
    <n v="127"/>
    <n v="2670.0950994475043"/>
  </r>
  <r>
    <n v="16923"/>
    <x v="3"/>
    <s v="Bangalore"/>
    <x v="4"/>
    <s v=" WB"/>
    <x v="1"/>
    <x v="0"/>
    <x v="1"/>
    <x v="1"/>
    <d v="2019-03-12T22:18:36"/>
    <d v="2019-03-18T22:18:36"/>
    <d v="2019-03-16T22:18:36"/>
    <x v="3"/>
    <n v="47"/>
    <n v="113"/>
    <n v="1816.8207053600063"/>
  </r>
  <r>
    <n v="947460"/>
    <x v="3"/>
    <s v="Bangalore"/>
    <x v="4"/>
    <s v=" WB"/>
    <x v="0"/>
    <x v="0"/>
    <x v="0"/>
    <x v="1"/>
    <d v="2019-03-12T22:20:17"/>
    <d v="2019-03-19T22:20:17"/>
    <d v="2019-03-15T22:20:17"/>
    <x v="8"/>
    <n v="36"/>
    <n v="106"/>
    <n v="3423.9365232809155"/>
  </r>
  <r>
    <n v="17344"/>
    <x v="3"/>
    <s v="Bangalore"/>
    <x v="0"/>
    <s v=" MH"/>
    <x v="0"/>
    <x v="0"/>
    <x v="0"/>
    <x v="0"/>
    <d v="2019-03-12T22:55:04"/>
    <d v="2019-03-16T22:55:04"/>
    <d v="2019-03-15T22:55:04"/>
    <x v="6"/>
    <n v="38"/>
    <n v="113"/>
    <n v="2617.6957384017992"/>
  </r>
  <r>
    <n v="508300"/>
    <x v="3"/>
    <s v="Delhi"/>
    <x v="2"/>
    <s v=" DL"/>
    <x v="0"/>
    <x v="0"/>
    <x v="0"/>
    <x v="0"/>
    <d v="2019-03-12T23:03:57"/>
    <d v="2019-03-12T23:03:57"/>
    <d v="2019-03-17T23:03:57"/>
    <x v="10"/>
    <n v="0"/>
    <n v="121"/>
    <n v="1713.5651057303253"/>
  </r>
  <r>
    <n v="351941"/>
    <x v="3"/>
    <s v="Delhi"/>
    <x v="0"/>
    <s v=" MH"/>
    <x v="1"/>
    <x v="0"/>
    <x v="1"/>
    <x v="0"/>
    <d v="2019-03-12T23:10:14"/>
    <d v="2019-03-16T23:10:14"/>
    <d v="2019-03-18T23:10:14"/>
    <x v="6"/>
    <n v="33"/>
    <n v="114"/>
    <n v="2367"/>
  </r>
  <r>
    <n v="714882"/>
    <x v="3"/>
    <s v="Delhi"/>
    <x v="1"/>
    <s v=" TN"/>
    <x v="0"/>
    <x v="0"/>
    <x v="0"/>
    <x v="1"/>
    <d v="2019-03-12T23:27:35"/>
    <d v="2019-03-21T23:27:35"/>
    <d v="2019-03-17T23:27:35"/>
    <x v="1"/>
    <n v="63"/>
    <n v="101"/>
    <n v="2601.634033089103"/>
  </r>
  <r>
    <n v="580380"/>
    <x v="3"/>
    <s v="Delhi"/>
    <x v="0"/>
    <s v=" MH"/>
    <x v="0"/>
    <x v="0"/>
    <x v="0"/>
    <x v="1"/>
    <d v="2019-03-12T23:30:37"/>
    <d v="2019-03-15T23:30:37"/>
    <d v="2019-03-18T23:30:37"/>
    <x v="4"/>
    <n v="66"/>
    <n v="94"/>
    <n v="818.58469228760748"/>
  </r>
  <r>
    <n v="53426"/>
    <x v="3"/>
    <s v="Delhi"/>
    <x v="0"/>
    <s v=" MH"/>
    <x v="0"/>
    <x v="0"/>
    <x v="0"/>
    <x v="0"/>
    <d v="2019-03-13T01:54:29"/>
    <d v="2019-03-19T01:54:29"/>
    <d v="2019-03-16T01:54:29"/>
    <x v="3"/>
    <n v="70"/>
    <n v="93"/>
    <n v="1546.0000977298098"/>
  </r>
  <r>
    <n v="966103"/>
    <x v="3"/>
    <s v="Bangalore"/>
    <x v="4"/>
    <s v=" WB"/>
    <x v="0"/>
    <x v="0"/>
    <x v="1"/>
    <x v="0"/>
    <d v="2019-03-13T02:30:08"/>
    <d v="2019-03-20T02:30:08"/>
    <d v="2019-03-19T02:30:08"/>
    <x v="8"/>
    <n v="73"/>
    <n v="91"/>
    <n v="2993"/>
  </r>
  <r>
    <n v="59558"/>
    <x v="3"/>
    <s v="Delhi"/>
    <x v="2"/>
    <s v=" DL"/>
    <x v="0"/>
    <x v="0"/>
    <x v="0"/>
    <x v="0"/>
    <d v="2019-03-13T02:35:28"/>
    <d v="2019-03-15T02:35:28"/>
    <d v="2019-03-16T02:35:28"/>
    <x v="0"/>
    <n v="0"/>
    <n v="108"/>
    <n v="2190.8398830514961"/>
  </r>
  <r>
    <n v="10031"/>
    <x v="3"/>
    <s v="Delhi"/>
    <x v="4"/>
    <s v=" WB"/>
    <x v="1"/>
    <x v="0"/>
    <x v="2"/>
    <x v="0"/>
    <d v="2019-03-13T03:36:22"/>
    <d v="2019-03-15T03:36:22"/>
    <d v="2019-03-19T03:36:22"/>
    <x v="0"/>
    <n v="30"/>
    <n v="114"/>
    <n v="2200.8516597864018"/>
  </r>
  <r>
    <n v="708939"/>
    <x v="3"/>
    <s v="Delhi"/>
    <x v="4"/>
    <s v=" WB"/>
    <x v="1"/>
    <x v="0"/>
    <x v="2"/>
    <x v="1"/>
    <d v="2019-03-13T04:22:10"/>
    <d v="2019-03-20T04:22:10"/>
    <d v="2019-03-16T04:22:10"/>
    <x v="8"/>
    <n v="38"/>
    <n v="110"/>
    <n v="3527.4432017476552"/>
  </r>
  <r>
    <n v="752373"/>
    <x v="3"/>
    <s v="Bangalore"/>
    <x v="0"/>
    <s v=" MH"/>
    <x v="0"/>
    <x v="0"/>
    <x v="1"/>
    <x v="1"/>
    <d v="2019-03-13T04:23:09"/>
    <d v="2019-03-17T04:23:09"/>
    <d v="2019-03-16T04:23:09"/>
    <x v="6"/>
    <n v="88"/>
    <n v="85"/>
    <n v="1484"/>
  </r>
  <r>
    <n v="831501"/>
    <x v="3"/>
    <s v="Bangalore"/>
    <x v="2"/>
    <s v=" DL"/>
    <x v="1"/>
    <x v="0"/>
    <x v="1"/>
    <x v="1"/>
    <d v="2019-03-13T04:43:36"/>
    <d v="2019-03-22T04:43:36"/>
    <d v="2019-03-18T04:43:36"/>
    <x v="1"/>
    <n v="42"/>
    <n v="123"/>
    <n v="2707.7130598434906"/>
  </r>
  <r>
    <n v="129572"/>
    <x v="3"/>
    <s v="Bangalore"/>
    <x v="2"/>
    <s v=" DL"/>
    <x v="0"/>
    <x v="0"/>
    <x v="0"/>
    <x v="0"/>
    <d v="2019-03-13T05:00:01"/>
    <d v="2019-03-15T05:00:01"/>
    <d v="2019-03-18T05:00:01"/>
    <x v="0"/>
    <n v="45"/>
    <n v="120"/>
    <n v="1537.7910570943243"/>
  </r>
  <r>
    <n v="39435"/>
    <x v="3"/>
    <s v="Delhi"/>
    <x v="3"/>
    <s v=" KA"/>
    <x v="0"/>
    <x v="0"/>
    <x v="1"/>
    <x v="1"/>
    <d v="2019-03-13T05:10:14"/>
    <d v="2019-03-16T05:10:14"/>
    <d v="2019-03-17T05:10:14"/>
    <x v="4"/>
    <n v="80"/>
    <n v="102"/>
    <n v="1969.3834340292883"/>
  </r>
  <r>
    <n v="797070"/>
    <x v="3"/>
    <s v="Bangalore"/>
    <x v="3"/>
    <s v=" KA"/>
    <x v="2"/>
    <x v="0"/>
    <x v="0"/>
    <x v="1"/>
    <d v="2019-03-13T06:06:05"/>
    <d v="2019-03-14T06:06:05"/>
    <d v="2019-03-17T06:06:05"/>
    <x v="2"/>
    <n v="0"/>
    <n v="122"/>
    <n v="363.41130144316173"/>
  </r>
  <r>
    <n v="128022"/>
    <x v="3"/>
    <s v="Bangalore"/>
    <x v="0"/>
    <s v=" MH"/>
    <x v="2"/>
    <x v="0"/>
    <x v="0"/>
    <x v="1"/>
    <d v="2019-03-13T06:16:17"/>
    <d v="2019-03-20T06:16:17"/>
    <d v="2019-03-17T06:16:17"/>
    <x v="8"/>
    <n v="41"/>
    <n v="108"/>
    <n v="1261.627756425368"/>
  </r>
  <r>
    <n v="63214"/>
    <x v="3"/>
    <s v="Delhi"/>
    <x v="2"/>
    <s v=" DL"/>
    <x v="0"/>
    <x v="0"/>
    <x v="0"/>
    <x v="0"/>
    <d v="2019-03-13T07:05:50"/>
    <d v="2019-03-13T07:05:50"/>
    <d v="2019-03-20T07:05:50"/>
    <x v="10"/>
    <n v="0"/>
    <n v="101"/>
    <n v="1518"/>
  </r>
  <r>
    <n v="44880"/>
    <x v="3"/>
    <s v="Delhi"/>
    <x v="2"/>
    <s v=" DL"/>
    <x v="0"/>
    <x v="0"/>
    <x v="0"/>
    <x v="1"/>
    <d v="2019-03-13T07:25:00"/>
    <d v="2019-03-14T07:25:00"/>
    <d v="2019-03-16T07:25:00"/>
    <x v="2"/>
    <n v="0"/>
    <n v="101"/>
    <n v="1037"/>
  </r>
  <r>
    <n v="466054"/>
    <x v="3"/>
    <s v="Bangalore"/>
    <x v="0"/>
    <s v=" MH"/>
    <x v="2"/>
    <x v="0"/>
    <x v="0"/>
    <x v="0"/>
    <d v="2019-03-13T09:17:53"/>
    <d v="2019-03-18T09:17:53"/>
    <d v="2019-03-19T09:17:53"/>
    <x v="9"/>
    <n v="41"/>
    <n v="114"/>
    <n v="2142"/>
  </r>
  <r>
    <n v="286270"/>
    <x v="3"/>
    <s v="Bangalore"/>
    <x v="1"/>
    <s v=" TN"/>
    <x v="2"/>
    <x v="0"/>
    <x v="0"/>
    <x v="0"/>
    <d v="2019-03-13T09:23:32"/>
    <d v="2019-03-15T09:23:32"/>
    <d v="2019-03-18T09:23:32"/>
    <x v="0"/>
    <n v="38"/>
    <n v="128"/>
    <n v="1587"/>
  </r>
  <r>
    <n v="219785"/>
    <x v="3"/>
    <s v="Delhi"/>
    <x v="3"/>
    <s v=" KA"/>
    <x v="0"/>
    <x v="0"/>
    <x v="1"/>
    <x v="0"/>
    <d v="2019-03-13T09:49:46"/>
    <d v="2019-03-15T09:49:46"/>
    <d v="2019-03-18T09:49:46"/>
    <x v="0"/>
    <n v="66"/>
    <n v="101"/>
    <n v="2120.3319423926887"/>
  </r>
  <r>
    <n v="63343"/>
    <x v="3"/>
    <s v="Delhi"/>
    <x v="1"/>
    <s v=" TN"/>
    <x v="0"/>
    <x v="0"/>
    <x v="2"/>
    <x v="0"/>
    <d v="2019-03-13T09:56:41"/>
    <d v="2019-03-20T09:56:41"/>
    <d v="2019-03-16T09:56:41"/>
    <x v="8"/>
    <n v="72"/>
    <n v="101"/>
    <n v="1478.9352181272654"/>
  </r>
  <r>
    <n v="832401"/>
    <x v="3"/>
    <s v="Delhi"/>
    <x v="2"/>
    <s v=" DL"/>
    <x v="1"/>
    <x v="0"/>
    <x v="1"/>
    <x v="1"/>
    <d v="2019-03-13T11:06:12"/>
    <d v="2019-03-15T11:06:12"/>
    <d v="2019-03-17T11:06:12"/>
    <x v="0"/>
    <n v="0"/>
    <n v="123"/>
    <n v="1689"/>
  </r>
  <r>
    <n v="211991"/>
    <x v="3"/>
    <s v="Delhi"/>
    <x v="2"/>
    <s v=" DL"/>
    <x v="0"/>
    <x v="0"/>
    <x v="1"/>
    <x v="0"/>
    <d v="2019-03-13T11:06:53"/>
    <d v="2019-03-13T11:06:53"/>
    <d v="2019-03-19T11:06:53"/>
    <x v="10"/>
    <n v="0"/>
    <n v="106"/>
    <n v="3820.2599014886705"/>
  </r>
  <r>
    <n v="409632"/>
    <x v="3"/>
    <s v="Bangalore"/>
    <x v="1"/>
    <s v=" TN"/>
    <x v="0"/>
    <x v="0"/>
    <x v="0"/>
    <x v="1"/>
    <d v="2019-03-13T11:27:42"/>
    <d v="2019-03-21T11:27:42"/>
    <d v="2019-03-18T11:27:42"/>
    <x v="5"/>
    <n v="59"/>
    <n v="108"/>
    <n v="2132.0628955306129"/>
  </r>
  <r>
    <n v="922697"/>
    <x v="3"/>
    <s v="Bangalore"/>
    <x v="3"/>
    <s v=" KA"/>
    <x v="1"/>
    <x v="0"/>
    <x v="1"/>
    <x v="0"/>
    <d v="2019-03-13T13:22:12"/>
    <d v="2019-03-18T13:22:12"/>
    <d v="2019-03-19T13:22:12"/>
    <x v="9"/>
    <n v="0"/>
    <n v="122"/>
    <n v="1991.9448078393491"/>
  </r>
  <r>
    <n v="978578"/>
    <x v="3"/>
    <s v="Delhi"/>
    <x v="0"/>
    <s v=" MH"/>
    <x v="2"/>
    <x v="0"/>
    <x v="0"/>
    <x v="0"/>
    <d v="2019-03-13T13:33:00"/>
    <d v="2019-03-17T13:33:00"/>
    <d v="2019-03-17T13:33:00"/>
    <x v="6"/>
    <n v="29"/>
    <n v="110"/>
    <n v="2728.0247491762416"/>
  </r>
  <r>
    <n v="65528"/>
    <x v="3"/>
    <s v="Bangalore"/>
    <x v="3"/>
    <s v=" KA"/>
    <x v="0"/>
    <x v="0"/>
    <x v="0"/>
    <x v="0"/>
    <d v="2019-03-13T14:06:12"/>
    <d v="2019-03-15T14:06:12"/>
    <d v="2019-03-19T14:06:12"/>
    <x v="0"/>
    <n v="0"/>
    <n v="129"/>
    <n v="1992.1943656191152"/>
  </r>
  <r>
    <n v="638085"/>
    <x v="3"/>
    <s v="Bangalore"/>
    <x v="2"/>
    <s v=" DL"/>
    <x v="1"/>
    <x v="0"/>
    <x v="2"/>
    <x v="1"/>
    <d v="2019-03-13T15:36:04"/>
    <d v="2019-03-18T15:36:04"/>
    <d v="2019-03-16T15:36:04"/>
    <x v="9"/>
    <n v="36"/>
    <n v="124"/>
    <n v="3455"/>
  </r>
  <r>
    <n v="390801"/>
    <x v="3"/>
    <s v="Delhi"/>
    <x v="0"/>
    <s v=" MH"/>
    <x v="1"/>
    <x v="0"/>
    <x v="1"/>
    <x v="1"/>
    <d v="2019-03-13T16:07:51"/>
    <d v="2019-03-22T16:07:51"/>
    <d v="2019-03-16T16:07:51"/>
    <x v="1"/>
    <n v="29"/>
    <n v="112"/>
    <n v="1759.2677262207446"/>
  </r>
  <r>
    <n v="583638"/>
    <x v="3"/>
    <s v="Delhi"/>
    <x v="1"/>
    <s v=" TN"/>
    <x v="2"/>
    <x v="0"/>
    <x v="0"/>
    <x v="1"/>
    <d v="2019-03-13T16:11:23"/>
    <d v="2019-03-20T16:11:23"/>
    <d v="2019-03-18T16:11:23"/>
    <x v="8"/>
    <n v="35"/>
    <n v="124"/>
    <n v="2873.8057397035459"/>
  </r>
  <r>
    <n v="289191"/>
    <x v="3"/>
    <s v="Delhi"/>
    <x v="3"/>
    <s v=" KA"/>
    <x v="0"/>
    <x v="0"/>
    <x v="2"/>
    <x v="1"/>
    <d v="2019-03-13T16:12:57"/>
    <d v="2019-03-19T16:12:57"/>
    <d v="2019-03-17T16:12:57"/>
    <x v="3"/>
    <n v="73"/>
    <n v="109"/>
    <n v="991.96489122253467"/>
  </r>
  <r>
    <n v="427137"/>
    <x v="3"/>
    <s v="Bangalore"/>
    <x v="0"/>
    <s v=" MH"/>
    <x v="1"/>
    <x v="0"/>
    <x v="1"/>
    <x v="1"/>
    <d v="2019-03-13T16:20:50"/>
    <d v="2019-03-21T16:20:50"/>
    <d v="2019-03-18T16:20:50"/>
    <x v="5"/>
    <n v="39"/>
    <n v="108"/>
    <n v="2857.275138172608"/>
  </r>
  <r>
    <n v="200130"/>
    <x v="3"/>
    <s v="Delhi"/>
    <x v="3"/>
    <s v=" KA"/>
    <x v="2"/>
    <x v="0"/>
    <x v="0"/>
    <x v="1"/>
    <d v="2019-03-13T16:58:36"/>
    <d v="2019-03-22T16:58:36"/>
    <d v="2019-03-16T16:58:36"/>
    <x v="1"/>
    <n v="38"/>
    <n v="129"/>
    <n v="1877.517808206951"/>
  </r>
  <r>
    <n v="836177"/>
    <x v="3"/>
    <s v="Delhi"/>
    <x v="2"/>
    <s v=" DL"/>
    <x v="1"/>
    <x v="0"/>
    <x v="1"/>
    <x v="0"/>
    <d v="2019-03-13T17:05:01"/>
    <d v="2019-03-16T17:05:01"/>
    <d v="2019-03-16T17:05:01"/>
    <x v="4"/>
    <n v="0"/>
    <n v="129"/>
    <n v="2402.3978391677151"/>
  </r>
  <r>
    <n v="484459"/>
    <x v="3"/>
    <s v="Delhi"/>
    <x v="0"/>
    <s v=" MH"/>
    <x v="0"/>
    <x v="0"/>
    <x v="1"/>
    <x v="0"/>
    <d v="2019-03-13T17:26:53"/>
    <d v="2019-03-15T17:26:53"/>
    <d v="2019-03-19T17:26:53"/>
    <x v="0"/>
    <n v="73"/>
    <n v="89"/>
    <n v="1120.3349072060057"/>
  </r>
  <r>
    <n v="903982"/>
    <x v="3"/>
    <s v="Delhi"/>
    <x v="3"/>
    <s v=" KA"/>
    <x v="0"/>
    <x v="0"/>
    <x v="0"/>
    <x v="0"/>
    <d v="2019-03-13T17:54:46"/>
    <d v="2019-03-18T17:54:46"/>
    <d v="2019-03-17T17:54:46"/>
    <x v="9"/>
    <n v="90"/>
    <n v="108"/>
    <n v="3542"/>
  </r>
  <r>
    <n v="87157"/>
    <x v="3"/>
    <s v="Bangalore"/>
    <x v="2"/>
    <s v=" DL"/>
    <x v="1"/>
    <x v="0"/>
    <x v="2"/>
    <x v="0"/>
    <d v="2019-03-13T18:49:48"/>
    <d v="2019-03-19T18:49:48"/>
    <d v="2019-03-16T18:49:48"/>
    <x v="3"/>
    <n v="40"/>
    <n v="123"/>
    <n v="1613.6743273881505"/>
  </r>
  <r>
    <n v="441189"/>
    <x v="3"/>
    <s v="Delhi"/>
    <x v="2"/>
    <s v=" DL"/>
    <x v="1"/>
    <x v="0"/>
    <x v="2"/>
    <x v="1"/>
    <d v="2019-03-13T18:53:24"/>
    <d v="2019-03-14T18:53:24"/>
    <d v="2019-03-16T18:53:24"/>
    <x v="2"/>
    <n v="0"/>
    <n v="130"/>
    <n v="564"/>
  </r>
  <r>
    <n v="901155"/>
    <x v="3"/>
    <s v="Delhi"/>
    <x v="0"/>
    <s v=" MH"/>
    <x v="0"/>
    <x v="0"/>
    <x v="1"/>
    <x v="1"/>
    <d v="2019-03-13T20:55:23"/>
    <d v="2019-03-18T20:55:23"/>
    <d v="2019-03-19T20:55:23"/>
    <x v="9"/>
    <n v="82"/>
    <n v="90"/>
    <n v="3680.5792279303118"/>
  </r>
  <r>
    <n v="187223"/>
    <x v="3"/>
    <s v="Delhi"/>
    <x v="2"/>
    <s v=" DL"/>
    <x v="1"/>
    <x v="0"/>
    <x v="1"/>
    <x v="0"/>
    <d v="2019-03-13T21:02:21"/>
    <d v="2019-03-16T21:02:21"/>
    <d v="2019-03-20T21:02:21"/>
    <x v="4"/>
    <n v="0"/>
    <n v="121"/>
    <n v="2844.5056983794598"/>
  </r>
  <r>
    <n v="414732"/>
    <x v="3"/>
    <s v="Bangalore"/>
    <x v="2"/>
    <s v=" DL"/>
    <x v="0"/>
    <x v="0"/>
    <x v="0"/>
    <x v="1"/>
    <d v="2019-03-13T22:02:50"/>
    <d v="2019-03-16T22:02:50"/>
    <d v="2019-03-20T22:02:50"/>
    <x v="4"/>
    <n v="85"/>
    <n v="107"/>
    <n v="1664.067446282967"/>
  </r>
  <r>
    <n v="573704"/>
    <x v="3"/>
    <s v="Delhi"/>
    <x v="2"/>
    <s v=" DL"/>
    <x v="0"/>
    <x v="0"/>
    <x v="0"/>
    <x v="0"/>
    <d v="2019-03-13T22:24:33"/>
    <d v="2019-03-13T22:24:33"/>
    <d v="2019-03-16T22:24:33"/>
    <x v="10"/>
    <n v="0"/>
    <n v="129"/>
    <n v="599"/>
  </r>
  <r>
    <n v="187287"/>
    <x v="3"/>
    <s v="Bangalore"/>
    <x v="1"/>
    <s v=" TN"/>
    <x v="1"/>
    <x v="0"/>
    <x v="1"/>
    <x v="1"/>
    <d v="2019-03-13T22:27:16"/>
    <d v="2019-03-19T22:27:16"/>
    <d v="2019-03-17T22:27:16"/>
    <x v="3"/>
    <n v="46"/>
    <n v="123"/>
    <n v="3412"/>
  </r>
  <r>
    <n v="931058"/>
    <x v="3"/>
    <s v="Delhi"/>
    <x v="0"/>
    <s v=" MH"/>
    <x v="2"/>
    <x v="0"/>
    <x v="0"/>
    <x v="0"/>
    <d v="2019-03-13T22:45:26"/>
    <d v="2019-03-16T22:45:26"/>
    <d v="2019-03-20T22:45:26"/>
    <x v="4"/>
    <n v="38"/>
    <n v="106"/>
    <n v="901.3926348461456"/>
  </r>
  <r>
    <n v="678242"/>
    <x v="3"/>
    <s v="Delhi"/>
    <x v="3"/>
    <s v=" KA"/>
    <x v="2"/>
    <x v="0"/>
    <x v="0"/>
    <x v="0"/>
    <d v="2019-03-13T23:22:37"/>
    <d v="2019-03-23T23:22:37"/>
    <d v="2019-03-19T23:22:37"/>
    <x v="7"/>
    <n v="40"/>
    <n v="124"/>
    <n v="2784.3637903384292"/>
  </r>
  <r>
    <n v="444556"/>
    <x v="3"/>
    <s v="Delhi"/>
    <x v="2"/>
    <s v=" DL"/>
    <x v="0"/>
    <x v="0"/>
    <x v="0"/>
    <x v="0"/>
    <d v="2019-03-13T23:35:43"/>
    <d v="2019-03-18T23:35:43"/>
    <d v="2019-03-20T23:35:43"/>
    <x v="9"/>
    <n v="0"/>
    <n v="121"/>
    <n v="2351.8162412419151"/>
  </r>
  <r>
    <n v="58702"/>
    <x v="3"/>
    <s v="Bangalore"/>
    <x v="0"/>
    <s v=" MH"/>
    <x v="0"/>
    <x v="0"/>
    <x v="0"/>
    <x v="0"/>
    <d v="2019-03-14T00:32:34"/>
    <d v="2019-03-16T00:32:34"/>
    <d v="2019-03-18T00:32:34"/>
    <x v="0"/>
    <n v="74"/>
    <n v="94"/>
    <n v="2888.6078491934441"/>
  </r>
  <r>
    <n v="414654"/>
    <x v="3"/>
    <s v="Delhi"/>
    <x v="0"/>
    <s v=" MH"/>
    <x v="2"/>
    <x v="0"/>
    <x v="0"/>
    <x v="1"/>
    <d v="2019-03-14T00:39:30"/>
    <d v="2019-03-22T00:39:30"/>
    <d v="2019-03-17T00:39:30"/>
    <x v="5"/>
    <n v="42"/>
    <n v="107"/>
    <n v="2960"/>
  </r>
  <r>
    <n v="23895"/>
    <x v="3"/>
    <s v="Bangalore"/>
    <x v="0"/>
    <s v=" MH"/>
    <x v="0"/>
    <x v="0"/>
    <x v="1"/>
    <x v="1"/>
    <d v="2019-03-14T00:47:07"/>
    <d v="2019-03-18T00:47:07"/>
    <d v="2019-03-20T00:47:07"/>
    <x v="6"/>
    <n v="82"/>
    <n v="86"/>
    <n v="2570.8209725012348"/>
  </r>
  <r>
    <n v="100260"/>
    <x v="3"/>
    <s v="Bangalore"/>
    <x v="4"/>
    <s v=" WB"/>
    <x v="0"/>
    <x v="0"/>
    <x v="0"/>
    <x v="1"/>
    <d v="2019-03-14T02:43:33"/>
    <d v="2019-03-17T02:43:33"/>
    <d v="2019-03-19T02:43:33"/>
    <x v="4"/>
    <n v="33"/>
    <n v="110"/>
    <n v="1831.9139286042384"/>
  </r>
  <r>
    <n v="457504"/>
    <x v="3"/>
    <s v="Delhi"/>
    <x v="0"/>
    <s v=" MH"/>
    <x v="0"/>
    <x v="0"/>
    <x v="0"/>
    <x v="0"/>
    <d v="2019-03-14T03:21:34"/>
    <d v="2019-03-20T03:21:34"/>
    <d v="2019-03-20T03:21:34"/>
    <x v="3"/>
    <n v="47"/>
    <n v="113"/>
    <n v="3096.6721010517995"/>
  </r>
  <r>
    <n v="990797"/>
    <x v="3"/>
    <s v="Bangalore"/>
    <x v="0"/>
    <s v=" MH"/>
    <x v="0"/>
    <x v="0"/>
    <x v="1"/>
    <x v="0"/>
    <d v="2019-03-14T03:59:29"/>
    <d v="2019-03-19T03:59:29"/>
    <d v="2019-03-21T03:59:29"/>
    <x v="9"/>
    <n v="58"/>
    <n v="95"/>
    <n v="1415.9455902801135"/>
  </r>
  <r>
    <n v="386544"/>
    <x v="3"/>
    <s v="Delhi"/>
    <x v="2"/>
    <s v=" DL"/>
    <x v="0"/>
    <x v="0"/>
    <x v="0"/>
    <x v="1"/>
    <d v="2019-03-14T06:11:53"/>
    <d v="2019-03-16T06:11:53"/>
    <d v="2019-03-20T06:11:53"/>
    <x v="0"/>
    <n v="0"/>
    <n v="124"/>
    <n v="1055"/>
  </r>
  <r>
    <n v="742226"/>
    <x v="3"/>
    <s v="Bangalore"/>
    <x v="3"/>
    <s v=" KA"/>
    <x v="0"/>
    <x v="0"/>
    <x v="0"/>
    <x v="0"/>
    <d v="2019-03-14T06:24:38"/>
    <d v="2019-03-18T06:24:38"/>
    <d v="2019-03-17T06:24:38"/>
    <x v="6"/>
    <n v="0"/>
    <n v="102"/>
    <n v="326.81225487039421"/>
  </r>
  <r>
    <n v="375456"/>
    <x v="3"/>
    <s v="Delhi"/>
    <x v="1"/>
    <s v=" TN"/>
    <x v="0"/>
    <x v="0"/>
    <x v="0"/>
    <x v="1"/>
    <d v="2019-03-14T06:42:12"/>
    <d v="2019-03-21T06:42:12"/>
    <d v="2019-03-17T06:42:12"/>
    <x v="8"/>
    <n v="27"/>
    <n v="124"/>
    <n v="662"/>
  </r>
  <r>
    <n v="916264"/>
    <x v="3"/>
    <s v="Delhi"/>
    <x v="0"/>
    <s v=" MH"/>
    <x v="0"/>
    <x v="0"/>
    <x v="0"/>
    <x v="0"/>
    <d v="2019-03-14T06:50:12"/>
    <d v="2019-03-16T06:50:12"/>
    <d v="2019-03-19T06:50:12"/>
    <x v="0"/>
    <n v="27"/>
    <n v="113"/>
    <n v="3240.306173916334"/>
  </r>
  <r>
    <n v="927842"/>
    <x v="3"/>
    <s v="Bangalore"/>
    <x v="0"/>
    <s v=" MH"/>
    <x v="2"/>
    <x v="0"/>
    <x v="0"/>
    <x v="0"/>
    <d v="2019-03-14T07:20:28"/>
    <d v="2019-03-17T07:20:28"/>
    <d v="2019-03-19T07:20:28"/>
    <x v="4"/>
    <n v="35"/>
    <n v="114"/>
    <n v="3447.3451769656417"/>
  </r>
  <r>
    <n v="17512"/>
    <x v="3"/>
    <s v="Bangalore"/>
    <x v="4"/>
    <s v=" WB"/>
    <x v="0"/>
    <x v="0"/>
    <x v="0"/>
    <x v="0"/>
    <d v="2019-03-14T07:29:20"/>
    <d v="2019-03-17T07:29:20"/>
    <d v="2019-03-20T07:29:20"/>
    <x v="4"/>
    <n v="28"/>
    <n v="105"/>
    <n v="3286.8549635603654"/>
  </r>
  <r>
    <n v="501537"/>
    <x v="3"/>
    <s v="Delhi"/>
    <x v="1"/>
    <s v=" TN"/>
    <x v="0"/>
    <x v="0"/>
    <x v="1"/>
    <x v="1"/>
    <d v="2019-03-14T07:38:08"/>
    <d v="2019-03-24T07:38:08"/>
    <d v="2019-03-17T07:38:08"/>
    <x v="7"/>
    <n v="79"/>
    <n v="103"/>
    <n v="3328"/>
  </r>
  <r>
    <n v="744945"/>
    <x v="3"/>
    <s v="Delhi"/>
    <x v="0"/>
    <s v=" MH"/>
    <x v="1"/>
    <x v="0"/>
    <x v="1"/>
    <x v="1"/>
    <d v="2019-03-14T08:21:58"/>
    <d v="2019-03-17T08:21:58"/>
    <d v="2019-03-20T08:21:58"/>
    <x v="4"/>
    <n v="36"/>
    <n v="110"/>
    <n v="1450"/>
  </r>
  <r>
    <n v="996866"/>
    <x v="3"/>
    <s v="Delhi"/>
    <x v="0"/>
    <s v=" MH"/>
    <x v="2"/>
    <x v="0"/>
    <x v="0"/>
    <x v="0"/>
    <d v="2019-03-14T08:52:05"/>
    <d v="2019-03-22T08:52:05"/>
    <d v="2019-03-21T08:52:05"/>
    <x v="5"/>
    <n v="47"/>
    <n v="111"/>
    <n v="1971.7673609931967"/>
  </r>
  <r>
    <n v="61788"/>
    <x v="3"/>
    <s v="Delhi"/>
    <x v="4"/>
    <s v=" WB"/>
    <x v="0"/>
    <x v="0"/>
    <x v="0"/>
    <x v="1"/>
    <d v="2019-03-14T08:56:28"/>
    <d v="2019-03-19T08:56:28"/>
    <d v="2019-03-18T08:56:28"/>
    <x v="9"/>
    <n v="46"/>
    <n v="109"/>
    <n v="1044.5065860616958"/>
  </r>
  <r>
    <n v="260139"/>
    <x v="3"/>
    <s v="Delhi"/>
    <x v="2"/>
    <s v=" DL"/>
    <x v="1"/>
    <x v="0"/>
    <x v="1"/>
    <x v="1"/>
    <d v="2019-03-14T09:10:52"/>
    <d v="2019-03-19T09:10:52"/>
    <d v="2019-03-20T09:10:52"/>
    <x v="9"/>
    <n v="0"/>
    <n v="130"/>
    <n v="3690.1905707874175"/>
  </r>
  <r>
    <n v="530763"/>
    <x v="3"/>
    <s v="Bangalore"/>
    <x v="1"/>
    <s v=" TN"/>
    <x v="0"/>
    <x v="0"/>
    <x v="1"/>
    <x v="1"/>
    <d v="2019-03-14T10:37:58"/>
    <d v="2019-03-20T10:37:58"/>
    <d v="2019-03-18T10:37:58"/>
    <x v="3"/>
    <n v="75"/>
    <n v="104"/>
    <n v="1546.9186162415399"/>
  </r>
  <r>
    <n v="490207"/>
    <x v="3"/>
    <s v="Delhi"/>
    <x v="4"/>
    <s v=" WB"/>
    <x v="1"/>
    <x v="0"/>
    <x v="1"/>
    <x v="0"/>
    <d v="2019-03-14T10:42:39"/>
    <d v="2019-03-18T10:42:39"/>
    <d v="2019-03-18T10:42:39"/>
    <x v="6"/>
    <n v="44"/>
    <n v="113"/>
    <n v="745.92474501829088"/>
  </r>
  <r>
    <n v="558538"/>
    <x v="3"/>
    <s v="Delhi"/>
    <x v="4"/>
    <s v=" WB"/>
    <x v="2"/>
    <x v="0"/>
    <x v="0"/>
    <x v="0"/>
    <d v="2019-03-14T10:59:29"/>
    <d v="2019-03-18T10:59:29"/>
    <d v="2019-03-17T10:59:29"/>
    <x v="6"/>
    <n v="34"/>
    <n v="109"/>
    <n v="3102.4028073779668"/>
  </r>
  <r>
    <n v="986103"/>
    <x v="3"/>
    <s v="Delhi"/>
    <x v="0"/>
    <s v=" MH"/>
    <x v="0"/>
    <x v="0"/>
    <x v="1"/>
    <x v="1"/>
    <d v="2019-03-14T13:14:49"/>
    <d v="2019-03-16T13:14:49"/>
    <d v="2019-03-20T13:14:49"/>
    <x v="0"/>
    <n v="80"/>
    <n v="86"/>
    <n v="3315"/>
  </r>
  <r>
    <n v="423046"/>
    <x v="3"/>
    <s v="Delhi"/>
    <x v="4"/>
    <s v=" WB"/>
    <x v="2"/>
    <x v="0"/>
    <x v="0"/>
    <x v="0"/>
    <d v="2019-03-14T13:31:01"/>
    <d v="2019-03-21T13:31:01"/>
    <d v="2019-03-19T13:31:01"/>
    <x v="8"/>
    <n v="50"/>
    <n v="114"/>
    <n v="846.26221958030374"/>
  </r>
  <r>
    <n v="58868"/>
    <x v="3"/>
    <s v="Delhi"/>
    <x v="3"/>
    <s v=" KA"/>
    <x v="0"/>
    <x v="0"/>
    <x v="0"/>
    <x v="0"/>
    <d v="2019-03-14T14:03:47"/>
    <d v="2019-03-16T14:03:47"/>
    <d v="2019-03-19T14:03:47"/>
    <x v="0"/>
    <n v="25"/>
    <n v="125"/>
    <n v="1383.0920106726851"/>
  </r>
  <r>
    <n v="391384"/>
    <x v="3"/>
    <s v="Bangalore"/>
    <x v="0"/>
    <s v=" MH"/>
    <x v="0"/>
    <x v="0"/>
    <x v="0"/>
    <x v="0"/>
    <d v="2019-03-14T14:21:46"/>
    <d v="2019-03-16T14:21:46"/>
    <d v="2019-03-17T14:21:46"/>
    <x v="0"/>
    <n v="32"/>
    <n v="110"/>
    <n v="425.95347152861063"/>
  </r>
  <r>
    <n v="317800"/>
    <x v="3"/>
    <s v="Bangalore"/>
    <x v="0"/>
    <s v=" MH"/>
    <x v="0"/>
    <x v="0"/>
    <x v="0"/>
    <x v="0"/>
    <d v="2019-03-14T15:05:00"/>
    <d v="2019-03-16T15:05:00"/>
    <d v="2019-03-19T15:05:00"/>
    <x v="0"/>
    <n v="61"/>
    <n v="90"/>
    <n v="681.57701382242158"/>
  </r>
  <r>
    <n v="130928"/>
    <x v="3"/>
    <s v="Bangalore"/>
    <x v="3"/>
    <s v=" KA"/>
    <x v="0"/>
    <x v="0"/>
    <x v="0"/>
    <x v="0"/>
    <d v="2019-03-14T15:05:03"/>
    <d v="2019-03-19T15:05:03"/>
    <d v="2019-03-18T15:05:03"/>
    <x v="9"/>
    <n v="0"/>
    <n v="101"/>
    <n v="815.56989839509572"/>
  </r>
  <r>
    <n v="842378"/>
    <x v="3"/>
    <s v="Delhi"/>
    <x v="3"/>
    <s v=" KA"/>
    <x v="2"/>
    <x v="0"/>
    <x v="0"/>
    <x v="0"/>
    <d v="2019-03-14T15:16:08"/>
    <d v="2019-03-23T15:16:08"/>
    <d v="2019-03-20T15:16:08"/>
    <x v="1"/>
    <n v="32"/>
    <n v="124"/>
    <n v="1503"/>
  </r>
  <r>
    <n v="930600"/>
    <x v="3"/>
    <s v="Delhi"/>
    <x v="0"/>
    <s v=" MH"/>
    <x v="0"/>
    <x v="0"/>
    <x v="0"/>
    <x v="1"/>
    <d v="2019-03-14T15:55:44"/>
    <d v="2019-03-16T15:55:44"/>
    <d v="2019-03-20T15:55:44"/>
    <x v="0"/>
    <n v="80"/>
    <n v="86"/>
    <n v="3084.9898268901434"/>
  </r>
  <r>
    <n v="450375"/>
    <x v="3"/>
    <s v="Delhi"/>
    <x v="3"/>
    <s v=" KA"/>
    <x v="1"/>
    <x v="0"/>
    <x v="1"/>
    <x v="1"/>
    <d v="2019-03-14T15:56:20"/>
    <d v="2019-03-21T15:56:20"/>
    <d v="2019-03-20T15:56:20"/>
    <x v="8"/>
    <n v="44"/>
    <n v="121"/>
    <n v="1299.6501541118089"/>
  </r>
  <r>
    <n v="144206"/>
    <x v="3"/>
    <s v="Delhi"/>
    <x v="3"/>
    <s v=" KA"/>
    <x v="2"/>
    <x v="0"/>
    <x v="0"/>
    <x v="0"/>
    <d v="2019-03-14T16:22:10"/>
    <d v="2019-03-18T16:22:10"/>
    <d v="2019-03-17T16:22:10"/>
    <x v="6"/>
    <n v="29"/>
    <n v="122"/>
    <n v="782.215251329132"/>
  </r>
  <r>
    <n v="847200"/>
    <x v="3"/>
    <s v="Delhi"/>
    <x v="1"/>
    <s v=" TN"/>
    <x v="0"/>
    <x v="0"/>
    <x v="0"/>
    <x v="1"/>
    <d v="2019-03-14T17:05:39"/>
    <d v="2019-03-19T17:05:39"/>
    <d v="2019-03-18T17:05:39"/>
    <x v="9"/>
    <n v="43"/>
    <n v="123"/>
    <n v="455.55961791918594"/>
  </r>
  <r>
    <n v="465035"/>
    <x v="3"/>
    <s v="Delhi"/>
    <x v="0"/>
    <s v=" MH"/>
    <x v="1"/>
    <x v="0"/>
    <x v="1"/>
    <x v="0"/>
    <d v="2019-03-14T19:38:08"/>
    <d v="2019-03-18T19:38:08"/>
    <d v="2019-03-21T19:38:08"/>
    <x v="6"/>
    <n v="47"/>
    <n v="114"/>
    <n v="2257.7368454031744"/>
  </r>
  <r>
    <n v="234479"/>
    <x v="3"/>
    <s v="Bangalore"/>
    <x v="4"/>
    <s v=" WB"/>
    <x v="1"/>
    <x v="0"/>
    <x v="2"/>
    <x v="0"/>
    <d v="2019-03-14T19:53:39"/>
    <d v="2019-03-16T19:53:39"/>
    <d v="2019-03-18T19:53:39"/>
    <x v="0"/>
    <n v="9999"/>
    <n v="108"/>
    <n v="1663.5825318213583"/>
  </r>
  <r>
    <n v="906465"/>
    <x v="3"/>
    <s v="Delhi"/>
    <x v="1"/>
    <s v=" TN"/>
    <x v="1"/>
    <x v="0"/>
    <x v="2"/>
    <x v="1"/>
    <d v="2019-03-14T22:00:13"/>
    <d v="2019-03-20T22:00:13"/>
    <d v="2019-03-21T22:00:13"/>
    <x v="3"/>
    <n v="27"/>
    <n v="127"/>
    <n v="1535.3889844311047"/>
  </r>
  <r>
    <n v="415298"/>
    <x v="3"/>
    <s v="Bangalore"/>
    <x v="2"/>
    <s v=" DL"/>
    <x v="2"/>
    <x v="0"/>
    <x v="0"/>
    <x v="0"/>
    <d v="2019-03-14T22:01:49"/>
    <d v="2019-03-22T22:01:49"/>
    <d v="2019-03-17T22:01:49"/>
    <x v="5"/>
    <n v="49"/>
    <n v="125"/>
    <n v="791.53607510119014"/>
  </r>
  <r>
    <n v="277969"/>
    <x v="3"/>
    <s v="Bangalore"/>
    <x v="2"/>
    <s v=" DL"/>
    <x v="1"/>
    <x v="0"/>
    <x v="1"/>
    <x v="0"/>
    <d v="2019-03-14T22:46:08"/>
    <d v="2019-03-17T22:46:08"/>
    <d v="2019-03-17T22:46:08"/>
    <x v="4"/>
    <n v="39"/>
    <n v="121"/>
    <n v="2346"/>
  </r>
  <r>
    <n v="512253"/>
    <x v="3"/>
    <s v="Bangalore"/>
    <x v="2"/>
    <s v=" DL"/>
    <x v="0"/>
    <x v="0"/>
    <x v="2"/>
    <x v="1"/>
    <d v="2019-03-14T23:02:32"/>
    <d v="2019-03-17T23:02:32"/>
    <d v="2019-03-20T23:02:32"/>
    <x v="4"/>
    <n v="55"/>
    <n v="103"/>
    <n v="189.85904108871313"/>
  </r>
  <r>
    <n v="686806"/>
    <x v="3"/>
    <s v="Delhi"/>
    <x v="0"/>
    <s v=" MH"/>
    <x v="2"/>
    <x v="0"/>
    <x v="0"/>
    <x v="0"/>
    <d v="2019-03-14T23:09:20"/>
    <d v="2019-03-23T23:09:20"/>
    <d v="2019-03-18T23:09:20"/>
    <x v="1"/>
    <n v="42"/>
    <n v="108"/>
    <n v="2672"/>
  </r>
  <r>
    <n v="856629"/>
    <x v="3"/>
    <s v="Bangalore"/>
    <x v="0"/>
    <s v=" MH"/>
    <x v="1"/>
    <x v="0"/>
    <x v="1"/>
    <x v="1"/>
    <d v="2019-03-14T23:13:04"/>
    <d v="2019-03-21T23:13:04"/>
    <d v="2019-03-20T23:13:04"/>
    <x v="8"/>
    <n v="47"/>
    <n v="111"/>
    <n v="2742.2993422731015"/>
  </r>
  <r>
    <n v="423213"/>
    <x v="3"/>
    <s v="Bangalore"/>
    <x v="2"/>
    <s v=" DL"/>
    <x v="1"/>
    <x v="0"/>
    <x v="2"/>
    <x v="1"/>
    <d v="2019-03-14T23:55:46"/>
    <d v="2019-03-22T23:55:46"/>
    <d v="2019-03-21T23:55:46"/>
    <x v="5"/>
    <n v="50"/>
    <n v="129"/>
    <n v="3870.9022304072191"/>
  </r>
  <r>
    <n v="382112"/>
    <x v="3"/>
    <s v="Bangalore"/>
    <x v="2"/>
    <s v=" DL"/>
    <x v="0"/>
    <x v="1"/>
    <x v="0"/>
    <x v="0"/>
    <d v="2019-03-01T16:34:47"/>
    <d v="2019-03-03T16:34:47"/>
    <d v="2019-03-08T16:34:47"/>
    <x v="0"/>
    <n v="81"/>
    <n v="105"/>
    <n v="3674.2047457468207"/>
  </r>
  <r>
    <n v="797666"/>
    <x v="3"/>
    <s v="Delhi"/>
    <x v="2"/>
    <s v=" DL"/>
    <x v="2"/>
    <x v="1"/>
    <x v="0"/>
    <x v="0"/>
    <d v="2019-03-02T12:39:38"/>
    <d v="2019-03-06T12:39:38"/>
    <d v="2019-03-07T12:39:38"/>
    <x v="6"/>
    <n v="0"/>
    <n v="128"/>
    <n v="2866.7796545573469"/>
  </r>
  <r>
    <n v="903205"/>
    <x v="3"/>
    <s v="Delhi"/>
    <x v="2"/>
    <s v=" DL"/>
    <x v="1"/>
    <x v="1"/>
    <x v="1"/>
    <x v="0"/>
    <d v="2019-03-02T15:56:09"/>
    <d v="2019-03-04T15:56:09"/>
    <d v="2019-03-08T15:56:09"/>
    <x v="0"/>
    <n v="0"/>
    <n v="127"/>
    <n v="3288.8149739395467"/>
  </r>
  <r>
    <n v="738807"/>
    <x v="3"/>
    <s v="Bangalore"/>
    <x v="1"/>
    <s v=" TN"/>
    <x v="1"/>
    <x v="1"/>
    <x v="1"/>
    <x v="1"/>
    <d v="2019-03-03T21:21:49"/>
    <d v="2019-03-05T21:21:49"/>
    <d v="2019-03-10T21:21:49"/>
    <x v="0"/>
    <n v="40"/>
    <n v="130"/>
    <n v="2444.644766819471"/>
  </r>
  <r>
    <n v="598828"/>
    <x v="3"/>
    <s v="Delhi"/>
    <x v="1"/>
    <s v=" TN"/>
    <x v="0"/>
    <x v="1"/>
    <x v="0"/>
    <x v="0"/>
    <d v="2019-03-04T03:24:46"/>
    <d v="2019-03-15T03:24:46"/>
    <d v="2019-03-07T03:24:46"/>
    <x v="11"/>
    <n v="45"/>
    <n v="123"/>
    <n v="1400.8962952753309"/>
  </r>
  <r>
    <n v="144376"/>
    <x v="3"/>
    <s v="Delhi"/>
    <x v="0"/>
    <s v=" MH"/>
    <x v="0"/>
    <x v="1"/>
    <x v="0"/>
    <x v="0"/>
    <d v="2019-03-04T07:48:43"/>
    <d v="2019-03-06T07:48:43"/>
    <d v="2019-03-07T07:48:43"/>
    <x v="0"/>
    <n v="46"/>
    <n v="105"/>
    <n v="1374.9845084374806"/>
  </r>
  <r>
    <n v="694095"/>
    <x v="3"/>
    <s v="Delhi"/>
    <x v="3"/>
    <s v=" KA"/>
    <x v="0"/>
    <x v="1"/>
    <x v="1"/>
    <x v="1"/>
    <d v="2019-03-04T07:55:22"/>
    <d v="2019-03-06T07:55:22"/>
    <d v="2019-03-08T07:55:22"/>
    <x v="0"/>
    <n v="82"/>
    <n v="109"/>
    <n v="1743.3313413903725"/>
  </r>
  <r>
    <n v="971343"/>
    <x v="3"/>
    <s v="Bangalore"/>
    <x v="2"/>
    <s v=" DL"/>
    <x v="0"/>
    <x v="1"/>
    <x v="1"/>
    <x v="1"/>
    <d v="2019-03-06T22:02:42"/>
    <d v="2019-03-12T22:02:42"/>
    <d v="2019-03-10T22:02:42"/>
    <x v="3"/>
    <n v="80"/>
    <n v="108"/>
    <n v="2588.5706981858393"/>
  </r>
  <r>
    <n v="440003"/>
    <x v="3"/>
    <s v="Bangalore"/>
    <x v="2"/>
    <s v=" DL"/>
    <x v="1"/>
    <x v="1"/>
    <x v="1"/>
    <x v="0"/>
    <d v="2019-03-06T23:23:36"/>
    <d v="2019-03-13T23:23:36"/>
    <d v="2019-03-11T23:23:36"/>
    <x v="8"/>
    <n v="42"/>
    <n v="120"/>
    <n v="3260.8232846206033"/>
  </r>
  <r>
    <n v="869740"/>
    <x v="3"/>
    <s v="Bangalore"/>
    <x v="3"/>
    <s v=" KA"/>
    <x v="0"/>
    <x v="1"/>
    <x v="0"/>
    <x v="0"/>
    <d v="2019-03-08T03:08:10"/>
    <d v="2019-03-08T03:08:10"/>
    <d v="2019-03-14T03:08:10"/>
    <x v="10"/>
    <n v="0"/>
    <n v="123"/>
    <n v="1069.8714964781498"/>
  </r>
  <r>
    <n v="793086"/>
    <x v="3"/>
    <s v="Delhi"/>
    <x v="0"/>
    <s v=" MH"/>
    <x v="2"/>
    <x v="1"/>
    <x v="0"/>
    <x v="1"/>
    <d v="2019-03-08T22:41:59"/>
    <d v="2019-03-11T22:41:59"/>
    <d v="2019-03-11T22:41:59"/>
    <x v="4"/>
    <n v="30"/>
    <n v="106"/>
    <n v="794.36615792650628"/>
  </r>
  <r>
    <n v="225317"/>
    <x v="3"/>
    <s v="Bangalore"/>
    <x v="2"/>
    <s v=" DL"/>
    <x v="0"/>
    <x v="1"/>
    <x v="1"/>
    <x v="0"/>
    <d v="2019-03-10T02:51:56"/>
    <d v="2019-03-12T02:51:56"/>
    <d v="2019-03-14T02:51:56"/>
    <x v="0"/>
    <n v="70"/>
    <n v="102"/>
    <n v="2784.963473298189"/>
  </r>
  <r>
    <n v="517932"/>
    <x v="3"/>
    <s v="Bangalore"/>
    <x v="0"/>
    <s v=" MH"/>
    <x v="0"/>
    <x v="1"/>
    <x v="0"/>
    <x v="1"/>
    <d v="2019-03-10T23:16:48"/>
    <d v="2019-03-16T23:16:48"/>
    <d v="2019-03-14T23:16:48"/>
    <x v="3"/>
    <n v="39"/>
    <n v="109"/>
    <n v="1481.852993500584"/>
  </r>
  <r>
    <n v="451628"/>
    <x v="3"/>
    <s v="Delhi"/>
    <x v="3"/>
    <s v=" KA"/>
    <x v="0"/>
    <x v="1"/>
    <x v="0"/>
    <x v="0"/>
    <d v="2019-03-11T09:06:01"/>
    <d v="2019-03-17T09:06:01"/>
    <d v="2019-03-16T09:06:01"/>
    <x v="3"/>
    <n v="43"/>
    <n v="121"/>
    <n v="3622.7887945477505"/>
  </r>
  <r>
    <n v="125893"/>
    <x v="3"/>
    <s v="Delhi"/>
    <x v="3"/>
    <s v=" KA"/>
    <x v="1"/>
    <x v="1"/>
    <x v="1"/>
    <x v="0"/>
    <d v="2019-03-13T16:58:58"/>
    <d v="2019-03-20T16:58:58"/>
    <d v="2019-03-18T16:58:58"/>
    <x v="8"/>
    <n v="41"/>
    <n v="122"/>
    <n v="3247.5758167399968"/>
  </r>
  <r>
    <n v="371741"/>
    <x v="3"/>
    <s v="Bangalore"/>
    <x v="1"/>
    <s v=" TN"/>
    <x v="1"/>
    <x v="1"/>
    <x v="1"/>
    <x v="0"/>
    <d v="2019-03-14T23:03:47"/>
    <d v="2019-03-16T23:03:47"/>
    <d v="2019-03-18T23:03:47"/>
    <x v="0"/>
    <n v="25"/>
    <n v="123"/>
    <n v="1068"/>
  </r>
  <r>
    <n v="359449"/>
    <x v="4"/>
    <s v="Delhi"/>
    <x v="0"/>
    <s v=" MH"/>
    <x v="1"/>
    <x v="0"/>
    <x v="1"/>
    <x v="0"/>
    <d v="2019-03-01T01:56:27"/>
    <d v="2019-03-05T01:56:27"/>
    <d v="2019-03-07T01:56:27"/>
    <x v="6"/>
    <n v="25"/>
    <n v="110"/>
    <n v="292.3955970887929"/>
  </r>
  <r>
    <n v="197125"/>
    <x v="4"/>
    <s v="Bangalore"/>
    <x v="3"/>
    <s v=" KA"/>
    <x v="1"/>
    <x v="0"/>
    <x v="1"/>
    <x v="0"/>
    <d v="2019-03-01T02:20:08"/>
    <d v="2019-03-03T02:20:08"/>
    <d v="2019-03-04T02:20:08"/>
    <x v="0"/>
    <n v="0"/>
    <n v="124"/>
    <n v="722.76346991021308"/>
  </r>
  <r>
    <n v="10994"/>
    <x v="4"/>
    <s v="Bangalore"/>
    <x v="2"/>
    <s v=" DL"/>
    <x v="0"/>
    <x v="0"/>
    <x v="0"/>
    <x v="0"/>
    <d v="2019-03-01T04:26:14"/>
    <d v="2019-03-03T04:26:14"/>
    <d v="2019-03-07T04:26:14"/>
    <x v="0"/>
    <n v="63"/>
    <n v="102"/>
    <n v="2073.4985938729187"/>
  </r>
  <r>
    <n v="46572"/>
    <x v="4"/>
    <s v="Delhi"/>
    <x v="1"/>
    <s v=" TN"/>
    <x v="0"/>
    <x v="0"/>
    <x v="0"/>
    <x v="1"/>
    <d v="2019-03-01T04:36:16"/>
    <d v="2019-03-11T04:36:16"/>
    <d v="2019-03-08T04:36:16"/>
    <x v="7"/>
    <n v="60"/>
    <n v="109"/>
    <n v="2743.34"/>
  </r>
  <r>
    <n v="43628"/>
    <x v="4"/>
    <s v="Delhi"/>
    <x v="2"/>
    <s v=" DL"/>
    <x v="0"/>
    <x v="0"/>
    <x v="0"/>
    <x v="0"/>
    <d v="2019-03-01T04:50:53"/>
    <d v="2019-03-06T04:50:53"/>
    <d v="2019-03-06T04:50:53"/>
    <x v="9"/>
    <n v="0"/>
    <n v="127"/>
    <n v="1584.9290635402019"/>
  </r>
  <r>
    <n v="656521"/>
    <x v="4"/>
    <s v="Delhi"/>
    <x v="0"/>
    <s v=" MH"/>
    <x v="1"/>
    <x v="0"/>
    <x v="1"/>
    <x v="0"/>
    <d v="2019-03-01T06:43:00"/>
    <d v="2019-03-09T06:43:00"/>
    <d v="2019-03-05T06:43:00"/>
    <x v="5"/>
    <n v="43"/>
    <n v="108"/>
    <n v="1930.3618990983744"/>
  </r>
  <r>
    <n v="634170"/>
    <x v="4"/>
    <s v="Bangalore"/>
    <x v="2"/>
    <s v=" DL"/>
    <x v="0"/>
    <x v="0"/>
    <x v="0"/>
    <x v="1"/>
    <d v="2019-03-01T07:46:26"/>
    <d v="2019-03-04T07:46:26"/>
    <d v="2019-03-05T07:46:26"/>
    <x v="4"/>
    <n v="84"/>
    <n v="101"/>
    <n v="618.33000000000004"/>
  </r>
  <r>
    <n v="728290"/>
    <x v="4"/>
    <s v="Bangalore"/>
    <x v="0"/>
    <s v=" MH"/>
    <x v="0"/>
    <x v="0"/>
    <x v="0"/>
    <x v="0"/>
    <d v="2019-03-01T08:38:22"/>
    <d v="2019-03-04T08:38:22"/>
    <d v="2019-03-04T08:38:22"/>
    <x v="4"/>
    <n v="90"/>
    <n v="93"/>
    <n v="1835.3591890282653"/>
  </r>
  <r>
    <n v="363596"/>
    <x v="4"/>
    <s v="Bangalore"/>
    <x v="0"/>
    <s v=" MH"/>
    <x v="0"/>
    <x v="0"/>
    <x v="0"/>
    <x v="0"/>
    <d v="2019-03-01T09:58:12"/>
    <d v="2019-03-03T09:58:12"/>
    <d v="2019-03-06T09:58:12"/>
    <x v="0"/>
    <n v="50"/>
    <n v="111"/>
    <n v="3221.5167557166715"/>
  </r>
  <r>
    <n v="973993"/>
    <x v="4"/>
    <s v="Delhi"/>
    <x v="3"/>
    <s v=" KA"/>
    <x v="1"/>
    <x v="0"/>
    <x v="1"/>
    <x v="0"/>
    <d v="2019-03-01T11:25:39"/>
    <d v="2019-03-05T11:25:39"/>
    <d v="2019-03-04T11:25:39"/>
    <x v="6"/>
    <n v="31"/>
    <n v="128"/>
    <n v="3117.9029305297145"/>
  </r>
  <r>
    <n v="400721"/>
    <x v="4"/>
    <s v="Delhi"/>
    <x v="1"/>
    <s v=" TN"/>
    <x v="1"/>
    <x v="0"/>
    <x v="1"/>
    <x v="0"/>
    <d v="2019-03-01T11:37:30"/>
    <d v="2019-03-07T11:37:30"/>
    <d v="2019-03-08T11:37:30"/>
    <x v="3"/>
    <n v="43"/>
    <n v="121"/>
    <n v="1401.8339157645496"/>
  </r>
  <r>
    <n v="620031"/>
    <x v="4"/>
    <s v="Bangalore"/>
    <x v="0"/>
    <s v=" MH"/>
    <x v="1"/>
    <x v="0"/>
    <x v="1"/>
    <x v="1"/>
    <d v="2019-03-01T12:10:45"/>
    <d v="2019-03-09T12:10:45"/>
    <d v="2019-03-04T12:10:45"/>
    <x v="5"/>
    <n v="48"/>
    <n v="113"/>
    <n v="1000.02"/>
  </r>
  <r>
    <n v="601672"/>
    <x v="4"/>
    <s v="Delhi"/>
    <x v="4"/>
    <s v=" WB"/>
    <x v="0"/>
    <x v="0"/>
    <x v="0"/>
    <x v="0"/>
    <d v="2019-03-01T12:47:58"/>
    <d v="2019-03-04T12:47:58"/>
    <d v="2019-03-06T12:47:58"/>
    <x v="4"/>
    <n v="28"/>
    <n v="106"/>
    <n v="990.0004784508991"/>
  </r>
  <r>
    <n v="368941"/>
    <x v="4"/>
    <s v="Bangalore"/>
    <x v="1"/>
    <s v=" TN"/>
    <x v="0"/>
    <x v="0"/>
    <x v="1"/>
    <x v="0"/>
    <d v="2019-03-01T12:58:07"/>
    <d v="2019-03-06T12:58:07"/>
    <d v="2019-03-05T12:58:07"/>
    <x v="9"/>
    <n v="83"/>
    <n v="110"/>
    <n v="2706.667158402674"/>
  </r>
  <r>
    <n v="676736"/>
    <x v="4"/>
    <s v="Bangalore"/>
    <x v="2"/>
    <s v=" DL"/>
    <x v="0"/>
    <x v="0"/>
    <x v="0"/>
    <x v="0"/>
    <d v="2019-03-01T13:09:30"/>
    <d v="2019-03-07T13:09:30"/>
    <d v="2019-03-05T13:09:30"/>
    <x v="3"/>
    <n v="63"/>
    <n v="101"/>
    <n v="3110.7364595441259"/>
  </r>
  <r>
    <n v="707752"/>
    <x v="4"/>
    <s v="Delhi"/>
    <x v="0"/>
    <s v=" MH"/>
    <x v="0"/>
    <x v="0"/>
    <x v="0"/>
    <x v="0"/>
    <d v="2019-03-01T13:09:57"/>
    <d v="2019-03-04T13:09:57"/>
    <d v="2019-03-05T13:09:57"/>
    <x v="4"/>
    <n v="86"/>
    <n v="86"/>
    <n v="3517.3201957166343"/>
  </r>
  <r>
    <n v="123154"/>
    <x v="4"/>
    <s v="Delhi"/>
    <x v="1"/>
    <s v=" TN"/>
    <x v="2"/>
    <x v="0"/>
    <x v="0"/>
    <x v="0"/>
    <d v="2019-03-01T13:11:45"/>
    <d v="2019-03-03T13:11:45"/>
    <d v="2019-03-04T13:11:45"/>
    <x v="0"/>
    <n v="28"/>
    <n v="122"/>
    <n v="1612.8230435374517"/>
  </r>
  <r>
    <n v="686560"/>
    <x v="4"/>
    <s v="Delhi"/>
    <x v="0"/>
    <s v=" MH"/>
    <x v="0"/>
    <x v="0"/>
    <x v="0"/>
    <x v="0"/>
    <d v="2019-03-01T14:35:08"/>
    <d v="2019-03-03T14:35:08"/>
    <d v="2019-03-07T14:35:08"/>
    <x v="0"/>
    <n v="33"/>
    <n v="108"/>
    <n v="848.78364099037458"/>
  </r>
  <r>
    <n v="510527"/>
    <x v="4"/>
    <s v="Delhi"/>
    <x v="4"/>
    <s v=" WB"/>
    <x v="1"/>
    <x v="0"/>
    <x v="1"/>
    <x v="0"/>
    <d v="2019-03-01T14:42:35"/>
    <d v="2019-03-03T14:42:35"/>
    <d v="2019-03-07T14:42:35"/>
    <x v="0"/>
    <n v="49"/>
    <n v="109"/>
    <n v="3171.7097155046872"/>
  </r>
  <r>
    <n v="934112"/>
    <x v="4"/>
    <s v="Delhi"/>
    <x v="4"/>
    <s v=" WB"/>
    <x v="0"/>
    <x v="0"/>
    <x v="0"/>
    <x v="0"/>
    <d v="2019-03-01T15:29:50"/>
    <d v="2019-03-05T15:29:50"/>
    <d v="2019-03-05T15:29:50"/>
    <x v="6"/>
    <n v="46"/>
    <n v="111"/>
    <n v="2404.8040725982155"/>
  </r>
  <r>
    <n v="858913"/>
    <x v="4"/>
    <s v="Bangalore"/>
    <x v="0"/>
    <s v=" MH"/>
    <x v="1"/>
    <x v="0"/>
    <x v="1"/>
    <x v="0"/>
    <d v="2019-03-01T16:41:41"/>
    <d v="2019-03-06T16:41:41"/>
    <d v="2019-03-04T16:41:41"/>
    <x v="9"/>
    <n v="33"/>
    <n v="109"/>
    <n v="3633.3501022130231"/>
  </r>
  <r>
    <n v="195369"/>
    <x v="4"/>
    <s v="Delhi"/>
    <x v="3"/>
    <s v=" KA"/>
    <x v="1"/>
    <x v="0"/>
    <x v="1"/>
    <x v="1"/>
    <d v="2019-03-01T17:36:31"/>
    <d v="2019-03-09T17:36:31"/>
    <d v="2019-03-08T17:36:31"/>
    <x v="5"/>
    <n v="39"/>
    <n v="126"/>
    <n v="1530.56"/>
  </r>
  <r>
    <n v="110193"/>
    <x v="4"/>
    <s v="Delhi"/>
    <x v="4"/>
    <s v=" WB"/>
    <x v="0"/>
    <x v="0"/>
    <x v="1"/>
    <x v="1"/>
    <d v="2019-03-01T17:45:29"/>
    <d v="2019-03-08T17:45:29"/>
    <d v="2019-03-07T17:45:29"/>
    <x v="8"/>
    <n v="68"/>
    <n v="94"/>
    <n v="922.33"/>
  </r>
  <r>
    <n v="740725"/>
    <x v="4"/>
    <s v="Delhi"/>
    <x v="3"/>
    <s v=" KA"/>
    <x v="0"/>
    <x v="0"/>
    <x v="1"/>
    <x v="0"/>
    <d v="2019-03-01T18:12:10"/>
    <d v="2019-03-05T18:12:10"/>
    <d v="2019-03-05T18:12:10"/>
    <x v="6"/>
    <n v="65"/>
    <n v="108"/>
    <n v="1714.9915410226258"/>
  </r>
  <r>
    <n v="105042"/>
    <x v="4"/>
    <s v="Delhi"/>
    <x v="0"/>
    <s v=" MH"/>
    <x v="2"/>
    <x v="0"/>
    <x v="0"/>
    <x v="1"/>
    <d v="2019-03-01T20:13:33"/>
    <d v="2019-03-06T20:13:33"/>
    <d v="2019-03-07T20:13:33"/>
    <x v="9"/>
    <n v="46"/>
    <n v="110"/>
    <n v="787.58"/>
  </r>
  <r>
    <n v="949472"/>
    <x v="4"/>
    <s v="Delhi"/>
    <x v="3"/>
    <s v=" KA"/>
    <x v="0"/>
    <x v="0"/>
    <x v="0"/>
    <x v="0"/>
    <d v="2019-03-01T22:51:42"/>
    <d v="2019-03-07T22:51:42"/>
    <d v="2019-03-05T22:51:42"/>
    <x v="3"/>
    <n v="27"/>
    <n v="124"/>
    <n v="1555.3724781987612"/>
  </r>
  <r>
    <n v="561453"/>
    <x v="4"/>
    <s v="Bangalore"/>
    <x v="3"/>
    <s v=" KA"/>
    <x v="1"/>
    <x v="0"/>
    <x v="1"/>
    <x v="1"/>
    <d v="2019-03-01T22:57:16"/>
    <d v="2019-03-06T22:57:16"/>
    <d v="2019-03-08T22:57:16"/>
    <x v="9"/>
    <n v="0"/>
    <n v="121"/>
    <n v="2319.6999999999998"/>
  </r>
  <r>
    <n v="426803"/>
    <x v="4"/>
    <s v="Bangalore"/>
    <x v="2"/>
    <s v=" DL"/>
    <x v="0"/>
    <x v="0"/>
    <x v="1"/>
    <x v="0"/>
    <d v="2019-03-01T23:32:41"/>
    <d v="2019-03-03T23:32:41"/>
    <d v="2019-03-06T23:32:41"/>
    <x v="0"/>
    <n v="71"/>
    <n v="101"/>
    <n v="988.90142448320239"/>
  </r>
  <r>
    <n v="526571"/>
    <x v="4"/>
    <s v="Bangalore"/>
    <x v="4"/>
    <s v=" WB"/>
    <x v="1"/>
    <x v="0"/>
    <x v="1"/>
    <x v="0"/>
    <d v="2019-03-02T00:18:23"/>
    <d v="2019-03-05T00:18:23"/>
    <d v="2019-03-06T00:18:23"/>
    <x v="4"/>
    <n v="26"/>
    <n v="106"/>
    <n v="1328.7937659203462"/>
  </r>
  <r>
    <n v="182042"/>
    <x v="4"/>
    <s v="Bangalore"/>
    <x v="0"/>
    <s v=" MH"/>
    <x v="2"/>
    <x v="0"/>
    <x v="0"/>
    <x v="0"/>
    <d v="2019-03-02T01:29:29"/>
    <d v="2019-03-07T01:29:29"/>
    <d v="2019-03-06T01:29:29"/>
    <x v="9"/>
    <n v="27"/>
    <n v="112"/>
    <n v="1927.3862160887561"/>
  </r>
  <r>
    <n v="100137"/>
    <x v="4"/>
    <s v="Delhi"/>
    <x v="2"/>
    <s v=" DL"/>
    <x v="1"/>
    <x v="0"/>
    <x v="1"/>
    <x v="1"/>
    <d v="2019-03-02T01:47:54"/>
    <d v="2019-03-06T01:47:54"/>
    <d v="2019-03-06T01:47:54"/>
    <x v="6"/>
    <n v="0"/>
    <n v="123"/>
    <n v="2800.66"/>
  </r>
  <r>
    <n v="387089"/>
    <x v="4"/>
    <s v="Bangalore"/>
    <x v="2"/>
    <s v=" DL"/>
    <x v="1"/>
    <x v="0"/>
    <x v="1"/>
    <x v="0"/>
    <d v="2019-03-02T02:36:38"/>
    <d v="2019-03-08T02:36:38"/>
    <d v="2019-03-07T02:36:38"/>
    <x v="3"/>
    <n v="50"/>
    <n v="125"/>
    <n v="3741.7868019317607"/>
  </r>
  <r>
    <n v="626813"/>
    <x v="4"/>
    <s v="Bangalore"/>
    <x v="2"/>
    <s v=" DL"/>
    <x v="1"/>
    <x v="0"/>
    <x v="1"/>
    <x v="0"/>
    <d v="2019-03-02T03:06:12"/>
    <d v="2019-03-06T03:06:12"/>
    <d v="2019-03-07T03:06:12"/>
    <x v="6"/>
    <n v="50"/>
    <n v="125"/>
    <n v="606.417404027673"/>
  </r>
  <r>
    <n v="985217"/>
    <x v="4"/>
    <s v="Bangalore"/>
    <x v="1"/>
    <s v=" TN"/>
    <x v="0"/>
    <x v="0"/>
    <x v="1"/>
    <x v="0"/>
    <d v="2019-03-02T04:19:43"/>
    <d v="2019-03-10T04:19:43"/>
    <d v="2019-03-08T04:19:43"/>
    <x v="5"/>
    <n v="68"/>
    <n v="103"/>
    <n v="1607.4342304458942"/>
  </r>
  <r>
    <n v="333461"/>
    <x v="4"/>
    <s v="Bangalore"/>
    <x v="3"/>
    <s v=" KA"/>
    <x v="1"/>
    <x v="0"/>
    <x v="1"/>
    <x v="0"/>
    <d v="2019-03-02T04:51:31"/>
    <d v="2019-03-02T04:51:31"/>
    <d v="2019-03-09T04:51:31"/>
    <x v="10"/>
    <n v="0"/>
    <n v="128"/>
    <n v="1395.4744383230225"/>
  </r>
  <r>
    <n v="652593"/>
    <x v="4"/>
    <s v="Bangalore"/>
    <x v="1"/>
    <s v=" TN"/>
    <x v="1"/>
    <x v="0"/>
    <x v="1"/>
    <x v="1"/>
    <d v="2019-03-02T05:10:30"/>
    <d v="2019-03-08T05:10:30"/>
    <d v="2019-03-05T05:10:30"/>
    <x v="3"/>
    <n v="43"/>
    <n v="124"/>
    <n v="2300.56"/>
  </r>
  <r>
    <n v="248538"/>
    <x v="4"/>
    <s v="Bangalore"/>
    <x v="0"/>
    <s v=" MH"/>
    <x v="2"/>
    <x v="0"/>
    <x v="0"/>
    <x v="1"/>
    <d v="2019-03-02T05:29:13"/>
    <d v="2019-03-06T05:29:13"/>
    <d v="2019-03-08T05:29:13"/>
    <x v="6"/>
    <n v="45"/>
    <n v="107"/>
    <n v="770.28"/>
  </r>
  <r>
    <n v="227346"/>
    <x v="4"/>
    <s v="Bangalore"/>
    <x v="4"/>
    <s v=" WB"/>
    <x v="2"/>
    <x v="0"/>
    <x v="0"/>
    <x v="1"/>
    <d v="2019-03-02T05:29:52"/>
    <d v="2019-03-04T05:29:52"/>
    <d v="2019-03-07T05:29:52"/>
    <x v="0"/>
    <n v="25"/>
    <n v="108"/>
    <n v="1688.6"/>
  </r>
  <r>
    <n v="658286"/>
    <x v="4"/>
    <s v="Bangalore"/>
    <x v="4"/>
    <s v=" WB"/>
    <x v="2"/>
    <x v="0"/>
    <x v="0"/>
    <x v="0"/>
    <d v="2019-03-02T05:52:23"/>
    <d v="2019-03-04T05:52:23"/>
    <d v="2019-03-05T05:52:23"/>
    <x v="0"/>
    <n v="32"/>
    <n v="106"/>
    <n v="1582.7236114538782"/>
  </r>
  <r>
    <n v="41595"/>
    <x v="4"/>
    <s v="Delhi"/>
    <x v="0"/>
    <s v=" MH"/>
    <x v="0"/>
    <x v="0"/>
    <x v="1"/>
    <x v="1"/>
    <d v="2019-03-02T06:04:15"/>
    <d v="2019-03-05T06:04:15"/>
    <d v="2019-03-09T06:04:15"/>
    <x v="4"/>
    <n v="73"/>
    <n v="92"/>
    <n v="545.04"/>
  </r>
  <r>
    <n v="837576"/>
    <x v="4"/>
    <s v="Bangalore"/>
    <x v="0"/>
    <s v=" MH"/>
    <x v="0"/>
    <x v="0"/>
    <x v="0"/>
    <x v="1"/>
    <d v="2019-03-02T06:06:44"/>
    <d v="2019-03-04T06:06:44"/>
    <d v="2019-03-05T06:06:44"/>
    <x v="0"/>
    <n v="77"/>
    <n v="87"/>
    <n v="737.43"/>
  </r>
  <r>
    <n v="667569"/>
    <x v="4"/>
    <s v="Bangalore"/>
    <x v="2"/>
    <s v=" DL"/>
    <x v="1"/>
    <x v="0"/>
    <x v="2"/>
    <x v="1"/>
    <d v="2019-03-02T06:15:40"/>
    <d v="2019-03-05T06:15:40"/>
    <d v="2019-03-08T06:15:40"/>
    <x v="4"/>
    <n v="49"/>
    <n v="123"/>
    <n v="1979.41"/>
  </r>
  <r>
    <n v="277883"/>
    <x v="4"/>
    <s v="Bangalore"/>
    <x v="4"/>
    <s v=" WB"/>
    <x v="1"/>
    <x v="0"/>
    <x v="1"/>
    <x v="0"/>
    <d v="2019-03-02T06:30:15"/>
    <d v="2019-03-05T06:30:15"/>
    <d v="2019-03-07T06:30:15"/>
    <x v="4"/>
    <n v="38"/>
    <n v="111"/>
    <n v="1970.5939232993776"/>
  </r>
  <r>
    <n v="6346"/>
    <x v="4"/>
    <s v="Delhi"/>
    <x v="4"/>
    <s v=" WB"/>
    <x v="0"/>
    <x v="0"/>
    <x v="0"/>
    <x v="0"/>
    <d v="2019-03-02T07:11:39"/>
    <d v="2019-03-11T07:11:39"/>
    <d v="2019-03-05T07:11:39"/>
    <x v="1"/>
    <n v="66"/>
    <n v="88"/>
    <n v="2744.587526912369"/>
  </r>
  <r>
    <n v="58385"/>
    <x v="4"/>
    <s v="Delhi"/>
    <x v="1"/>
    <s v=" TN"/>
    <x v="1"/>
    <x v="0"/>
    <x v="1"/>
    <x v="0"/>
    <d v="2019-03-02T07:42:14"/>
    <d v="2019-03-08T07:42:14"/>
    <d v="2019-03-07T07:42:14"/>
    <x v="3"/>
    <n v="40"/>
    <n v="123"/>
    <n v="3002.883586180028"/>
  </r>
  <r>
    <n v="5291"/>
    <x v="4"/>
    <s v="Delhi"/>
    <x v="2"/>
    <s v=" DL"/>
    <x v="0"/>
    <x v="0"/>
    <x v="1"/>
    <x v="0"/>
    <d v="2019-03-02T08:17:17"/>
    <d v="2019-03-04T08:17:17"/>
    <d v="2019-03-09T08:17:17"/>
    <x v="0"/>
    <n v="0"/>
    <n v="109"/>
    <n v="1560.1258189443038"/>
  </r>
  <r>
    <n v="374009"/>
    <x v="4"/>
    <s v="Delhi"/>
    <x v="0"/>
    <s v=" MH"/>
    <x v="1"/>
    <x v="0"/>
    <x v="1"/>
    <x v="0"/>
    <d v="2019-03-02T08:56:29"/>
    <d v="2019-03-06T08:56:29"/>
    <d v="2019-03-08T08:56:29"/>
    <x v="6"/>
    <n v="49"/>
    <n v="106"/>
    <n v="3417.8927039254199"/>
  </r>
  <r>
    <n v="142882"/>
    <x v="4"/>
    <s v="Bangalore"/>
    <x v="2"/>
    <s v=" DL"/>
    <x v="0"/>
    <x v="0"/>
    <x v="0"/>
    <x v="0"/>
    <d v="2019-03-02T09:21:33"/>
    <d v="2019-03-05T09:21:33"/>
    <d v="2019-03-07T09:21:33"/>
    <x v="4"/>
    <n v="88"/>
    <n v="109"/>
    <n v="2093.5761220626828"/>
  </r>
  <r>
    <n v="439626"/>
    <x v="4"/>
    <s v="Delhi"/>
    <x v="3"/>
    <s v=" KA"/>
    <x v="2"/>
    <x v="0"/>
    <x v="0"/>
    <x v="1"/>
    <d v="2019-03-02T09:30:11"/>
    <d v="2019-03-08T09:30:11"/>
    <d v="2019-03-06T09:30:11"/>
    <x v="3"/>
    <n v="43"/>
    <n v="122"/>
    <n v="2522.7199999999998"/>
  </r>
  <r>
    <n v="348165"/>
    <x v="4"/>
    <s v="Delhi"/>
    <x v="0"/>
    <s v=" MH"/>
    <x v="1"/>
    <x v="0"/>
    <x v="1"/>
    <x v="1"/>
    <d v="2019-03-02T09:38:17"/>
    <d v="2019-03-09T09:38:17"/>
    <d v="2019-03-08T09:38:17"/>
    <x v="8"/>
    <n v="36"/>
    <n v="114"/>
    <n v="3567.34"/>
  </r>
  <r>
    <n v="681609"/>
    <x v="4"/>
    <s v="Delhi"/>
    <x v="0"/>
    <s v=" MH"/>
    <x v="1"/>
    <x v="0"/>
    <x v="1"/>
    <x v="1"/>
    <d v="2019-03-02T09:51:47"/>
    <d v="2019-03-06T09:51:47"/>
    <d v="2019-03-08T09:51:47"/>
    <x v="6"/>
    <n v="29"/>
    <n v="110"/>
    <n v="953.88"/>
  </r>
  <r>
    <n v="199657"/>
    <x v="4"/>
    <s v="Delhi"/>
    <x v="0"/>
    <s v=" MH"/>
    <x v="0"/>
    <x v="0"/>
    <x v="1"/>
    <x v="0"/>
    <d v="2019-03-02T10:48:59"/>
    <d v="2019-03-04T10:48:59"/>
    <d v="2019-03-06T10:48:59"/>
    <x v="0"/>
    <n v="62"/>
    <n v="91"/>
    <n v="963.35528937971242"/>
  </r>
  <r>
    <n v="229711"/>
    <x v="4"/>
    <s v="Bangalore"/>
    <x v="0"/>
    <s v=" MH"/>
    <x v="1"/>
    <x v="0"/>
    <x v="1"/>
    <x v="0"/>
    <d v="2019-03-02T11:38:48"/>
    <d v="2019-03-07T11:38:48"/>
    <d v="2019-03-09T11:38:48"/>
    <x v="9"/>
    <n v="48"/>
    <n v="110"/>
    <n v="1045.6628772070724"/>
  </r>
  <r>
    <n v="463167"/>
    <x v="4"/>
    <s v="Delhi"/>
    <x v="3"/>
    <s v=" KA"/>
    <x v="0"/>
    <x v="0"/>
    <x v="1"/>
    <x v="1"/>
    <d v="2019-03-02T11:57:03"/>
    <d v="2019-03-04T11:57:03"/>
    <d v="2019-03-07T11:57:03"/>
    <x v="0"/>
    <n v="64"/>
    <n v="105"/>
    <n v="3591.7"/>
  </r>
  <r>
    <n v="649185"/>
    <x v="4"/>
    <s v="Delhi"/>
    <x v="0"/>
    <s v=" MH"/>
    <x v="1"/>
    <x v="0"/>
    <x v="1"/>
    <x v="1"/>
    <d v="2019-03-02T12:12:00"/>
    <d v="2019-03-06T12:12:00"/>
    <d v="2019-03-07T12:12:00"/>
    <x v="6"/>
    <n v="40"/>
    <n v="107"/>
    <n v="1267.42"/>
  </r>
  <r>
    <n v="135606"/>
    <x v="4"/>
    <s v="Delhi"/>
    <x v="3"/>
    <s v=" KA"/>
    <x v="2"/>
    <x v="0"/>
    <x v="0"/>
    <x v="1"/>
    <d v="2019-03-02T12:48:11"/>
    <d v="2019-03-06T12:48:11"/>
    <d v="2019-03-05T12:48:11"/>
    <x v="6"/>
    <n v="29"/>
    <n v="120"/>
    <n v="1145.3599999999999"/>
  </r>
  <r>
    <n v="13342"/>
    <x v="4"/>
    <s v="Bangalore"/>
    <x v="2"/>
    <s v=" DL"/>
    <x v="0"/>
    <x v="0"/>
    <x v="0"/>
    <x v="0"/>
    <d v="2019-03-02T13:32:33"/>
    <d v="2019-03-04T13:32:33"/>
    <d v="2019-03-05T13:32:33"/>
    <x v="0"/>
    <n v="67"/>
    <n v="106"/>
    <n v="3656.1545526116697"/>
  </r>
  <r>
    <n v="198797"/>
    <x v="4"/>
    <s v="Delhi"/>
    <x v="2"/>
    <s v=" DL"/>
    <x v="1"/>
    <x v="0"/>
    <x v="1"/>
    <x v="0"/>
    <d v="2019-03-02T14:12:46"/>
    <d v="2019-03-09T14:12:46"/>
    <d v="2019-03-05T14:12:46"/>
    <x v="8"/>
    <n v="0"/>
    <n v="126"/>
    <n v="2105.2761506183351"/>
  </r>
  <r>
    <n v="645790"/>
    <x v="4"/>
    <s v="Bangalore"/>
    <x v="3"/>
    <s v=" KA"/>
    <x v="2"/>
    <x v="0"/>
    <x v="0"/>
    <x v="0"/>
    <d v="2019-03-02T15:41:54"/>
    <d v="2019-03-07T15:41:54"/>
    <d v="2019-03-05T15:41:54"/>
    <x v="9"/>
    <n v="0"/>
    <n v="126"/>
    <n v="2954.0099733018728"/>
  </r>
  <r>
    <n v="547023"/>
    <x v="4"/>
    <s v="Bangalore"/>
    <x v="2"/>
    <s v=" DL"/>
    <x v="1"/>
    <x v="0"/>
    <x v="1"/>
    <x v="1"/>
    <d v="2019-03-02T16:42:54"/>
    <d v="2019-03-07T16:42:54"/>
    <d v="2019-03-09T16:42:54"/>
    <x v="9"/>
    <n v="32"/>
    <n v="123"/>
    <n v="843.89"/>
  </r>
  <r>
    <n v="86516"/>
    <x v="4"/>
    <s v="Bangalore"/>
    <x v="0"/>
    <s v=" MH"/>
    <x v="0"/>
    <x v="0"/>
    <x v="0"/>
    <x v="0"/>
    <d v="2019-03-02T16:55:53"/>
    <d v="2019-03-04T16:55:53"/>
    <d v="2019-03-05T16:55:53"/>
    <x v="0"/>
    <n v="26"/>
    <n v="114"/>
    <n v="1741.3733453353641"/>
  </r>
  <r>
    <n v="869927"/>
    <x v="4"/>
    <s v="Delhi"/>
    <x v="0"/>
    <s v=" MH"/>
    <x v="1"/>
    <x v="0"/>
    <x v="1"/>
    <x v="0"/>
    <d v="2019-03-02T17:24:45"/>
    <d v="2019-03-07T17:24:45"/>
    <d v="2019-03-05T17:24:45"/>
    <x v="9"/>
    <n v="42"/>
    <n v="113"/>
    <n v="586.95954660202085"/>
  </r>
  <r>
    <n v="696241"/>
    <x v="4"/>
    <s v="Bangalore"/>
    <x v="0"/>
    <s v=" MH"/>
    <x v="1"/>
    <x v="0"/>
    <x v="2"/>
    <x v="0"/>
    <d v="2019-03-02T18:11:40"/>
    <d v="2019-03-10T18:11:40"/>
    <d v="2019-03-05T18:11:40"/>
    <x v="5"/>
    <n v="39"/>
    <n v="115"/>
    <n v="2316.3534586765072"/>
  </r>
  <r>
    <n v="436919"/>
    <x v="4"/>
    <s v="Delhi"/>
    <x v="3"/>
    <s v=" KA"/>
    <x v="1"/>
    <x v="0"/>
    <x v="2"/>
    <x v="0"/>
    <d v="2019-03-02T18:17:43"/>
    <d v="2019-03-07T18:17:43"/>
    <d v="2019-03-05T18:17:43"/>
    <x v="9"/>
    <n v="37"/>
    <n v="121"/>
    <n v="2773.7011671634136"/>
  </r>
  <r>
    <n v="553690"/>
    <x v="4"/>
    <s v="Bangalore"/>
    <x v="2"/>
    <s v=" DL"/>
    <x v="2"/>
    <x v="0"/>
    <x v="0"/>
    <x v="0"/>
    <d v="2019-03-02T19:03:50"/>
    <d v="2019-03-08T19:03:50"/>
    <d v="2019-03-05T19:03:50"/>
    <x v="3"/>
    <n v="31"/>
    <n v="126"/>
    <n v="2623.5068171231856"/>
  </r>
  <r>
    <n v="819407"/>
    <x v="4"/>
    <s v="Delhi"/>
    <x v="3"/>
    <s v=" KA"/>
    <x v="1"/>
    <x v="0"/>
    <x v="1"/>
    <x v="0"/>
    <d v="2019-03-02T19:42:14"/>
    <d v="2019-03-10T19:42:14"/>
    <d v="2019-03-07T19:42:14"/>
    <x v="5"/>
    <n v="41"/>
    <n v="126"/>
    <n v="954.85054401447724"/>
  </r>
  <r>
    <n v="746847"/>
    <x v="4"/>
    <s v="Bangalore"/>
    <x v="2"/>
    <s v=" DL"/>
    <x v="0"/>
    <x v="0"/>
    <x v="1"/>
    <x v="1"/>
    <d v="2019-03-02T20:06:57"/>
    <d v="2019-03-04T20:06:57"/>
    <d v="2019-03-06T20:06:57"/>
    <x v="0"/>
    <n v="75"/>
    <n v="105"/>
    <n v="902.06"/>
  </r>
  <r>
    <n v="148789"/>
    <x v="4"/>
    <s v="Bangalore"/>
    <x v="2"/>
    <s v=" DL"/>
    <x v="1"/>
    <x v="0"/>
    <x v="1"/>
    <x v="0"/>
    <d v="2019-03-02T20:13:48"/>
    <d v="2019-03-09T20:13:48"/>
    <d v="2019-03-09T20:13:48"/>
    <x v="8"/>
    <n v="40"/>
    <n v="122"/>
    <n v="525.05894471196973"/>
  </r>
  <r>
    <n v="765188"/>
    <x v="4"/>
    <s v="Delhi"/>
    <x v="3"/>
    <s v=" KA"/>
    <x v="0"/>
    <x v="0"/>
    <x v="0"/>
    <x v="0"/>
    <d v="2019-03-02T20:52:33"/>
    <d v="2019-03-08T20:52:33"/>
    <d v="2019-03-08T20:52:33"/>
    <x v="3"/>
    <n v="27"/>
    <n v="122"/>
    <n v="443.52958195933581"/>
  </r>
  <r>
    <n v="780430"/>
    <x v="4"/>
    <s v="Delhi"/>
    <x v="1"/>
    <s v=" TN"/>
    <x v="2"/>
    <x v="0"/>
    <x v="0"/>
    <x v="0"/>
    <d v="2019-03-02T21:08:02"/>
    <d v="2019-03-07T21:08:02"/>
    <d v="2019-03-08T21:08:02"/>
    <x v="9"/>
    <n v="28"/>
    <n v="129"/>
    <n v="1105.9675575781732"/>
  </r>
  <r>
    <n v="823148"/>
    <x v="4"/>
    <s v="Bangalore"/>
    <x v="0"/>
    <s v=" MH"/>
    <x v="0"/>
    <x v="0"/>
    <x v="0"/>
    <x v="0"/>
    <d v="2019-03-02T22:15:59"/>
    <d v="2019-03-06T22:15:59"/>
    <d v="2019-03-05T22:15:59"/>
    <x v="6"/>
    <n v="26"/>
    <n v="107"/>
    <n v="1838.9526495287539"/>
  </r>
  <r>
    <n v="486832"/>
    <x v="4"/>
    <s v="Bangalore"/>
    <x v="4"/>
    <s v=" WB"/>
    <x v="0"/>
    <x v="0"/>
    <x v="0"/>
    <x v="0"/>
    <d v="2019-03-02T22:40:28"/>
    <d v="2019-03-09T22:40:28"/>
    <d v="2019-03-08T22:40:28"/>
    <x v="8"/>
    <n v="62"/>
    <n v="88"/>
    <n v="303.6298078902978"/>
  </r>
  <r>
    <n v="149485"/>
    <x v="4"/>
    <s v="Delhi"/>
    <x v="3"/>
    <s v=" KA"/>
    <x v="0"/>
    <x v="0"/>
    <x v="2"/>
    <x v="0"/>
    <d v="2019-03-02T23:35:24"/>
    <d v="2019-03-04T23:35:24"/>
    <d v="2019-03-09T23:35:24"/>
    <x v="0"/>
    <n v="64"/>
    <n v="109"/>
    <n v="681.59510435097434"/>
  </r>
  <r>
    <n v="706935"/>
    <x v="4"/>
    <s v="Bangalore"/>
    <x v="0"/>
    <s v=" MH"/>
    <x v="1"/>
    <x v="0"/>
    <x v="1"/>
    <x v="1"/>
    <d v="2019-03-03T02:33:42"/>
    <d v="2019-03-10T02:33:42"/>
    <d v="2019-03-06T02:33:42"/>
    <x v="8"/>
    <n v="36"/>
    <n v="110"/>
    <n v="2400.04"/>
  </r>
  <r>
    <n v="234385"/>
    <x v="4"/>
    <s v="Delhi"/>
    <x v="2"/>
    <s v=" DL"/>
    <x v="1"/>
    <x v="0"/>
    <x v="1"/>
    <x v="0"/>
    <d v="2019-03-03T03:01:11"/>
    <d v="2019-03-05T03:01:11"/>
    <d v="2019-03-08T03:01:11"/>
    <x v="0"/>
    <n v="0"/>
    <n v="125"/>
    <n v="2191.7805839141524"/>
  </r>
  <r>
    <n v="206665"/>
    <x v="4"/>
    <s v="Bangalore"/>
    <x v="0"/>
    <s v=" MH"/>
    <x v="1"/>
    <x v="0"/>
    <x v="1"/>
    <x v="0"/>
    <d v="2019-03-03T04:14:23"/>
    <d v="2019-03-08T04:14:23"/>
    <d v="2019-03-08T04:14:23"/>
    <x v="9"/>
    <n v="39"/>
    <n v="113"/>
    <n v="607.63044203826416"/>
  </r>
  <r>
    <n v="101828"/>
    <x v="4"/>
    <s v="Bangalore"/>
    <x v="3"/>
    <s v=" KA"/>
    <x v="0"/>
    <x v="0"/>
    <x v="0"/>
    <x v="0"/>
    <d v="2019-03-03T04:18:17"/>
    <d v="2019-03-06T04:18:17"/>
    <d v="2019-03-07T04:18:17"/>
    <x v="4"/>
    <n v="0"/>
    <n v="121"/>
    <n v="1585.7826876342533"/>
  </r>
  <r>
    <n v="378426"/>
    <x v="4"/>
    <s v="Delhi"/>
    <x v="0"/>
    <s v=" MH"/>
    <x v="2"/>
    <x v="0"/>
    <x v="0"/>
    <x v="1"/>
    <d v="2019-03-03T05:28:17"/>
    <d v="2019-03-09T05:28:17"/>
    <d v="2019-03-10T05:28:17"/>
    <x v="3"/>
    <n v="47"/>
    <n v="109"/>
    <n v="1614.53"/>
  </r>
  <r>
    <n v="532491"/>
    <x v="4"/>
    <s v="Delhi"/>
    <x v="2"/>
    <s v=" DL"/>
    <x v="1"/>
    <x v="0"/>
    <x v="1"/>
    <x v="1"/>
    <d v="2019-03-03T06:57:05"/>
    <d v="2019-03-09T06:57:05"/>
    <d v="2019-03-08T06:57:05"/>
    <x v="3"/>
    <n v="0"/>
    <n v="122"/>
    <n v="3406.86"/>
  </r>
  <r>
    <n v="846445"/>
    <x v="4"/>
    <s v="Delhi"/>
    <x v="3"/>
    <s v=" KA"/>
    <x v="0"/>
    <x v="0"/>
    <x v="1"/>
    <x v="0"/>
    <d v="2019-03-03T07:29:08"/>
    <d v="2019-03-09T07:29:08"/>
    <d v="2019-03-10T07:29:08"/>
    <x v="3"/>
    <n v="71"/>
    <n v="102"/>
    <n v="1657.8651582070529"/>
  </r>
  <r>
    <n v="291640"/>
    <x v="4"/>
    <s v="Bangalore"/>
    <x v="0"/>
    <s v=" MH"/>
    <x v="0"/>
    <x v="0"/>
    <x v="0"/>
    <x v="0"/>
    <d v="2019-03-03T07:57:27"/>
    <d v="2019-03-05T07:57:27"/>
    <d v="2019-03-06T07:57:27"/>
    <x v="0"/>
    <n v="37"/>
    <n v="113"/>
    <n v="1977.413282588016"/>
  </r>
  <r>
    <n v="33810"/>
    <x v="4"/>
    <s v="Delhi"/>
    <x v="1"/>
    <s v=" TN"/>
    <x v="2"/>
    <x v="0"/>
    <x v="0"/>
    <x v="1"/>
    <d v="2019-03-03T08:06:45"/>
    <d v="2019-03-10T08:06:45"/>
    <d v="2019-03-09T08:06:45"/>
    <x v="8"/>
    <n v="28"/>
    <n v="130"/>
    <n v="3189.18"/>
  </r>
  <r>
    <n v="955730"/>
    <x v="4"/>
    <s v="Bangalore"/>
    <x v="3"/>
    <s v=" KA"/>
    <x v="2"/>
    <x v="0"/>
    <x v="0"/>
    <x v="0"/>
    <d v="2019-03-03T08:10:18"/>
    <d v="2019-03-06T08:10:18"/>
    <d v="2019-03-09T08:10:18"/>
    <x v="4"/>
    <n v="0"/>
    <n v="125"/>
    <n v="1566.375508302056"/>
  </r>
  <r>
    <n v="590049"/>
    <x v="4"/>
    <s v="Delhi"/>
    <x v="3"/>
    <s v=" KA"/>
    <x v="1"/>
    <x v="0"/>
    <x v="1"/>
    <x v="1"/>
    <d v="2019-03-03T08:21:28"/>
    <d v="2019-03-12T08:21:28"/>
    <d v="2019-03-06T08:21:28"/>
    <x v="1"/>
    <n v="28"/>
    <n v="122"/>
    <n v="3255.13"/>
  </r>
  <r>
    <n v="409375"/>
    <x v="4"/>
    <s v="Delhi"/>
    <x v="3"/>
    <s v=" KA"/>
    <x v="1"/>
    <x v="0"/>
    <x v="1"/>
    <x v="0"/>
    <d v="2019-03-03T10:28:54"/>
    <d v="2019-03-10T10:28:54"/>
    <d v="2019-03-07T10:28:54"/>
    <x v="8"/>
    <n v="45"/>
    <n v="129"/>
    <n v="981.65177348424993"/>
  </r>
  <r>
    <n v="327369"/>
    <x v="4"/>
    <s v="Delhi"/>
    <x v="3"/>
    <s v=" KA"/>
    <x v="1"/>
    <x v="0"/>
    <x v="2"/>
    <x v="1"/>
    <d v="2019-03-03T11:26:56"/>
    <d v="2019-03-09T11:26:56"/>
    <d v="2019-03-08T11:26:56"/>
    <x v="3"/>
    <n v="26"/>
    <n v="123"/>
    <n v="1837.97"/>
  </r>
  <r>
    <n v="986235"/>
    <x v="4"/>
    <s v="Delhi"/>
    <x v="2"/>
    <s v=" DL"/>
    <x v="1"/>
    <x v="0"/>
    <x v="1"/>
    <x v="1"/>
    <d v="2019-03-03T12:54:26"/>
    <d v="2019-03-08T12:54:26"/>
    <d v="2019-03-10T12:54:26"/>
    <x v="9"/>
    <n v="0"/>
    <n v="129"/>
    <n v="397.39"/>
  </r>
  <r>
    <n v="272959"/>
    <x v="4"/>
    <s v="Delhi"/>
    <x v="0"/>
    <s v=" MH"/>
    <x v="1"/>
    <x v="0"/>
    <x v="1"/>
    <x v="0"/>
    <d v="2019-03-03T13:01:45"/>
    <d v="2019-03-09T13:01:45"/>
    <d v="2019-03-06T13:01:45"/>
    <x v="3"/>
    <n v="39"/>
    <n v="109"/>
    <n v="2360.0830148036839"/>
  </r>
  <r>
    <n v="721481"/>
    <x v="4"/>
    <s v="Delhi"/>
    <x v="1"/>
    <s v=" TN"/>
    <x v="1"/>
    <x v="0"/>
    <x v="1"/>
    <x v="0"/>
    <d v="2019-03-03T13:16:45"/>
    <d v="2019-03-10T13:16:45"/>
    <d v="2019-03-06T13:16:45"/>
    <x v="8"/>
    <n v="40"/>
    <n v="123"/>
    <n v="1904.209691094442"/>
  </r>
  <r>
    <n v="363867"/>
    <x v="4"/>
    <s v="Delhi"/>
    <x v="0"/>
    <s v=" MH"/>
    <x v="1"/>
    <x v="0"/>
    <x v="2"/>
    <x v="1"/>
    <d v="2019-03-03T13:24:32"/>
    <d v="2019-03-11T13:24:32"/>
    <d v="2019-03-10T13:24:32"/>
    <x v="5"/>
    <n v="48"/>
    <n v="109"/>
    <n v="585.85"/>
  </r>
  <r>
    <n v="647994"/>
    <x v="4"/>
    <s v="Delhi"/>
    <x v="4"/>
    <s v=" WB"/>
    <x v="2"/>
    <x v="0"/>
    <x v="0"/>
    <x v="1"/>
    <d v="2019-03-03T14:49:26"/>
    <d v="2019-03-06T14:49:26"/>
    <d v="2019-03-08T14:49:26"/>
    <x v="4"/>
    <n v="42"/>
    <n v="112"/>
    <n v="899.36"/>
  </r>
  <r>
    <n v="769575"/>
    <x v="4"/>
    <s v="Delhi"/>
    <x v="1"/>
    <s v=" TN"/>
    <x v="0"/>
    <x v="0"/>
    <x v="1"/>
    <x v="1"/>
    <d v="2019-03-03T15:23:06"/>
    <d v="2019-03-09T15:23:06"/>
    <d v="2019-03-07T15:23:06"/>
    <x v="3"/>
    <n v="68"/>
    <n v="107"/>
    <n v="1853.29"/>
  </r>
  <r>
    <n v="439678"/>
    <x v="4"/>
    <s v="Delhi"/>
    <x v="1"/>
    <s v=" TN"/>
    <x v="0"/>
    <x v="0"/>
    <x v="0"/>
    <x v="0"/>
    <d v="2019-03-03T16:24:53"/>
    <d v="2019-03-10T16:24:53"/>
    <d v="2019-03-08T16:24:53"/>
    <x v="8"/>
    <n v="62"/>
    <n v="104"/>
    <n v="2631.4438660443093"/>
  </r>
  <r>
    <n v="710278"/>
    <x v="4"/>
    <s v="Delhi"/>
    <x v="0"/>
    <s v=" MH"/>
    <x v="2"/>
    <x v="0"/>
    <x v="0"/>
    <x v="0"/>
    <d v="2019-03-03T16:28:50"/>
    <d v="2019-03-12T16:28:50"/>
    <d v="2019-03-09T16:28:50"/>
    <x v="1"/>
    <n v="34"/>
    <n v="107"/>
    <n v="631.04993057406875"/>
  </r>
  <r>
    <n v="687925"/>
    <x v="4"/>
    <s v="Delhi"/>
    <x v="0"/>
    <s v=" MH"/>
    <x v="1"/>
    <x v="0"/>
    <x v="2"/>
    <x v="0"/>
    <d v="2019-03-03T16:46:02"/>
    <d v="2019-03-10T16:46:02"/>
    <d v="2019-03-09T16:46:02"/>
    <x v="8"/>
    <n v="42"/>
    <n v="109"/>
    <n v="1465.340414679094"/>
  </r>
  <r>
    <n v="866039"/>
    <x v="4"/>
    <s v="Delhi"/>
    <x v="0"/>
    <s v=" MH"/>
    <x v="1"/>
    <x v="0"/>
    <x v="1"/>
    <x v="0"/>
    <d v="2019-03-03T16:58:16"/>
    <d v="2019-03-06T16:58:16"/>
    <d v="2019-03-07T16:58:16"/>
    <x v="4"/>
    <n v="31"/>
    <n v="115"/>
    <n v="1535.393650493729"/>
  </r>
  <r>
    <n v="100119"/>
    <x v="4"/>
    <s v="Delhi"/>
    <x v="0"/>
    <s v=" MH"/>
    <x v="1"/>
    <x v="0"/>
    <x v="1"/>
    <x v="1"/>
    <d v="2019-03-03T18:39:02"/>
    <d v="2019-03-12T18:39:02"/>
    <d v="2019-03-10T18:39:02"/>
    <x v="1"/>
    <n v="39"/>
    <n v="112"/>
    <n v="564.63"/>
  </r>
  <r>
    <n v="376852"/>
    <x v="4"/>
    <s v="Delhi"/>
    <x v="0"/>
    <s v=" MH"/>
    <x v="0"/>
    <x v="0"/>
    <x v="0"/>
    <x v="0"/>
    <d v="2019-03-03T18:58:42"/>
    <d v="2019-03-07T18:58:42"/>
    <d v="2019-03-10T18:58:42"/>
    <x v="6"/>
    <n v="9999"/>
    <n v="108"/>
    <n v="1464.0142123970593"/>
  </r>
  <r>
    <n v="710889"/>
    <x v="4"/>
    <s v="Delhi"/>
    <x v="0"/>
    <s v=" MH"/>
    <x v="1"/>
    <x v="0"/>
    <x v="1"/>
    <x v="1"/>
    <d v="2019-03-03T19:12:30"/>
    <d v="2019-03-09T19:12:30"/>
    <d v="2019-03-08T19:12:30"/>
    <x v="3"/>
    <n v="33"/>
    <n v="113"/>
    <n v="1410.98"/>
  </r>
  <r>
    <n v="106118"/>
    <x v="4"/>
    <s v="Delhi"/>
    <x v="1"/>
    <s v=" TN"/>
    <x v="0"/>
    <x v="0"/>
    <x v="0"/>
    <x v="0"/>
    <d v="2019-03-03T19:45:57"/>
    <d v="2019-03-10T19:45:57"/>
    <d v="2019-03-08T19:45:57"/>
    <x v="8"/>
    <n v="87"/>
    <n v="103"/>
    <n v="550.33132328829231"/>
  </r>
  <r>
    <n v="588607"/>
    <x v="4"/>
    <s v="Delhi"/>
    <x v="1"/>
    <s v=" TN"/>
    <x v="1"/>
    <x v="0"/>
    <x v="1"/>
    <x v="0"/>
    <d v="2019-03-03T21:43:52"/>
    <d v="2019-03-06T21:43:52"/>
    <d v="2019-03-08T21:43:52"/>
    <x v="4"/>
    <n v="28"/>
    <n v="129"/>
    <n v="2746.0618308440285"/>
  </r>
  <r>
    <n v="212838"/>
    <x v="4"/>
    <s v="Delhi"/>
    <x v="0"/>
    <s v=" MH"/>
    <x v="2"/>
    <x v="0"/>
    <x v="0"/>
    <x v="1"/>
    <d v="2019-03-04T00:22:13"/>
    <d v="2019-03-13T00:22:13"/>
    <d v="2019-03-10T00:22:13"/>
    <x v="1"/>
    <n v="40"/>
    <n v="112"/>
    <n v="465.95"/>
  </r>
  <r>
    <n v="137635"/>
    <x v="4"/>
    <s v="Delhi"/>
    <x v="2"/>
    <s v=" DL"/>
    <x v="1"/>
    <x v="0"/>
    <x v="1"/>
    <x v="0"/>
    <d v="2019-03-04T00:37:57"/>
    <d v="2019-03-07T00:37:57"/>
    <d v="2019-03-11T00:37:57"/>
    <x v="4"/>
    <n v="0"/>
    <n v="128"/>
    <n v="377.65077177559886"/>
  </r>
  <r>
    <n v="746025"/>
    <x v="4"/>
    <s v="Delhi"/>
    <x v="3"/>
    <s v=" KA"/>
    <x v="0"/>
    <x v="0"/>
    <x v="2"/>
    <x v="1"/>
    <d v="2019-03-04T00:42:39"/>
    <d v="2019-03-06T00:42:39"/>
    <d v="2019-03-11T00:42:39"/>
    <x v="0"/>
    <n v="67"/>
    <n v="103"/>
    <n v="1718.88"/>
  </r>
  <r>
    <n v="185855"/>
    <x v="4"/>
    <s v="Bangalore"/>
    <x v="3"/>
    <s v=" KA"/>
    <x v="1"/>
    <x v="0"/>
    <x v="1"/>
    <x v="0"/>
    <d v="2019-03-04T00:55:23"/>
    <d v="2019-03-04T00:55:23"/>
    <d v="2019-03-09T00:55:23"/>
    <x v="10"/>
    <n v="0"/>
    <n v="125"/>
    <n v="2754.7281334056088"/>
  </r>
  <r>
    <n v="175756"/>
    <x v="4"/>
    <s v="Bangalore"/>
    <x v="0"/>
    <s v=" MH"/>
    <x v="0"/>
    <x v="0"/>
    <x v="0"/>
    <x v="0"/>
    <d v="2019-03-04T01:25:43"/>
    <d v="2019-03-06T01:25:43"/>
    <d v="2019-03-07T01:25:43"/>
    <x v="0"/>
    <n v="40"/>
    <n v="112"/>
    <n v="2425.8858461645045"/>
  </r>
  <r>
    <n v="850856"/>
    <x v="4"/>
    <s v="Bangalore"/>
    <x v="4"/>
    <s v=" WB"/>
    <x v="0"/>
    <x v="0"/>
    <x v="0"/>
    <x v="0"/>
    <d v="2019-03-04T02:01:37"/>
    <d v="2019-03-09T02:01:37"/>
    <d v="2019-03-09T02:01:37"/>
    <x v="9"/>
    <n v="66"/>
    <n v="91"/>
    <n v="3115.9166785119546"/>
  </r>
  <r>
    <n v="587728"/>
    <x v="4"/>
    <s v="Bangalore"/>
    <x v="0"/>
    <s v=" MH"/>
    <x v="0"/>
    <x v="0"/>
    <x v="0"/>
    <x v="0"/>
    <d v="2019-03-04T02:08:05"/>
    <d v="2019-03-08T02:08:05"/>
    <d v="2019-03-08T02:08:05"/>
    <x v="6"/>
    <n v="49"/>
    <n v="113"/>
    <n v="3572.422168106109"/>
  </r>
  <r>
    <n v="191658"/>
    <x v="4"/>
    <s v="Bangalore"/>
    <x v="2"/>
    <s v=" DL"/>
    <x v="2"/>
    <x v="0"/>
    <x v="0"/>
    <x v="1"/>
    <d v="2019-03-04T03:07:07"/>
    <d v="2019-03-12T03:07:07"/>
    <d v="2019-03-07T03:07:07"/>
    <x v="5"/>
    <n v="44"/>
    <n v="128"/>
    <n v="3350.66"/>
  </r>
  <r>
    <n v="59870"/>
    <x v="4"/>
    <s v="Delhi"/>
    <x v="4"/>
    <s v=" WB"/>
    <x v="2"/>
    <x v="0"/>
    <x v="0"/>
    <x v="0"/>
    <d v="2019-03-04T03:20:26"/>
    <d v="2019-03-07T03:20:26"/>
    <d v="2019-03-11T03:20:26"/>
    <x v="4"/>
    <n v="28"/>
    <n v="108"/>
    <n v="536.03523729342339"/>
  </r>
  <r>
    <n v="661035"/>
    <x v="4"/>
    <s v="Bangalore"/>
    <x v="4"/>
    <s v=" WB"/>
    <x v="1"/>
    <x v="0"/>
    <x v="1"/>
    <x v="1"/>
    <d v="2019-03-04T03:42:15"/>
    <d v="2019-03-08T03:42:15"/>
    <d v="2019-03-09T03:42:15"/>
    <x v="6"/>
    <n v="45"/>
    <n v="112"/>
    <n v="1044.0999999999999"/>
  </r>
  <r>
    <n v="732532"/>
    <x v="4"/>
    <s v="Bangalore"/>
    <x v="2"/>
    <s v=" DL"/>
    <x v="0"/>
    <x v="0"/>
    <x v="0"/>
    <x v="0"/>
    <d v="2019-03-04T03:46:42"/>
    <d v="2019-03-06T03:46:42"/>
    <d v="2019-03-11T03:46:42"/>
    <x v="0"/>
    <n v="35"/>
    <n v="125"/>
    <n v="784.06847945557956"/>
  </r>
  <r>
    <n v="491820"/>
    <x v="4"/>
    <s v="Bangalore"/>
    <x v="0"/>
    <s v=" MH"/>
    <x v="0"/>
    <x v="0"/>
    <x v="0"/>
    <x v="1"/>
    <d v="2019-03-04T03:51:18"/>
    <d v="2019-03-08T03:51:18"/>
    <d v="2019-03-11T03:51:18"/>
    <x v="6"/>
    <n v="43"/>
    <n v="106"/>
    <n v="2693.06"/>
  </r>
  <r>
    <n v="631135"/>
    <x v="4"/>
    <s v="Delhi"/>
    <x v="1"/>
    <s v=" TN"/>
    <x v="0"/>
    <x v="0"/>
    <x v="1"/>
    <x v="0"/>
    <d v="2019-03-04T05:38:20"/>
    <d v="2019-03-12T05:38:20"/>
    <d v="2019-03-08T05:38:20"/>
    <x v="5"/>
    <n v="79"/>
    <n v="107"/>
    <n v="646.38589662314064"/>
  </r>
  <r>
    <n v="595046"/>
    <x v="4"/>
    <s v="Bangalore"/>
    <x v="2"/>
    <s v=" DL"/>
    <x v="0"/>
    <x v="0"/>
    <x v="0"/>
    <x v="0"/>
    <d v="2019-03-04T07:40:18"/>
    <d v="2019-03-09T07:40:18"/>
    <d v="2019-03-08T07:40:18"/>
    <x v="9"/>
    <n v="83"/>
    <n v="104"/>
    <n v="1040.5391836716883"/>
  </r>
  <r>
    <n v="147063"/>
    <x v="4"/>
    <s v="Delhi"/>
    <x v="0"/>
    <s v=" MH"/>
    <x v="1"/>
    <x v="0"/>
    <x v="2"/>
    <x v="1"/>
    <d v="2019-03-04T08:39:39"/>
    <d v="2019-03-07T08:39:39"/>
    <d v="2019-03-11T08:39:39"/>
    <x v="4"/>
    <n v="38"/>
    <n v="114"/>
    <n v="2664.3"/>
  </r>
  <r>
    <n v="665328"/>
    <x v="4"/>
    <s v="Delhi"/>
    <x v="0"/>
    <s v=" MH"/>
    <x v="0"/>
    <x v="0"/>
    <x v="0"/>
    <x v="1"/>
    <d v="2019-03-04T09:03:05"/>
    <d v="2019-03-10T09:03:05"/>
    <d v="2019-03-11T09:03:05"/>
    <x v="3"/>
    <n v="72"/>
    <n v="88"/>
    <n v="1763.69"/>
  </r>
  <r>
    <n v="617806"/>
    <x v="4"/>
    <s v="Bangalore"/>
    <x v="3"/>
    <s v=" KA"/>
    <x v="0"/>
    <x v="0"/>
    <x v="0"/>
    <x v="0"/>
    <d v="2019-03-04T09:32:54"/>
    <d v="2019-03-04T09:32:54"/>
    <d v="2019-03-07T09:32:54"/>
    <x v="10"/>
    <n v="0"/>
    <n v="104"/>
    <n v="2123.3295126362877"/>
  </r>
  <r>
    <n v="273929"/>
    <x v="4"/>
    <s v="Delhi"/>
    <x v="4"/>
    <s v=" WB"/>
    <x v="1"/>
    <x v="0"/>
    <x v="1"/>
    <x v="0"/>
    <d v="2019-03-04T10:02:32"/>
    <d v="2019-03-09T10:02:32"/>
    <d v="2019-03-07T10:02:32"/>
    <x v="9"/>
    <n v="36"/>
    <n v="113"/>
    <n v="1438.3647059096377"/>
  </r>
  <r>
    <n v="330865"/>
    <x v="4"/>
    <s v="Delhi"/>
    <x v="4"/>
    <s v=" WB"/>
    <x v="1"/>
    <x v="0"/>
    <x v="1"/>
    <x v="0"/>
    <d v="2019-03-04T10:08:41"/>
    <d v="2019-03-06T10:08:41"/>
    <d v="2019-03-11T10:08:41"/>
    <x v="0"/>
    <n v="37"/>
    <n v="114"/>
    <n v="1052.8550706684948"/>
  </r>
  <r>
    <n v="903879"/>
    <x v="4"/>
    <s v="Bangalore"/>
    <x v="2"/>
    <s v=" DL"/>
    <x v="1"/>
    <x v="0"/>
    <x v="1"/>
    <x v="1"/>
    <d v="2019-03-04T12:28:30"/>
    <d v="2019-03-12T12:28:30"/>
    <d v="2019-03-10T12:28:30"/>
    <x v="5"/>
    <n v="45"/>
    <n v="124"/>
    <n v="1198.95"/>
  </r>
  <r>
    <n v="460214"/>
    <x v="4"/>
    <s v="Delhi"/>
    <x v="2"/>
    <s v=" DL"/>
    <x v="2"/>
    <x v="0"/>
    <x v="0"/>
    <x v="0"/>
    <d v="2019-03-04T13:13:28"/>
    <d v="2019-03-08T13:13:28"/>
    <d v="2019-03-08T13:13:28"/>
    <x v="6"/>
    <n v="0"/>
    <n v="125"/>
    <n v="1250.494254069172"/>
  </r>
  <r>
    <n v="445618"/>
    <x v="4"/>
    <s v="Delhi"/>
    <x v="4"/>
    <s v=" WB"/>
    <x v="2"/>
    <x v="0"/>
    <x v="0"/>
    <x v="0"/>
    <d v="2019-03-04T13:36:54"/>
    <d v="2019-03-06T13:36:54"/>
    <d v="2019-03-07T13:36:54"/>
    <x v="0"/>
    <n v="37"/>
    <n v="111"/>
    <n v="3143.3210054526112"/>
  </r>
  <r>
    <n v="536120"/>
    <x v="4"/>
    <s v="Delhi"/>
    <x v="0"/>
    <s v=" MH"/>
    <x v="0"/>
    <x v="0"/>
    <x v="0"/>
    <x v="0"/>
    <d v="2019-03-04T14:33:39"/>
    <d v="2019-03-09T14:33:39"/>
    <d v="2019-03-11T14:33:39"/>
    <x v="9"/>
    <n v="32"/>
    <n v="111"/>
    <n v="3041.2588859063799"/>
  </r>
  <r>
    <n v="331284"/>
    <x v="4"/>
    <s v="Delhi"/>
    <x v="2"/>
    <s v=" DL"/>
    <x v="0"/>
    <x v="0"/>
    <x v="0"/>
    <x v="1"/>
    <d v="2019-03-04T15:21:03"/>
    <d v="2019-03-04T15:21:03"/>
    <d v="2019-03-08T15:21:03"/>
    <x v="10"/>
    <n v="0"/>
    <n v="120"/>
    <n v="3565.81"/>
  </r>
  <r>
    <n v="415488"/>
    <x v="4"/>
    <s v="Delhi"/>
    <x v="0"/>
    <s v=" MH"/>
    <x v="0"/>
    <x v="0"/>
    <x v="0"/>
    <x v="1"/>
    <d v="2019-03-04T16:25:35"/>
    <d v="2019-03-06T16:25:35"/>
    <d v="2019-03-07T16:25:35"/>
    <x v="0"/>
    <n v="40"/>
    <n v="114"/>
    <n v="2829.61"/>
  </r>
  <r>
    <n v="421580"/>
    <x v="4"/>
    <s v="Bangalore"/>
    <x v="2"/>
    <s v=" DL"/>
    <x v="0"/>
    <x v="0"/>
    <x v="0"/>
    <x v="0"/>
    <d v="2019-03-04T17:03:23"/>
    <d v="2019-03-06T17:03:23"/>
    <d v="2019-03-07T17:03:23"/>
    <x v="0"/>
    <n v="32"/>
    <n v="128"/>
    <n v="661.91173799801231"/>
  </r>
  <r>
    <n v="502739"/>
    <x v="4"/>
    <s v="Delhi"/>
    <x v="3"/>
    <s v=" KA"/>
    <x v="1"/>
    <x v="0"/>
    <x v="1"/>
    <x v="0"/>
    <d v="2019-03-04T18:23:58"/>
    <d v="2019-03-14T18:23:58"/>
    <d v="2019-03-11T18:23:58"/>
    <x v="7"/>
    <n v="46"/>
    <n v="124"/>
    <n v="908.23091264258062"/>
  </r>
  <r>
    <n v="202159"/>
    <x v="4"/>
    <s v="Delhi"/>
    <x v="4"/>
    <s v=" WB"/>
    <x v="1"/>
    <x v="0"/>
    <x v="1"/>
    <x v="0"/>
    <d v="2019-03-04T18:49:30"/>
    <d v="2019-03-09T18:49:30"/>
    <d v="2019-03-10T18:49:30"/>
    <x v="9"/>
    <n v="43"/>
    <n v="108"/>
    <n v="2457.2024335787582"/>
  </r>
  <r>
    <n v="812922"/>
    <x v="4"/>
    <s v="Delhi"/>
    <x v="4"/>
    <s v=" WB"/>
    <x v="2"/>
    <x v="0"/>
    <x v="0"/>
    <x v="1"/>
    <d v="2019-03-04T19:05:23"/>
    <d v="2019-03-06T19:05:23"/>
    <d v="2019-03-07T19:05:23"/>
    <x v="0"/>
    <n v="31"/>
    <n v="110"/>
    <n v="2310.23"/>
  </r>
  <r>
    <n v="7967"/>
    <x v="4"/>
    <s v="Delhi"/>
    <x v="2"/>
    <s v=" DL"/>
    <x v="1"/>
    <x v="0"/>
    <x v="1"/>
    <x v="0"/>
    <d v="2019-03-04T20:18:19"/>
    <d v="2019-03-05T20:18:19"/>
    <d v="2019-03-08T20:18:19"/>
    <x v="2"/>
    <n v="0"/>
    <n v="124"/>
    <n v="2037.623136551091"/>
  </r>
  <r>
    <n v="152532"/>
    <x v="4"/>
    <s v="Bangalore"/>
    <x v="1"/>
    <s v=" TN"/>
    <x v="0"/>
    <x v="0"/>
    <x v="0"/>
    <x v="1"/>
    <d v="2019-03-04T20:23:38"/>
    <d v="2019-03-11T20:23:38"/>
    <d v="2019-03-10T20:23:38"/>
    <x v="8"/>
    <n v="77"/>
    <n v="102"/>
    <n v="2518.09"/>
  </r>
  <r>
    <n v="820631"/>
    <x v="4"/>
    <s v="Delhi"/>
    <x v="2"/>
    <s v=" DL"/>
    <x v="1"/>
    <x v="0"/>
    <x v="2"/>
    <x v="0"/>
    <d v="2019-03-04T21:02:01"/>
    <d v="2019-03-11T21:02:01"/>
    <d v="2019-03-11T21:02:01"/>
    <x v="8"/>
    <n v="0"/>
    <n v="122"/>
    <n v="2631.0032964586771"/>
  </r>
  <r>
    <n v="9482"/>
    <x v="4"/>
    <s v="Delhi"/>
    <x v="0"/>
    <s v=" MH"/>
    <x v="2"/>
    <x v="0"/>
    <x v="0"/>
    <x v="0"/>
    <d v="2019-03-04T22:51:56"/>
    <d v="2019-03-07T22:51:56"/>
    <d v="2019-03-08T22:51:56"/>
    <x v="4"/>
    <n v="44"/>
    <n v="108"/>
    <n v="3307.3616527122003"/>
  </r>
  <r>
    <n v="391570"/>
    <x v="4"/>
    <s v="Delhi"/>
    <x v="4"/>
    <s v=" WB"/>
    <x v="0"/>
    <x v="0"/>
    <x v="0"/>
    <x v="0"/>
    <d v="2019-03-04T23:31:41"/>
    <d v="2019-03-11T23:31:41"/>
    <d v="2019-03-08T23:31:41"/>
    <x v="8"/>
    <n v="65"/>
    <n v="94"/>
    <n v="295.75243850642335"/>
  </r>
  <r>
    <n v="753448"/>
    <x v="4"/>
    <s v="Delhi"/>
    <x v="2"/>
    <s v=" DL"/>
    <x v="0"/>
    <x v="0"/>
    <x v="0"/>
    <x v="0"/>
    <d v="2019-03-05T00:19:16"/>
    <d v="2019-03-10T00:19:16"/>
    <d v="2019-03-12T00:19:16"/>
    <x v="9"/>
    <n v="0"/>
    <n v="126"/>
    <n v="3137.7738065663307"/>
  </r>
  <r>
    <n v="758074"/>
    <x v="4"/>
    <s v="Delhi"/>
    <x v="4"/>
    <s v=" WB"/>
    <x v="2"/>
    <x v="0"/>
    <x v="0"/>
    <x v="0"/>
    <d v="2019-03-05T00:28:20"/>
    <d v="2019-03-07T00:28:20"/>
    <d v="2019-03-11T00:28:20"/>
    <x v="0"/>
    <n v="31"/>
    <n v="115"/>
    <n v="596.35156067483854"/>
  </r>
  <r>
    <n v="529134"/>
    <x v="4"/>
    <s v="Bangalore"/>
    <x v="1"/>
    <s v=" TN"/>
    <x v="2"/>
    <x v="0"/>
    <x v="0"/>
    <x v="1"/>
    <d v="2019-03-05T00:40:09"/>
    <d v="2019-03-11T00:40:09"/>
    <d v="2019-03-12T00:40:09"/>
    <x v="3"/>
    <n v="41"/>
    <n v="125"/>
    <n v="2035.69"/>
  </r>
  <r>
    <n v="370011"/>
    <x v="4"/>
    <s v="Delhi"/>
    <x v="2"/>
    <s v=" DL"/>
    <x v="1"/>
    <x v="0"/>
    <x v="1"/>
    <x v="1"/>
    <d v="2019-03-05T00:51:07"/>
    <d v="2019-03-07T00:51:07"/>
    <d v="2019-03-10T00:51:07"/>
    <x v="0"/>
    <n v="0"/>
    <n v="127"/>
    <n v="1625.33"/>
  </r>
  <r>
    <n v="495120"/>
    <x v="4"/>
    <s v="Bangalore"/>
    <x v="1"/>
    <s v=" TN"/>
    <x v="0"/>
    <x v="0"/>
    <x v="0"/>
    <x v="1"/>
    <d v="2019-03-05T01:16:45"/>
    <d v="2019-03-09T01:16:45"/>
    <d v="2019-03-10T01:16:45"/>
    <x v="6"/>
    <n v="43"/>
    <n v="129"/>
    <n v="2069.44"/>
  </r>
  <r>
    <n v="427670"/>
    <x v="4"/>
    <s v="Bangalore"/>
    <x v="2"/>
    <s v=" DL"/>
    <x v="0"/>
    <x v="0"/>
    <x v="0"/>
    <x v="0"/>
    <d v="2019-03-05T01:41:47"/>
    <d v="2019-03-07T01:41:47"/>
    <d v="2019-03-09T01:41:47"/>
    <x v="0"/>
    <n v="70"/>
    <n v="106"/>
    <n v="3762.913591244258"/>
  </r>
  <r>
    <n v="108375"/>
    <x v="4"/>
    <s v="Delhi"/>
    <x v="2"/>
    <s v=" DL"/>
    <x v="0"/>
    <x v="0"/>
    <x v="1"/>
    <x v="1"/>
    <d v="2019-03-05T04:01:30"/>
    <d v="2019-03-06T04:01:30"/>
    <d v="2019-03-09T04:01:30"/>
    <x v="2"/>
    <n v="0"/>
    <n v="104"/>
    <n v="2276.81"/>
  </r>
  <r>
    <n v="757052"/>
    <x v="4"/>
    <s v="Delhi"/>
    <x v="0"/>
    <s v=" MH"/>
    <x v="0"/>
    <x v="0"/>
    <x v="0"/>
    <x v="0"/>
    <d v="2019-03-05T04:50:01"/>
    <d v="2019-03-09T04:50:01"/>
    <d v="2019-03-12T04:50:01"/>
    <x v="6"/>
    <n v="70"/>
    <n v="89"/>
    <n v="1052.6390514232571"/>
  </r>
  <r>
    <n v="601762"/>
    <x v="4"/>
    <s v="Delhi"/>
    <x v="3"/>
    <s v=" KA"/>
    <x v="0"/>
    <x v="0"/>
    <x v="0"/>
    <x v="0"/>
    <d v="2019-03-05T05:22:00"/>
    <d v="2019-03-07T05:22:00"/>
    <d v="2019-03-12T05:22:00"/>
    <x v="0"/>
    <n v="63"/>
    <n v="103"/>
    <n v="1323.0432236203374"/>
  </r>
  <r>
    <n v="732897"/>
    <x v="4"/>
    <s v="Delhi"/>
    <x v="2"/>
    <s v=" DL"/>
    <x v="1"/>
    <x v="0"/>
    <x v="1"/>
    <x v="1"/>
    <d v="2019-03-05T06:49:39"/>
    <d v="2019-03-10T06:49:39"/>
    <d v="2019-03-08T06:49:39"/>
    <x v="9"/>
    <n v="0"/>
    <n v="128"/>
    <n v="2721.39"/>
  </r>
  <r>
    <n v="83589"/>
    <x v="4"/>
    <s v="Delhi"/>
    <x v="3"/>
    <s v=" KA"/>
    <x v="1"/>
    <x v="0"/>
    <x v="1"/>
    <x v="1"/>
    <d v="2019-03-05T10:28:41"/>
    <d v="2019-03-09T10:28:41"/>
    <d v="2019-03-11T10:28:41"/>
    <x v="6"/>
    <n v="38"/>
    <n v="120"/>
    <n v="1279.95"/>
  </r>
  <r>
    <n v="86293"/>
    <x v="4"/>
    <s v="Bangalore"/>
    <x v="0"/>
    <s v=" MH"/>
    <x v="1"/>
    <x v="0"/>
    <x v="1"/>
    <x v="0"/>
    <d v="2019-03-05T11:27:32"/>
    <d v="2019-03-10T11:27:32"/>
    <d v="2019-03-08T11:27:32"/>
    <x v="9"/>
    <n v="31"/>
    <n v="111"/>
    <n v="2770.515330595229"/>
  </r>
  <r>
    <n v="853661"/>
    <x v="4"/>
    <s v="Delhi"/>
    <x v="1"/>
    <s v=" TN"/>
    <x v="1"/>
    <x v="0"/>
    <x v="1"/>
    <x v="0"/>
    <d v="2019-03-05T12:58:54"/>
    <d v="2019-03-12T12:58:54"/>
    <d v="2019-03-12T12:58:54"/>
    <x v="8"/>
    <n v="30"/>
    <n v="123"/>
    <n v="1181.7953773987399"/>
  </r>
  <r>
    <n v="86736"/>
    <x v="4"/>
    <s v="Delhi"/>
    <x v="0"/>
    <s v=" MH"/>
    <x v="0"/>
    <x v="0"/>
    <x v="0"/>
    <x v="1"/>
    <d v="2019-03-05T13:21:58"/>
    <d v="2019-03-07T13:21:58"/>
    <d v="2019-03-10T13:21:58"/>
    <x v="0"/>
    <n v="44"/>
    <n v="113"/>
    <n v="689.76"/>
  </r>
  <r>
    <n v="558152"/>
    <x v="4"/>
    <s v="Delhi"/>
    <x v="4"/>
    <s v=" WB"/>
    <x v="0"/>
    <x v="0"/>
    <x v="0"/>
    <x v="0"/>
    <d v="2019-03-05T13:46:45"/>
    <d v="2019-03-09T13:46:45"/>
    <d v="2019-03-09T13:46:45"/>
    <x v="6"/>
    <n v="45"/>
    <n v="106"/>
    <n v="791.57020570476629"/>
  </r>
  <r>
    <n v="839507"/>
    <x v="4"/>
    <s v="Delhi"/>
    <x v="2"/>
    <s v=" DL"/>
    <x v="0"/>
    <x v="0"/>
    <x v="1"/>
    <x v="0"/>
    <d v="2019-03-05T13:57:08"/>
    <d v="2019-03-10T13:57:08"/>
    <d v="2019-03-09T13:57:08"/>
    <x v="9"/>
    <n v="0"/>
    <n v="107"/>
    <n v="1132.9529150566643"/>
  </r>
  <r>
    <n v="941057"/>
    <x v="4"/>
    <s v="Delhi"/>
    <x v="1"/>
    <s v=" TN"/>
    <x v="1"/>
    <x v="0"/>
    <x v="1"/>
    <x v="0"/>
    <d v="2019-03-05T14:22:57"/>
    <d v="2019-03-07T14:22:57"/>
    <d v="2019-03-10T14:22:57"/>
    <x v="0"/>
    <n v="45"/>
    <n v="122"/>
    <n v="3671.6495475223264"/>
  </r>
  <r>
    <n v="223821"/>
    <x v="4"/>
    <s v="Delhi"/>
    <x v="2"/>
    <s v=" DL"/>
    <x v="0"/>
    <x v="0"/>
    <x v="1"/>
    <x v="1"/>
    <d v="2019-03-05T15:34:37"/>
    <d v="2019-03-08T15:34:37"/>
    <d v="2019-03-09T15:34:37"/>
    <x v="4"/>
    <n v="0"/>
    <n v="110"/>
    <n v="438"/>
  </r>
  <r>
    <n v="580318"/>
    <x v="4"/>
    <s v="Bangalore"/>
    <x v="0"/>
    <s v=" MH"/>
    <x v="2"/>
    <x v="0"/>
    <x v="0"/>
    <x v="0"/>
    <d v="2019-03-05T17:07:20"/>
    <d v="2019-03-13T17:07:20"/>
    <d v="2019-03-08T17:07:20"/>
    <x v="5"/>
    <n v="34"/>
    <n v="109"/>
    <n v="3810.8933726126538"/>
  </r>
  <r>
    <n v="189261"/>
    <x v="4"/>
    <s v="Bangalore"/>
    <x v="0"/>
    <s v=" MH"/>
    <x v="0"/>
    <x v="0"/>
    <x v="1"/>
    <x v="1"/>
    <d v="2019-03-05T17:52:15"/>
    <d v="2019-03-07T17:52:15"/>
    <d v="2019-03-08T17:52:15"/>
    <x v="0"/>
    <n v="70"/>
    <n v="94"/>
    <n v="3227.48"/>
  </r>
  <r>
    <n v="954235"/>
    <x v="4"/>
    <s v="Delhi"/>
    <x v="0"/>
    <s v=" MH"/>
    <x v="0"/>
    <x v="0"/>
    <x v="1"/>
    <x v="0"/>
    <d v="2019-03-05T18:01:49"/>
    <d v="2019-03-07T18:01:49"/>
    <d v="2019-03-11T18:01:49"/>
    <x v="0"/>
    <n v="82"/>
    <n v="92"/>
    <n v="2520.0115353452338"/>
  </r>
  <r>
    <n v="380730"/>
    <x v="4"/>
    <s v="Bangalore"/>
    <x v="3"/>
    <s v=" KA"/>
    <x v="2"/>
    <x v="0"/>
    <x v="0"/>
    <x v="1"/>
    <d v="2019-03-05T19:52:15"/>
    <d v="2019-03-07T19:52:15"/>
    <d v="2019-03-12T19:52:15"/>
    <x v="0"/>
    <n v="0"/>
    <n v="129"/>
    <n v="1875.78"/>
  </r>
  <r>
    <n v="478421"/>
    <x v="4"/>
    <s v="Delhi"/>
    <x v="0"/>
    <s v=" MH"/>
    <x v="0"/>
    <x v="0"/>
    <x v="1"/>
    <x v="0"/>
    <d v="2019-03-05T20:02:46"/>
    <d v="2019-03-10T20:02:46"/>
    <d v="2019-03-09T20:02:46"/>
    <x v="9"/>
    <n v="66"/>
    <n v="85"/>
    <n v="2290.7852120158632"/>
  </r>
  <r>
    <n v="864394"/>
    <x v="4"/>
    <s v="Delhi"/>
    <x v="4"/>
    <s v=" WB"/>
    <x v="0"/>
    <x v="0"/>
    <x v="0"/>
    <x v="0"/>
    <d v="2019-03-05T20:03:56"/>
    <d v="2019-03-09T20:03:56"/>
    <d v="2019-03-11T20:03:56"/>
    <x v="6"/>
    <n v="59"/>
    <n v="85"/>
    <n v="2980.4566056421581"/>
  </r>
  <r>
    <n v="615932"/>
    <x v="4"/>
    <s v="Delhi"/>
    <x v="1"/>
    <s v=" TN"/>
    <x v="0"/>
    <x v="0"/>
    <x v="0"/>
    <x v="0"/>
    <d v="2019-03-05T21:33:45"/>
    <d v="2019-03-15T21:33:45"/>
    <d v="2019-03-11T21:33:45"/>
    <x v="7"/>
    <n v="31"/>
    <n v="123"/>
    <n v="897.30074091305664"/>
  </r>
  <r>
    <n v="561784"/>
    <x v="4"/>
    <s v="Delhi"/>
    <x v="0"/>
    <s v=" MH"/>
    <x v="0"/>
    <x v="0"/>
    <x v="0"/>
    <x v="0"/>
    <d v="2019-03-05T21:59:02"/>
    <d v="2019-03-07T21:59:02"/>
    <d v="2019-03-11T21:59:02"/>
    <x v="0"/>
    <n v="78"/>
    <n v="94"/>
    <n v="3705.2741628971889"/>
  </r>
  <r>
    <n v="845262"/>
    <x v="4"/>
    <s v="Delhi"/>
    <x v="3"/>
    <s v=" KA"/>
    <x v="2"/>
    <x v="0"/>
    <x v="0"/>
    <x v="1"/>
    <d v="2019-03-05T22:07:31"/>
    <d v="2019-03-15T22:07:31"/>
    <d v="2019-03-09T22:07:31"/>
    <x v="7"/>
    <n v="31"/>
    <n v="125"/>
    <n v="195.13"/>
  </r>
  <r>
    <n v="192124"/>
    <x v="4"/>
    <s v="Delhi"/>
    <x v="2"/>
    <s v=" DL"/>
    <x v="0"/>
    <x v="0"/>
    <x v="0"/>
    <x v="0"/>
    <d v="2019-03-05T23:08:14"/>
    <d v="2019-03-06T23:08:14"/>
    <d v="2019-03-09T23:08:14"/>
    <x v="2"/>
    <n v="0"/>
    <n v="103"/>
    <n v="638.48481002584958"/>
  </r>
  <r>
    <n v="853943"/>
    <x v="4"/>
    <s v="Delhi"/>
    <x v="2"/>
    <s v=" DL"/>
    <x v="1"/>
    <x v="0"/>
    <x v="1"/>
    <x v="0"/>
    <d v="2019-03-05T23:22:28"/>
    <d v="2019-03-10T23:22:28"/>
    <d v="2019-03-12T23:22:28"/>
    <x v="9"/>
    <n v="0"/>
    <n v="128"/>
    <n v="3352.4654281672128"/>
  </r>
  <r>
    <n v="686813"/>
    <x v="4"/>
    <s v="Delhi"/>
    <x v="0"/>
    <s v=" MH"/>
    <x v="1"/>
    <x v="0"/>
    <x v="1"/>
    <x v="0"/>
    <d v="2019-03-05T23:42:19"/>
    <d v="2019-03-12T23:42:19"/>
    <d v="2019-03-10T23:42:19"/>
    <x v="8"/>
    <n v="49"/>
    <n v="109"/>
    <n v="1298.810563454588"/>
  </r>
  <r>
    <n v="580966"/>
    <x v="4"/>
    <s v="Bangalore"/>
    <x v="0"/>
    <s v=" MH"/>
    <x v="0"/>
    <x v="0"/>
    <x v="0"/>
    <x v="0"/>
    <d v="2019-03-06T00:14:00"/>
    <d v="2019-03-11T00:14:00"/>
    <d v="2019-03-13T00:14:00"/>
    <x v="9"/>
    <n v="75"/>
    <n v="90"/>
    <n v="1161.2307581455595"/>
  </r>
  <r>
    <n v="994994"/>
    <x v="4"/>
    <s v="Bangalore"/>
    <x v="0"/>
    <s v=" MH"/>
    <x v="0"/>
    <x v="0"/>
    <x v="0"/>
    <x v="0"/>
    <d v="2019-03-06T01:13:34"/>
    <d v="2019-03-10T01:13:34"/>
    <d v="2019-03-10T01:13:34"/>
    <x v="6"/>
    <n v="81"/>
    <n v="86"/>
    <n v="1983.2170865538001"/>
  </r>
  <r>
    <n v="220948"/>
    <x v="4"/>
    <s v="Bangalore"/>
    <x v="1"/>
    <s v=" TN"/>
    <x v="0"/>
    <x v="0"/>
    <x v="0"/>
    <x v="0"/>
    <d v="2019-03-06T01:15:39"/>
    <d v="2019-03-14T01:15:39"/>
    <d v="2019-03-11T01:15:39"/>
    <x v="5"/>
    <n v="43"/>
    <n v="130"/>
    <n v="3618.2069935585728"/>
  </r>
  <r>
    <n v="72369"/>
    <x v="4"/>
    <s v="Delhi"/>
    <x v="0"/>
    <s v=" MH"/>
    <x v="0"/>
    <x v="0"/>
    <x v="1"/>
    <x v="1"/>
    <d v="2019-03-06T01:21:29"/>
    <d v="2019-03-11T01:21:29"/>
    <d v="2019-03-10T01:21:29"/>
    <x v="9"/>
    <n v="85"/>
    <n v="93"/>
    <n v="1246.3399999999999"/>
  </r>
  <r>
    <n v="601913"/>
    <x v="4"/>
    <s v="Bangalore"/>
    <x v="2"/>
    <s v=" DL"/>
    <x v="0"/>
    <x v="0"/>
    <x v="1"/>
    <x v="0"/>
    <d v="2019-03-06T01:22:36"/>
    <d v="2019-03-08T01:22:36"/>
    <d v="2019-03-10T01:22:36"/>
    <x v="0"/>
    <n v="66"/>
    <n v="102"/>
    <n v="2866.3856807825546"/>
  </r>
  <r>
    <n v="934499"/>
    <x v="4"/>
    <s v="Delhi"/>
    <x v="0"/>
    <s v=" MH"/>
    <x v="1"/>
    <x v="0"/>
    <x v="1"/>
    <x v="0"/>
    <d v="2019-03-06T01:36:42"/>
    <d v="2019-03-15T01:36:42"/>
    <d v="2019-03-12T01:36:42"/>
    <x v="1"/>
    <n v="32"/>
    <n v="110"/>
    <n v="1175.1620893727747"/>
  </r>
  <r>
    <n v="248542"/>
    <x v="4"/>
    <s v="Bangalore"/>
    <x v="1"/>
    <s v=" TN"/>
    <x v="2"/>
    <x v="0"/>
    <x v="0"/>
    <x v="0"/>
    <d v="2019-03-06T02:14:31"/>
    <d v="2019-03-08T02:14:31"/>
    <d v="2019-03-09T02:14:31"/>
    <x v="0"/>
    <n v="29"/>
    <n v="122"/>
    <n v="1988.4188450850736"/>
  </r>
  <r>
    <n v="530295"/>
    <x v="4"/>
    <s v="Delhi"/>
    <x v="1"/>
    <s v=" TN"/>
    <x v="1"/>
    <x v="0"/>
    <x v="1"/>
    <x v="1"/>
    <d v="2019-03-06T02:42:35"/>
    <d v="2019-03-08T02:42:35"/>
    <d v="2019-03-09T02:42:35"/>
    <x v="0"/>
    <n v="34"/>
    <n v="127"/>
    <n v="1608.94"/>
  </r>
  <r>
    <n v="86995"/>
    <x v="4"/>
    <s v="Bangalore"/>
    <x v="1"/>
    <s v=" TN"/>
    <x v="1"/>
    <x v="0"/>
    <x v="1"/>
    <x v="0"/>
    <d v="2019-03-06T03:13:31"/>
    <d v="2019-03-11T03:13:31"/>
    <d v="2019-03-11T03:13:31"/>
    <x v="9"/>
    <n v="44"/>
    <n v="126"/>
    <n v="1149.0371220965446"/>
  </r>
  <r>
    <n v="713004"/>
    <x v="4"/>
    <s v="Bangalore"/>
    <x v="0"/>
    <s v=" MH"/>
    <x v="0"/>
    <x v="0"/>
    <x v="0"/>
    <x v="1"/>
    <d v="2019-03-06T03:25:07"/>
    <d v="2019-03-10T03:25:07"/>
    <d v="2019-03-12T03:25:07"/>
    <x v="6"/>
    <n v="66"/>
    <n v="89"/>
    <n v="2170.86"/>
  </r>
  <r>
    <n v="173256"/>
    <x v="4"/>
    <s v="Delhi"/>
    <x v="3"/>
    <s v=" KA"/>
    <x v="0"/>
    <x v="0"/>
    <x v="0"/>
    <x v="1"/>
    <d v="2019-03-06T03:46:42"/>
    <d v="2019-03-10T03:46:42"/>
    <d v="2019-03-13T03:46:42"/>
    <x v="6"/>
    <n v="34"/>
    <n v="126"/>
    <n v="2461.2800000000002"/>
  </r>
  <r>
    <n v="870562"/>
    <x v="4"/>
    <s v="Bangalore"/>
    <x v="0"/>
    <s v=" MH"/>
    <x v="2"/>
    <x v="0"/>
    <x v="0"/>
    <x v="0"/>
    <d v="2019-03-06T04:15:51"/>
    <d v="2019-03-09T04:15:51"/>
    <d v="2019-03-13T04:15:51"/>
    <x v="4"/>
    <n v="46"/>
    <n v="108"/>
    <n v="1601.5033811701869"/>
  </r>
  <r>
    <n v="474813"/>
    <x v="4"/>
    <s v="Delhi"/>
    <x v="0"/>
    <s v=" MH"/>
    <x v="1"/>
    <x v="0"/>
    <x v="1"/>
    <x v="1"/>
    <d v="2019-03-06T04:34:53"/>
    <d v="2019-03-15T04:34:53"/>
    <d v="2019-03-12T04:34:53"/>
    <x v="1"/>
    <n v="26"/>
    <n v="114"/>
    <n v="3410.96"/>
  </r>
  <r>
    <n v="283457"/>
    <x v="4"/>
    <s v="Delhi"/>
    <x v="0"/>
    <s v=" MH"/>
    <x v="1"/>
    <x v="0"/>
    <x v="1"/>
    <x v="0"/>
    <d v="2019-03-06T05:28:48"/>
    <d v="2019-03-14T05:28:48"/>
    <d v="2019-03-11T05:28:48"/>
    <x v="5"/>
    <n v="42"/>
    <n v="114"/>
    <n v="2737.3537206806341"/>
  </r>
  <r>
    <n v="153064"/>
    <x v="4"/>
    <s v="Bangalore"/>
    <x v="1"/>
    <s v=" TN"/>
    <x v="0"/>
    <x v="0"/>
    <x v="0"/>
    <x v="0"/>
    <d v="2019-03-06T05:44:27"/>
    <d v="2019-03-10T05:44:27"/>
    <d v="2019-03-11T05:44:27"/>
    <x v="6"/>
    <n v="39"/>
    <n v="127"/>
    <n v="1154"/>
  </r>
  <r>
    <n v="439597"/>
    <x v="4"/>
    <s v="Delhi"/>
    <x v="4"/>
    <s v=" WB"/>
    <x v="1"/>
    <x v="0"/>
    <x v="1"/>
    <x v="0"/>
    <d v="2019-03-06T05:50:32"/>
    <d v="2019-03-09T05:50:32"/>
    <d v="2019-03-11T05:50:32"/>
    <x v="4"/>
    <n v="33"/>
    <n v="111"/>
    <n v="2070"/>
  </r>
  <r>
    <n v="319351"/>
    <x v="4"/>
    <s v="Delhi"/>
    <x v="0"/>
    <s v=" MH"/>
    <x v="0"/>
    <x v="0"/>
    <x v="1"/>
    <x v="0"/>
    <d v="2019-03-06T06:40:12"/>
    <d v="2019-03-08T06:40:12"/>
    <d v="2019-03-09T06:40:12"/>
    <x v="0"/>
    <n v="81"/>
    <n v="93"/>
    <n v="1185.2103279503694"/>
  </r>
  <r>
    <n v="493390"/>
    <x v="4"/>
    <s v="Bangalore"/>
    <x v="0"/>
    <s v=" MH"/>
    <x v="2"/>
    <x v="0"/>
    <x v="0"/>
    <x v="0"/>
    <d v="2019-03-06T07:16:38"/>
    <d v="2019-03-14T07:16:38"/>
    <d v="2019-03-13T07:16:38"/>
    <x v="5"/>
    <n v="50"/>
    <n v="110"/>
    <n v="3300.9840025192689"/>
  </r>
  <r>
    <n v="917373"/>
    <x v="4"/>
    <s v="Delhi"/>
    <x v="0"/>
    <s v=" MH"/>
    <x v="1"/>
    <x v="0"/>
    <x v="1"/>
    <x v="1"/>
    <d v="2019-03-06T07:21:20"/>
    <d v="2019-03-12T07:21:20"/>
    <d v="2019-03-09T07:21:20"/>
    <x v="3"/>
    <n v="40"/>
    <n v="107"/>
    <n v="1983.412758682507"/>
  </r>
  <r>
    <n v="301298"/>
    <x v="4"/>
    <s v="Bangalore"/>
    <x v="2"/>
    <s v=" DL"/>
    <x v="0"/>
    <x v="0"/>
    <x v="0"/>
    <x v="0"/>
    <d v="2019-03-06T07:52:37"/>
    <d v="2019-03-09T07:52:37"/>
    <d v="2019-03-13T07:52:37"/>
    <x v="4"/>
    <n v="59"/>
    <n v="107"/>
    <n v="2392.2953044293427"/>
  </r>
  <r>
    <n v="127447"/>
    <x v="4"/>
    <s v="Delhi"/>
    <x v="2"/>
    <s v=" DL"/>
    <x v="1"/>
    <x v="0"/>
    <x v="1"/>
    <x v="0"/>
    <d v="2019-03-06T08:04:28"/>
    <d v="2019-03-08T08:04:28"/>
    <d v="2019-03-13T08:04:28"/>
    <x v="0"/>
    <n v="0"/>
    <n v="128"/>
    <n v="1440.3299788641705"/>
  </r>
  <r>
    <n v="245747"/>
    <x v="4"/>
    <s v="Delhi"/>
    <x v="0"/>
    <s v=" MH"/>
    <x v="1"/>
    <x v="0"/>
    <x v="1"/>
    <x v="0"/>
    <d v="2019-03-06T09:58:04"/>
    <d v="2019-03-11T09:58:04"/>
    <d v="2019-03-10T09:58:04"/>
    <x v="9"/>
    <n v="31"/>
    <n v="106"/>
    <n v="650.12814393425003"/>
  </r>
  <r>
    <n v="369239"/>
    <x v="4"/>
    <s v="Delhi"/>
    <x v="0"/>
    <s v=" MH"/>
    <x v="1"/>
    <x v="0"/>
    <x v="1"/>
    <x v="0"/>
    <d v="2019-03-06T10:49:19"/>
    <d v="2019-03-13T10:49:19"/>
    <d v="2019-03-12T10:49:19"/>
    <x v="8"/>
    <n v="35"/>
    <n v="112"/>
    <n v="1490.9883194226177"/>
  </r>
  <r>
    <n v="103097"/>
    <x v="4"/>
    <s v="Delhi"/>
    <x v="2"/>
    <s v=" DL"/>
    <x v="1"/>
    <x v="0"/>
    <x v="1"/>
    <x v="0"/>
    <d v="2019-03-06T11:29:15"/>
    <d v="2019-03-11T11:29:15"/>
    <d v="2019-03-11T11:29:15"/>
    <x v="9"/>
    <n v="0"/>
    <n v="123"/>
    <n v="2596.9218142745449"/>
  </r>
  <r>
    <n v="915579"/>
    <x v="4"/>
    <s v="Delhi"/>
    <x v="0"/>
    <s v=" MH"/>
    <x v="1"/>
    <x v="0"/>
    <x v="2"/>
    <x v="1"/>
    <d v="2019-03-06T11:51:42"/>
    <d v="2019-03-15T11:51:42"/>
    <d v="2019-03-09T11:51:42"/>
    <x v="1"/>
    <n v="44"/>
    <n v="114"/>
    <n v="2603"/>
  </r>
  <r>
    <n v="251931"/>
    <x v="4"/>
    <s v="Bangalore"/>
    <x v="0"/>
    <s v=" MH"/>
    <x v="0"/>
    <x v="0"/>
    <x v="1"/>
    <x v="1"/>
    <d v="2019-03-06T11:57:22"/>
    <d v="2019-03-10T11:57:22"/>
    <d v="2019-03-12T11:57:22"/>
    <x v="6"/>
    <n v="59"/>
    <n v="94"/>
    <n v="3440.4470471005789"/>
  </r>
  <r>
    <n v="798001"/>
    <x v="4"/>
    <s v="Bangalore"/>
    <x v="3"/>
    <s v=" KA"/>
    <x v="1"/>
    <x v="0"/>
    <x v="1"/>
    <x v="0"/>
    <d v="2019-03-06T12:14:00"/>
    <d v="2019-03-11T12:14:00"/>
    <d v="2019-03-12T12:14:00"/>
    <x v="9"/>
    <n v="0"/>
    <n v="121"/>
    <n v="1507.6566876385966"/>
  </r>
  <r>
    <n v="173984"/>
    <x v="4"/>
    <s v="Bangalore"/>
    <x v="2"/>
    <s v=" DL"/>
    <x v="0"/>
    <x v="0"/>
    <x v="0"/>
    <x v="0"/>
    <d v="2019-03-06T12:14:34"/>
    <d v="2019-03-09T12:14:34"/>
    <d v="2019-03-10T12:14:34"/>
    <x v="4"/>
    <n v="42"/>
    <n v="129"/>
    <n v="2765.8219777053937"/>
  </r>
  <r>
    <n v="555765"/>
    <x v="4"/>
    <s v="Delhi"/>
    <x v="2"/>
    <s v=" DL"/>
    <x v="1"/>
    <x v="0"/>
    <x v="2"/>
    <x v="1"/>
    <d v="2019-03-06T12:32:59"/>
    <d v="2019-03-10T12:32:59"/>
    <d v="2019-03-09T12:32:59"/>
    <x v="6"/>
    <n v="0"/>
    <n v="123"/>
    <n v="3668.1817113589"/>
  </r>
  <r>
    <n v="45804"/>
    <x v="4"/>
    <s v="Bangalore"/>
    <x v="1"/>
    <s v=" TN"/>
    <x v="0"/>
    <x v="0"/>
    <x v="0"/>
    <x v="1"/>
    <d v="2019-03-06T13:08:53"/>
    <d v="2019-03-14T13:08:53"/>
    <d v="2019-03-12T13:08:53"/>
    <x v="5"/>
    <n v="69"/>
    <n v="109"/>
    <n v="2212.6603226801544"/>
  </r>
  <r>
    <n v="572740"/>
    <x v="4"/>
    <s v="Delhi"/>
    <x v="1"/>
    <s v=" TN"/>
    <x v="0"/>
    <x v="0"/>
    <x v="0"/>
    <x v="0"/>
    <d v="2019-03-06T13:33:06"/>
    <d v="2019-03-11T13:33:06"/>
    <d v="2019-03-11T13:33:06"/>
    <x v="9"/>
    <n v="30"/>
    <n v="125"/>
    <n v="672.58550546665219"/>
  </r>
  <r>
    <n v="191728"/>
    <x v="4"/>
    <s v="Delhi"/>
    <x v="1"/>
    <s v=" TN"/>
    <x v="0"/>
    <x v="0"/>
    <x v="0"/>
    <x v="0"/>
    <d v="2019-03-06T14:30:04"/>
    <d v="2019-03-14T14:30:04"/>
    <d v="2019-03-09T14:30:04"/>
    <x v="5"/>
    <n v="30"/>
    <n v="124"/>
    <n v="3556.8159111979239"/>
  </r>
  <r>
    <n v="549037"/>
    <x v="4"/>
    <s v="Bangalore"/>
    <x v="2"/>
    <s v=" DL"/>
    <x v="1"/>
    <x v="0"/>
    <x v="1"/>
    <x v="0"/>
    <d v="2019-03-06T14:48:54"/>
    <d v="2019-03-11T14:48:54"/>
    <d v="2019-03-09T14:48:54"/>
    <x v="9"/>
    <n v="38"/>
    <n v="126"/>
    <n v="1261.8494528047861"/>
  </r>
  <r>
    <n v="621272"/>
    <x v="4"/>
    <s v="Delhi"/>
    <x v="0"/>
    <s v=" MH"/>
    <x v="0"/>
    <x v="0"/>
    <x v="0"/>
    <x v="0"/>
    <d v="2019-03-06T15:23:51"/>
    <d v="2019-03-09T15:23:51"/>
    <d v="2019-03-11T15:23:51"/>
    <x v="4"/>
    <n v="46"/>
    <n v="113"/>
    <n v="1254.8461153482183"/>
  </r>
  <r>
    <n v="677301"/>
    <x v="4"/>
    <s v="Delhi"/>
    <x v="4"/>
    <s v=" WB"/>
    <x v="1"/>
    <x v="0"/>
    <x v="1"/>
    <x v="1"/>
    <d v="2019-03-06T15:24:08"/>
    <d v="2019-03-09T15:24:08"/>
    <d v="2019-03-12T15:24:08"/>
    <x v="4"/>
    <n v="35"/>
    <n v="108"/>
    <n v="2075.66494641597"/>
  </r>
  <r>
    <n v="432908"/>
    <x v="4"/>
    <s v="Bangalore"/>
    <x v="2"/>
    <s v=" DL"/>
    <x v="0"/>
    <x v="0"/>
    <x v="0"/>
    <x v="0"/>
    <d v="2019-03-06T15:38:19"/>
    <d v="2019-03-08T15:38:19"/>
    <d v="2019-03-11T15:38:19"/>
    <x v="0"/>
    <n v="36"/>
    <n v="120"/>
    <n v="3569"/>
  </r>
  <r>
    <n v="529715"/>
    <x v="4"/>
    <s v="Delhi"/>
    <x v="0"/>
    <s v=" MH"/>
    <x v="1"/>
    <x v="0"/>
    <x v="1"/>
    <x v="0"/>
    <d v="2019-03-06T15:41:35"/>
    <d v="2019-03-13T15:41:35"/>
    <d v="2019-03-13T15:41:35"/>
    <x v="8"/>
    <n v="39"/>
    <n v="107"/>
    <n v="553"/>
  </r>
  <r>
    <n v="271501"/>
    <x v="4"/>
    <s v="Bangalore"/>
    <x v="2"/>
    <s v=" DL"/>
    <x v="0"/>
    <x v="0"/>
    <x v="1"/>
    <x v="0"/>
    <d v="2019-03-06T19:12:01"/>
    <d v="2019-03-08T19:12:01"/>
    <d v="2019-03-09T19:12:01"/>
    <x v="0"/>
    <n v="75"/>
    <n v="103"/>
    <n v="2452.273867670734"/>
  </r>
  <r>
    <n v="54803"/>
    <x v="4"/>
    <s v="Delhi"/>
    <x v="0"/>
    <s v=" MH"/>
    <x v="0"/>
    <x v="0"/>
    <x v="2"/>
    <x v="0"/>
    <d v="2019-03-06T19:59:18"/>
    <d v="2019-03-11T19:59:18"/>
    <d v="2019-03-10T19:59:18"/>
    <x v="9"/>
    <n v="84"/>
    <n v="89"/>
    <n v="1131.0682950052358"/>
  </r>
  <r>
    <n v="586734"/>
    <x v="4"/>
    <s v="Bangalore"/>
    <x v="2"/>
    <s v=" DL"/>
    <x v="2"/>
    <x v="0"/>
    <x v="0"/>
    <x v="1"/>
    <d v="2019-03-06T20:15:38"/>
    <d v="2019-03-11T20:15:38"/>
    <d v="2019-03-10T20:15:38"/>
    <x v="9"/>
    <n v="27"/>
    <n v="123"/>
    <n v="767.29531041500309"/>
  </r>
  <r>
    <n v="831859"/>
    <x v="4"/>
    <s v="Delhi"/>
    <x v="1"/>
    <s v=" TN"/>
    <x v="1"/>
    <x v="0"/>
    <x v="2"/>
    <x v="0"/>
    <d v="2019-03-06T20:24:28"/>
    <d v="2019-03-13T20:24:28"/>
    <d v="2019-03-13T20:24:28"/>
    <x v="8"/>
    <n v="48"/>
    <n v="121"/>
    <n v="1577.6135196181681"/>
  </r>
  <r>
    <n v="966764"/>
    <x v="4"/>
    <s v="Delhi"/>
    <x v="3"/>
    <s v=" KA"/>
    <x v="0"/>
    <x v="0"/>
    <x v="0"/>
    <x v="0"/>
    <d v="2019-03-06T22:03:15"/>
    <d v="2019-03-11T22:03:15"/>
    <d v="2019-03-09T22:03:15"/>
    <x v="9"/>
    <n v="62"/>
    <n v="102"/>
    <n v="2211.1487585810141"/>
  </r>
  <r>
    <n v="157714"/>
    <x v="4"/>
    <s v="Bangalore"/>
    <x v="4"/>
    <s v=" WB"/>
    <x v="2"/>
    <x v="0"/>
    <x v="0"/>
    <x v="0"/>
    <d v="2019-03-06T22:46:09"/>
    <d v="2019-03-12T22:46:09"/>
    <d v="2019-03-11T22:46:09"/>
    <x v="3"/>
    <n v="28"/>
    <n v="108"/>
    <n v="609.09089691337556"/>
  </r>
  <r>
    <n v="897238"/>
    <x v="4"/>
    <s v="Bangalore"/>
    <x v="4"/>
    <s v=" WB"/>
    <x v="2"/>
    <x v="0"/>
    <x v="0"/>
    <x v="0"/>
    <d v="2019-03-06T22:56:46"/>
    <d v="2019-03-11T22:56:46"/>
    <d v="2019-03-11T22:56:46"/>
    <x v="9"/>
    <n v="43"/>
    <n v="114"/>
    <n v="3494.2169132043332"/>
  </r>
  <r>
    <n v="168359"/>
    <x v="4"/>
    <s v="Delhi"/>
    <x v="0"/>
    <s v=" MH"/>
    <x v="1"/>
    <x v="0"/>
    <x v="1"/>
    <x v="0"/>
    <d v="2019-03-06T23:02:31"/>
    <d v="2019-03-09T23:02:31"/>
    <d v="2019-03-11T23:02:31"/>
    <x v="4"/>
    <n v="37"/>
    <n v="115"/>
    <n v="1271.7160632297664"/>
  </r>
  <r>
    <n v="561925"/>
    <x v="4"/>
    <s v="Bangalore"/>
    <x v="3"/>
    <s v=" KA"/>
    <x v="1"/>
    <x v="0"/>
    <x v="2"/>
    <x v="0"/>
    <d v="2019-03-06T23:20:20"/>
    <d v="2019-03-11T23:20:20"/>
    <d v="2019-03-09T23:20:20"/>
    <x v="9"/>
    <n v="0"/>
    <n v="123"/>
    <n v="1642"/>
  </r>
  <r>
    <n v="761239"/>
    <x v="4"/>
    <s v="Delhi"/>
    <x v="1"/>
    <s v=" TN"/>
    <x v="1"/>
    <x v="0"/>
    <x v="1"/>
    <x v="0"/>
    <d v="2019-03-07T00:10:27"/>
    <d v="2019-03-09T00:10:27"/>
    <d v="2019-03-14T00:10:27"/>
    <x v="0"/>
    <n v="35"/>
    <n v="128"/>
    <n v="1491.4121737609728"/>
  </r>
  <r>
    <n v="64834"/>
    <x v="4"/>
    <s v="Delhi"/>
    <x v="3"/>
    <s v=" KA"/>
    <x v="0"/>
    <x v="0"/>
    <x v="0"/>
    <x v="0"/>
    <d v="2019-03-07T01:16:48"/>
    <d v="2019-03-11T01:16:48"/>
    <d v="2019-03-10T01:16:48"/>
    <x v="6"/>
    <n v="62"/>
    <n v="109"/>
    <n v="2984.9878827465386"/>
  </r>
  <r>
    <n v="561370"/>
    <x v="4"/>
    <s v="Delhi"/>
    <x v="2"/>
    <s v=" DL"/>
    <x v="0"/>
    <x v="0"/>
    <x v="0"/>
    <x v="0"/>
    <d v="2019-03-07T03:28:56"/>
    <d v="2019-03-07T03:28:56"/>
    <d v="2019-03-11T03:28:56"/>
    <x v="10"/>
    <n v="0"/>
    <n v="102"/>
    <n v="2423.0240994639107"/>
  </r>
  <r>
    <n v="652316"/>
    <x v="4"/>
    <s v="Delhi"/>
    <x v="4"/>
    <s v=" WB"/>
    <x v="0"/>
    <x v="0"/>
    <x v="0"/>
    <x v="0"/>
    <d v="2019-03-07T03:36:08"/>
    <d v="2019-03-13T03:36:08"/>
    <d v="2019-03-14T03:36:08"/>
    <x v="3"/>
    <n v="65"/>
    <n v="87"/>
    <n v="1637.9869393098318"/>
  </r>
  <r>
    <n v="528265"/>
    <x v="4"/>
    <s v="Delhi"/>
    <x v="3"/>
    <s v=" KA"/>
    <x v="1"/>
    <x v="0"/>
    <x v="1"/>
    <x v="0"/>
    <d v="2019-03-07T03:50:30"/>
    <d v="2019-03-13T03:50:30"/>
    <d v="2019-03-10T03:50:30"/>
    <x v="3"/>
    <n v="44"/>
    <n v="126"/>
    <n v="3781.4322517664391"/>
  </r>
  <r>
    <n v="8567"/>
    <x v="4"/>
    <s v="Delhi"/>
    <x v="3"/>
    <s v=" KA"/>
    <x v="1"/>
    <x v="0"/>
    <x v="1"/>
    <x v="0"/>
    <d v="2019-03-07T04:29:57"/>
    <d v="2019-03-16T04:29:57"/>
    <d v="2019-03-12T04:29:57"/>
    <x v="1"/>
    <n v="33"/>
    <n v="121"/>
    <n v="1597.064553577472"/>
  </r>
  <r>
    <n v="781468"/>
    <x v="4"/>
    <s v="Delhi"/>
    <x v="0"/>
    <s v=" MH"/>
    <x v="0"/>
    <x v="0"/>
    <x v="0"/>
    <x v="0"/>
    <d v="2019-03-07T04:38:34"/>
    <d v="2019-03-12T04:38:34"/>
    <d v="2019-03-14T04:38:34"/>
    <x v="9"/>
    <n v="36"/>
    <n v="112"/>
    <n v="874"/>
  </r>
  <r>
    <n v="55658"/>
    <x v="4"/>
    <s v="Bangalore"/>
    <x v="2"/>
    <s v=" DL"/>
    <x v="0"/>
    <x v="0"/>
    <x v="0"/>
    <x v="0"/>
    <d v="2019-03-07T05:29:08"/>
    <d v="2019-03-12T05:29:08"/>
    <d v="2019-03-11T05:29:08"/>
    <x v="9"/>
    <n v="61"/>
    <n v="106"/>
    <n v="3453.7415639897331"/>
  </r>
  <r>
    <n v="726083"/>
    <x v="4"/>
    <s v="Delhi"/>
    <x v="3"/>
    <s v=" KA"/>
    <x v="1"/>
    <x v="0"/>
    <x v="1"/>
    <x v="0"/>
    <d v="2019-03-07T07:01:01"/>
    <d v="2019-03-17T07:01:01"/>
    <d v="2019-03-14T07:01:01"/>
    <x v="7"/>
    <n v="47"/>
    <n v="122"/>
    <n v="3300"/>
  </r>
  <r>
    <n v="283205"/>
    <x v="4"/>
    <s v="Bangalore"/>
    <x v="4"/>
    <s v=" WB"/>
    <x v="1"/>
    <x v="0"/>
    <x v="1"/>
    <x v="0"/>
    <d v="2019-03-07T07:29:36"/>
    <d v="2019-03-13T07:29:36"/>
    <d v="2019-03-11T07:29:36"/>
    <x v="3"/>
    <n v="50"/>
    <n v="115"/>
    <n v="3755.1922326582817"/>
  </r>
  <r>
    <n v="164930"/>
    <x v="4"/>
    <s v="Bangalore"/>
    <x v="2"/>
    <s v=" DL"/>
    <x v="2"/>
    <x v="0"/>
    <x v="0"/>
    <x v="0"/>
    <d v="2019-03-07T07:50:37"/>
    <d v="2019-03-10T07:50:37"/>
    <d v="2019-03-12T07:50:37"/>
    <x v="4"/>
    <n v="29"/>
    <n v="128"/>
    <n v="309.20254426112331"/>
  </r>
  <r>
    <n v="135105"/>
    <x v="4"/>
    <s v="Delhi"/>
    <x v="3"/>
    <s v=" KA"/>
    <x v="1"/>
    <x v="0"/>
    <x v="1"/>
    <x v="1"/>
    <d v="2019-03-07T07:56:21"/>
    <d v="2019-03-16T07:56:21"/>
    <d v="2019-03-10T07:56:21"/>
    <x v="1"/>
    <n v="35"/>
    <n v="121"/>
    <n v="2807.4973944996927"/>
  </r>
  <r>
    <n v="797332"/>
    <x v="4"/>
    <s v="Delhi"/>
    <x v="2"/>
    <s v=" DL"/>
    <x v="0"/>
    <x v="0"/>
    <x v="0"/>
    <x v="0"/>
    <d v="2019-03-07T08:50:48"/>
    <d v="2019-03-09T08:50:48"/>
    <d v="2019-03-10T08:50:48"/>
    <x v="0"/>
    <n v="0"/>
    <n v="125"/>
    <n v="3556.7221145035592"/>
  </r>
  <r>
    <n v="517727"/>
    <x v="4"/>
    <s v="Delhi"/>
    <x v="0"/>
    <s v=" MH"/>
    <x v="1"/>
    <x v="0"/>
    <x v="2"/>
    <x v="0"/>
    <d v="2019-03-07T10:09:46"/>
    <d v="2019-03-13T10:09:46"/>
    <d v="2019-03-13T10:09:46"/>
    <x v="3"/>
    <n v="42"/>
    <n v="106"/>
    <n v="546.22252538637076"/>
  </r>
  <r>
    <n v="149137"/>
    <x v="4"/>
    <s v="Delhi"/>
    <x v="1"/>
    <s v=" TN"/>
    <x v="1"/>
    <x v="0"/>
    <x v="1"/>
    <x v="0"/>
    <d v="2019-03-07T11:12:34"/>
    <d v="2019-03-14T11:12:34"/>
    <d v="2019-03-10T11:12:34"/>
    <x v="8"/>
    <n v="41"/>
    <n v="126"/>
    <n v="2416.5042330753204"/>
  </r>
  <r>
    <n v="921142"/>
    <x v="4"/>
    <s v="Bangalore"/>
    <x v="2"/>
    <s v=" DL"/>
    <x v="2"/>
    <x v="0"/>
    <x v="0"/>
    <x v="0"/>
    <d v="2019-03-07T11:53:51"/>
    <d v="2019-03-15T11:53:51"/>
    <d v="2019-03-11T11:53:51"/>
    <x v="5"/>
    <n v="30"/>
    <n v="121"/>
    <n v="3484"/>
  </r>
  <r>
    <n v="135836"/>
    <x v="4"/>
    <s v="Delhi"/>
    <x v="4"/>
    <s v=" WB"/>
    <x v="0"/>
    <x v="0"/>
    <x v="0"/>
    <x v="0"/>
    <d v="2019-03-07T12:26:32"/>
    <d v="2019-03-12T12:26:32"/>
    <d v="2019-03-14T12:26:32"/>
    <x v="9"/>
    <n v="27"/>
    <n v="105"/>
    <n v="2560"/>
  </r>
  <r>
    <n v="326868"/>
    <x v="4"/>
    <s v="Bangalore"/>
    <x v="1"/>
    <s v=" TN"/>
    <x v="0"/>
    <x v="0"/>
    <x v="0"/>
    <x v="1"/>
    <d v="2019-03-07T12:40:47"/>
    <d v="2019-03-14T12:40:47"/>
    <d v="2019-03-14T12:40:47"/>
    <x v="8"/>
    <n v="38"/>
    <n v="127"/>
    <n v="3511"/>
  </r>
  <r>
    <n v="765840"/>
    <x v="4"/>
    <s v="Delhi"/>
    <x v="3"/>
    <s v=" KA"/>
    <x v="0"/>
    <x v="0"/>
    <x v="0"/>
    <x v="1"/>
    <d v="2019-03-07T13:06:12"/>
    <d v="2019-03-10T13:06:12"/>
    <d v="2019-03-12T13:06:12"/>
    <x v="4"/>
    <n v="42"/>
    <n v="123"/>
    <n v="2359.9767169919451"/>
  </r>
  <r>
    <n v="759350"/>
    <x v="4"/>
    <s v="Delhi"/>
    <x v="1"/>
    <s v=" TN"/>
    <x v="2"/>
    <x v="0"/>
    <x v="0"/>
    <x v="0"/>
    <d v="2019-03-07T14:59:35"/>
    <d v="2019-03-12T14:59:35"/>
    <d v="2019-03-12T14:59:35"/>
    <x v="9"/>
    <n v="49"/>
    <n v="129"/>
    <n v="1853.9716646875715"/>
  </r>
  <r>
    <n v="865226"/>
    <x v="4"/>
    <s v="Bangalore"/>
    <x v="0"/>
    <s v=" MH"/>
    <x v="0"/>
    <x v="0"/>
    <x v="0"/>
    <x v="0"/>
    <d v="2019-03-07T15:20:40"/>
    <d v="2019-03-13T15:20:40"/>
    <d v="2019-03-10T15:20:40"/>
    <x v="3"/>
    <n v="79"/>
    <n v="89"/>
    <n v="1071.0790339293712"/>
  </r>
  <r>
    <n v="649891"/>
    <x v="4"/>
    <s v="Delhi"/>
    <x v="3"/>
    <s v=" KA"/>
    <x v="0"/>
    <x v="0"/>
    <x v="1"/>
    <x v="0"/>
    <d v="2019-03-07T15:31:50"/>
    <d v="2019-03-11T15:31:50"/>
    <d v="2019-03-11T15:31:50"/>
    <x v="6"/>
    <n v="65"/>
    <n v="109"/>
    <n v="3088.1096400377919"/>
  </r>
  <r>
    <n v="450846"/>
    <x v="4"/>
    <s v="Bangalore"/>
    <x v="2"/>
    <s v=" DL"/>
    <x v="2"/>
    <x v="0"/>
    <x v="0"/>
    <x v="1"/>
    <d v="2019-03-07T16:08:17"/>
    <d v="2019-03-15T16:08:17"/>
    <d v="2019-03-10T16:08:17"/>
    <x v="5"/>
    <n v="33"/>
    <n v="123"/>
    <n v="2914.79596055305"/>
  </r>
  <r>
    <n v="228379"/>
    <x v="4"/>
    <s v="Delhi"/>
    <x v="3"/>
    <s v=" KA"/>
    <x v="1"/>
    <x v="0"/>
    <x v="1"/>
    <x v="0"/>
    <d v="2019-03-07T16:30:26"/>
    <d v="2019-03-15T16:30:26"/>
    <d v="2019-03-11T16:30:26"/>
    <x v="5"/>
    <n v="27"/>
    <n v="123"/>
    <n v="1189.2998962514821"/>
  </r>
  <r>
    <n v="627778"/>
    <x v="4"/>
    <s v="Bangalore"/>
    <x v="3"/>
    <s v=" KA"/>
    <x v="2"/>
    <x v="0"/>
    <x v="0"/>
    <x v="0"/>
    <d v="2019-03-07T17:01:45"/>
    <d v="2019-03-09T17:01:45"/>
    <d v="2019-03-14T17:01:45"/>
    <x v="0"/>
    <n v="0"/>
    <n v="121"/>
    <n v="541.2940049081601"/>
  </r>
  <r>
    <n v="662303"/>
    <x v="4"/>
    <s v="Bangalore"/>
    <x v="1"/>
    <s v=" TN"/>
    <x v="1"/>
    <x v="0"/>
    <x v="1"/>
    <x v="0"/>
    <d v="2019-03-07T17:18:42"/>
    <d v="2019-03-11T17:18:42"/>
    <d v="2019-03-13T17:18:42"/>
    <x v="6"/>
    <n v="32"/>
    <n v="127"/>
    <n v="1112.3122857155745"/>
  </r>
  <r>
    <n v="587179"/>
    <x v="4"/>
    <s v="Bangalore"/>
    <x v="4"/>
    <s v=" WB"/>
    <x v="1"/>
    <x v="0"/>
    <x v="1"/>
    <x v="0"/>
    <d v="2019-03-07T17:56:44"/>
    <d v="2019-03-12T17:56:44"/>
    <d v="2019-03-12T17:56:44"/>
    <x v="9"/>
    <n v="42"/>
    <n v="114"/>
    <n v="3058"/>
  </r>
  <r>
    <n v="727793"/>
    <x v="4"/>
    <s v="Delhi"/>
    <x v="0"/>
    <s v=" MH"/>
    <x v="1"/>
    <x v="0"/>
    <x v="1"/>
    <x v="0"/>
    <d v="2019-03-07T18:58:25"/>
    <d v="2019-03-14T18:58:25"/>
    <d v="2019-03-10T18:58:25"/>
    <x v="8"/>
    <n v="37"/>
    <n v="111"/>
    <n v="3391.7309798590964"/>
  </r>
  <r>
    <n v="599062"/>
    <x v="4"/>
    <s v="Bangalore"/>
    <x v="3"/>
    <s v=" KA"/>
    <x v="0"/>
    <x v="0"/>
    <x v="0"/>
    <x v="0"/>
    <d v="2019-03-07T19:06:10"/>
    <d v="2019-03-12T19:06:10"/>
    <d v="2019-03-14T19:06:10"/>
    <x v="9"/>
    <n v="0"/>
    <n v="109"/>
    <n v="1426.353750678594"/>
  </r>
  <r>
    <n v="969003"/>
    <x v="4"/>
    <s v="Delhi"/>
    <x v="0"/>
    <s v=" MH"/>
    <x v="1"/>
    <x v="0"/>
    <x v="2"/>
    <x v="1"/>
    <d v="2019-03-07T19:21:42"/>
    <d v="2019-03-13T19:21:42"/>
    <d v="2019-03-10T19:21:42"/>
    <x v="3"/>
    <n v="40"/>
    <n v="108"/>
    <n v="1489.5549702156356"/>
  </r>
  <r>
    <n v="430125"/>
    <x v="4"/>
    <s v="Delhi"/>
    <x v="0"/>
    <s v=" MH"/>
    <x v="1"/>
    <x v="0"/>
    <x v="1"/>
    <x v="1"/>
    <d v="2019-03-07T20:17:51"/>
    <d v="2019-03-11T20:17:51"/>
    <d v="2019-03-11T20:17:51"/>
    <x v="6"/>
    <n v="41"/>
    <n v="110"/>
    <n v="1829.4704962185333"/>
  </r>
  <r>
    <n v="828305"/>
    <x v="4"/>
    <s v="Delhi"/>
    <x v="2"/>
    <s v=" DL"/>
    <x v="1"/>
    <x v="0"/>
    <x v="1"/>
    <x v="0"/>
    <d v="2019-03-07T20:43:14"/>
    <d v="2019-03-11T20:43:14"/>
    <d v="2019-03-13T20:43:14"/>
    <x v="6"/>
    <n v="0"/>
    <n v="125"/>
    <n v="318.3631095244175"/>
  </r>
  <r>
    <n v="964544"/>
    <x v="4"/>
    <s v="Delhi"/>
    <x v="1"/>
    <s v=" TN"/>
    <x v="0"/>
    <x v="0"/>
    <x v="0"/>
    <x v="0"/>
    <d v="2019-03-07T20:47:17"/>
    <d v="2019-03-16T20:47:17"/>
    <d v="2019-03-11T20:47:17"/>
    <x v="1"/>
    <n v="36"/>
    <n v="130"/>
    <n v="524.57505033127234"/>
  </r>
  <r>
    <n v="196921"/>
    <x v="4"/>
    <s v="Delhi"/>
    <x v="1"/>
    <s v=" TN"/>
    <x v="0"/>
    <x v="0"/>
    <x v="1"/>
    <x v="0"/>
    <d v="2019-03-07T20:49:25"/>
    <d v="2019-03-17T20:49:25"/>
    <d v="2019-03-13T20:49:25"/>
    <x v="7"/>
    <n v="73"/>
    <n v="104"/>
    <n v="2777.0848538156019"/>
  </r>
  <r>
    <n v="222859"/>
    <x v="4"/>
    <s v="Delhi"/>
    <x v="0"/>
    <s v=" MH"/>
    <x v="1"/>
    <x v="0"/>
    <x v="2"/>
    <x v="0"/>
    <d v="2019-03-07T20:55:16"/>
    <d v="2019-03-10T20:55:16"/>
    <d v="2019-03-12T20:55:16"/>
    <x v="4"/>
    <n v="45"/>
    <n v="107"/>
    <n v="2588"/>
  </r>
  <r>
    <n v="845236"/>
    <x v="4"/>
    <s v="Delhi"/>
    <x v="4"/>
    <s v=" WB"/>
    <x v="0"/>
    <x v="0"/>
    <x v="0"/>
    <x v="0"/>
    <d v="2019-03-07T21:07:30"/>
    <d v="2019-03-15T21:07:30"/>
    <d v="2019-03-12T21:07:30"/>
    <x v="5"/>
    <n v="85"/>
    <n v="90"/>
    <n v="3391.090682931821"/>
  </r>
  <r>
    <n v="943548"/>
    <x v="4"/>
    <s v="Bangalore"/>
    <x v="0"/>
    <s v=" MH"/>
    <x v="0"/>
    <x v="0"/>
    <x v="0"/>
    <x v="1"/>
    <d v="2019-03-07T23:11:11"/>
    <d v="2019-03-13T23:11:11"/>
    <d v="2019-03-11T23:11:11"/>
    <x v="3"/>
    <n v="42"/>
    <n v="109"/>
    <n v="2501.0532502326373"/>
  </r>
  <r>
    <n v="988190"/>
    <x v="4"/>
    <s v="Delhi"/>
    <x v="1"/>
    <s v=" TN"/>
    <x v="2"/>
    <x v="0"/>
    <x v="0"/>
    <x v="0"/>
    <d v="2019-03-07T23:48:39"/>
    <d v="2019-03-14T23:48:39"/>
    <d v="2019-03-12T23:48:39"/>
    <x v="8"/>
    <n v="30"/>
    <n v="127"/>
    <n v="1315.1293179103327"/>
  </r>
  <r>
    <n v="902946"/>
    <x v="4"/>
    <s v="Bangalore"/>
    <x v="0"/>
    <s v=" MH"/>
    <x v="2"/>
    <x v="0"/>
    <x v="0"/>
    <x v="1"/>
    <d v="2019-03-08T00:42:18"/>
    <d v="2019-03-12T00:42:18"/>
    <d v="2019-03-13T00:42:18"/>
    <x v="6"/>
    <n v="40"/>
    <n v="112"/>
    <n v="2921.5945695483715"/>
  </r>
  <r>
    <n v="817530"/>
    <x v="4"/>
    <s v="Bangalore"/>
    <x v="2"/>
    <s v=" DL"/>
    <x v="0"/>
    <x v="0"/>
    <x v="0"/>
    <x v="1"/>
    <d v="2019-03-08T01:39:10"/>
    <d v="2019-03-11T01:39:10"/>
    <d v="2019-03-14T01:39:10"/>
    <x v="4"/>
    <n v="70"/>
    <n v="102"/>
    <n v="2203"/>
  </r>
  <r>
    <n v="554090"/>
    <x v="4"/>
    <s v="Bangalore"/>
    <x v="2"/>
    <s v=" DL"/>
    <x v="2"/>
    <x v="0"/>
    <x v="0"/>
    <x v="0"/>
    <d v="2019-03-08T02:40:22"/>
    <d v="2019-03-11T02:40:22"/>
    <d v="2019-03-11T02:40:22"/>
    <x v="4"/>
    <n v="25"/>
    <n v="126"/>
    <n v="1757.5571699555023"/>
  </r>
  <r>
    <n v="655002"/>
    <x v="4"/>
    <s v="Delhi"/>
    <x v="3"/>
    <s v=" KA"/>
    <x v="2"/>
    <x v="0"/>
    <x v="0"/>
    <x v="1"/>
    <d v="2019-03-08T02:55:21"/>
    <d v="2019-03-12T02:55:21"/>
    <d v="2019-03-15T02:55:21"/>
    <x v="6"/>
    <n v="40"/>
    <n v="120"/>
    <n v="1487.4805650641506"/>
  </r>
  <r>
    <n v="390018"/>
    <x v="4"/>
    <s v="Bangalore"/>
    <x v="0"/>
    <s v=" MH"/>
    <x v="2"/>
    <x v="0"/>
    <x v="0"/>
    <x v="1"/>
    <d v="2019-03-08T02:59:28"/>
    <d v="2019-03-12T02:59:28"/>
    <d v="2019-03-11T02:59:28"/>
    <x v="6"/>
    <n v="25"/>
    <n v="114"/>
    <n v="777"/>
  </r>
  <r>
    <n v="190383"/>
    <x v="4"/>
    <s v="Delhi"/>
    <x v="2"/>
    <s v=" DL"/>
    <x v="1"/>
    <x v="0"/>
    <x v="1"/>
    <x v="1"/>
    <d v="2019-03-08T03:06:17"/>
    <d v="2019-03-11T03:06:17"/>
    <d v="2019-03-13T03:06:17"/>
    <x v="4"/>
    <n v="0"/>
    <n v="122"/>
    <n v="2493.759884008864"/>
  </r>
  <r>
    <n v="499000"/>
    <x v="4"/>
    <s v="Bangalore"/>
    <x v="2"/>
    <s v=" DL"/>
    <x v="0"/>
    <x v="0"/>
    <x v="0"/>
    <x v="0"/>
    <d v="2019-03-08T03:13:26"/>
    <d v="2019-03-10T03:13:26"/>
    <d v="2019-03-15T03:13:26"/>
    <x v="0"/>
    <n v="40"/>
    <n v="122"/>
    <n v="3209.5015274674229"/>
  </r>
  <r>
    <n v="142808"/>
    <x v="4"/>
    <s v="Bangalore"/>
    <x v="2"/>
    <s v=" DL"/>
    <x v="0"/>
    <x v="0"/>
    <x v="0"/>
    <x v="0"/>
    <d v="2019-03-08T03:15:57"/>
    <d v="2019-03-10T03:15:57"/>
    <d v="2019-03-14T03:15:57"/>
    <x v="0"/>
    <n v="44"/>
    <n v="130"/>
    <n v="770"/>
  </r>
  <r>
    <n v="381514"/>
    <x v="4"/>
    <s v="Delhi"/>
    <x v="1"/>
    <s v=" TN"/>
    <x v="2"/>
    <x v="0"/>
    <x v="0"/>
    <x v="0"/>
    <d v="2019-03-08T03:32:24"/>
    <d v="2019-03-14T03:32:24"/>
    <d v="2019-03-15T03:32:24"/>
    <x v="3"/>
    <n v="46"/>
    <n v="129"/>
    <n v="3375.4260888460453"/>
  </r>
  <r>
    <n v="421623"/>
    <x v="4"/>
    <s v="Bangalore"/>
    <x v="4"/>
    <s v=" WB"/>
    <x v="0"/>
    <x v="0"/>
    <x v="1"/>
    <x v="1"/>
    <d v="2019-03-08T03:42:42"/>
    <d v="2019-03-17T03:42:42"/>
    <d v="2019-03-12T03:42:42"/>
    <x v="1"/>
    <n v="68"/>
    <n v="86"/>
    <n v="2797.1164226908986"/>
  </r>
  <r>
    <n v="409555"/>
    <x v="4"/>
    <s v="Bangalore"/>
    <x v="3"/>
    <s v=" KA"/>
    <x v="0"/>
    <x v="0"/>
    <x v="1"/>
    <x v="0"/>
    <d v="2019-03-08T04:03:11"/>
    <d v="2019-03-15T04:03:11"/>
    <d v="2019-03-11T04:03:11"/>
    <x v="8"/>
    <n v="0"/>
    <n v="102"/>
    <n v="1844.0418571220296"/>
  </r>
  <r>
    <n v="739819"/>
    <x v="4"/>
    <s v="Bangalore"/>
    <x v="0"/>
    <s v=" MH"/>
    <x v="0"/>
    <x v="0"/>
    <x v="1"/>
    <x v="0"/>
    <d v="2019-03-08T04:07:51"/>
    <d v="2019-03-10T04:07:51"/>
    <d v="2019-03-13T04:07:51"/>
    <x v="0"/>
    <n v="88"/>
    <n v="85"/>
    <n v="2094.0355972810853"/>
  </r>
  <r>
    <n v="737476"/>
    <x v="4"/>
    <s v="Bangalore"/>
    <x v="0"/>
    <s v=" MH"/>
    <x v="0"/>
    <x v="0"/>
    <x v="0"/>
    <x v="0"/>
    <d v="2019-03-08T04:21:05"/>
    <d v="2019-03-11T04:21:05"/>
    <d v="2019-03-15T04:21:05"/>
    <x v="4"/>
    <n v="46"/>
    <n v="108"/>
    <n v="1823.0286531306097"/>
  </r>
  <r>
    <n v="183744"/>
    <x v="4"/>
    <s v="Bangalore"/>
    <x v="1"/>
    <s v=" TN"/>
    <x v="0"/>
    <x v="0"/>
    <x v="0"/>
    <x v="1"/>
    <d v="2019-03-08T04:59:39"/>
    <d v="2019-03-15T04:59:39"/>
    <d v="2019-03-15T04:59:39"/>
    <x v="8"/>
    <n v="34"/>
    <n v="127"/>
    <n v="2309"/>
  </r>
  <r>
    <n v="556802"/>
    <x v="4"/>
    <s v="Delhi"/>
    <x v="3"/>
    <s v=" KA"/>
    <x v="2"/>
    <x v="0"/>
    <x v="0"/>
    <x v="0"/>
    <d v="2019-03-08T05:12:52"/>
    <d v="2019-03-12T05:12:52"/>
    <d v="2019-03-15T05:12:52"/>
    <x v="6"/>
    <n v="48"/>
    <n v="126"/>
    <n v="3399.8522586275326"/>
  </r>
  <r>
    <n v="764859"/>
    <x v="4"/>
    <s v="Delhi"/>
    <x v="1"/>
    <s v=" TN"/>
    <x v="1"/>
    <x v="0"/>
    <x v="1"/>
    <x v="1"/>
    <d v="2019-03-08T05:17:01"/>
    <d v="2019-03-10T05:17:01"/>
    <d v="2019-03-12T05:17:01"/>
    <x v="0"/>
    <n v="48"/>
    <n v="124"/>
    <n v="3826.8599658959024"/>
  </r>
  <r>
    <n v="61820"/>
    <x v="4"/>
    <s v="Delhi"/>
    <x v="3"/>
    <s v=" KA"/>
    <x v="0"/>
    <x v="0"/>
    <x v="0"/>
    <x v="0"/>
    <d v="2019-03-08T07:46:47"/>
    <d v="2019-03-13T07:46:47"/>
    <d v="2019-03-15T07:46:47"/>
    <x v="9"/>
    <n v="87"/>
    <n v="107"/>
    <n v="1768.0861921477408"/>
  </r>
  <r>
    <n v="760072"/>
    <x v="4"/>
    <s v="Delhi"/>
    <x v="3"/>
    <s v=" KA"/>
    <x v="0"/>
    <x v="0"/>
    <x v="0"/>
    <x v="0"/>
    <d v="2019-03-08T09:03:05"/>
    <d v="2019-03-13T09:03:05"/>
    <d v="2019-03-12T09:03:05"/>
    <x v="9"/>
    <n v="77"/>
    <n v="108"/>
    <n v="361"/>
  </r>
  <r>
    <n v="175603"/>
    <x v="4"/>
    <s v="Delhi"/>
    <x v="0"/>
    <s v=" MH"/>
    <x v="0"/>
    <x v="0"/>
    <x v="1"/>
    <x v="0"/>
    <d v="2019-03-08T09:19:49"/>
    <d v="2019-03-14T09:19:49"/>
    <d v="2019-03-11T09:19:49"/>
    <x v="3"/>
    <n v="83"/>
    <n v="87"/>
    <n v="1306.1374752285717"/>
  </r>
  <r>
    <n v="310167"/>
    <x v="4"/>
    <s v="Bangalore"/>
    <x v="0"/>
    <s v=" MH"/>
    <x v="1"/>
    <x v="0"/>
    <x v="1"/>
    <x v="1"/>
    <d v="2019-03-08T09:53:43"/>
    <d v="2019-03-14T09:53:43"/>
    <d v="2019-03-14T09:53:43"/>
    <x v="3"/>
    <n v="45"/>
    <n v="106"/>
    <n v="2296.6726996585735"/>
  </r>
  <r>
    <n v="863291"/>
    <x v="4"/>
    <s v="Delhi"/>
    <x v="2"/>
    <s v=" DL"/>
    <x v="0"/>
    <x v="0"/>
    <x v="1"/>
    <x v="0"/>
    <d v="2019-03-08T10:06:01"/>
    <d v="2019-03-10T10:06:01"/>
    <d v="2019-03-11T10:06:01"/>
    <x v="0"/>
    <n v="0"/>
    <n v="104"/>
    <n v="2779"/>
  </r>
  <r>
    <n v="106354"/>
    <x v="4"/>
    <s v="Bangalore"/>
    <x v="2"/>
    <s v=" DL"/>
    <x v="0"/>
    <x v="0"/>
    <x v="0"/>
    <x v="0"/>
    <d v="2019-03-08T10:06:50"/>
    <d v="2019-03-10T10:06:50"/>
    <d v="2019-03-14T10:06:50"/>
    <x v="0"/>
    <n v="69"/>
    <n v="101"/>
    <n v="3054.5367341843598"/>
  </r>
  <r>
    <n v="182660"/>
    <x v="4"/>
    <s v="Delhi"/>
    <x v="3"/>
    <s v=" KA"/>
    <x v="0"/>
    <x v="0"/>
    <x v="0"/>
    <x v="0"/>
    <d v="2019-03-08T11:35:51"/>
    <d v="2019-03-13T11:35:51"/>
    <d v="2019-03-11T11:35:51"/>
    <x v="9"/>
    <n v="25"/>
    <n v="126"/>
    <n v="893.86022805031075"/>
  </r>
  <r>
    <n v="724009"/>
    <x v="4"/>
    <s v="Bangalore"/>
    <x v="3"/>
    <s v=" KA"/>
    <x v="1"/>
    <x v="0"/>
    <x v="1"/>
    <x v="0"/>
    <d v="2019-03-08T12:57:35"/>
    <d v="2019-03-09T12:57:35"/>
    <d v="2019-03-11T12:57:35"/>
    <x v="2"/>
    <n v="0"/>
    <n v="125"/>
    <n v="717.63156780621398"/>
  </r>
  <r>
    <n v="76337"/>
    <x v="4"/>
    <s v="Bangalore"/>
    <x v="4"/>
    <s v=" WB"/>
    <x v="0"/>
    <x v="0"/>
    <x v="1"/>
    <x v="0"/>
    <d v="2019-03-08T13:35:04"/>
    <d v="2019-03-15T13:35:04"/>
    <d v="2019-03-15T13:35:04"/>
    <x v="8"/>
    <n v="64"/>
    <n v="91"/>
    <n v="1783.9592661643576"/>
  </r>
  <r>
    <n v="102085"/>
    <x v="4"/>
    <s v="Delhi"/>
    <x v="2"/>
    <s v=" DL"/>
    <x v="1"/>
    <x v="0"/>
    <x v="1"/>
    <x v="0"/>
    <d v="2019-03-08T13:53:30"/>
    <d v="2019-03-14T13:53:30"/>
    <d v="2019-03-15T13:53:30"/>
    <x v="3"/>
    <n v="0"/>
    <n v="121"/>
    <n v="3606.1308079268401"/>
  </r>
  <r>
    <n v="898102"/>
    <x v="4"/>
    <s v="Bangalore"/>
    <x v="3"/>
    <s v=" KA"/>
    <x v="0"/>
    <x v="0"/>
    <x v="0"/>
    <x v="0"/>
    <d v="2019-03-08T14:41:19"/>
    <d v="2019-03-08T14:41:19"/>
    <d v="2019-03-14T14:41:19"/>
    <x v="10"/>
    <n v="0"/>
    <n v="104"/>
    <n v="621.48899384845333"/>
  </r>
  <r>
    <n v="992533"/>
    <x v="4"/>
    <s v="Bangalore"/>
    <x v="2"/>
    <s v=" DL"/>
    <x v="1"/>
    <x v="0"/>
    <x v="1"/>
    <x v="0"/>
    <d v="2019-03-08T15:20:25"/>
    <d v="2019-03-15T15:20:25"/>
    <d v="2019-03-14T15:20:25"/>
    <x v="8"/>
    <n v="49"/>
    <n v="129"/>
    <n v="295"/>
  </r>
  <r>
    <n v="741184"/>
    <x v="4"/>
    <s v="Bangalore"/>
    <x v="1"/>
    <s v=" TN"/>
    <x v="0"/>
    <x v="0"/>
    <x v="0"/>
    <x v="0"/>
    <d v="2019-03-08T15:55:11"/>
    <d v="2019-03-17T15:55:11"/>
    <d v="2019-03-14T15:55:11"/>
    <x v="1"/>
    <n v="40"/>
    <n v="121"/>
    <n v="3224"/>
  </r>
  <r>
    <n v="197518"/>
    <x v="4"/>
    <s v="Delhi"/>
    <x v="4"/>
    <s v=" WB"/>
    <x v="0"/>
    <x v="0"/>
    <x v="0"/>
    <x v="0"/>
    <d v="2019-03-08T17:40:04"/>
    <d v="2019-03-15T17:40:04"/>
    <d v="2019-03-13T17:40:04"/>
    <x v="8"/>
    <n v="76"/>
    <n v="95"/>
    <n v="2028.7880874739644"/>
  </r>
  <r>
    <n v="779404"/>
    <x v="4"/>
    <s v="Bangalore"/>
    <x v="1"/>
    <s v=" TN"/>
    <x v="0"/>
    <x v="0"/>
    <x v="0"/>
    <x v="0"/>
    <d v="2019-03-08T17:55:22"/>
    <d v="2019-03-15T17:55:22"/>
    <d v="2019-03-13T17:55:22"/>
    <x v="8"/>
    <n v="28"/>
    <n v="122"/>
    <n v="3479.9873242740364"/>
  </r>
  <r>
    <n v="486649"/>
    <x v="4"/>
    <s v="Bangalore"/>
    <x v="2"/>
    <s v=" DL"/>
    <x v="1"/>
    <x v="0"/>
    <x v="1"/>
    <x v="0"/>
    <d v="2019-03-08T18:27:21"/>
    <d v="2019-03-15T18:27:21"/>
    <d v="2019-03-11T18:27:21"/>
    <x v="8"/>
    <n v="48"/>
    <n v="127"/>
    <n v="1821.0685196501547"/>
  </r>
  <r>
    <n v="60254"/>
    <x v="4"/>
    <s v="Delhi"/>
    <x v="3"/>
    <s v=" KA"/>
    <x v="2"/>
    <x v="0"/>
    <x v="0"/>
    <x v="0"/>
    <d v="2019-03-08T18:59:30"/>
    <d v="2019-03-15T18:59:30"/>
    <d v="2019-03-11T18:59:30"/>
    <x v="8"/>
    <n v="42"/>
    <n v="121"/>
    <n v="3217.3101894238616"/>
  </r>
  <r>
    <n v="412953"/>
    <x v="4"/>
    <s v="Delhi"/>
    <x v="0"/>
    <s v=" MH"/>
    <x v="1"/>
    <x v="0"/>
    <x v="1"/>
    <x v="1"/>
    <d v="2019-03-08T20:13:28"/>
    <d v="2019-03-15T20:13:28"/>
    <d v="2019-03-14T20:13:28"/>
    <x v="8"/>
    <n v="45"/>
    <n v="108"/>
    <n v="3624.5601404091231"/>
  </r>
  <r>
    <n v="506583"/>
    <x v="4"/>
    <s v="Bangalore"/>
    <x v="0"/>
    <s v=" MH"/>
    <x v="0"/>
    <x v="0"/>
    <x v="2"/>
    <x v="1"/>
    <d v="2019-03-08T20:29:06"/>
    <d v="2019-03-11T20:29:06"/>
    <d v="2019-03-12T20:29:06"/>
    <x v="4"/>
    <n v="9999"/>
    <n v="91"/>
    <n v="671.34591820316973"/>
  </r>
  <r>
    <n v="734594"/>
    <x v="4"/>
    <s v="Delhi"/>
    <x v="3"/>
    <s v=" KA"/>
    <x v="2"/>
    <x v="0"/>
    <x v="0"/>
    <x v="0"/>
    <d v="2019-03-08T21:02:51"/>
    <d v="2019-03-15T21:02:51"/>
    <d v="2019-03-13T21:02:51"/>
    <x v="8"/>
    <n v="44"/>
    <n v="120"/>
    <n v="3366.6680140186422"/>
  </r>
  <r>
    <n v="697641"/>
    <x v="4"/>
    <s v="Bangalore"/>
    <x v="3"/>
    <s v=" KA"/>
    <x v="1"/>
    <x v="0"/>
    <x v="2"/>
    <x v="1"/>
    <d v="2019-03-08T21:44:26"/>
    <d v="2019-03-08T21:44:26"/>
    <d v="2019-03-15T21:44:26"/>
    <x v="10"/>
    <n v="0"/>
    <n v="125"/>
    <n v="2460.2214314213047"/>
  </r>
  <r>
    <n v="845343"/>
    <x v="4"/>
    <s v="Delhi"/>
    <x v="3"/>
    <s v=" KA"/>
    <x v="0"/>
    <x v="0"/>
    <x v="1"/>
    <x v="1"/>
    <d v="2019-03-09T01:14:04"/>
    <d v="2019-03-15T01:14:04"/>
    <d v="2019-03-14T01:14:04"/>
    <x v="3"/>
    <n v="65"/>
    <n v="109"/>
    <n v="2656.9502768313932"/>
  </r>
  <r>
    <n v="860168"/>
    <x v="4"/>
    <s v="Delhi"/>
    <x v="4"/>
    <s v=" WB"/>
    <x v="0"/>
    <x v="0"/>
    <x v="0"/>
    <x v="0"/>
    <d v="2019-03-09T02:10:08"/>
    <d v="2019-03-13T02:10:08"/>
    <d v="2019-03-14T02:10:08"/>
    <x v="6"/>
    <n v="29"/>
    <n v="106"/>
    <n v="1106"/>
  </r>
  <r>
    <n v="240750"/>
    <x v="4"/>
    <s v="Delhi"/>
    <x v="2"/>
    <s v=" DL"/>
    <x v="2"/>
    <x v="0"/>
    <x v="0"/>
    <x v="1"/>
    <d v="2019-03-09T02:41:07"/>
    <d v="2019-03-16T02:41:07"/>
    <d v="2019-03-12T02:41:07"/>
    <x v="8"/>
    <n v="0"/>
    <n v="129"/>
    <n v="1263.3104547945759"/>
  </r>
  <r>
    <n v="504928"/>
    <x v="4"/>
    <s v="Delhi"/>
    <x v="3"/>
    <s v=" KA"/>
    <x v="0"/>
    <x v="0"/>
    <x v="0"/>
    <x v="0"/>
    <d v="2019-03-09T05:11:50"/>
    <d v="2019-03-11T05:11:50"/>
    <d v="2019-03-13T05:11:50"/>
    <x v="0"/>
    <n v="69"/>
    <n v="101"/>
    <n v="852"/>
  </r>
  <r>
    <n v="586487"/>
    <x v="4"/>
    <s v="Delhi"/>
    <x v="4"/>
    <s v=" WB"/>
    <x v="1"/>
    <x v="0"/>
    <x v="1"/>
    <x v="0"/>
    <d v="2019-03-09T07:44:49"/>
    <d v="2019-03-12T07:44:49"/>
    <d v="2019-03-16T07:44:49"/>
    <x v="4"/>
    <n v="43"/>
    <n v="112"/>
    <n v="1306.0024325229731"/>
  </r>
  <r>
    <n v="36066"/>
    <x v="4"/>
    <s v="Bangalore"/>
    <x v="2"/>
    <s v=" DL"/>
    <x v="2"/>
    <x v="0"/>
    <x v="0"/>
    <x v="1"/>
    <d v="2019-03-09T07:57:20"/>
    <d v="2019-03-13T07:57:20"/>
    <d v="2019-03-15T07:57:20"/>
    <x v="6"/>
    <n v="42"/>
    <n v="121"/>
    <n v="1165"/>
  </r>
  <r>
    <n v="641253"/>
    <x v="4"/>
    <s v="Delhi"/>
    <x v="2"/>
    <s v=" DL"/>
    <x v="0"/>
    <x v="0"/>
    <x v="1"/>
    <x v="1"/>
    <d v="2019-03-09T09:22:25"/>
    <d v="2019-03-14T09:22:25"/>
    <d v="2019-03-12T09:22:25"/>
    <x v="9"/>
    <n v="0"/>
    <n v="110"/>
    <n v="3066.6731692182939"/>
  </r>
  <r>
    <n v="731866"/>
    <x v="4"/>
    <s v="Delhi"/>
    <x v="0"/>
    <s v=" MH"/>
    <x v="2"/>
    <x v="0"/>
    <x v="0"/>
    <x v="0"/>
    <d v="2019-03-09T11:19:14"/>
    <d v="2019-03-16T11:19:14"/>
    <d v="2019-03-16T11:19:14"/>
    <x v="8"/>
    <n v="26"/>
    <n v="113"/>
    <n v="1924.2547985917561"/>
  </r>
  <r>
    <n v="452160"/>
    <x v="4"/>
    <s v="Delhi"/>
    <x v="2"/>
    <s v=" DL"/>
    <x v="0"/>
    <x v="0"/>
    <x v="0"/>
    <x v="1"/>
    <d v="2019-03-09T12:03:31"/>
    <d v="2019-03-13T12:03:31"/>
    <d v="2019-03-16T12:03:31"/>
    <x v="6"/>
    <n v="0"/>
    <n v="109"/>
    <n v="687"/>
  </r>
  <r>
    <n v="353006"/>
    <x v="4"/>
    <s v="Bangalore"/>
    <x v="2"/>
    <s v=" DL"/>
    <x v="2"/>
    <x v="0"/>
    <x v="0"/>
    <x v="0"/>
    <d v="2019-03-09T12:03:52"/>
    <d v="2019-03-14T12:03:52"/>
    <d v="2019-03-13T12:03:52"/>
    <x v="9"/>
    <n v="48"/>
    <n v="129"/>
    <n v="263"/>
  </r>
  <r>
    <n v="962105"/>
    <x v="4"/>
    <s v="Delhi"/>
    <x v="3"/>
    <s v=" KA"/>
    <x v="0"/>
    <x v="0"/>
    <x v="1"/>
    <x v="0"/>
    <d v="2019-03-09T13:38:33"/>
    <d v="2019-03-11T13:38:33"/>
    <d v="2019-03-14T13:38:33"/>
    <x v="0"/>
    <n v="81"/>
    <n v="101"/>
    <n v="2208.6202358549203"/>
  </r>
  <r>
    <n v="520870"/>
    <x v="4"/>
    <s v="Delhi"/>
    <x v="0"/>
    <s v=" MH"/>
    <x v="0"/>
    <x v="0"/>
    <x v="0"/>
    <x v="0"/>
    <d v="2019-03-09T14:29:02"/>
    <d v="2019-03-14T14:29:02"/>
    <d v="2019-03-16T14:29:02"/>
    <x v="9"/>
    <n v="63"/>
    <n v="89"/>
    <n v="391"/>
  </r>
  <r>
    <n v="148398"/>
    <x v="4"/>
    <s v="Bangalore"/>
    <x v="3"/>
    <s v=" KA"/>
    <x v="2"/>
    <x v="0"/>
    <x v="0"/>
    <x v="1"/>
    <d v="2019-03-09T14:42:05"/>
    <d v="2019-03-15T14:42:05"/>
    <d v="2019-03-13T14:42:05"/>
    <x v="3"/>
    <n v="0"/>
    <n v="128"/>
    <n v="661.18069998644125"/>
  </r>
  <r>
    <n v="770302"/>
    <x v="4"/>
    <s v="Delhi"/>
    <x v="0"/>
    <s v=" MH"/>
    <x v="0"/>
    <x v="0"/>
    <x v="0"/>
    <x v="0"/>
    <d v="2019-03-09T14:49:18"/>
    <d v="2019-03-15T14:49:18"/>
    <d v="2019-03-15T14:49:18"/>
    <x v="3"/>
    <n v="75"/>
    <n v="88"/>
    <n v="853.09106324905201"/>
  </r>
  <r>
    <n v="70902"/>
    <x v="4"/>
    <s v="Bangalore"/>
    <x v="0"/>
    <s v=" MH"/>
    <x v="0"/>
    <x v="0"/>
    <x v="0"/>
    <x v="1"/>
    <d v="2019-03-09T15:57:55"/>
    <d v="2019-03-12T15:57:55"/>
    <d v="2019-03-16T15:57:55"/>
    <x v="4"/>
    <n v="75"/>
    <n v="95"/>
    <n v="256"/>
  </r>
  <r>
    <n v="721022"/>
    <x v="4"/>
    <s v="Delhi"/>
    <x v="2"/>
    <s v=" DL"/>
    <x v="0"/>
    <x v="0"/>
    <x v="0"/>
    <x v="0"/>
    <d v="2019-03-09T17:38:02"/>
    <d v="2019-03-09T17:38:02"/>
    <d v="2019-03-15T17:38:02"/>
    <x v="10"/>
    <n v="0"/>
    <n v="109"/>
    <n v="1204.8681049851832"/>
  </r>
  <r>
    <n v="726982"/>
    <x v="4"/>
    <s v="Bangalore"/>
    <x v="2"/>
    <s v=" DL"/>
    <x v="2"/>
    <x v="0"/>
    <x v="0"/>
    <x v="0"/>
    <d v="2019-03-09T17:39:43"/>
    <d v="2019-03-16T17:39:43"/>
    <d v="2019-03-13T17:39:43"/>
    <x v="8"/>
    <n v="27"/>
    <n v="123"/>
    <n v="1847"/>
  </r>
  <r>
    <n v="124552"/>
    <x v="4"/>
    <s v="Delhi"/>
    <x v="0"/>
    <s v=" MH"/>
    <x v="0"/>
    <x v="0"/>
    <x v="0"/>
    <x v="0"/>
    <d v="2019-03-09T18:32:07"/>
    <d v="2019-03-15T18:32:07"/>
    <d v="2019-03-12T18:32:07"/>
    <x v="3"/>
    <n v="26"/>
    <n v="108"/>
    <n v="893.00397705297189"/>
  </r>
  <r>
    <n v="160896"/>
    <x v="4"/>
    <s v="Bangalore"/>
    <x v="2"/>
    <s v=" DL"/>
    <x v="0"/>
    <x v="0"/>
    <x v="0"/>
    <x v="1"/>
    <d v="2019-03-09T19:22:42"/>
    <d v="2019-03-11T19:22:42"/>
    <d v="2019-03-16T19:22:42"/>
    <x v="0"/>
    <n v="28"/>
    <n v="130"/>
    <n v="2882.2174923567836"/>
  </r>
  <r>
    <n v="145207"/>
    <x v="4"/>
    <s v="Bangalore"/>
    <x v="0"/>
    <s v=" MH"/>
    <x v="1"/>
    <x v="0"/>
    <x v="1"/>
    <x v="0"/>
    <d v="2019-03-09T19:33:00"/>
    <d v="2019-03-16T19:33:00"/>
    <d v="2019-03-13T19:33:00"/>
    <x v="8"/>
    <n v="39"/>
    <n v="115"/>
    <n v="1252"/>
  </r>
  <r>
    <n v="585435"/>
    <x v="4"/>
    <s v="Delhi"/>
    <x v="0"/>
    <s v=" MH"/>
    <x v="1"/>
    <x v="0"/>
    <x v="1"/>
    <x v="1"/>
    <d v="2019-03-09T19:40:08"/>
    <d v="2019-03-16T19:40:08"/>
    <d v="2019-03-14T19:40:08"/>
    <x v="8"/>
    <n v="47"/>
    <n v="112"/>
    <n v="1288.8406531283545"/>
  </r>
  <r>
    <n v="598863"/>
    <x v="4"/>
    <s v="Bangalore"/>
    <x v="2"/>
    <s v=" DL"/>
    <x v="1"/>
    <x v="0"/>
    <x v="1"/>
    <x v="1"/>
    <d v="2019-03-09T19:48:53"/>
    <d v="2019-03-13T19:48:53"/>
    <d v="2019-03-13T19:48:53"/>
    <x v="6"/>
    <n v="48"/>
    <n v="123"/>
    <n v="608.70659101698493"/>
  </r>
  <r>
    <n v="813346"/>
    <x v="4"/>
    <s v="Delhi"/>
    <x v="3"/>
    <s v=" KA"/>
    <x v="2"/>
    <x v="0"/>
    <x v="0"/>
    <x v="0"/>
    <d v="2019-03-09T20:26:09"/>
    <d v="2019-03-13T20:26:09"/>
    <d v="2019-03-15T20:26:09"/>
    <x v="6"/>
    <n v="25"/>
    <n v="129"/>
    <n v="1311"/>
  </r>
  <r>
    <n v="911948"/>
    <x v="4"/>
    <s v="Bangalore"/>
    <x v="3"/>
    <s v=" KA"/>
    <x v="0"/>
    <x v="0"/>
    <x v="0"/>
    <x v="0"/>
    <d v="2019-03-09T21:26:25"/>
    <d v="2019-03-10T21:26:25"/>
    <d v="2019-03-16T21:26:25"/>
    <x v="2"/>
    <n v="0"/>
    <n v="129"/>
    <n v="500.43552129150913"/>
  </r>
  <r>
    <n v="836895"/>
    <x v="4"/>
    <s v="Bangalore"/>
    <x v="0"/>
    <s v=" MH"/>
    <x v="1"/>
    <x v="0"/>
    <x v="1"/>
    <x v="1"/>
    <d v="2019-03-09T21:42:43"/>
    <d v="2019-03-12T21:42:43"/>
    <d v="2019-03-16T21:42:43"/>
    <x v="4"/>
    <n v="42"/>
    <n v="114"/>
    <n v="3056.8521584461487"/>
  </r>
  <r>
    <n v="937000"/>
    <x v="4"/>
    <s v="Delhi"/>
    <x v="0"/>
    <s v=" MH"/>
    <x v="0"/>
    <x v="0"/>
    <x v="0"/>
    <x v="0"/>
    <d v="2019-03-09T22:50:38"/>
    <d v="2019-03-12T22:50:38"/>
    <d v="2019-03-13T22:50:38"/>
    <x v="4"/>
    <n v="69"/>
    <n v="90"/>
    <n v="2895.3781458583007"/>
  </r>
  <r>
    <n v="916570"/>
    <x v="4"/>
    <s v="Delhi"/>
    <x v="3"/>
    <s v=" KA"/>
    <x v="2"/>
    <x v="0"/>
    <x v="0"/>
    <x v="0"/>
    <d v="2019-03-09T22:55:48"/>
    <d v="2019-03-13T22:55:48"/>
    <d v="2019-03-12T22:55:48"/>
    <x v="6"/>
    <n v="37"/>
    <n v="122"/>
    <n v="3589"/>
  </r>
  <r>
    <n v="13558"/>
    <x v="4"/>
    <s v="Delhi"/>
    <x v="3"/>
    <s v=" KA"/>
    <x v="2"/>
    <x v="0"/>
    <x v="0"/>
    <x v="0"/>
    <d v="2019-03-09T23:23:55"/>
    <d v="2019-03-16T23:23:55"/>
    <d v="2019-03-15T23:23:55"/>
    <x v="8"/>
    <n v="30"/>
    <n v="125"/>
    <n v="603.24565716458324"/>
  </r>
  <r>
    <n v="768776"/>
    <x v="4"/>
    <s v="Delhi"/>
    <x v="2"/>
    <s v=" DL"/>
    <x v="0"/>
    <x v="0"/>
    <x v="0"/>
    <x v="0"/>
    <d v="2019-03-09T23:45:18"/>
    <d v="2019-03-09T23:45:18"/>
    <d v="2019-03-12T23:45:18"/>
    <x v="10"/>
    <n v="0"/>
    <n v="110"/>
    <n v="2751.5217382972683"/>
  </r>
  <r>
    <n v="346700"/>
    <x v="4"/>
    <s v="Delhi"/>
    <x v="4"/>
    <s v=" WB"/>
    <x v="0"/>
    <x v="0"/>
    <x v="0"/>
    <x v="0"/>
    <d v="2019-03-09T23:49:55"/>
    <d v="2019-03-17T23:49:55"/>
    <d v="2019-03-12T23:49:55"/>
    <x v="5"/>
    <n v="32"/>
    <n v="113"/>
    <n v="1539.8764458531955"/>
  </r>
  <r>
    <n v="799424"/>
    <x v="4"/>
    <s v="Bangalore"/>
    <x v="0"/>
    <s v=" MH"/>
    <x v="0"/>
    <x v="0"/>
    <x v="0"/>
    <x v="0"/>
    <d v="2019-03-10T00:07:13"/>
    <d v="2019-03-12T00:07:13"/>
    <d v="2019-03-13T00:07:13"/>
    <x v="0"/>
    <n v="28"/>
    <n v="112"/>
    <n v="1519.2339768283759"/>
  </r>
  <r>
    <n v="375808"/>
    <x v="4"/>
    <s v="Bangalore"/>
    <x v="0"/>
    <s v=" MH"/>
    <x v="0"/>
    <x v="0"/>
    <x v="0"/>
    <x v="0"/>
    <d v="2019-03-10T00:19:23"/>
    <d v="2019-03-12T00:19:23"/>
    <d v="2019-03-16T00:19:23"/>
    <x v="0"/>
    <n v="46"/>
    <n v="111"/>
    <n v="1814.7621613181568"/>
  </r>
  <r>
    <n v="104809"/>
    <x v="4"/>
    <s v="Delhi"/>
    <x v="4"/>
    <s v=" WB"/>
    <x v="1"/>
    <x v="0"/>
    <x v="1"/>
    <x v="0"/>
    <d v="2019-03-10T00:34:43"/>
    <d v="2019-03-12T00:34:43"/>
    <d v="2019-03-17T00:34:43"/>
    <x v="0"/>
    <n v="49"/>
    <n v="106"/>
    <n v="2231"/>
  </r>
  <r>
    <n v="117057"/>
    <x v="4"/>
    <s v="Delhi"/>
    <x v="1"/>
    <s v=" TN"/>
    <x v="1"/>
    <x v="0"/>
    <x v="1"/>
    <x v="1"/>
    <d v="2019-03-10T00:41:09"/>
    <d v="2019-03-13T00:41:09"/>
    <d v="2019-03-16T00:41:09"/>
    <x v="4"/>
    <n v="27"/>
    <n v="128"/>
    <n v="2983.182433557251"/>
  </r>
  <r>
    <n v="421866"/>
    <x v="4"/>
    <s v="Bangalore"/>
    <x v="0"/>
    <s v=" MH"/>
    <x v="2"/>
    <x v="0"/>
    <x v="0"/>
    <x v="1"/>
    <d v="2019-03-10T00:59:20"/>
    <d v="2019-03-18T00:59:20"/>
    <d v="2019-03-13T00:59:20"/>
    <x v="5"/>
    <n v="25"/>
    <n v="109"/>
    <n v="3035.6555741762904"/>
  </r>
  <r>
    <n v="283735"/>
    <x v="4"/>
    <s v="Bangalore"/>
    <x v="1"/>
    <s v=" TN"/>
    <x v="1"/>
    <x v="0"/>
    <x v="1"/>
    <x v="0"/>
    <d v="2019-03-10T02:25:33"/>
    <d v="2019-03-13T02:25:33"/>
    <d v="2019-03-13T02:25:33"/>
    <x v="4"/>
    <n v="25"/>
    <n v="122"/>
    <n v="869.33478103801326"/>
  </r>
  <r>
    <n v="766105"/>
    <x v="4"/>
    <s v="Bangalore"/>
    <x v="4"/>
    <s v=" WB"/>
    <x v="1"/>
    <x v="0"/>
    <x v="1"/>
    <x v="0"/>
    <d v="2019-03-10T02:34:40"/>
    <d v="2019-03-12T02:34:40"/>
    <d v="2019-03-14T02:34:40"/>
    <x v="0"/>
    <n v="29"/>
    <n v="108"/>
    <n v="2480.4893515017793"/>
  </r>
  <r>
    <n v="370083"/>
    <x v="4"/>
    <s v="Bangalore"/>
    <x v="0"/>
    <s v=" MH"/>
    <x v="1"/>
    <x v="0"/>
    <x v="2"/>
    <x v="1"/>
    <d v="2019-03-10T03:15:02"/>
    <d v="2019-03-16T03:15:02"/>
    <d v="2019-03-16T03:15:02"/>
    <x v="3"/>
    <n v="35"/>
    <n v="108"/>
    <n v="2075.694614516849"/>
  </r>
  <r>
    <n v="625005"/>
    <x v="4"/>
    <s v="Delhi"/>
    <x v="0"/>
    <s v=" MH"/>
    <x v="0"/>
    <x v="0"/>
    <x v="1"/>
    <x v="1"/>
    <d v="2019-03-10T03:53:39"/>
    <d v="2019-03-15T03:53:39"/>
    <d v="2019-03-17T03:53:39"/>
    <x v="9"/>
    <n v="86"/>
    <n v="87"/>
    <n v="1022"/>
  </r>
  <r>
    <n v="431966"/>
    <x v="4"/>
    <s v="Delhi"/>
    <x v="3"/>
    <s v=" KA"/>
    <x v="2"/>
    <x v="0"/>
    <x v="0"/>
    <x v="0"/>
    <d v="2019-03-10T05:46:13"/>
    <d v="2019-03-15T05:46:13"/>
    <d v="2019-03-14T05:46:13"/>
    <x v="9"/>
    <n v="36"/>
    <n v="126"/>
    <n v="1881"/>
  </r>
  <r>
    <n v="426563"/>
    <x v="4"/>
    <s v="Delhi"/>
    <x v="3"/>
    <s v=" KA"/>
    <x v="1"/>
    <x v="0"/>
    <x v="1"/>
    <x v="0"/>
    <d v="2019-03-10T07:20:45"/>
    <d v="2019-03-18T07:20:45"/>
    <d v="2019-03-16T07:20:45"/>
    <x v="5"/>
    <n v="48"/>
    <n v="121"/>
    <n v="462.67627530475488"/>
  </r>
  <r>
    <n v="240379"/>
    <x v="4"/>
    <s v="Delhi"/>
    <x v="2"/>
    <s v=" DL"/>
    <x v="1"/>
    <x v="0"/>
    <x v="1"/>
    <x v="0"/>
    <d v="2019-03-10T08:06:26"/>
    <d v="2019-03-11T08:06:26"/>
    <d v="2019-03-13T08:06:26"/>
    <x v="2"/>
    <n v="0"/>
    <n v="126"/>
    <n v="2337.6829029715373"/>
  </r>
  <r>
    <n v="737484"/>
    <x v="4"/>
    <s v="Bangalore"/>
    <x v="4"/>
    <s v=" WB"/>
    <x v="0"/>
    <x v="0"/>
    <x v="0"/>
    <x v="1"/>
    <d v="2019-03-10T08:45:16"/>
    <d v="2019-03-15T08:45:16"/>
    <d v="2019-03-17T08:45:16"/>
    <x v="9"/>
    <n v="63"/>
    <n v="88"/>
    <n v="2202.1756275857911"/>
  </r>
  <r>
    <n v="36357"/>
    <x v="4"/>
    <s v="Delhi"/>
    <x v="3"/>
    <s v=" KA"/>
    <x v="1"/>
    <x v="0"/>
    <x v="1"/>
    <x v="1"/>
    <d v="2019-03-10T09:32:25"/>
    <d v="2019-03-16T09:32:25"/>
    <d v="2019-03-15T09:32:25"/>
    <x v="3"/>
    <n v="32"/>
    <n v="122"/>
    <n v="687.48150004612103"/>
  </r>
  <r>
    <n v="619517"/>
    <x v="4"/>
    <s v="Delhi"/>
    <x v="2"/>
    <s v=" DL"/>
    <x v="1"/>
    <x v="0"/>
    <x v="1"/>
    <x v="0"/>
    <d v="2019-03-10T09:59:50"/>
    <d v="2019-03-17T09:59:50"/>
    <d v="2019-03-14T09:59:50"/>
    <x v="8"/>
    <n v="0"/>
    <n v="122"/>
    <n v="406.2337359522212"/>
  </r>
  <r>
    <n v="171835"/>
    <x v="4"/>
    <s v="Delhi"/>
    <x v="2"/>
    <s v=" DL"/>
    <x v="1"/>
    <x v="0"/>
    <x v="1"/>
    <x v="0"/>
    <d v="2019-03-10T10:59:27"/>
    <d v="2019-03-14T10:59:27"/>
    <d v="2019-03-13T10:59:27"/>
    <x v="6"/>
    <n v="0"/>
    <n v="127"/>
    <n v="326"/>
  </r>
  <r>
    <n v="923489"/>
    <x v="4"/>
    <s v="Delhi"/>
    <x v="2"/>
    <s v=" DL"/>
    <x v="1"/>
    <x v="0"/>
    <x v="2"/>
    <x v="0"/>
    <d v="2019-03-10T11:14:39"/>
    <d v="2019-03-13T11:14:39"/>
    <d v="2019-03-15T11:14:39"/>
    <x v="4"/>
    <n v="0"/>
    <n v="120"/>
    <n v="1536"/>
  </r>
  <r>
    <n v="256915"/>
    <x v="4"/>
    <s v="Bangalore"/>
    <x v="1"/>
    <s v=" TN"/>
    <x v="1"/>
    <x v="0"/>
    <x v="1"/>
    <x v="0"/>
    <d v="2019-03-10T14:05:29"/>
    <d v="2019-03-16T14:05:29"/>
    <d v="2019-03-16T14:05:29"/>
    <x v="3"/>
    <n v="27"/>
    <n v="130"/>
    <n v="3384"/>
  </r>
  <r>
    <n v="577918"/>
    <x v="4"/>
    <s v="Delhi"/>
    <x v="3"/>
    <s v=" KA"/>
    <x v="0"/>
    <x v="0"/>
    <x v="0"/>
    <x v="0"/>
    <d v="2019-03-10T14:06:55"/>
    <d v="2019-03-15T14:06:55"/>
    <d v="2019-03-16T14:06:55"/>
    <x v="9"/>
    <n v="63"/>
    <n v="100"/>
    <n v="1663.5015477457464"/>
  </r>
  <r>
    <n v="46255"/>
    <x v="4"/>
    <s v="Bangalore"/>
    <x v="0"/>
    <s v=" MH"/>
    <x v="1"/>
    <x v="0"/>
    <x v="1"/>
    <x v="0"/>
    <d v="2019-03-10T14:31:08"/>
    <d v="2019-03-18T14:31:08"/>
    <d v="2019-03-13T14:31:08"/>
    <x v="5"/>
    <n v="29"/>
    <n v="111"/>
    <n v="1674"/>
  </r>
  <r>
    <n v="153647"/>
    <x v="4"/>
    <s v="Delhi"/>
    <x v="2"/>
    <s v=" DL"/>
    <x v="1"/>
    <x v="0"/>
    <x v="1"/>
    <x v="0"/>
    <d v="2019-03-10T14:38:55"/>
    <d v="2019-03-11T14:38:55"/>
    <d v="2019-03-16T14:38:55"/>
    <x v="2"/>
    <n v="0"/>
    <n v="121"/>
    <n v="2261.6571093782236"/>
  </r>
  <r>
    <n v="904441"/>
    <x v="4"/>
    <s v="Delhi"/>
    <x v="3"/>
    <s v=" KA"/>
    <x v="1"/>
    <x v="0"/>
    <x v="1"/>
    <x v="0"/>
    <d v="2019-03-10T14:53:25"/>
    <d v="2019-03-17T14:53:25"/>
    <d v="2019-03-14T14:53:25"/>
    <x v="8"/>
    <n v="47"/>
    <n v="122"/>
    <n v="3628.9235292086578"/>
  </r>
  <r>
    <n v="119342"/>
    <x v="4"/>
    <s v="Delhi"/>
    <x v="3"/>
    <s v=" KA"/>
    <x v="0"/>
    <x v="0"/>
    <x v="0"/>
    <x v="0"/>
    <d v="2019-03-10T15:53:38"/>
    <d v="2019-03-16T15:53:38"/>
    <d v="2019-03-15T15:53:38"/>
    <x v="3"/>
    <n v="85"/>
    <n v="107"/>
    <n v="1196"/>
  </r>
  <r>
    <n v="565567"/>
    <x v="4"/>
    <s v="Delhi"/>
    <x v="2"/>
    <s v=" DL"/>
    <x v="1"/>
    <x v="0"/>
    <x v="1"/>
    <x v="0"/>
    <d v="2019-03-10T17:11:59"/>
    <d v="2019-03-11T17:11:59"/>
    <d v="2019-03-14T17:11:59"/>
    <x v="2"/>
    <n v="0"/>
    <n v="124"/>
    <n v="192"/>
  </r>
  <r>
    <n v="343167"/>
    <x v="4"/>
    <s v="Delhi"/>
    <x v="3"/>
    <s v=" KA"/>
    <x v="1"/>
    <x v="0"/>
    <x v="1"/>
    <x v="1"/>
    <d v="2019-03-10T17:24:44"/>
    <d v="2019-03-18T17:24:44"/>
    <d v="2019-03-15T17:24:44"/>
    <x v="5"/>
    <n v="47"/>
    <n v="123"/>
    <n v="485"/>
  </r>
  <r>
    <n v="183511"/>
    <x v="4"/>
    <s v="Delhi"/>
    <x v="2"/>
    <s v=" DL"/>
    <x v="1"/>
    <x v="0"/>
    <x v="1"/>
    <x v="0"/>
    <d v="2019-03-10T17:36:43"/>
    <d v="2019-03-16T17:36:43"/>
    <d v="2019-03-13T17:36:43"/>
    <x v="3"/>
    <n v="0"/>
    <n v="128"/>
    <n v="2110.5801964159914"/>
  </r>
  <r>
    <n v="397938"/>
    <x v="4"/>
    <s v="Bangalore"/>
    <x v="3"/>
    <s v=" KA"/>
    <x v="2"/>
    <x v="0"/>
    <x v="0"/>
    <x v="1"/>
    <d v="2019-03-10T17:44:04"/>
    <d v="2019-03-12T17:44:04"/>
    <d v="2019-03-13T17:44:04"/>
    <x v="0"/>
    <n v="0"/>
    <n v="125"/>
    <n v="3132"/>
  </r>
  <r>
    <n v="480548"/>
    <x v="4"/>
    <s v="Delhi"/>
    <x v="3"/>
    <s v=" KA"/>
    <x v="0"/>
    <x v="0"/>
    <x v="0"/>
    <x v="0"/>
    <d v="2019-03-10T17:57:23"/>
    <d v="2019-03-12T17:57:23"/>
    <d v="2019-03-16T17:57:23"/>
    <x v="0"/>
    <n v="80"/>
    <n v="109"/>
    <n v="1639.506998307337"/>
  </r>
  <r>
    <n v="821186"/>
    <x v="4"/>
    <s v="Delhi"/>
    <x v="3"/>
    <s v=" KA"/>
    <x v="0"/>
    <x v="0"/>
    <x v="0"/>
    <x v="0"/>
    <d v="2019-03-10T18:15:26"/>
    <d v="2019-03-16T18:15:26"/>
    <d v="2019-03-17T18:15:26"/>
    <x v="3"/>
    <n v="59"/>
    <n v="106"/>
    <n v="1061"/>
  </r>
  <r>
    <n v="752682"/>
    <x v="4"/>
    <s v="Bangalore"/>
    <x v="4"/>
    <s v=" WB"/>
    <x v="2"/>
    <x v="0"/>
    <x v="0"/>
    <x v="1"/>
    <d v="2019-03-10T21:13:05"/>
    <d v="2019-03-14T21:13:05"/>
    <d v="2019-03-15T21:13:05"/>
    <x v="6"/>
    <n v="49"/>
    <n v="114"/>
    <n v="3582.61765245683"/>
  </r>
  <r>
    <n v="178248"/>
    <x v="4"/>
    <s v="Delhi"/>
    <x v="2"/>
    <s v=" DL"/>
    <x v="0"/>
    <x v="0"/>
    <x v="0"/>
    <x v="1"/>
    <d v="2019-03-10T21:32:26"/>
    <d v="2019-03-14T21:32:26"/>
    <d v="2019-03-14T21:32:26"/>
    <x v="6"/>
    <n v="0"/>
    <n v="121"/>
    <n v="1455.0960312571981"/>
  </r>
  <r>
    <n v="987529"/>
    <x v="4"/>
    <s v="Bangalore"/>
    <x v="0"/>
    <s v=" MH"/>
    <x v="1"/>
    <x v="0"/>
    <x v="1"/>
    <x v="0"/>
    <d v="2019-03-10T22:13:43"/>
    <d v="2019-03-16T22:13:43"/>
    <d v="2019-03-16T22:13:43"/>
    <x v="3"/>
    <n v="48"/>
    <n v="106"/>
    <n v="3068.1022266210111"/>
  </r>
  <r>
    <n v="786583"/>
    <x v="4"/>
    <s v="Bangalore"/>
    <x v="2"/>
    <s v=" DL"/>
    <x v="1"/>
    <x v="0"/>
    <x v="2"/>
    <x v="0"/>
    <d v="2019-03-10T23:04:08"/>
    <d v="2019-03-15T23:04:08"/>
    <d v="2019-03-17T23:04:08"/>
    <x v="9"/>
    <n v="38"/>
    <n v="129"/>
    <n v="247"/>
  </r>
  <r>
    <n v="803682"/>
    <x v="4"/>
    <s v="Delhi"/>
    <x v="2"/>
    <s v=" DL"/>
    <x v="0"/>
    <x v="0"/>
    <x v="0"/>
    <x v="1"/>
    <d v="2019-03-10T23:11:48"/>
    <d v="2019-03-13T23:11:48"/>
    <d v="2019-03-15T23:11:48"/>
    <x v="4"/>
    <n v="0"/>
    <n v="108"/>
    <n v="3027.5341827552129"/>
  </r>
  <r>
    <n v="202890"/>
    <x v="4"/>
    <s v="Bangalore"/>
    <x v="3"/>
    <s v=" KA"/>
    <x v="2"/>
    <x v="0"/>
    <x v="0"/>
    <x v="1"/>
    <d v="2019-03-10T23:17:03"/>
    <d v="2019-03-13T23:17:03"/>
    <d v="2019-03-15T23:17:03"/>
    <x v="4"/>
    <n v="0"/>
    <n v="121"/>
    <n v="3523"/>
  </r>
  <r>
    <n v="721513"/>
    <x v="4"/>
    <s v="Delhi"/>
    <x v="0"/>
    <s v=" MH"/>
    <x v="1"/>
    <x v="0"/>
    <x v="1"/>
    <x v="0"/>
    <d v="2019-03-11T00:40:25"/>
    <d v="2019-03-15T00:40:25"/>
    <d v="2019-03-18T00:40:25"/>
    <x v="6"/>
    <n v="34"/>
    <n v="108"/>
    <n v="571.45578796422319"/>
  </r>
  <r>
    <n v="875431"/>
    <x v="4"/>
    <s v="Delhi"/>
    <x v="3"/>
    <s v=" KA"/>
    <x v="1"/>
    <x v="0"/>
    <x v="1"/>
    <x v="0"/>
    <d v="2019-03-11T00:59:15"/>
    <d v="2019-03-17T00:59:15"/>
    <d v="2019-03-17T00:59:15"/>
    <x v="3"/>
    <n v="46"/>
    <n v="124"/>
    <n v="3534.915976188594"/>
  </r>
  <r>
    <n v="887516"/>
    <x v="4"/>
    <s v="Bangalore"/>
    <x v="2"/>
    <s v=" DL"/>
    <x v="0"/>
    <x v="0"/>
    <x v="0"/>
    <x v="0"/>
    <d v="2019-03-11T01:05:47"/>
    <d v="2019-03-13T01:05:47"/>
    <d v="2019-03-15T01:05:47"/>
    <x v="0"/>
    <n v="35"/>
    <n v="120"/>
    <n v="3200.7311810627939"/>
  </r>
  <r>
    <n v="375260"/>
    <x v="4"/>
    <s v="Delhi"/>
    <x v="1"/>
    <s v=" TN"/>
    <x v="0"/>
    <x v="0"/>
    <x v="0"/>
    <x v="0"/>
    <d v="2019-03-11T03:18:55"/>
    <d v="2019-03-19T03:18:55"/>
    <d v="2019-03-17T03:18:55"/>
    <x v="5"/>
    <n v="26"/>
    <n v="124"/>
    <n v="3768.6633456989744"/>
  </r>
  <r>
    <n v="196391"/>
    <x v="4"/>
    <s v="Bangalore"/>
    <x v="3"/>
    <s v=" KA"/>
    <x v="1"/>
    <x v="0"/>
    <x v="1"/>
    <x v="0"/>
    <d v="2019-03-11T04:03:38"/>
    <d v="2019-03-12T04:03:38"/>
    <d v="2019-03-17T04:03:38"/>
    <x v="2"/>
    <n v="0"/>
    <n v="125"/>
    <n v="1399.3301279705802"/>
  </r>
  <r>
    <n v="889959"/>
    <x v="4"/>
    <s v="Bangalore"/>
    <x v="3"/>
    <s v=" KA"/>
    <x v="1"/>
    <x v="0"/>
    <x v="2"/>
    <x v="1"/>
    <d v="2019-03-11T05:13:42"/>
    <d v="2019-03-11T05:13:42"/>
    <d v="2019-03-18T05:13:42"/>
    <x v="10"/>
    <n v="0"/>
    <n v="126"/>
    <n v="1030"/>
  </r>
  <r>
    <n v="289507"/>
    <x v="4"/>
    <s v="Delhi"/>
    <x v="2"/>
    <s v=" DL"/>
    <x v="1"/>
    <x v="0"/>
    <x v="1"/>
    <x v="0"/>
    <d v="2019-03-11T06:54:24"/>
    <d v="2019-03-15T06:54:24"/>
    <d v="2019-03-15T06:54:24"/>
    <x v="6"/>
    <n v="0"/>
    <n v="128"/>
    <n v="978"/>
  </r>
  <r>
    <n v="414449"/>
    <x v="4"/>
    <s v="Bangalore"/>
    <x v="2"/>
    <s v=" DL"/>
    <x v="1"/>
    <x v="0"/>
    <x v="2"/>
    <x v="0"/>
    <d v="2019-03-11T06:55:47"/>
    <d v="2019-03-16T06:55:47"/>
    <d v="2019-03-15T06:55:47"/>
    <x v="9"/>
    <n v="28"/>
    <n v="129"/>
    <n v="3571"/>
  </r>
  <r>
    <n v="731387"/>
    <x v="4"/>
    <s v="Bangalore"/>
    <x v="1"/>
    <s v=" TN"/>
    <x v="1"/>
    <x v="0"/>
    <x v="1"/>
    <x v="0"/>
    <d v="2019-03-11T07:23:59"/>
    <d v="2019-03-13T07:23:59"/>
    <d v="2019-03-18T07:23:59"/>
    <x v="0"/>
    <n v="26"/>
    <n v="129"/>
    <n v="385.98914346964455"/>
  </r>
  <r>
    <n v="352215"/>
    <x v="4"/>
    <s v="Delhi"/>
    <x v="3"/>
    <s v=" KA"/>
    <x v="1"/>
    <x v="0"/>
    <x v="1"/>
    <x v="1"/>
    <d v="2019-03-11T08:16:24"/>
    <d v="2019-03-17T08:16:24"/>
    <d v="2019-03-18T08:16:24"/>
    <x v="3"/>
    <n v="45"/>
    <n v="127"/>
    <n v="1773.5289399983023"/>
  </r>
  <r>
    <n v="964927"/>
    <x v="4"/>
    <s v="Bangalore"/>
    <x v="3"/>
    <s v=" KA"/>
    <x v="0"/>
    <x v="0"/>
    <x v="1"/>
    <x v="0"/>
    <d v="2019-03-11T08:52:42"/>
    <d v="2019-03-11T08:52:42"/>
    <d v="2019-03-17T08:52:42"/>
    <x v="10"/>
    <n v="0"/>
    <n v="106"/>
    <n v="1119"/>
  </r>
  <r>
    <n v="285898"/>
    <x v="4"/>
    <s v="Delhi"/>
    <x v="0"/>
    <s v=" MH"/>
    <x v="2"/>
    <x v="0"/>
    <x v="0"/>
    <x v="0"/>
    <d v="2019-03-11T10:31:34"/>
    <d v="2019-03-17T10:31:34"/>
    <d v="2019-03-15T10:31:34"/>
    <x v="3"/>
    <n v="37"/>
    <n v="106"/>
    <n v="3400.1878269997278"/>
  </r>
  <r>
    <n v="592057"/>
    <x v="4"/>
    <s v="Delhi"/>
    <x v="2"/>
    <s v=" DL"/>
    <x v="1"/>
    <x v="0"/>
    <x v="1"/>
    <x v="0"/>
    <d v="2019-03-11T13:40:16"/>
    <d v="2019-03-14T13:40:16"/>
    <d v="2019-03-14T13:40:16"/>
    <x v="4"/>
    <n v="0"/>
    <n v="126"/>
    <n v="677.52802656181268"/>
  </r>
  <r>
    <n v="849008"/>
    <x v="4"/>
    <s v="Delhi"/>
    <x v="3"/>
    <s v=" KA"/>
    <x v="0"/>
    <x v="0"/>
    <x v="0"/>
    <x v="0"/>
    <d v="2019-03-11T14:17:23"/>
    <d v="2019-03-16T14:17:23"/>
    <d v="2019-03-15T14:17:23"/>
    <x v="9"/>
    <n v="39"/>
    <n v="126"/>
    <n v="537.37686507880267"/>
  </r>
  <r>
    <n v="660563"/>
    <x v="4"/>
    <s v="Bangalore"/>
    <x v="2"/>
    <s v=" DL"/>
    <x v="1"/>
    <x v="0"/>
    <x v="1"/>
    <x v="0"/>
    <d v="2019-03-11T14:49:55"/>
    <d v="2019-03-15T14:49:55"/>
    <d v="2019-03-15T14:49:55"/>
    <x v="6"/>
    <n v="41"/>
    <n v="129"/>
    <n v="1443.289203277644"/>
  </r>
  <r>
    <n v="79850"/>
    <x v="4"/>
    <s v="Bangalore"/>
    <x v="2"/>
    <s v=" DL"/>
    <x v="2"/>
    <x v="0"/>
    <x v="0"/>
    <x v="0"/>
    <d v="2019-03-11T14:53:48"/>
    <d v="2019-03-16T14:53:48"/>
    <d v="2019-03-18T14:53:48"/>
    <x v="9"/>
    <n v="42"/>
    <n v="129"/>
    <n v="425.17270607518378"/>
  </r>
  <r>
    <n v="69012"/>
    <x v="4"/>
    <s v="Bangalore"/>
    <x v="2"/>
    <s v=" DL"/>
    <x v="0"/>
    <x v="0"/>
    <x v="0"/>
    <x v="1"/>
    <d v="2019-03-11T15:54:44"/>
    <d v="2019-03-15T15:54:44"/>
    <d v="2019-03-15T15:54:44"/>
    <x v="6"/>
    <n v="33"/>
    <n v="120"/>
    <n v="3432.4533497401621"/>
  </r>
  <r>
    <n v="412329"/>
    <x v="4"/>
    <s v="Delhi"/>
    <x v="0"/>
    <s v=" MH"/>
    <x v="1"/>
    <x v="0"/>
    <x v="1"/>
    <x v="1"/>
    <d v="2019-03-11T16:07:28"/>
    <d v="2019-03-14T16:07:28"/>
    <d v="2019-03-16T16:07:28"/>
    <x v="4"/>
    <n v="40"/>
    <n v="115"/>
    <n v="2462.1091745987505"/>
  </r>
  <r>
    <n v="356664"/>
    <x v="4"/>
    <s v="Delhi"/>
    <x v="0"/>
    <s v=" MH"/>
    <x v="0"/>
    <x v="0"/>
    <x v="0"/>
    <x v="1"/>
    <d v="2019-03-11T16:13:39"/>
    <d v="2019-03-16T16:13:39"/>
    <d v="2019-03-17T16:13:39"/>
    <x v="9"/>
    <n v="26"/>
    <n v="105"/>
    <n v="2850.8196764993454"/>
  </r>
  <r>
    <n v="770107"/>
    <x v="4"/>
    <s v="Bangalore"/>
    <x v="0"/>
    <s v=" MH"/>
    <x v="0"/>
    <x v="0"/>
    <x v="1"/>
    <x v="0"/>
    <d v="2019-03-11T16:45:06"/>
    <d v="2019-03-15T16:45:06"/>
    <d v="2019-03-18T16:45:06"/>
    <x v="6"/>
    <n v="67"/>
    <n v="93"/>
    <n v="3368.3288626031117"/>
  </r>
  <r>
    <n v="639121"/>
    <x v="4"/>
    <s v="Delhi"/>
    <x v="0"/>
    <s v=" MH"/>
    <x v="0"/>
    <x v="0"/>
    <x v="2"/>
    <x v="0"/>
    <d v="2019-03-11T17:40:13"/>
    <d v="2019-03-17T17:40:13"/>
    <d v="2019-03-15T17:40:13"/>
    <x v="3"/>
    <n v="87"/>
    <n v="86"/>
    <n v="751"/>
  </r>
  <r>
    <n v="223142"/>
    <x v="4"/>
    <s v="Delhi"/>
    <x v="1"/>
    <s v=" TN"/>
    <x v="2"/>
    <x v="0"/>
    <x v="0"/>
    <x v="0"/>
    <d v="2019-03-11T21:29:32"/>
    <d v="2019-03-13T21:29:32"/>
    <d v="2019-03-14T21:29:32"/>
    <x v="0"/>
    <n v="39"/>
    <n v="126"/>
    <n v="612"/>
  </r>
  <r>
    <n v="366980"/>
    <x v="4"/>
    <s v="Delhi"/>
    <x v="1"/>
    <s v=" TN"/>
    <x v="0"/>
    <x v="0"/>
    <x v="0"/>
    <x v="0"/>
    <d v="2019-03-11T21:58:44"/>
    <d v="2019-03-21T21:58:44"/>
    <d v="2019-03-14T21:58:44"/>
    <x v="7"/>
    <n v="39"/>
    <n v="125"/>
    <n v="1113"/>
  </r>
  <r>
    <n v="316149"/>
    <x v="4"/>
    <s v="Delhi"/>
    <x v="2"/>
    <s v=" DL"/>
    <x v="1"/>
    <x v="0"/>
    <x v="1"/>
    <x v="1"/>
    <d v="2019-03-11T22:04:20"/>
    <d v="2019-03-18T22:04:20"/>
    <d v="2019-03-17T22:04:20"/>
    <x v="8"/>
    <n v="0"/>
    <n v="126"/>
    <n v="3472.5526647949873"/>
  </r>
  <r>
    <n v="22140"/>
    <x v="4"/>
    <s v="Bangalore"/>
    <x v="0"/>
    <s v=" MH"/>
    <x v="0"/>
    <x v="0"/>
    <x v="0"/>
    <x v="1"/>
    <d v="2019-03-12T00:07:31"/>
    <d v="2019-03-14T00:07:31"/>
    <d v="2019-03-17T00:07:31"/>
    <x v="0"/>
    <n v="58"/>
    <n v="93"/>
    <n v="2807.2727602416162"/>
  </r>
  <r>
    <n v="438440"/>
    <x v="4"/>
    <s v="Bangalore"/>
    <x v="2"/>
    <s v=" DL"/>
    <x v="0"/>
    <x v="0"/>
    <x v="0"/>
    <x v="0"/>
    <d v="2019-03-12T01:24:48"/>
    <d v="2019-03-14T01:24:48"/>
    <d v="2019-03-16T01:24:48"/>
    <x v="0"/>
    <n v="40"/>
    <n v="125"/>
    <n v="604.37468088647495"/>
  </r>
  <r>
    <n v="662388"/>
    <x v="4"/>
    <s v="Delhi"/>
    <x v="0"/>
    <s v=" MH"/>
    <x v="0"/>
    <x v="0"/>
    <x v="0"/>
    <x v="1"/>
    <d v="2019-03-12T03:41:52"/>
    <d v="2019-03-17T03:41:52"/>
    <d v="2019-03-16T03:41:52"/>
    <x v="9"/>
    <n v="43"/>
    <n v="109"/>
    <n v="2804.7608326423197"/>
  </r>
  <r>
    <n v="234219"/>
    <x v="4"/>
    <s v="Delhi"/>
    <x v="2"/>
    <s v=" DL"/>
    <x v="1"/>
    <x v="0"/>
    <x v="1"/>
    <x v="1"/>
    <d v="2019-03-12T03:54:35"/>
    <d v="2019-03-18T03:54:35"/>
    <d v="2019-03-17T03:54:35"/>
    <x v="3"/>
    <n v="0"/>
    <n v="129"/>
    <n v="2039.7126877385565"/>
  </r>
  <r>
    <n v="644662"/>
    <x v="4"/>
    <s v="Bangalore"/>
    <x v="1"/>
    <s v=" TN"/>
    <x v="0"/>
    <x v="0"/>
    <x v="0"/>
    <x v="0"/>
    <d v="2019-03-12T04:15:33"/>
    <d v="2019-03-20T04:15:33"/>
    <d v="2019-03-17T04:15:33"/>
    <x v="5"/>
    <n v="59"/>
    <n v="103"/>
    <n v="335.89480878227766"/>
  </r>
  <r>
    <n v="314498"/>
    <x v="4"/>
    <s v="Delhi"/>
    <x v="3"/>
    <s v=" KA"/>
    <x v="2"/>
    <x v="0"/>
    <x v="0"/>
    <x v="0"/>
    <d v="2019-03-12T05:11:36"/>
    <d v="2019-03-22T05:11:36"/>
    <d v="2019-03-18T05:11:36"/>
    <x v="7"/>
    <n v="42"/>
    <n v="121"/>
    <n v="3433.5399723126029"/>
  </r>
  <r>
    <n v="879800"/>
    <x v="4"/>
    <s v="Delhi"/>
    <x v="3"/>
    <s v=" KA"/>
    <x v="0"/>
    <x v="0"/>
    <x v="0"/>
    <x v="0"/>
    <d v="2019-03-12T05:23:08"/>
    <d v="2019-03-14T05:23:08"/>
    <d v="2019-03-19T05:23:08"/>
    <x v="0"/>
    <n v="41"/>
    <n v="124"/>
    <n v="2595.1200410565598"/>
  </r>
  <r>
    <n v="526055"/>
    <x v="4"/>
    <s v="Bangalore"/>
    <x v="0"/>
    <s v=" MH"/>
    <x v="0"/>
    <x v="0"/>
    <x v="1"/>
    <x v="0"/>
    <d v="2019-03-12T06:19:08"/>
    <d v="2019-03-15T06:19:08"/>
    <d v="2019-03-15T06:19:08"/>
    <x v="4"/>
    <n v="67"/>
    <n v="87"/>
    <n v="3493.7569329334651"/>
  </r>
  <r>
    <n v="473989"/>
    <x v="4"/>
    <s v="Bangalore"/>
    <x v="0"/>
    <s v=" MH"/>
    <x v="1"/>
    <x v="0"/>
    <x v="1"/>
    <x v="0"/>
    <d v="2019-03-12T06:55:54"/>
    <d v="2019-03-19T06:55:54"/>
    <d v="2019-03-17T06:55:54"/>
    <x v="8"/>
    <n v="30"/>
    <n v="108"/>
    <n v="2260.3414093435681"/>
  </r>
  <r>
    <n v="213143"/>
    <x v="4"/>
    <s v="Delhi"/>
    <x v="2"/>
    <s v=" DL"/>
    <x v="1"/>
    <x v="0"/>
    <x v="2"/>
    <x v="0"/>
    <d v="2019-03-12T07:07:06"/>
    <d v="2019-03-16T07:07:06"/>
    <d v="2019-03-16T07:07:06"/>
    <x v="6"/>
    <n v="0"/>
    <n v="126"/>
    <n v="3828.9781946160415"/>
  </r>
  <r>
    <n v="353911"/>
    <x v="4"/>
    <s v="Delhi"/>
    <x v="0"/>
    <s v=" MH"/>
    <x v="1"/>
    <x v="0"/>
    <x v="1"/>
    <x v="0"/>
    <d v="2019-03-12T07:15:04"/>
    <d v="2019-03-17T07:15:04"/>
    <d v="2019-03-18T07:15:04"/>
    <x v="9"/>
    <n v="45"/>
    <n v="113"/>
    <n v="2153"/>
  </r>
  <r>
    <n v="861525"/>
    <x v="4"/>
    <s v="Bangalore"/>
    <x v="2"/>
    <s v=" DL"/>
    <x v="1"/>
    <x v="0"/>
    <x v="2"/>
    <x v="1"/>
    <d v="2019-03-12T08:11:17"/>
    <d v="2019-03-19T08:11:17"/>
    <d v="2019-03-15T08:11:17"/>
    <x v="8"/>
    <n v="28"/>
    <n v="126"/>
    <n v="3119"/>
  </r>
  <r>
    <n v="104107"/>
    <x v="4"/>
    <s v="Bangalore"/>
    <x v="2"/>
    <s v=" DL"/>
    <x v="1"/>
    <x v="0"/>
    <x v="1"/>
    <x v="0"/>
    <d v="2019-03-12T08:17:30"/>
    <d v="2019-03-20T08:17:30"/>
    <d v="2019-03-16T08:17:30"/>
    <x v="5"/>
    <n v="25"/>
    <n v="127"/>
    <n v="1083.728860445548"/>
  </r>
  <r>
    <n v="311861"/>
    <x v="4"/>
    <s v="Bangalore"/>
    <x v="3"/>
    <s v=" KA"/>
    <x v="0"/>
    <x v="0"/>
    <x v="1"/>
    <x v="0"/>
    <d v="2019-03-12T09:12:05"/>
    <d v="2019-03-15T09:12:05"/>
    <d v="2019-03-18T09:12:05"/>
    <x v="4"/>
    <n v="0"/>
    <n v="105"/>
    <n v="1989.9055011457931"/>
  </r>
  <r>
    <n v="368091"/>
    <x v="4"/>
    <s v="Delhi"/>
    <x v="0"/>
    <s v=" MH"/>
    <x v="1"/>
    <x v="0"/>
    <x v="1"/>
    <x v="1"/>
    <d v="2019-03-12T10:42:32"/>
    <d v="2019-03-19T10:42:32"/>
    <d v="2019-03-18T10:42:32"/>
    <x v="8"/>
    <n v="40"/>
    <n v="113"/>
    <n v="299"/>
  </r>
  <r>
    <n v="278980"/>
    <x v="4"/>
    <s v="Delhi"/>
    <x v="1"/>
    <s v=" TN"/>
    <x v="0"/>
    <x v="0"/>
    <x v="0"/>
    <x v="0"/>
    <d v="2019-03-12T10:42:56"/>
    <d v="2019-03-18T10:42:56"/>
    <d v="2019-03-16T10:42:56"/>
    <x v="3"/>
    <n v="30"/>
    <n v="121"/>
    <n v="3625.9229198738608"/>
  </r>
  <r>
    <n v="81536"/>
    <x v="4"/>
    <s v="Delhi"/>
    <x v="0"/>
    <s v=" MH"/>
    <x v="0"/>
    <x v="0"/>
    <x v="0"/>
    <x v="0"/>
    <d v="2019-03-12T11:19:05"/>
    <d v="2019-03-17T11:19:05"/>
    <d v="2019-03-17T11:19:05"/>
    <x v="9"/>
    <n v="77"/>
    <n v="90"/>
    <n v="1280.4058039987144"/>
  </r>
  <r>
    <n v="505574"/>
    <x v="4"/>
    <s v="Bangalore"/>
    <x v="0"/>
    <s v=" MH"/>
    <x v="2"/>
    <x v="0"/>
    <x v="0"/>
    <x v="0"/>
    <d v="2019-03-12T12:17:17"/>
    <d v="2019-03-16T12:17:17"/>
    <d v="2019-03-19T12:17:17"/>
    <x v="6"/>
    <n v="39"/>
    <n v="107"/>
    <n v="2640.6038996019352"/>
  </r>
  <r>
    <n v="554773"/>
    <x v="4"/>
    <s v="Delhi"/>
    <x v="0"/>
    <s v=" MH"/>
    <x v="1"/>
    <x v="0"/>
    <x v="1"/>
    <x v="0"/>
    <d v="2019-03-12T13:51:28"/>
    <d v="2019-03-17T13:51:28"/>
    <d v="2019-03-15T13:51:28"/>
    <x v="9"/>
    <n v="43"/>
    <n v="112"/>
    <n v="3437.3596887215522"/>
  </r>
  <r>
    <n v="880876"/>
    <x v="4"/>
    <s v="Delhi"/>
    <x v="0"/>
    <s v=" MH"/>
    <x v="0"/>
    <x v="0"/>
    <x v="0"/>
    <x v="0"/>
    <d v="2019-03-12T14:21:44"/>
    <d v="2019-03-18T14:21:44"/>
    <d v="2019-03-16T14:21:44"/>
    <x v="3"/>
    <n v="35"/>
    <n v="115"/>
    <n v="3491.1728140074511"/>
  </r>
  <r>
    <n v="81388"/>
    <x v="4"/>
    <s v="Delhi"/>
    <x v="0"/>
    <s v=" MH"/>
    <x v="0"/>
    <x v="0"/>
    <x v="0"/>
    <x v="0"/>
    <d v="2019-03-12T14:26:16"/>
    <d v="2019-03-18T14:26:16"/>
    <d v="2019-03-18T14:26:16"/>
    <x v="3"/>
    <n v="27"/>
    <n v="110"/>
    <n v="2177.2748029834479"/>
  </r>
  <r>
    <n v="191783"/>
    <x v="4"/>
    <s v="Delhi"/>
    <x v="1"/>
    <s v=" TN"/>
    <x v="1"/>
    <x v="0"/>
    <x v="1"/>
    <x v="0"/>
    <d v="2019-03-12T14:37:21"/>
    <d v="2019-03-14T14:37:21"/>
    <d v="2019-03-15T14:37:21"/>
    <x v="0"/>
    <n v="29"/>
    <n v="126"/>
    <n v="1327.1399771794356"/>
  </r>
  <r>
    <n v="504946"/>
    <x v="4"/>
    <s v="Bangalore"/>
    <x v="2"/>
    <s v=" DL"/>
    <x v="2"/>
    <x v="0"/>
    <x v="0"/>
    <x v="0"/>
    <d v="2019-03-12T15:32:52"/>
    <d v="2019-03-15T15:32:52"/>
    <d v="2019-03-19T15:32:52"/>
    <x v="4"/>
    <n v="36"/>
    <n v="128"/>
    <n v="2572.0024467599928"/>
  </r>
  <r>
    <n v="160276"/>
    <x v="4"/>
    <s v="Bangalore"/>
    <x v="1"/>
    <s v=" TN"/>
    <x v="0"/>
    <x v="0"/>
    <x v="0"/>
    <x v="0"/>
    <d v="2019-03-12T16:31:38"/>
    <d v="2019-03-17T16:31:38"/>
    <d v="2019-03-18T16:31:38"/>
    <x v="9"/>
    <n v="69"/>
    <n v="100"/>
    <n v="3153"/>
  </r>
  <r>
    <n v="431277"/>
    <x v="4"/>
    <s v="Bangalore"/>
    <x v="3"/>
    <s v=" KA"/>
    <x v="1"/>
    <x v="0"/>
    <x v="2"/>
    <x v="1"/>
    <d v="2019-03-12T17:55:19"/>
    <d v="2019-03-18T17:55:19"/>
    <d v="2019-03-19T17:55:19"/>
    <x v="3"/>
    <n v="0"/>
    <n v="120"/>
    <n v="1562.8095121187127"/>
  </r>
  <r>
    <n v="866648"/>
    <x v="4"/>
    <s v="Bangalore"/>
    <x v="3"/>
    <s v=" KA"/>
    <x v="0"/>
    <x v="0"/>
    <x v="0"/>
    <x v="0"/>
    <d v="2019-03-12T18:16:20"/>
    <d v="2019-03-17T18:16:20"/>
    <d v="2019-03-19T18:16:20"/>
    <x v="9"/>
    <n v="0"/>
    <n v="126"/>
    <n v="2410.6718325773218"/>
  </r>
  <r>
    <n v="887955"/>
    <x v="4"/>
    <s v="Delhi"/>
    <x v="2"/>
    <s v=" DL"/>
    <x v="1"/>
    <x v="0"/>
    <x v="1"/>
    <x v="1"/>
    <d v="2019-03-12T18:38:28"/>
    <d v="2019-03-13T18:38:28"/>
    <d v="2019-03-16T18:38:28"/>
    <x v="2"/>
    <n v="0"/>
    <n v="124"/>
    <n v="3033.1121460143495"/>
  </r>
  <r>
    <n v="79273"/>
    <x v="4"/>
    <s v="Delhi"/>
    <x v="0"/>
    <s v=" MH"/>
    <x v="1"/>
    <x v="0"/>
    <x v="1"/>
    <x v="0"/>
    <d v="2019-03-12T19:03:03"/>
    <d v="2019-03-16T19:03:03"/>
    <d v="2019-03-17T19:03:03"/>
    <x v="6"/>
    <n v="27"/>
    <n v="113"/>
    <n v="1049.984824676545"/>
  </r>
  <r>
    <n v="679796"/>
    <x v="4"/>
    <s v="Bangalore"/>
    <x v="0"/>
    <s v=" MH"/>
    <x v="0"/>
    <x v="0"/>
    <x v="0"/>
    <x v="0"/>
    <d v="2019-03-12T21:07:48"/>
    <d v="2019-03-15T21:07:48"/>
    <d v="2019-03-19T21:07:48"/>
    <x v="4"/>
    <n v="26"/>
    <n v="107"/>
    <n v="3521.3690147044576"/>
  </r>
  <r>
    <n v="911804"/>
    <x v="4"/>
    <s v="Delhi"/>
    <x v="3"/>
    <s v=" KA"/>
    <x v="0"/>
    <x v="0"/>
    <x v="0"/>
    <x v="0"/>
    <d v="2019-03-12T22:01:32"/>
    <d v="2019-03-15T22:01:32"/>
    <d v="2019-03-16T22:01:32"/>
    <x v="4"/>
    <n v="26"/>
    <n v="122"/>
    <n v="1202.833922556772"/>
  </r>
  <r>
    <n v="525493"/>
    <x v="4"/>
    <s v="Bangalore"/>
    <x v="3"/>
    <s v=" KA"/>
    <x v="0"/>
    <x v="0"/>
    <x v="1"/>
    <x v="0"/>
    <d v="2019-03-12T22:41:40"/>
    <d v="2019-03-13T22:41:40"/>
    <d v="2019-03-17T22:41:40"/>
    <x v="2"/>
    <n v="0"/>
    <n v="106"/>
    <n v="1812.0231861966404"/>
  </r>
  <r>
    <n v="42998"/>
    <x v="4"/>
    <s v="Delhi"/>
    <x v="4"/>
    <s v=" WB"/>
    <x v="0"/>
    <x v="0"/>
    <x v="0"/>
    <x v="0"/>
    <d v="2019-03-12T22:44:45"/>
    <d v="2019-03-17T22:44:45"/>
    <d v="2019-03-19T22:44:45"/>
    <x v="9"/>
    <n v="77"/>
    <n v="89"/>
    <n v="2788.5876473375401"/>
  </r>
  <r>
    <n v="883119"/>
    <x v="4"/>
    <s v="Bangalore"/>
    <x v="3"/>
    <s v=" KA"/>
    <x v="1"/>
    <x v="0"/>
    <x v="1"/>
    <x v="1"/>
    <d v="2019-03-12T22:45:18"/>
    <d v="2019-03-15T22:45:18"/>
    <d v="2019-03-16T22:45:18"/>
    <x v="4"/>
    <n v="0"/>
    <n v="122"/>
    <n v="2140"/>
  </r>
  <r>
    <n v="262822"/>
    <x v="4"/>
    <s v="Bangalore"/>
    <x v="1"/>
    <s v=" TN"/>
    <x v="2"/>
    <x v="0"/>
    <x v="0"/>
    <x v="0"/>
    <d v="2019-03-12T23:01:35"/>
    <d v="2019-03-16T23:01:35"/>
    <d v="2019-03-15T23:01:35"/>
    <x v="6"/>
    <n v="46"/>
    <n v="129"/>
    <n v="2637.366471009233"/>
  </r>
  <r>
    <n v="277721"/>
    <x v="4"/>
    <s v="Bangalore"/>
    <x v="2"/>
    <s v=" DL"/>
    <x v="0"/>
    <x v="0"/>
    <x v="1"/>
    <x v="0"/>
    <d v="2019-03-13T00:48:29"/>
    <d v="2019-03-18T00:48:29"/>
    <d v="2019-03-17T00:48:29"/>
    <x v="9"/>
    <n v="82"/>
    <n v="110"/>
    <n v="1052"/>
  </r>
  <r>
    <n v="294582"/>
    <x v="4"/>
    <s v="Delhi"/>
    <x v="0"/>
    <s v=" MH"/>
    <x v="0"/>
    <x v="0"/>
    <x v="0"/>
    <x v="1"/>
    <d v="2019-03-13T01:31:49"/>
    <d v="2019-03-15T01:31:49"/>
    <d v="2019-03-18T01:31:49"/>
    <x v="0"/>
    <n v="79"/>
    <n v="85"/>
    <n v="716"/>
  </r>
  <r>
    <n v="307362"/>
    <x v="4"/>
    <s v="Delhi"/>
    <x v="1"/>
    <s v=" TN"/>
    <x v="0"/>
    <x v="0"/>
    <x v="0"/>
    <x v="1"/>
    <d v="2019-03-13T02:46:13"/>
    <d v="2019-03-21T02:46:13"/>
    <d v="2019-03-17T02:46:13"/>
    <x v="5"/>
    <n v="59"/>
    <n v="106"/>
    <n v="2441.4369195515128"/>
  </r>
  <r>
    <n v="98839"/>
    <x v="4"/>
    <s v="Bangalore"/>
    <x v="3"/>
    <s v=" KA"/>
    <x v="0"/>
    <x v="0"/>
    <x v="1"/>
    <x v="0"/>
    <d v="2019-03-13T02:46:31"/>
    <d v="2019-03-18T02:46:31"/>
    <d v="2019-03-17T02:46:31"/>
    <x v="9"/>
    <n v="0"/>
    <n v="102"/>
    <n v="3145.7880468207609"/>
  </r>
  <r>
    <n v="626519"/>
    <x v="4"/>
    <s v="Delhi"/>
    <x v="2"/>
    <s v=" DL"/>
    <x v="1"/>
    <x v="0"/>
    <x v="1"/>
    <x v="0"/>
    <d v="2019-03-13T04:04:41"/>
    <d v="2019-03-15T04:04:41"/>
    <d v="2019-03-17T04:04:41"/>
    <x v="0"/>
    <n v="0"/>
    <n v="126"/>
    <n v="1169.3431559179701"/>
  </r>
  <r>
    <n v="896807"/>
    <x v="4"/>
    <s v="Bangalore"/>
    <x v="0"/>
    <s v=" MH"/>
    <x v="1"/>
    <x v="0"/>
    <x v="1"/>
    <x v="0"/>
    <d v="2019-03-13T04:42:33"/>
    <d v="2019-03-20T04:42:33"/>
    <d v="2019-03-16T04:42:33"/>
    <x v="8"/>
    <n v="49"/>
    <n v="109"/>
    <n v="975"/>
  </r>
  <r>
    <n v="257003"/>
    <x v="4"/>
    <s v="Bangalore"/>
    <x v="2"/>
    <s v=" DL"/>
    <x v="1"/>
    <x v="0"/>
    <x v="1"/>
    <x v="0"/>
    <d v="2019-03-13T05:52:39"/>
    <d v="2019-03-19T05:52:39"/>
    <d v="2019-03-19T05:52:39"/>
    <x v="3"/>
    <n v="32"/>
    <n v="129"/>
    <n v="2563"/>
  </r>
  <r>
    <n v="548499"/>
    <x v="4"/>
    <s v="Bangalore"/>
    <x v="0"/>
    <s v=" MH"/>
    <x v="0"/>
    <x v="0"/>
    <x v="2"/>
    <x v="1"/>
    <d v="2019-03-13T06:21:23"/>
    <d v="2019-03-18T06:21:23"/>
    <d v="2019-03-20T06:21:23"/>
    <x v="9"/>
    <n v="64"/>
    <n v="87"/>
    <n v="2108"/>
  </r>
  <r>
    <n v="624881"/>
    <x v="4"/>
    <s v="Delhi"/>
    <x v="0"/>
    <s v=" MH"/>
    <x v="1"/>
    <x v="0"/>
    <x v="1"/>
    <x v="0"/>
    <d v="2019-03-13T07:17:00"/>
    <d v="2019-03-20T07:17:00"/>
    <d v="2019-03-18T07:17:00"/>
    <x v="8"/>
    <n v="39"/>
    <n v="110"/>
    <n v="1537.3403414560044"/>
  </r>
  <r>
    <n v="248430"/>
    <x v="4"/>
    <s v="Delhi"/>
    <x v="3"/>
    <s v=" KA"/>
    <x v="2"/>
    <x v="0"/>
    <x v="0"/>
    <x v="1"/>
    <d v="2019-03-13T07:36:51"/>
    <d v="2019-03-19T07:36:51"/>
    <d v="2019-03-19T07:36:51"/>
    <x v="3"/>
    <n v="32"/>
    <n v="123"/>
    <n v="1341"/>
  </r>
  <r>
    <n v="816689"/>
    <x v="4"/>
    <s v="Delhi"/>
    <x v="0"/>
    <s v=" MH"/>
    <x v="1"/>
    <x v="0"/>
    <x v="1"/>
    <x v="0"/>
    <d v="2019-03-13T08:23:47"/>
    <d v="2019-03-20T08:23:47"/>
    <d v="2019-03-19T08:23:47"/>
    <x v="8"/>
    <n v="29"/>
    <n v="111"/>
    <n v="3625.9009615298442"/>
  </r>
  <r>
    <n v="381032"/>
    <x v="4"/>
    <s v="Delhi"/>
    <x v="3"/>
    <s v=" KA"/>
    <x v="0"/>
    <x v="0"/>
    <x v="0"/>
    <x v="0"/>
    <d v="2019-03-13T08:27:19"/>
    <d v="2019-03-15T08:27:19"/>
    <d v="2019-03-16T08:27:19"/>
    <x v="0"/>
    <n v="46"/>
    <n v="122"/>
    <n v="3322.4163003295748"/>
  </r>
  <r>
    <n v="995128"/>
    <x v="4"/>
    <s v="Bangalore"/>
    <x v="1"/>
    <s v=" TN"/>
    <x v="0"/>
    <x v="0"/>
    <x v="0"/>
    <x v="0"/>
    <d v="2019-03-13T10:19:09"/>
    <d v="2019-03-19T10:19:09"/>
    <d v="2019-03-18T10:19:09"/>
    <x v="3"/>
    <n v="31"/>
    <n v="124"/>
    <n v="2787.9609222735248"/>
  </r>
  <r>
    <n v="6148"/>
    <x v="4"/>
    <s v="Delhi"/>
    <x v="4"/>
    <s v=" WB"/>
    <x v="0"/>
    <x v="0"/>
    <x v="0"/>
    <x v="0"/>
    <d v="2019-03-13T10:30:34"/>
    <d v="2019-03-17T10:30:34"/>
    <d v="2019-03-20T10:30:34"/>
    <x v="6"/>
    <n v="71"/>
    <n v="90"/>
    <n v="2188.280030509512"/>
  </r>
  <r>
    <n v="492315"/>
    <x v="4"/>
    <s v="Delhi"/>
    <x v="2"/>
    <s v=" DL"/>
    <x v="1"/>
    <x v="0"/>
    <x v="1"/>
    <x v="1"/>
    <d v="2019-03-13T10:37:39"/>
    <d v="2019-03-16T10:37:39"/>
    <d v="2019-03-18T10:37:39"/>
    <x v="4"/>
    <n v="0"/>
    <n v="127"/>
    <n v="1964"/>
  </r>
  <r>
    <n v="661279"/>
    <x v="4"/>
    <s v="Bangalore"/>
    <x v="2"/>
    <s v=" DL"/>
    <x v="0"/>
    <x v="0"/>
    <x v="1"/>
    <x v="0"/>
    <d v="2019-03-13T11:53:46"/>
    <d v="2019-03-17T11:53:46"/>
    <d v="2019-03-16T11:53:46"/>
    <x v="6"/>
    <n v="63"/>
    <n v="104"/>
    <n v="688.99617630437638"/>
  </r>
  <r>
    <n v="258145"/>
    <x v="4"/>
    <s v="Delhi"/>
    <x v="0"/>
    <s v=" MH"/>
    <x v="1"/>
    <x v="0"/>
    <x v="1"/>
    <x v="0"/>
    <d v="2019-03-13T11:57:00"/>
    <d v="2019-03-21T11:57:00"/>
    <d v="2019-03-16T11:57:00"/>
    <x v="5"/>
    <n v="29"/>
    <n v="110"/>
    <n v="2239.1774022900631"/>
  </r>
  <r>
    <n v="357309"/>
    <x v="4"/>
    <s v="Delhi"/>
    <x v="2"/>
    <s v=" DL"/>
    <x v="1"/>
    <x v="0"/>
    <x v="1"/>
    <x v="1"/>
    <d v="2019-03-13T13:46:55"/>
    <d v="2019-03-19T13:46:55"/>
    <d v="2019-03-20T13:46:55"/>
    <x v="3"/>
    <n v="0"/>
    <n v="128"/>
    <n v="1790.7723477556733"/>
  </r>
  <r>
    <n v="760782"/>
    <x v="4"/>
    <s v="Delhi"/>
    <x v="2"/>
    <s v=" DL"/>
    <x v="2"/>
    <x v="0"/>
    <x v="0"/>
    <x v="1"/>
    <d v="2019-03-13T14:01:44"/>
    <d v="2019-03-15T14:01:44"/>
    <d v="2019-03-19T14:01:44"/>
    <x v="0"/>
    <n v="0"/>
    <n v="124"/>
    <n v="2279.7159956378546"/>
  </r>
  <r>
    <n v="748191"/>
    <x v="4"/>
    <s v="Delhi"/>
    <x v="3"/>
    <s v=" KA"/>
    <x v="1"/>
    <x v="0"/>
    <x v="1"/>
    <x v="1"/>
    <d v="2019-03-13T17:17:20"/>
    <d v="2019-03-18T17:17:20"/>
    <d v="2019-03-18T17:17:20"/>
    <x v="9"/>
    <n v="26"/>
    <n v="128"/>
    <n v="3839.8897005879294"/>
  </r>
  <r>
    <n v="196877"/>
    <x v="4"/>
    <s v="Delhi"/>
    <x v="1"/>
    <s v=" TN"/>
    <x v="0"/>
    <x v="0"/>
    <x v="1"/>
    <x v="0"/>
    <d v="2019-03-13T17:31:21"/>
    <d v="2019-03-24T17:31:21"/>
    <d v="2019-03-19T17:31:21"/>
    <x v="11"/>
    <n v="67"/>
    <n v="109"/>
    <n v="1822.9655545273372"/>
  </r>
  <r>
    <n v="744279"/>
    <x v="4"/>
    <s v="Delhi"/>
    <x v="3"/>
    <s v=" KA"/>
    <x v="1"/>
    <x v="0"/>
    <x v="1"/>
    <x v="1"/>
    <d v="2019-03-13T17:57:59"/>
    <d v="2019-03-17T17:57:59"/>
    <d v="2019-03-16T17:57:59"/>
    <x v="6"/>
    <n v="33"/>
    <n v="129"/>
    <n v="2496.3102190900854"/>
  </r>
  <r>
    <n v="763961"/>
    <x v="4"/>
    <s v="Bangalore"/>
    <x v="3"/>
    <s v=" KA"/>
    <x v="1"/>
    <x v="0"/>
    <x v="1"/>
    <x v="0"/>
    <d v="2019-03-13T18:31:03"/>
    <d v="2019-03-15T18:31:03"/>
    <d v="2019-03-18T18:31:03"/>
    <x v="0"/>
    <n v="0"/>
    <n v="123"/>
    <n v="495.05336912661818"/>
  </r>
  <r>
    <n v="722838"/>
    <x v="4"/>
    <s v="Delhi"/>
    <x v="2"/>
    <s v=" DL"/>
    <x v="2"/>
    <x v="0"/>
    <x v="0"/>
    <x v="1"/>
    <d v="2019-03-13T19:37:09"/>
    <d v="2019-03-19T19:37:09"/>
    <d v="2019-03-17T19:37:09"/>
    <x v="3"/>
    <n v="0"/>
    <n v="120"/>
    <n v="2889.5137945054157"/>
  </r>
  <r>
    <n v="535992"/>
    <x v="4"/>
    <s v="Bangalore"/>
    <x v="0"/>
    <s v=" MH"/>
    <x v="0"/>
    <x v="0"/>
    <x v="0"/>
    <x v="1"/>
    <d v="2019-03-13T19:53:19"/>
    <d v="2019-03-17T19:53:19"/>
    <d v="2019-03-18T19:53:19"/>
    <x v="6"/>
    <n v="81"/>
    <n v="90"/>
    <n v="2328.0522778647619"/>
  </r>
  <r>
    <n v="652408"/>
    <x v="4"/>
    <s v="Delhi"/>
    <x v="3"/>
    <s v=" KA"/>
    <x v="0"/>
    <x v="0"/>
    <x v="0"/>
    <x v="0"/>
    <d v="2019-03-13T20:14:38"/>
    <d v="2019-03-17T20:14:38"/>
    <d v="2019-03-20T20:14:38"/>
    <x v="6"/>
    <n v="38"/>
    <n v="125"/>
    <n v="2186.6105082521071"/>
  </r>
  <r>
    <n v="735311"/>
    <x v="4"/>
    <s v="Delhi"/>
    <x v="1"/>
    <s v=" TN"/>
    <x v="1"/>
    <x v="0"/>
    <x v="1"/>
    <x v="0"/>
    <d v="2019-03-13T23:46:36"/>
    <d v="2019-03-15T23:46:36"/>
    <d v="2019-03-20T23:46:36"/>
    <x v="0"/>
    <n v="25"/>
    <n v="125"/>
    <n v="1010"/>
  </r>
  <r>
    <n v="847125"/>
    <x v="4"/>
    <s v="Bangalore"/>
    <x v="3"/>
    <s v=" KA"/>
    <x v="0"/>
    <x v="0"/>
    <x v="1"/>
    <x v="1"/>
    <d v="2019-03-14T00:46:54"/>
    <d v="2019-03-16T00:46:54"/>
    <d v="2019-03-19T00:46:54"/>
    <x v="0"/>
    <n v="0"/>
    <n v="110"/>
    <n v="1240.2430510978279"/>
  </r>
  <r>
    <n v="683537"/>
    <x v="4"/>
    <s v="Bangalore"/>
    <x v="4"/>
    <s v=" WB"/>
    <x v="1"/>
    <x v="0"/>
    <x v="1"/>
    <x v="0"/>
    <d v="2019-03-14T00:51:09"/>
    <d v="2019-03-21T00:51:09"/>
    <d v="2019-03-17T00:51:09"/>
    <x v="8"/>
    <n v="45"/>
    <n v="106"/>
    <n v="328.14049507097025"/>
  </r>
  <r>
    <n v="537663"/>
    <x v="4"/>
    <s v="Delhi"/>
    <x v="0"/>
    <s v=" MH"/>
    <x v="1"/>
    <x v="0"/>
    <x v="2"/>
    <x v="1"/>
    <d v="2019-03-14T01:11:08"/>
    <d v="2019-03-20T01:11:08"/>
    <d v="2019-03-19T01:11:08"/>
    <x v="3"/>
    <n v="26"/>
    <n v="106"/>
    <n v="933.02583043901723"/>
  </r>
  <r>
    <n v="601132"/>
    <x v="4"/>
    <s v="Delhi"/>
    <x v="3"/>
    <s v=" KA"/>
    <x v="0"/>
    <x v="0"/>
    <x v="0"/>
    <x v="0"/>
    <d v="2019-03-14T01:49:01"/>
    <d v="2019-03-19T01:49:01"/>
    <d v="2019-03-18T01:49:01"/>
    <x v="9"/>
    <n v="37"/>
    <n v="125"/>
    <n v="864"/>
  </r>
  <r>
    <n v="505267"/>
    <x v="4"/>
    <s v="Bangalore"/>
    <x v="4"/>
    <s v=" WB"/>
    <x v="1"/>
    <x v="0"/>
    <x v="2"/>
    <x v="0"/>
    <d v="2019-03-14T02:13:45"/>
    <d v="2019-03-21T02:13:45"/>
    <d v="2019-03-20T02:13:45"/>
    <x v="8"/>
    <n v="34"/>
    <n v="110"/>
    <n v="2566"/>
  </r>
  <r>
    <n v="44476"/>
    <x v="4"/>
    <s v="Bangalore"/>
    <x v="4"/>
    <s v=" WB"/>
    <x v="0"/>
    <x v="0"/>
    <x v="0"/>
    <x v="0"/>
    <d v="2019-03-14T02:16:48"/>
    <d v="2019-03-21T02:16:48"/>
    <d v="2019-03-21T02:16:48"/>
    <x v="8"/>
    <n v="46"/>
    <n v="112"/>
    <n v="3118.7322293886309"/>
  </r>
  <r>
    <n v="372148"/>
    <x v="4"/>
    <s v="Delhi"/>
    <x v="2"/>
    <s v=" DL"/>
    <x v="0"/>
    <x v="0"/>
    <x v="0"/>
    <x v="0"/>
    <d v="2019-03-14T02:33:23"/>
    <d v="2019-03-14T02:33:23"/>
    <d v="2019-03-18T02:33:23"/>
    <x v="10"/>
    <n v="0"/>
    <n v="126"/>
    <n v="1355.6785723357743"/>
  </r>
  <r>
    <n v="685717"/>
    <x v="4"/>
    <s v="Delhi"/>
    <x v="0"/>
    <s v=" MH"/>
    <x v="1"/>
    <x v="0"/>
    <x v="1"/>
    <x v="0"/>
    <d v="2019-03-14T02:54:27"/>
    <d v="2019-03-17T02:54:27"/>
    <d v="2019-03-21T02:54:27"/>
    <x v="4"/>
    <n v="44"/>
    <n v="106"/>
    <n v="1578.3762547202068"/>
  </r>
  <r>
    <n v="627743"/>
    <x v="4"/>
    <s v="Bangalore"/>
    <x v="1"/>
    <s v=" TN"/>
    <x v="0"/>
    <x v="0"/>
    <x v="1"/>
    <x v="0"/>
    <d v="2019-03-14T03:03:52"/>
    <d v="2019-03-18T03:03:52"/>
    <d v="2019-03-21T03:03:52"/>
    <x v="6"/>
    <n v="64"/>
    <n v="100"/>
    <n v="2142.0730588476376"/>
  </r>
  <r>
    <n v="536363"/>
    <x v="4"/>
    <s v="Delhi"/>
    <x v="2"/>
    <s v=" DL"/>
    <x v="0"/>
    <x v="0"/>
    <x v="1"/>
    <x v="0"/>
    <d v="2019-03-14T03:44:49"/>
    <d v="2019-03-14T03:44:49"/>
    <d v="2019-03-18T03:44:49"/>
    <x v="10"/>
    <n v="0"/>
    <n v="106"/>
    <n v="1144"/>
  </r>
  <r>
    <n v="380263"/>
    <x v="4"/>
    <s v="Bangalore"/>
    <x v="3"/>
    <s v=" KA"/>
    <x v="1"/>
    <x v="0"/>
    <x v="1"/>
    <x v="0"/>
    <d v="2019-03-14T05:19:42"/>
    <d v="2019-03-14T05:19:42"/>
    <d v="2019-03-20T05:19:42"/>
    <x v="10"/>
    <n v="0"/>
    <n v="123"/>
    <n v="1105.8181404645111"/>
  </r>
  <r>
    <n v="18994"/>
    <x v="4"/>
    <s v="Delhi"/>
    <x v="4"/>
    <s v=" WB"/>
    <x v="2"/>
    <x v="0"/>
    <x v="0"/>
    <x v="0"/>
    <d v="2019-03-14T07:46:19"/>
    <d v="2019-03-19T07:46:19"/>
    <d v="2019-03-21T07:46:19"/>
    <x v="9"/>
    <n v="32"/>
    <n v="111"/>
    <n v="1105"/>
  </r>
  <r>
    <n v="449427"/>
    <x v="4"/>
    <s v="Delhi"/>
    <x v="1"/>
    <s v=" TN"/>
    <x v="0"/>
    <x v="0"/>
    <x v="1"/>
    <x v="1"/>
    <d v="2019-03-14T08:00:41"/>
    <d v="2019-03-25T08:00:41"/>
    <d v="2019-03-20T08:00:41"/>
    <x v="11"/>
    <n v="73"/>
    <n v="104"/>
    <n v="803.27731275889857"/>
  </r>
  <r>
    <n v="169129"/>
    <x v="4"/>
    <s v="Bangalore"/>
    <x v="0"/>
    <s v=" MH"/>
    <x v="1"/>
    <x v="0"/>
    <x v="1"/>
    <x v="0"/>
    <d v="2019-03-14T09:41:15"/>
    <d v="2019-03-21T09:41:15"/>
    <d v="2019-03-17T09:41:15"/>
    <x v="8"/>
    <n v="42"/>
    <n v="108"/>
    <n v="1125"/>
  </r>
  <r>
    <n v="390520"/>
    <x v="4"/>
    <s v="Delhi"/>
    <x v="3"/>
    <s v=" KA"/>
    <x v="0"/>
    <x v="0"/>
    <x v="0"/>
    <x v="0"/>
    <d v="2019-03-14T10:07:06"/>
    <d v="2019-03-17T10:07:06"/>
    <d v="2019-03-19T10:07:06"/>
    <x v="4"/>
    <n v="47"/>
    <n v="128"/>
    <n v="1210.3273888666961"/>
  </r>
  <r>
    <n v="727122"/>
    <x v="4"/>
    <s v="Bangalore"/>
    <x v="4"/>
    <s v=" WB"/>
    <x v="2"/>
    <x v="0"/>
    <x v="0"/>
    <x v="1"/>
    <d v="2019-03-14T10:14:24"/>
    <d v="2019-03-19T10:14:24"/>
    <d v="2019-03-19T10:14:24"/>
    <x v="9"/>
    <n v="37"/>
    <n v="113"/>
    <n v="316"/>
  </r>
  <r>
    <n v="7475"/>
    <x v="4"/>
    <s v="Delhi"/>
    <x v="3"/>
    <s v=" KA"/>
    <x v="1"/>
    <x v="0"/>
    <x v="1"/>
    <x v="0"/>
    <d v="2019-03-14T11:04:27"/>
    <d v="2019-03-20T11:04:27"/>
    <d v="2019-03-19T11:04:27"/>
    <x v="3"/>
    <n v="33"/>
    <n v="122"/>
    <n v="3272.6203403581667"/>
  </r>
  <r>
    <n v="304735"/>
    <x v="4"/>
    <s v="Bangalore"/>
    <x v="2"/>
    <s v=" DL"/>
    <x v="1"/>
    <x v="0"/>
    <x v="1"/>
    <x v="0"/>
    <d v="2019-03-14T12:04:28"/>
    <d v="2019-03-23T12:04:28"/>
    <d v="2019-03-20T12:04:28"/>
    <x v="1"/>
    <n v="37"/>
    <n v="121"/>
    <n v="806"/>
  </r>
  <r>
    <n v="111356"/>
    <x v="4"/>
    <s v="Bangalore"/>
    <x v="2"/>
    <s v=" DL"/>
    <x v="0"/>
    <x v="0"/>
    <x v="0"/>
    <x v="0"/>
    <d v="2019-03-14T13:05:53"/>
    <d v="2019-03-17T13:05:53"/>
    <d v="2019-03-21T13:05:53"/>
    <x v="4"/>
    <n v="25"/>
    <n v="121"/>
    <n v="1234.0563849037624"/>
  </r>
  <r>
    <n v="753810"/>
    <x v="4"/>
    <s v="Bangalore"/>
    <x v="0"/>
    <s v=" MH"/>
    <x v="2"/>
    <x v="0"/>
    <x v="0"/>
    <x v="1"/>
    <d v="2019-03-14T14:12:52"/>
    <d v="2019-03-19T14:12:52"/>
    <d v="2019-03-20T14:12:52"/>
    <x v="9"/>
    <n v="28"/>
    <n v="114"/>
    <n v="2835.8204544462237"/>
  </r>
  <r>
    <n v="739226"/>
    <x v="4"/>
    <s v="Bangalore"/>
    <x v="1"/>
    <s v=" TN"/>
    <x v="2"/>
    <x v="0"/>
    <x v="0"/>
    <x v="0"/>
    <d v="2019-03-14T14:15:17"/>
    <d v="2019-03-17T14:15:17"/>
    <d v="2019-03-21T14:15:17"/>
    <x v="4"/>
    <n v="26"/>
    <n v="125"/>
    <n v="2272.3024935905155"/>
  </r>
  <r>
    <n v="29264"/>
    <x v="4"/>
    <s v="Delhi"/>
    <x v="3"/>
    <s v=" KA"/>
    <x v="0"/>
    <x v="0"/>
    <x v="0"/>
    <x v="0"/>
    <d v="2019-03-14T15:40:44"/>
    <d v="2019-03-19T15:40:44"/>
    <d v="2019-03-20T15:40:44"/>
    <x v="9"/>
    <n v="26"/>
    <n v="125"/>
    <n v="1498.8666711719293"/>
  </r>
  <r>
    <n v="777605"/>
    <x v="4"/>
    <s v="Delhi"/>
    <x v="4"/>
    <s v=" WB"/>
    <x v="0"/>
    <x v="0"/>
    <x v="1"/>
    <x v="0"/>
    <d v="2019-03-14T16:03:57"/>
    <d v="2019-03-18T16:03:57"/>
    <d v="2019-03-19T16:03:57"/>
    <x v="6"/>
    <n v="57"/>
    <n v="92"/>
    <n v="3115.7269985235575"/>
  </r>
  <r>
    <n v="832915"/>
    <x v="4"/>
    <s v="Bangalore"/>
    <x v="4"/>
    <s v=" WB"/>
    <x v="1"/>
    <x v="0"/>
    <x v="1"/>
    <x v="0"/>
    <d v="2019-03-14T16:56:27"/>
    <d v="2019-03-20T16:56:27"/>
    <d v="2019-03-17T16:56:27"/>
    <x v="3"/>
    <n v="38"/>
    <n v="105"/>
    <n v="2939.3055300291562"/>
  </r>
  <r>
    <n v="644457"/>
    <x v="4"/>
    <s v="Delhi"/>
    <x v="2"/>
    <s v=" DL"/>
    <x v="1"/>
    <x v="0"/>
    <x v="1"/>
    <x v="1"/>
    <d v="2019-03-14T17:11:29"/>
    <d v="2019-03-17T17:11:29"/>
    <d v="2019-03-20T17:11:29"/>
    <x v="4"/>
    <n v="0"/>
    <n v="122"/>
    <n v="626"/>
  </r>
  <r>
    <n v="575584"/>
    <x v="4"/>
    <s v="Bangalore"/>
    <x v="0"/>
    <s v=" MH"/>
    <x v="0"/>
    <x v="0"/>
    <x v="0"/>
    <x v="0"/>
    <d v="2019-03-14T17:19:59"/>
    <d v="2019-03-20T17:19:59"/>
    <d v="2019-03-19T17:19:59"/>
    <x v="3"/>
    <n v="27"/>
    <n v="111"/>
    <n v="3173"/>
  </r>
  <r>
    <n v="768813"/>
    <x v="4"/>
    <s v="Bangalore"/>
    <x v="3"/>
    <s v=" KA"/>
    <x v="1"/>
    <x v="0"/>
    <x v="1"/>
    <x v="1"/>
    <d v="2019-03-14T19:00:04"/>
    <d v="2019-03-20T19:00:04"/>
    <d v="2019-03-20T19:00:04"/>
    <x v="3"/>
    <n v="0"/>
    <n v="129"/>
    <n v="3202.0882133195087"/>
  </r>
  <r>
    <n v="122810"/>
    <x v="4"/>
    <s v="Bangalore"/>
    <x v="3"/>
    <s v=" KA"/>
    <x v="2"/>
    <x v="0"/>
    <x v="0"/>
    <x v="0"/>
    <d v="2019-03-14T19:02:17"/>
    <d v="2019-03-19T19:02:17"/>
    <d v="2019-03-17T19:02:17"/>
    <x v="9"/>
    <n v="0"/>
    <n v="128"/>
    <n v="3761.2407558010223"/>
  </r>
  <r>
    <n v="370316"/>
    <x v="4"/>
    <s v="Bangalore"/>
    <x v="2"/>
    <s v=" DL"/>
    <x v="0"/>
    <x v="0"/>
    <x v="0"/>
    <x v="0"/>
    <d v="2019-03-14T20:21:12"/>
    <d v="2019-03-19T20:21:12"/>
    <d v="2019-03-18T20:21:12"/>
    <x v="9"/>
    <n v="64"/>
    <n v="108"/>
    <n v="769.49091314189855"/>
  </r>
  <r>
    <n v="810528"/>
    <x v="4"/>
    <s v="Bangalore"/>
    <x v="0"/>
    <s v=" MH"/>
    <x v="0"/>
    <x v="0"/>
    <x v="0"/>
    <x v="1"/>
    <d v="2019-03-14T21:16:20"/>
    <d v="2019-03-17T21:16:20"/>
    <d v="2019-03-21T21:16:20"/>
    <x v="4"/>
    <n v="86"/>
    <n v="90"/>
    <n v="639.55782291223841"/>
  </r>
  <r>
    <n v="308350"/>
    <x v="4"/>
    <s v="Delhi"/>
    <x v="1"/>
    <s v=" TN"/>
    <x v="2"/>
    <x v="0"/>
    <x v="0"/>
    <x v="0"/>
    <d v="2019-03-14T21:38:21"/>
    <d v="2019-03-19T21:38:21"/>
    <d v="2019-03-18T21:38:21"/>
    <x v="9"/>
    <n v="33"/>
    <n v="125"/>
    <n v="1920.3094178542424"/>
  </r>
  <r>
    <n v="450047"/>
    <x v="4"/>
    <s v="Bangalore"/>
    <x v="4"/>
    <s v=" WB"/>
    <x v="0"/>
    <x v="0"/>
    <x v="1"/>
    <x v="0"/>
    <d v="2019-03-14T22:36:55"/>
    <d v="2019-03-21T22:36:55"/>
    <d v="2019-03-19T22:36:55"/>
    <x v="8"/>
    <n v="71"/>
    <n v="87"/>
    <n v="951.86991186623709"/>
  </r>
  <r>
    <n v="320011"/>
    <x v="4"/>
    <s v="Bangalore"/>
    <x v="0"/>
    <s v=" MH"/>
    <x v="1"/>
    <x v="0"/>
    <x v="1"/>
    <x v="0"/>
    <d v="2019-03-14T23:13:12"/>
    <d v="2019-03-18T23:13:12"/>
    <d v="2019-03-18T23:13:12"/>
    <x v="6"/>
    <n v="50"/>
    <n v="108"/>
    <n v="1400.3054925883489"/>
  </r>
  <r>
    <n v="731432"/>
    <x v="4"/>
    <s v="Bangalore"/>
    <x v="0"/>
    <s v=" MH"/>
    <x v="0"/>
    <x v="1"/>
    <x v="0"/>
    <x v="0"/>
    <d v="2019-03-03T17:07:46"/>
    <d v="2019-03-05T17:07:46"/>
    <d v="2019-03-08T17:07:46"/>
    <x v="0"/>
    <n v="69"/>
    <n v="89"/>
    <n v="1978.221779239115"/>
  </r>
  <r>
    <n v="412909"/>
    <x v="4"/>
    <s v="Delhi"/>
    <x v="3"/>
    <s v=" KA"/>
    <x v="1"/>
    <x v="1"/>
    <x v="2"/>
    <x v="0"/>
    <d v="2019-03-04T14:40:33"/>
    <d v="2019-03-13T14:40:33"/>
    <d v="2019-03-11T14:40:33"/>
    <x v="1"/>
    <n v="38"/>
    <n v="124"/>
    <n v="929"/>
  </r>
  <r>
    <n v="504805"/>
    <x v="4"/>
    <s v="Delhi"/>
    <x v="3"/>
    <s v=" KA"/>
    <x v="1"/>
    <x v="1"/>
    <x v="2"/>
    <x v="0"/>
    <d v="2019-03-05T17:33:10"/>
    <d v="2019-03-09T17:33:10"/>
    <d v="2019-03-10T17:33:10"/>
    <x v="6"/>
    <n v="38"/>
    <n v="129"/>
    <n v="1765.1339747011407"/>
  </r>
  <r>
    <n v="898396"/>
    <x v="4"/>
    <s v="Delhi"/>
    <x v="3"/>
    <s v=" KA"/>
    <x v="0"/>
    <x v="1"/>
    <x v="0"/>
    <x v="0"/>
    <d v="2019-03-07T09:37:20"/>
    <d v="2019-03-13T09:37:20"/>
    <d v="2019-03-13T09:37:20"/>
    <x v="3"/>
    <n v="48"/>
    <n v="125"/>
    <n v="1091"/>
  </r>
  <r>
    <n v="924011"/>
    <x v="4"/>
    <s v="Bangalore"/>
    <x v="1"/>
    <s v=" TN"/>
    <x v="1"/>
    <x v="1"/>
    <x v="1"/>
    <x v="0"/>
    <d v="2019-03-08T17:55:55"/>
    <d v="2019-03-10T17:55:55"/>
    <d v="2019-03-12T17:55:55"/>
    <x v="0"/>
    <n v="44"/>
    <n v="129"/>
    <n v="2756"/>
  </r>
  <r>
    <n v="639142"/>
    <x v="4"/>
    <s v="Delhi"/>
    <x v="0"/>
    <s v=" MH"/>
    <x v="2"/>
    <x v="1"/>
    <x v="0"/>
    <x v="0"/>
    <d v="2019-03-09T13:29:42"/>
    <d v="2019-03-18T13:29:42"/>
    <d v="2019-03-15T13:29:42"/>
    <x v="1"/>
    <n v="26"/>
    <n v="106"/>
    <n v="3518"/>
  </r>
  <r>
    <n v="315854"/>
    <x v="4"/>
    <s v="Bangalore"/>
    <x v="0"/>
    <s v=" MH"/>
    <x v="2"/>
    <x v="1"/>
    <x v="0"/>
    <x v="0"/>
    <d v="2019-03-09T21:35:14"/>
    <d v="2019-03-13T21:35:14"/>
    <d v="2019-03-16T21:35:14"/>
    <x v="6"/>
    <n v="27"/>
    <n v="105"/>
    <n v="707"/>
  </r>
  <r>
    <n v="714204"/>
    <x v="4"/>
    <s v="Bangalore"/>
    <x v="1"/>
    <s v=" TN"/>
    <x v="0"/>
    <x v="1"/>
    <x v="0"/>
    <x v="1"/>
    <d v="2019-03-11T03:29:32"/>
    <d v="2019-03-16T03:29:32"/>
    <d v="2019-03-18T03:29:32"/>
    <x v="9"/>
    <n v="38"/>
    <n v="121"/>
    <n v="3214.2705153752063"/>
  </r>
  <r>
    <n v="795377"/>
    <x v="4"/>
    <s v="Delhi"/>
    <x v="1"/>
    <s v=" TN"/>
    <x v="1"/>
    <x v="1"/>
    <x v="1"/>
    <x v="0"/>
    <d v="2019-03-13T08:17:19"/>
    <d v="2019-03-20T08:17:19"/>
    <d v="2019-03-17T08:17:19"/>
    <x v="8"/>
    <n v="35"/>
    <n v="124"/>
    <n v="726"/>
  </r>
  <r>
    <n v="625400"/>
    <x v="5"/>
    <s v="Delhi"/>
    <x v="3"/>
    <s v=" KA"/>
    <x v="0"/>
    <x v="0"/>
    <x v="0"/>
    <x v="0"/>
    <d v="2019-03-01T00:25:03"/>
    <d v="2019-03-06T00:25:03"/>
    <d v="2019-03-08T00:25:03"/>
    <x v="9"/>
    <n v="39"/>
    <n v="126"/>
    <n v="1076.1915060940887"/>
  </r>
  <r>
    <n v="339481"/>
    <x v="5"/>
    <s v="Delhi"/>
    <x v="4"/>
    <s v=" WB"/>
    <x v="0"/>
    <x v="0"/>
    <x v="1"/>
    <x v="0"/>
    <d v="2019-03-01T01:15:43"/>
    <d v="2019-03-04T01:15:43"/>
    <d v="2019-03-06T01:15:43"/>
    <x v="4"/>
    <n v="77"/>
    <n v="87"/>
    <n v="1915.6547349078537"/>
  </r>
  <r>
    <n v="302775"/>
    <x v="5"/>
    <s v="Bangalore"/>
    <x v="3"/>
    <s v=" KA"/>
    <x v="0"/>
    <x v="0"/>
    <x v="1"/>
    <x v="1"/>
    <d v="2019-03-01T02:27:23"/>
    <d v="2019-03-06T02:27:23"/>
    <d v="2019-03-04T02:27:23"/>
    <x v="9"/>
    <n v="0"/>
    <n v="105"/>
    <n v="2814.72"/>
  </r>
  <r>
    <n v="987428"/>
    <x v="5"/>
    <s v="Delhi"/>
    <x v="2"/>
    <s v=" DL"/>
    <x v="0"/>
    <x v="0"/>
    <x v="0"/>
    <x v="0"/>
    <d v="2019-03-01T02:45:25"/>
    <d v="2019-03-02T02:45:25"/>
    <d v="2019-03-06T02:45:25"/>
    <x v="2"/>
    <n v="0"/>
    <n v="130"/>
    <n v="3203.2019600329718"/>
  </r>
  <r>
    <n v="263741"/>
    <x v="5"/>
    <s v="Delhi"/>
    <x v="2"/>
    <s v=" DL"/>
    <x v="1"/>
    <x v="0"/>
    <x v="1"/>
    <x v="0"/>
    <d v="2019-03-01T02:48:35"/>
    <d v="2019-03-06T02:48:35"/>
    <d v="2019-03-06T02:48:35"/>
    <x v="9"/>
    <n v="0"/>
    <n v="129"/>
    <n v="1232.9814577583743"/>
  </r>
  <r>
    <n v="770527"/>
    <x v="5"/>
    <s v="Bangalore"/>
    <x v="1"/>
    <s v=" TN"/>
    <x v="1"/>
    <x v="0"/>
    <x v="1"/>
    <x v="0"/>
    <d v="2019-03-01T03:45:09"/>
    <d v="2019-03-07T03:45:09"/>
    <d v="2019-03-04T03:45:09"/>
    <x v="3"/>
    <n v="46"/>
    <n v="127"/>
    <n v="2863.6524107741066"/>
  </r>
  <r>
    <n v="270233"/>
    <x v="5"/>
    <s v="Delhi"/>
    <x v="4"/>
    <s v=" WB"/>
    <x v="1"/>
    <x v="0"/>
    <x v="1"/>
    <x v="0"/>
    <d v="2019-03-01T03:51:21"/>
    <d v="2019-03-08T03:51:21"/>
    <d v="2019-03-08T03:51:21"/>
    <x v="8"/>
    <n v="28"/>
    <n v="109"/>
    <n v="3486.6303963344722"/>
  </r>
  <r>
    <n v="30401"/>
    <x v="5"/>
    <s v="Bangalore"/>
    <x v="3"/>
    <s v=" KA"/>
    <x v="1"/>
    <x v="0"/>
    <x v="2"/>
    <x v="0"/>
    <d v="2019-03-01T05:55:42"/>
    <d v="2019-03-08T05:55:42"/>
    <d v="2019-03-07T05:55:42"/>
    <x v="8"/>
    <n v="9999"/>
    <n v="123"/>
    <n v="2630.7018346069913"/>
  </r>
  <r>
    <n v="134999"/>
    <x v="5"/>
    <s v="Delhi"/>
    <x v="2"/>
    <s v=" DL"/>
    <x v="1"/>
    <x v="0"/>
    <x v="1"/>
    <x v="0"/>
    <d v="2019-03-01T06:21:55"/>
    <d v="2019-03-06T06:21:55"/>
    <d v="2019-03-07T06:21:55"/>
    <x v="9"/>
    <n v="0"/>
    <n v="126"/>
    <n v="3683.618476884064"/>
  </r>
  <r>
    <n v="571436"/>
    <x v="5"/>
    <s v="Bangalore"/>
    <x v="0"/>
    <s v=" MH"/>
    <x v="0"/>
    <x v="0"/>
    <x v="0"/>
    <x v="0"/>
    <d v="2019-03-01T06:29:49"/>
    <d v="2019-03-07T06:29:49"/>
    <d v="2019-03-07T06:29:49"/>
    <x v="3"/>
    <n v="38"/>
    <n v="106"/>
    <n v="851.0926754746788"/>
  </r>
  <r>
    <n v="790030"/>
    <x v="5"/>
    <s v="Bangalore"/>
    <x v="3"/>
    <s v=" KA"/>
    <x v="2"/>
    <x v="0"/>
    <x v="0"/>
    <x v="0"/>
    <d v="2019-03-01T06:35:43"/>
    <d v="2019-03-05T06:35:43"/>
    <d v="2019-03-07T06:35:43"/>
    <x v="6"/>
    <n v="0"/>
    <n v="126"/>
    <n v="3463.5495617683132"/>
  </r>
  <r>
    <n v="110148"/>
    <x v="5"/>
    <s v="Bangalore"/>
    <x v="4"/>
    <s v=" WB"/>
    <x v="0"/>
    <x v="0"/>
    <x v="0"/>
    <x v="1"/>
    <d v="2019-03-01T06:38:50"/>
    <d v="2019-03-05T06:38:50"/>
    <d v="2019-03-04T06:38:50"/>
    <x v="6"/>
    <n v="0"/>
    <n v="106"/>
    <n v="2607.64"/>
  </r>
  <r>
    <n v="297148"/>
    <x v="5"/>
    <s v="Bangalore"/>
    <x v="0"/>
    <s v=" MH"/>
    <x v="0"/>
    <x v="0"/>
    <x v="0"/>
    <x v="0"/>
    <d v="2019-03-01T08:25:53"/>
    <d v="2019-03-03T08:25:53"/>
    <d v="2019-03-08T08:25:53"/>
    <x v="0"/>
    <n v="60"/>
    <n v="89"/>
    <n v="1169.823045226007"/>
  </r>
  <r>
    <n v="655781"/>
    <x v="5"/>
    <s v="Delhi"/>
    <x v="2"/>
    <s v=" DL"/>
    <x v="1"/>
    <x v="0"/>
    <x v="2"/>
    <x v="0"/>
    <d v="2019-03-01T10:16:56"/>
    <d v="2019-03-02T10:16:56"/>
    <d v="2019-03-05T10:16:56"/>
    <x v="2"/>
    <n v="0"/>
    <n v="123"/>
    <n v="898.39788539891151"/>
  </r>
  <r>
    <n v="45289"/>
    <x v="5"/>
    <s v="Bangalore"/>
    <x v="1"/>
    <s v=" TN"/>
    <x v="1"/>
    <x v="0"/>
    <x v="1"/>
    <x v="0"/>
    <d v="2019-03-01T10:34:43"/>
    <d v="2019-03-03T10:34:43"/>
    <d v="2019-03-04T10:34:43"/>
    <x v="0"/>
    <n v="36"/>
    <n v="121"/>
    <n v="1552.6127778638647"/>
  </r>
  <r>
    <n v="784403"/>
    <x v="5"/>
    <s v="Bangalore"/>
    <x v="1"/>
    <s v=" TN"/>
    <x v="0"/>
    <x v="0"/>
    <x v="1"/>
    <x v="0"/>
    <d v="2019-03-01T12:07:52"/>
    <d v="2019-03-06T12:07:52"/>
    <d v="2019-03-07T12:07:52"/>
    <x v="9"/>
    <n v="61"/>
    <n v="106"/>
    <n v="1733.4545624379939"/>
  </r>
  <r>
    <n v="292052"/>
    <x v="5"/>
    <s v="Delhi"/>
    <x v="4"/>
    <s v=" WB"/>
    <x v="0"/>
    <x v="0"/>
    <x v="0"/>
    <x v="0"/>
    <d v="2019-03-01T13:12:01"/>
    <d v="2019-03-07T13:12:01"/>
    <d v="2019-03-08T13:12:01"/>
    <x v="3"/>
    <n v="32"/>
    <n v="105"/>
    <n v="1117.2343487844396"/>
  </r>
  <r>
    <n v="519269"/>
    <x v="5"/>
    <s v="Delhi"/>
    <x v="2"/>
    <s v=" DL"/>
    <x v="1"/>
    <x v="0"/>
    <x v="1"/>
    <x v="0"/>
    <d v="2019-03-01T14:49:42"/>
    <d v="2019-03-04T14:49:42"/>
    <d v="2019-03-06T14:49:42"/>
    <x v="4"/>
    <n v="0"/>
    <n v="126"/>
    <n v="417.20076021204034"/>
  </r>
  <r>
    <n v="733997"/>
    <x v="5"/>
    <s v="Bangalore"/>
    <x v="3"/>
    <s v=" KA"/>
    <x v="1"/>
    <x v="0"/>
    <x v="1"/>
    <x v="0"/>
    <d v="2019-03-01T15:10:23"/>
    <d v="2019-03-02T15:10:23"/>
    <d v="2019-03-06T15:10:23"/>
    <x v="2"/>
    <n v="0"/>
    <n v="121"/>
    <n v="3228.2240924409498"/>
  </r>
  <r>
    <n v="960824"/>
    <x v="5"/>
    <s v="Bangalore"/>
    <x v="0"/>
    <s v=" MH"/>
    <x v="0"/>
    <x v="0"/>
    <x v="0"/>
    <x v="0"/>
    <d v="2019-03-01T15:19:08"/>
    <d v="2019-03-07T15:19:08"/>
    <d v="2019-03-05T15:19:08"/>
    <x v="3"/>
    <n v="63"/>
    <n v="86"/>
    <n v="1199.8876907028375"/>
  </r>
  <r>
    <n v="704911"/>
    <x v="5"/>
    <s v="Bangalore"/>
    <x v="3"/>
    <s v=" KA"/>
    <x v="1"/>
    <x v="0"/>
    <x v="1"/>
    <x v="0"/>
    <d v="2019-03-01T15:39:46"/>
    <d v="2019-03-06T15:39:46"/>
    <d v="2019-03-07T15:39:46"/>
    <x v="9"/>
    <n v="0"/>
    <n v="128"/>
    <n v="1607.3052916455938"/>
  </r>
  <r>
    <n v="88474"/>
    <x v="5"/>
    <s v="Bangalore"/>
    <x v="0"/>
    <s v=" MH"/>
    <x v="2"/>
    <x v="0"/>
    <x v="0"/>
    <x v="0"/>
    <d v="2019-03-01T19:00:21"/>
    <d v="2019-03-08T19:00:21"/>
    <d v="2019-03-05T19:00:21"/>
    <x v="8"/>
    <n v="42"/>
    <n v="112"/>
    <n v="507.93215981850398"/>
  </r>
  <r>
    <n v="877840"/>
    <x v="5"/>
    <s v="Delhi"/>
    <x v="2"/>
    <s v=" DL"/>
    <x v="0"/>
    <x v="0"/>
    <x v="0"/>
    <x v="0"/>
    <d v="2019-03-01T20:43:04"/>
    <d v="2019-03-05T20:43:04"/>
    <d v="2019-03-08T20:43:04"/>
    <x v="6"/>
    <n v="0"/>
    <n v="129"/>
    <n v="334.15850119763849"/>
  </r>
  <r>
    <n v="825402"/>
    <x v="5"/>
    <s v="Delhi"/>
    <x v="3"/>
    <s v=" KA"/>
    <x v="2"/>
    <x v="0"/>
    <x v="0"/>
    <x v="1"/>
    <d v="2019-03-01T20:57:44"/>
    <d v="2019-03-08T20:57:44"/>
    <d v="2019-03-05T20:57:44"/>
    <x v="8"/>
    <n v="26"/>
    <n v="127"/>
    <n v="1876.98"/>
  </r>
  <r>
    <n v="683364"/>
    <x v="5"/>
    <s v="Bangalore"/>
    <x v="4"/>
    <s v=" WB"/>
    <x v="0"/>
    <x v="0"/>
    <x v="0"/>
    <x v="1"/>
    <d v="2019-03-01T20:57:55"/>
    <d v="2019-03-08T20:57:55"/>
    <d v="2019-03-05T20:57:55"/>
    <x v="8"/>
    <n v="49"/>
    <n v="114"/>
    <n v="2886.58"/>
  </r>
  <r>
    <n v="474595"/>
    <x v="5"/>
    <s v="Delhi"/>
    <x v="1"/>
    <s v=" TN"/>
    <x v="1"/>
    <x v="0"/>
    <x v="1"/>
    <x v="0"/>
    <d v="2019-03-01T21:14:46"/>
    <d v="2019-03-05T21:14:46"/>
    <d v="2019-03-04T21:14:46"/>
    <x v="6"/>
    <n v="44"/>
    <n v="120"/>
    <n v="1429.4324623036889"/>
  </r>
  <r>
    <n v="211494"/>
    <x v="5"/>
    <s v="Delhi"/>
    <x v="2"/>
    <s v=" DL"/>
    <x v="2"/>
    <x v="0"/>
    <x v="0"/>
    <x v="1"/>
    <d v="2019-03-01T21:17:14"/>
    <d v="2019-03-08T21:17:14"/>
    <d v="2019-03-07T21:17:14"/>
    <x v="8"/>
    <n v="0"/>
    <n v="124"/>
    <n v="1897.12"/>
  </r>
  <r>
    <n v="846615"/>
    <x v="5"/>
    <s v="Delhi"/>
    <x v="0"/>
    <s v=" MH"/>
    <x v="1"/>
    <x v="0"/>
    <x v="2"/>
    <x v="1"/>
    <d v="2019-03-01T22:09:59"/>
    <d v="2019-03-08T22:09:59"/>
    <d v="2019-03-08T22:09:59"/>
    <x v="8"/>
    <n v="37"/>
    <n v="109"/>
    <n v="1222.6500000000001"/>
  </r>
  <r>
    <n v="964746"/>
    <x v="5"/>
    <s v="Delhi"/>
    <x v="2"/>
    <s v=" DL"/>
    <x v="0"/>
    <x v="0"/>
    <x v="0"/>
    <x v="1"/>
    <d v="2019-03-01T22:23:19"/>
    <d v="2019-03-06T22:23:19"/>
    <d v="2019-03-07T22:23:19"/>
    <x v="9"/>
    <n v="0"/>
    <n v="109"/>
    <n v="2280.77"/>
  </r>
  <r>
    <n v="674982"/>
    <x v="5"/>
    <s v="Bangalore"/>
    <x v="0"/>
    <s v=" MH"/>
    <x v="2"/>
    <x v="0"/>
    <x v="0"/>
    <x v="1"/>
    <d v="2019-03-01T23:59:11"/>
    <d v="2019-03-05T23:59:11"/>
    <d v="2019-03-04T23:59:11"/>
    <x v="6"/>
    <n v="39"/>
    <n v="113"/>
    <n v="1369.14"/>
  </r>
  <r>
    <n v="371869"/>
    <x v="5"/>
    <s v="Delhi"/>
    <x v="2"/>
    <s v=" DL"/>
    <x v="1"/>
    <x v="0"/>
    <x v="1"/>
    <x v="0"/>
    <d v="2019-03-02T00:41:24"/>
    <d v="2019-03-05T00:41:24"/>
    <d v="2019-03-05T00:41:24"/>
    <x v="4"/>
    <n v="0"/>
    <n v="128"/>
    <n v="2111.8417670809908"/>
  </r>
  <r>
    <n v="431413"/>
    <x v="5"/>
    <s v="Delhi"/>
    <x v="4"/>
    <s v=" WB"/>
    <x v="1"/>
    <x v="0"/>
    <x v="1"/>
    <x v="0"/>
    <d v="2019-03-02T02:48:01"/>
    <d v="2019-03-08T02:48:01"/>
    <d v="2019-03-08T02:48:01"/>
    <x v="3"/>
    <n v="27"/>
    <n v="107"/>
    <n v="1116.9528609328852"/>
  </r>
  <r>
    <n v="85911"/>
    <x v="5"/>
    <s v="Delhi"/>
    <x v="3"/>
    <s v=" KA"/>
    <x v="1"/>
    <x v="0"/>
    <x v="2"/>
    <x v="1"/>
    <d v="2019-03-02T02:49:26"/>
    <d v="2019-03-10T02:49:26"/>
    <d v="2019-03-05T02:49:26"/>
    <x v="5"/>
    <n v="30"/>
    <n v="121"/>
    <n v="2834.02"/>
  </r>
  <r>
    <n v="772673"/>
    <x v="5"/>
    <s v="Delhi"/>
    <x v="2"/>
    <s v=" DL"/>
    <x v="0"/>
    <x v="0"/>
    <x v="1"/>
    <x v="0"/>
    <d v="2019-03-02T03:21:20"/>
    <d v="2019-03-04T03:21:20"/>
    <d v="2019-03-07T03:21:20"/>
    <x v="0"/>
    <n v="0"/>
    <n v="107"/>
    <n v="3346.1008056321452"/>
  </r>
  <r>
    <n v="121040"/>
    <x v="5"/>
    <s v="Delhi"/>
    <x v="1"/>
    <s v=" TN"/>
    <x v="0"/>
    <x v="0"/>
    <x v="0"/>
    <x v="0"/>
    <d v="2019-03-02T04:01:44"/>
    <d v="2019-03-13T04:01:44"/>
    <d v="2019-03-05T04:01:44"/>
    <x v="11"/>
    <n v="60"/>
    <n v="103"/>
    <n v="2217.9110099178574"/>
  </r>
  <r>
    <n v="671841"/>
    <x v="5"/>
    <s v="Delhi"/>
    <x v="0"/>
    <s v=" MH"/>
    <x v="0"/>
    <x v="0"/>
    <x v="1"/>
    <x v="1"/>
    <d v="2019-03-02T04:43:44"/>
    <d v="2019-03-04T04:43:44"/>
    <d v="2019-03-05T04:43:44"/>
    <x v="0"/>
    <n v="74"/>
    <n v="87"/>
    <n v="1809.5"/>
  </r>
  <r>
    <n v="45159"/>
    <x v="5"/>
    <s v="Delhi"/>
    <x v="1"/>
    <s v=" TN"/>
    <x v="0"/>
    <x v="0"/>
    <x v="1"/>
    <x v="1"/>
    <d v="2019-03-02T05:00:57"/>
    <d v="2019-03-12T05:00:57"/>
    <d v="2019-03-06T05:00:57"/>
    <x v="7"/>
    <n v="74"/>
    <n v="101"/>
    <n v="668.29"/>
  </r>
  <r>
    <n v="768237"/>
    <x v="5"/>
    <s v="Bangalore"/>
    <x v="2"/>
    <s v=" DL"/>
    <x v="0"/>
    <x v="0"/>
    <x v="1"/>
    <x v="1"/>
    <d v="2019-03-02T07:28:36"/>
    <d v="2019-03-04T07:28:36"/>
    <d v="2019-03-06T07:28:36"/>
    <x v="0"/>
    <n v="62"/>
    <n v="109"/>
    <n v="1921.02"/>
  </r>
  <r>
    <n v="332276"/>
    <x v="5"/>
    <s v="Bangalore"/>
    <x v="2"/>
    <s v=" DL"/>
    <x v="0"/>
    <x v="0"/>
    <x v="0"/>
    <x v="0"/>
    <d v="2019-03-02T07:40:35"/>
    <d v="2019-03-04T07:40:35"/>
    <d v="2019-03-05T07:40:35"/>
    <x v="0"/>
    <n v="27"/>
    <n v="124"/>
    <n v="371.75790649018097"/>
  </r>
  <r>
    <n v="386865"/>
    <x v="5"/>
    <s v="Delhi"/>
    <x v="3"/>
    <s v=" KA"/>
    <x v="1"/>
    <x v="0"/>
    <x v="1"/>
    <x v="1"/>
    <d v="2019-03-02T08:29:42"/>
    <d v="2019-03-09T08:29:42"/>
    <d v="2019-03-07T08:29:42"/>
    <x v="8"/>
    <n v="39"/>
    <n v="128"/>
    <n v="2174.8200000000002"/>
  </r>
  <r>
    <n v="442776"/>
    <x v="5"/>
    <s v="Delhi"/>
    <x v="2"/>
    <s v=" DL"/>
    <x v="0"/>
    <x v="0"/>
    <x v="0"/>
    <x v="1"/>
    <d v="2019-03-02T09:10:18"/>
    <d v="2019-03-02T09:10:18"/>
    <d v="2019-03-09T09:10:18"/>
    <x v="10"/>
    <n v="0"/>
    <n v="128"/>
    <n v="2985.55"/>
  </r>
  <r>
    <n v="972467"/>
    <x v="5"/>
    <s v="Bangalore"/>
    <x v="1"/>
    <s v=" TN"/>
    <x v="1"/>
    <x v="0"/>
    <x v="1"/>
    <x v="0"/>
    <d v="2019-03-02T10:12:05"/>
    <d v="2019-03-04T10:12:05"/>
    <d v="2019-03-08T10:12:05"/>
    <x v="0"/>
    <n v="36"/>
    <n v="127"/>
    <n v="2754.7789073679951"/>
  </r>
  <r>
    <n v="446729"/>
    <x v="5"/>
    <s v="Bangalore"/>
    <x v="2"/>
    <s v=" DL"/>
    <x v="1"/>
    <x v="0"/>
    <x v="1"/>
    <x v="0"/>
    <d v="2019-03-02T10:27:42"/>
    <d v="2019-03-10T10:27:42"/>
    <d v="2019-03-05T10:27:42"/>
    <x v="5"/>
    <n v="46"/>
    <n v="129"/>
    <n v="2991.1639159147826"/>
  </r>
  <r>
    <n v="758655"/>
    <x v="5"/>
    <s v="Delhi"/>
    <x v="0"/>
    <s v=" MH"/>
    <x v="1"/>
    <x v="0"/>
    <x v="1"/>
    <x v="1"/>
    <d v="2019-03-02T10:28:49"/>
    <d v="2019-03-07T10:28:49"/>
    <d v="2019-03-07T10:28:49"/>
    <x v="9"/>
    <n v="31"/>
    <n v="111"/>
    <n v="2928.84"/>
  </r>
  <r>
    <n v="173681"/>
    <x v="5"/>
    <s v="Bangalore"/>
    <x v="3"/>
    <s v=" KA"/>
    <x v="1"/>
    <x v="0"/>
    <x v="1"/>
    <x v="0"/>
    <d v="2019-03-02T10:29:39"/>
    <d v="2019-03-03T10:29:39"/>
    <d v="2019-03-06T10:29:39"/>
    <x v="2"/>
    <n v="0"/>
    <n v="122"/>
    <n v="1167.436321598213"/>
  </r>
  <r>
    <n v="8835"/>
    <x v="5"/>
    <s v="Delhi"/>
    <x v="3"/>
    <s v=" KA"/>
    <x v="1"/>
    <x v="0"/>
    <x v="1"/>
    <x v="1"/>
    <d v="2019-03-02T10:34:43"/>
    <d v="2019-03-07T10:34:43"/>
    <d v="2019-03-08T10:34:43"/>
    <x v="9"/>
    <n v="43"/>
    <n v="123"/>
    <n v="1409.56"/>
  </r>
  <r>
    <n v="223884"/>
    <x v="5"/>
    <s v="Delhi"/>
    <x v="0"/>
    <s v=" MH"/>
    <x v="0"/>
    <x v="0"/>
    <x v="0"/>
    <x v="1"/>
    <d v="2019-03-02T11:32:09"/>
    <d v="2019-03-04T11:32:09"/>
    <d v="2019-03-05T11:32:09"/>
    <x v="0"/>
    <n v="81"/>
    <n v="91"/>
    <n v="1774.64"/>
  </r>
  <r>
    <n v="200848"/>
    <x v="5"/>
    <s v="Delhi"/>
    <x v="4"/>
    <s v=" WB"/>
    <x v="0"/>
    <x v="0"/>
    <x v="0"/>
    <x v="0"/>
    <d v="2019-03-02T12:20:30"/>
    <d v="2019-03-07T12:20:30"/>
    <d v="2019-03-07T12:20:30"/>
    <x v="9"/>
    <n v="29"/>
    <n v="114"/>
    <n v="1928.4975340872145"/>
  </r>
  <r>
    <n v="159219"/>
    <x v="5"/>
    <s v="Delhi"/>
    <x v="4"/>
    <s v=" WB"/>
    <x v="1"/>
    <x v="0"/>
    <x v="1"/>
    <x v="1"/>
    <d v="2019-03-02T13:19:49"/>
    <d v="2019-03-07T13:19:49"/>
    <d v="2019-03-07T13:19:49"/>
    <x v="9"/>
    <n v="45"/>
    <n v="106"/>
    <n v="2206.52"/>
  </r>
  <r>
    <n v="707338"/>
    <x v="5"/>
    <s v="Bangalore"/>
    <x v="2"/>
    <s v=" DL"/>
    <x v="0"/>
    <x v="0"/>
    <x v="0"/>
    <x v="0"/>
    <d v="2019-03-02T13:30:54"/>
    <d v="2019-03-08T13:30:54"/>
    <d v="2019-03-09T13:30:54"/>
    <x v="3"/>
    <n v="69"/>
    <n v="100"/>
    <n v="2518.1312517625342"/>
  </r>
  <r>
    <n v="341509"/>
    <x v="5"/>
    <s v="Delhi"/>
    <x v="1"/>
    <s v=" TN"/>
    <x v="1"/>
    <x v="0"/>
    <x v="2"/>
    <x v="0"/>
    <d v="2019-03-02T13:37:41"/>
    <d v="2019-03-05T13:37:41"/>
    <d v="2019-03-05T13:37:41"/>
    <x v="4"/>
    <n v="41"/>
    <n v="123"/>
    <n v="3744.6695758581714"/>
  </r>
  <r>
    <n v="112275"/>
    <x v="5"/>
    <s v="Bangalore"/>
    <x v="3"/>
    <s v=" KA"/>
    <x v="0"/>
    <x v="0"/>
    <x v="1"/>
    <x v="1"/>
    <d v="2019-03-02T13:48:44"/>
    <d v="2019-03-03T13:48:44"/>
    <d v="2019-03-08T13:48:44"/>
    <x v="2"/>
    <n v="0"/>
    <n v="100"/>
    <n v="2818.04"/>
  </r>
  <r>
    <n v="526103"/>
    <x v="5"/>
    <s v="Bangalore"/>
    <x v="0"/>
    <s v=" MH"/>
    <x v="0"/>
    <x v="0"/>
    <x v="1"/>
    <x v="0"/>
    <d v="2019-03-02T14:59:04"/>
    <d v="2019-03-07T14:59:04"/>
    <d v="2019-03-05T14:59:04"/>
    <x v="9"/>
    <n v="70"/>
    <n v="91"/>
    <n v="3504.4735670144701"/>
  </r>
  <r>
    <n v="286789"/>
    <x v="5"/>
    <s v="Delhi"/>
    <x v="4"/>
    <s v=" WB"/>
    <x v="0"/>
    <x v="0"/>
    <x v="1"/>
    <x v="0"/>
    <d v="2019-03-02T15:07:46"/>
    <d v="2019-03-07T15:07:46"/>
    <d v="2019-03-05T15:07:46"/>
    <x v="9"/>
    <n v="74"/>
    <n v="87"/>
    <n v="1384.3419505482511"/>
  </r>
  <r>
    <n v="463211"/>
    <x v="5"/>
    <s v="Delhi"/>
    <x v="2"/>
    <s v=" DL"/>
    <x v="1"/>
    <x v="0"/>
    <x v="2"/>
    <x v="0"/>
    <d v="2019-03-02T15:20:08"/>
    <d v="2019-03-04T15:20:08"/>
    <d v="2019-03-09T15:20:08"/>
    <x v="0"/>
    <n v="0"/>
    <n v="122"/>
    <n v="2552.3719230297634"/>
  </r>
  <r>
    <n v="313940"/>
    <x v="5"/>
    <s v="Bangalore"/>
    <x v="0"/>
    <s v=" MH"/>
    <x v="0"/>
    <x v="0"/>
    <x v="0"/>
    <x v="0"/>
    <d v="2019-03-02T15:27:40"/>
    <d v="2019-03-05T15:27:40"/>
    <d v="2019-03-07T15:27:40"/>
    <x v="4"/>
    <n v="38"/>
    <n v="112"/>
    <n v="2607.2758077231329"/>
  </r>
  <r>
    <n v="440803"/>
    <x v="5"/>
    <s v="Delhi"/>
    <x v="2"/>
    <s v=" DL"/>
    <x v="0"/>
    <x v="0"/>
    <x v="1"/>
    <x v="0"/>
    <d v="2019-03-02T15:40:28"/>
    <d v="2019-03-04T15:40:28"/>
    <d v="2019-03-05T15:40:28"/>
    <x v="0"/>
    <n v="0"/>
    <n v="102"/>
    <n v="1832.5351495536904"/>
  </r>
  <r>
    <n v="512105"/>
    <x v="5"/>
    <s v="Bangalore"/>
    <x v="3"/>
    <s v=" KA"/>
    <x v="1"/>
    <x v="0"/>
    <x v="1"/>
    <x v="0"/>
    <d v="2019-03-02T16:48:57"/>
    <d v="2019-03-07T16:48:57"/>
    <d v="2019-03-08T16:48:57"/>
    <x v="9"/>
    <n v="0"/>
    <n v="120"/>
    <n v="3594.0945491254329"/>
  </r>
  <r>
    <n v="912736"/>
    <x v="5"/>
    <s v="Bangalore"/>
    <x v="1"/>
    <s v=" TN"/>
    <x v="0"/>
    <x v="0"/>
    <x v="0"/>
    <x v="0"/>
    <d v="2019-03-02T17:33:26"/>
    <d v="2019-03-11T17:33:26"/>
    <d v="2019-03-09T17:33:26"/>
    <x v="1"/>
    <n v="29"/>
    <n v="125"/>
    <n v="2253.756716288869"/>
  </r>
  <r>
    <n v="108212"/>
    <x v="5"/>
    <s v="Delhi"/>
    <x v="0"/>
    <s v=" MH"/>
    <x v="0"/>
    <x v="0"/>
    <x v="0"/>
    <x v="0"/>
    <d v="2019-03-02T19:06:49"/>
    <d v="2019-03-04T19:06:49"/>
    <d v="2019-03-05T19:06:49"/>
    <x v="0"/>
    <n v="65"/>
    <n v="86"/>
    <n v="366.3072070438788"/>
  </r>
  <r>
    <n v="647248"/>
    <x v="5"/>
    <s v="Delhi"/>
    <x v="0"/>
    <s v=" MH"/>
    <x v="0"/>
    <x v="0"/>
    <x v="0"/>
    <x v="0"/>
    <d v="2019-03-02T19:30:54"/>
    <d v="2019-03-06T19:30:54"/>
    <d v="2019-03-07T19:30:54"/>
    <x v="6"/>
    <n v="65"/>
    <n v="92"/>
    <n v="2535.0491193615012"/>
  </r>
  <r>
    <n v="781281"/>
    <x v="5"/>
    <s v="Delhi"/>
    <x v="2"/>
    <s v=" DL"/>
    <x v="1"/>
    <x v="0"/>
    <x v="1"/>
    <x v="1"/>
    <d v="2019-03-02T20:47:47"/>
    <d v="2019-03-03T20:47:47"/>
    <d v="2019-03-06T20:47:47"/>
    <x v="2"/>
    <n v="0"/>
    <n v="123"/>
    <n v="2754.8"/>
  </r>
  <r>
    <n v="995697"/>
    <x v="5"/>
    <s v="Delhi"/>
    <x v="2"/>
    <s v=" DL"/>
    <x v="1"/>
    <x v="0"/>
    <x v="1"/>
    <x v="1"/>
    <d v="2019-03-02T21:18:39"/>
    <d v="2019-03-04T21:18:39"/>
    <d v="2019-03-06T21:18:39"/>
    <x v="0"/>
    <n v="0"/>
    <n v="126"/>
    <n v="990.92"/>
  </r>
  <r>
    <n v="123295"/>
    <x v="5"/>
    <s v="Bangalore"/>
    <x v="0"/>
    <s v=" MH"/>
    <x v="1"/>
    <x v="0"/>
    <x v="1"/>
    <x v="0"/>
    <d v="2019-03-02T22:41:30"/>
    <d v="2019-03-07T22:41:30"/>
    <d v="2019-03-05T22:41:30"/>
    <x v="9"/>
    <n v="36"/>
    <n v="108"/>
    <n v="1273.8940388946503"/>
  </r>
  <r>
    <n v="12037"/>
    <x v="5"/>
    <s v="Delhi"/>
    <x v="0"/>
    <s v=" MH"/>
    <x v="1"/>
    <x v="0"/>
    <x v="1"/>
    <x v="0"/>
    <d v="2019-03-02T22:49:48"/>
    <d v="2019-03-07T22:49:48"/>
    <d v="2019-03-06T22:49:48"/>
    <x v="9"/>
    <n v="45"/>
    <n v="111"/>
    <n v="836.39268395923148"/>
  </r>
  <r>
    <n v="373662"/>
    <x v="5"/>
    <s v="Delhi"/>
    <x v="0"/>
    <s v=" MH"/>
    <x v="2"/>
    <x v="0"/>
    <x v="0"/>
    <x v="1"/>
    <d v="2019-03-02T23:07:25"/>
    <d v="2019-03-05T23:07:25"/>
    <d v="2019-03-05T23:07:25"/>
    <x v="4"/>
    <n v="29"/>
    <n v="110"/>
    <n v="2577.34"/>
  </r>
  <r>
    <n v="422808"/>
    <x v="5"/>
    <s v="Bangalore"/>
    <x v="0"/>
    <s v=" MH"/>
    <x v="0"/>
    <x v="0"/>
    <x v="0"/>
    <x v="1"/>
    <d v="2019-03-02T23:26:20"/>
    <d v="2019-03-04T23:26:20"/>
    <d v="2019-03-06T23:26:20"/>
    <x v="0"/>
    <n v="48"/>
    <n v="114"/>
    <n v="341.47"/>
  </r>
  <r>
    <n v="997494"/>
    <x v="5"/>
    <s v="Delhi"/>
    <x v="3"/>
    <s v=" KA"/>
    <x v="2"/>
    <x v="0"/>
    <x v="0"/>
    <x v="1"/>
    <d v="2019-03-02T23:27:21"/>
    <d v="2019-03-11T23:27:21"/>
    <d v="2019-03-08T23:27:21"/>
    <x v="1"/>
    <n v="26"/>
    <n v="126"/>
    <n v="3036.39"/>
  </r>
  <r>
    <n v="913708"/>
    <x v="5"/>
    <s v="Delhi"/>
    <x v="0"/>
    <s v=" MH"/>
    <x v="0"/>
    <x v="0"/>
    <x v="0"/>
    <x v="0"/>
    <d v="2019-03-02T23:27:22"/>
    <d v="2019-03-05T23:27:22"/>
    <d v="2019-03-08T23:27:22"/>
    <x v="4"/>
    <n v="44"/>
    <n v="106"/>
    <n v="1864.9626212424123"/>
  </r>
  <r>
    <n v="101292"/>
    <x v="5"/>
    <s v="Bangalore"/>
    <x v="3"/>
    <s v=" KA"/>
    <x v="0"/>
    <x v="0"/>
    <x v="0"/>
    <x v="1"/>
    <d v="2019-03-02T23:50:56"/>
    <d v="2019-03-06T23:50:56"/>
    <d v="2019-03-06T23:50:56"/>
    <x v="6"/>
    <n v="0"/>
    <n v="108"/>
    <n v="1217.44"/>
  </r>
  <r>
    <n v="876252"/>
    <x v="5"/>
    <s v="Bangalore"/>
    <x v="3"/>
    <s v=" KA"/>
    <x v="0"/>
    <x v="0"/>
    <x v="0"/>
    <x v="1"/>
    <d v="2019-03-02T23:51:02"/>
    <d v="2019-03-03T23:51:02"/>
    <d v="2019-03-06T23:51:02"/>
    <x v="2"/>
    <n v="0"/>
    <n v="128"/>
    <n v="1487.82"/>
  </r>
  <r>
    <n v="769517"/>
    <x v="5"/>
    <s v="Delhi"/>
    <x v="1"/>
    <s v=" TN"/>
    <x v="1"/>
    <x v="0"/>
    <x v="2"/>
    <x v="0"/>
    <d v="2019-03-03T00:26:52"/>
    <d v="2019-03-09T00:26:52"/>
    <d v="2019-03-07T00:26:52"/>
    <x v="3"/>
    <n v="44"/>
    <n v="124"/>
    <n v="2601.0864514882533"/>
  </r>
  <r>
    <n v="902586"/>
    <x v="5"/>
    <s v="Bangalore"/>
    <x v="3"/>
    <s v=" KA"/>
    <x v="0"/>
    <x v="0"/>
    <x v="0"/>
    <x v="1"/>
    <d v="2019-03-03T00:58:22"/>
    <d v="2019-03-07T00:58:22"/>
    <d v="2019-03-07T00:58:22"/>
    <x v="6"/>
    <n v="0"/>
    <n v="107"/>
    <n v="3588.64"/>
  </r>
  <r>
    <n v="266726"/>
    <x v="5"/>
    <s v="Delhi"/>
    <x v="0"/>
    <s v=" MH"/>
    <x v="2"/>
    <x v="0"/>
    <x v="0"/>
    <x v="0"/>
    <d v="2019-03-03T01:00:14"/>
    <d v="2019-03-07T01:00:14"/>
    <d v="2019-03-07T01:00:14"/>
    <x v="6"/>
    <n v="49"/>
    <n v="113"/>
    <n v="728.9054213541234"/>
  </r>
  <r>
    <n v="810603"/>
    <x v="5"/>
    <s v="Bangalore"/>
    <x v="1"/>
    <s v=" TN"/>
    <x v="1"/>
    <x v="0"/>
    <x v="1"/>
    <x v="1"/>
    <d v="2019-03-03T01:00:33"/>
    <d v="2019-03-05T01:00:33"/>
    <d v="2019-03-08T01:00:33"/>
    <x v="0"/>
    <n v="50"/>
    <n v="129"/>
    <n v="1833.6"/>
  </r>
  <r>
    <n v="632690"/>
    <x v="5"/>
    <s v="Bangalore"/>
    <x v="3"/>
    <s v=" KA"/>
    <x v="2"/>
    <x v="0"/>
    <x v="0"/>
    <x v="0"/>
    <d v="2019-03-03T01:34:56"/>
    <d v="2019-03-08T01:34:56"/>
    <d v="2019-03-09T01:34:56"/>
    <x v="9"/>
    <n v="0"/>
    <n v="129"/>
    <n v="2261.2249455641459"/>
  </r>
  <r>
    <n v="403329"/>
    <x v="5"/>
    <s v="Delhi"/>
    <x v="2"/>
    <s v=" DL"/>
    <x v="1"/>
    <x v="0"/>
    <x v="1"/>
    <x v="1"/>
    <d v="2019-03-03T01:59:19"/>
    <d v="2019-03-07T01:59:19"/>
    <d v="2019-03-06T01:59:19"/>
    <x v="6"/>
    <n v="0"/>
    <n v="121"/>
    <n v="637.1"/>
  </r>
  <r>
    <n v="605514"/>
    <x v="5"/>
    <s v="Bangalore"/>
    <x v="1"/>
    <s v=" TN"/>
    <x v="2"/>
    <x v="0"/>
    <x v="0"/>
    <x v="1"/>
    <d v="2019-03-03T02:37:29"/>
    <d v="2019-03-07T02:37:29"/>
    <d v="2019-03-09T02:37:29"/>
    <x v="6"/>
    <n v="31"/>
    <n v="123"/>
    <n v="516.80999999999995"/>
  </r>
  <r>
    <n v="123215"/>
    <x v="5"/>
    <s v="Bangalore"/>
    <x v="2"/>
    <s v=" DL"/>
    <x v="1"/>
    <x v="0"/>
    <x v="1"/>
    <x v="0"/>
    <d v="2019-03-03T02:50:33"/>
    <d v="2019-03-12T02:50:33"/>
    <d v="2019-03-07T02:50:33"/>
    <x v="1"/>
    <n v="32"/>
    <n v="124"/>
    <n v="2838.3771051987028"/>
  </r>
  <r>
    <n v="443751"/>
    <x v="5"/>
    <s v="Delhi"/>
    <x v="0"/>
    <s v=" MH"/>
    <x v="1"/>
    <x v="0"/>
    <x v="2"/>
    <x v="1"/>
    <d v="2019-03-03T04:29:56"/>
    <d v="2019-03-12T04:29:56"/>
    <d v="2019-03-10T04:29:56"/>
    <x v="1"/>
    <n v="34"/>
    <n v="109"/>
    <n v="258.85000000000002"/>
  </r>
  <r>
    <n v="718203"/>
    <x v="5"/>
    <s v="Bangalore"/>
    <x v="2"/>
    <s v=" DL"/>
    <x v="1"/>
    <x v="0"/>
    <x v="1"/>
    <x v="1"/>
    <d v="2019-03-03T04:48:48"/>
    <d v="2019-03-06T04:48:48"/>
    <d v="2019-03-07T04:48:48"/>
    <x v="4"/>
    <n v="36"/>
    <n v="120"/>
    <n v="723.96"/>
  </r>
  <r>
    <n v="938521"/>
    <x v="5"/>
    <s v="Delhi"/>
    <x v="4"/>
    <s v=" WB"/>
    <x v="1"/>
    <x v="0"/>
    <x v="1"/>
    <x v="0"/>
    <d v="2019-03-03T05:04:46"/>
    <d v="2019-03-08T05:04:46"/>
    <d v="2019-03-10T05:04:46"/>
    <x v="9"/>
    <n v="39"/>
    <n v="111"/>
    <n v="994.24307898968891"/>
  </r>
  <r>
    <n v="111"/>
    <x v="5"/>
    <s v="Bangalore"/>
    <x v="2"/>
    <s v=" DL"/>
    <x v="1"/>
    <x v="0"/>
    <x v="1"/>
    <x v="1"/>
    <d v="2019-03-03T05:05:20"/>
    <d v="2019-03-12T05:05:20"/>
    <d v="2019-03-09T05:05:20"/>
    <x v="1"/>
    <n v="34"/>
    <n v="123"/>
    <n v="2707.43"/>
  </r>
  <r>
    <n v="675742"/>
    <x v="5"/>
    <s v="Delhi"/>
    <x v="0"/>
    <s v=" MH"/>
    <x v="0"/>
    <x v="0"/>
    <x v="0"/>
    <x v="0"/>
    <d v="2019-03-03T06:32:37"/>
    <d v="2019-03-05T06:32:37"/>
    <d v="2019-03-09T06:32:37"/>
    <x v="0"/>
    <n v="61"/>
    <n v="88"/>
    <n v="623.1959748114366"/>
  </r>
  <r>
    <n v="366507"/>
    <x v="5"/>
    <s v="Bangalore"/>
    <x v="0"/>
    <s v=" MH"/>
    <x v="0"/>
    <x v="0"/>
    <x v="1"/>
    <x v="1"/>
    <d v="2019-03-03T07:30:45"/>
    <d v="2019-03-09T07:30:45"/>
    <d v="2019-03-08T07:30:45"/>
    <x v="3"/>
    <n v="64"/>
    <n v="94"/>
    <n v="343.16"/>
  </r>
  <r>
    <n v="453223"/>
    <x v="5"/>
    <s v="Delhi"/>
    <x v="4"/>
    <s v=" WB"/>
    <x v="1"/>
    <x v="0"/>
    <x v="1"/>
    <x v="0"/>
    <d v="2019-03-03T08:16:40"/>
    <d v="2019-03-08T08:16:40"/>
    <d v="2019-03-08T08:16:40"/>
    <x v="9"/>
    <n v="40"/>
    <n v="106"/>
    <n v="3325.0128556093623"/>
  </r>
  <r>
    <n v="101282"/>
    <x v="5"/>
    <s v="Delhi"/>
    <x v="4"/>
    <s v=" WB"/>
    <x v="2"/>
    <x v="0"/>
    <x v="0"/>
    <x v="0"/>
    <d v="2019-03-03T08:24:34"/>
    <d v="2019-03-08T08:24:34"/>
    <d v="2019-03-09T08:24:34"/>
    <x v="9"/>
    <n v="31"/>
    <n v="107"/>
    <n v="2948.1300919471273"/>
  </r>
  <r>
    <n v="322739"/>
    <x v="5"/>
    <s v="Delhi"/>
    <x v="0"/>
    <s v=" MH"/>
    <x v="1"/>
    <x v="0"/>
    <x v="1"/>
    <x v="0"/>
    <d v="2019-03-03T08:31:38"/>
    <d v="2019-03-06T08:31:38"/>
    <d v="2019-03-08T08:31:38"/>
    <x v="4"/>
    <n v="43"/>
    <n v="111"/>
    <n v="797.28442344531516"/>
  </r>
  <r>
    <n v="935994"/>
    <x v="5"/>
    <s v="Bangalore"/>
    <x v="4"/>
    <s v=" WB"/>
    <x v="2"/>
    <x v="0"/>
    <x v="0"/>
    <x v="1"/>
    <d v="2019-03-03T08:48:42"/>
    <d v="2019-03-07T08:48:42"/>
    <d v="2019-03-10T08:48:42"/>
    <x v="6"/>
    <n v="45"/>
    <n v="108"/>
    <n v="3561.29"/>
  </r>
  <r>
    <n v="772560"/>
    <x v="5"/>
    <s v="Delhi"/>
    <x v="1"/>
    <s v=" TN"/>
    <x v="0"/>
    <x v="0"/>
    <x v="0"/>
    <x v="1"/>
    <d v="2019-03-03T09:28:34"/>
    <d v="2019-03-10T09:28:34"/>
    <d v="2019-03-10T09:28:34"/>
    <x v="8"/>
    <n v="71"/>
    <n v="100"/>
    <n v="1020.96"/>
  </r>
  <r>
    <n v="420502"/>
    <x v="5"/>
    <s v="Bangalore"/>
    <x v="0"/>
    <s v=" MH"/>
    <x v="2"/>
    <x v="0"/>
    <x v="0"/>
    <x v="0"/>
    <d v="2019-03-03T10:59:59"/>
    <d v="2019-03-09T10:59:59"/>
    <d v="2019-03-06T10:59:59"/>
    <x v="3"/>
    <n v="49"/>
    <n v="112"/>
    <n v="365.92732074328728"/>
  </r>
  <r>
    <n v="520569"/>
    <x v="5"/>
    <s v="Bangalore"/>
    <x v="0"/>
    <s v=" MH"/>
    <x v="1"/>
    <x v="0"/>
    <x v="2"/>
    <x v="1"/>
    <d v="2019-03-03T11:19:54"/>
    <d v="2019-03-10T11:19:54"/>
    <d v="2019-03-08T11:19:54"/>
    <x v="8"/>
    <n v="25"/>
    <n v="110"/>
    <n v="2936.21"/>
  </r>
  <r>
    <n v="326711"/>
    <x v="5"/>
    <s v="Delhi"/>
    <x v="3"/>
    <s v=" KA"/>
    <x v="1"/>
    <x v="0"/>
    <x v="2"/>
    <x v="0"/>
    <d v="2019-03-03T11:22:22"/>
    <d v="2019-03-07T11:22:22"/>
    <d v="2019-03-08T11:22:22"/>
    <x v="6"/>
    <n v="43"/>
    <n v="120"/>
    <n v="2073.6568636146812"/>
  </r>
  <r>
    <n v="102325"/>
    <x v="5"/>
    <s v="Delhi"/>
    <x v="0"/>
    <s v=" MH"/>
    <x v="1"/>
    <x v="0"/>
    <x v="1"/>
    <x v="0"/>
    <d v="2019-03-03T12:58:34"/>
    <d v="2019-03-07T12:58:34"/>
    <d v="2019-03-08T12:58:34"/>
    <x v="6"/>
    <n v="26"/>
    <n v="109"/>
    <n v="1552.4243996944883"/>
  </r>
  <r>
    <n v="642847"/>
    <x v="5"/>
    <s v="Bangalore"/>
    <x v="0"/>
    <s v=" MH"/>
    <x v="1"/>
    <x v="0"/>
    <x v="1"/>
    <x v="0"/>
    <d v="2019-03-03T13:23:21"/>
    <d v="2019-03-07T13:23:21"/>
    <d v="2019-03-10T13:23:21"/>
    <x v="6"/>
    <n v="47"/>
    <n v="108"/>
    <n v="2908.9893077245006"/>
  </r>
  <r>
    <n v="892645"/>
    <x v="5"/>
    <s v="Bangalore"/>
    <x v="3"/>
    <s v=" KA"/>
    <x v="1"/>
    <x v="0"/>
    <x v="1"/>
    <x v="0"/>
    <d v="2019-03-03T15:17:44"/>
    <d v="2019-03-09T15:17:44"/>
    <d v="2019-03-07T15:17:44"/>
    <x v="3"/>
    <n v="0"/>
    <n v="130"/>
    <n v="971.22182678386162"/>
  </r>
  <r>
    <n v="976041"/>
    <x v="5"/>
    <s v="Bangalore"/>
    <x v="0"/>
    <s v=" MH"/>
    <x v="0"/>
    <x v="0"/>
    <x v="1"/>
    <x v="1"/>
    <d v="2019-03-03T15:21:01"/>
    <d v="2019-03-05T15:21:01"/>
    <d v="2019-03-06T15:21:01"/>
    <x v="0"/>
    <n v="72"/>
    <n v="95"/>
    <n v="1537.3"/>
  </r>
  <r>
    <n v="842140"/>
    <x v="5"/>
    <s v="Delhi"/>
    <x v="2"/>
    <s v=" DL"/>
    <x v="0"/>
    <x v="0"/>
    <x v="0"/>
    <x v="0"/>
    <d v="2019-03-03T16:24:05"/>
    <d v="2019-03-08T16:24:05"/>
    <d v="2019-03-07T16:24:05"/>
    <x v="9"/>
    <n v="0"/>
    <n v="109"/>
    <n v="1538.6801946892174"/>
  </r>
  <r>
    <n v="676878"/>
    <x v="5"/>
    <s v="Delhi"/>
    <x v="4"/>
    <s v=" WB"/>
    <x v="2"/>
    <x v="0"/>
    <x v="0"/>
    <x v="1"/>
    <d v="2019-03-03T17:47:19"/>
    <d v="2019-03-10T17:47:19"/>
    <d v="2019-03-09T17:47:19"/>
    <x v="8"/>
    <n v="38"/>
    <n v="105"/>
    <n v="1613.59"/>
  </r>
  <r>
    <n v="989302"/>
    <x v="5"/>
    <s v="Delhi"/>
    <x v="2"/>
    <s v=" DL"/>
    <x v="0"/>
    <x v="0"/>
    <x v="0"/>
    <x v="0"/>
    <d v="2019-03-03T17:51:58"/>
    <d v="2019-03-06T17:51:58"/>
    <d v="2019-03-10T17:51:58"/>
    <x v="4"/>
    <n v="0"/>
    <n v="103"/>
    <n v="2717.0068117297378"/>
  </r>
  <r>
    <n v="743114"/>
    <x v="5"/>
    <s v="Bangalore"/>
    <x v="4"/>
    <s v=" WB"/>
    <x v="0"/>
    <x v="0"/>
    <x v="0"/>
    <x v="0"/>
    <d v="2019-03-03T18:13:44"/>
    <d v="2019-03-06T18:13:44"/>
    <d v="2019-03-06T18:13:44"/>
    <x v="4"/>
    <n v="78"/>
    <n v="87"/>
    <n v="1563.5689667567055"/>
  </r>
  <r>
    <n v="193581"/>
    <x v="5"/>
    <s v="Delhi"/>
    <x v="2"/>
    <s v=" DL"/>
    <x v="1"/>
    <x v="0"/>
    <x v="1"/>
    <x v="1"/>
    <d v="2019-03-03T19:48:18"/>
    <d v="2019-03-10T19:48:18"/>
    <d v="2019-03-06T19:48:18"/>
    <x v="8"/>
    <n v="0"/>
    <n v="129"/>
    <n v="2894.75"/>
  </r>
  <r>
    <n v="243070"/>
    <x v="5"/>
    <s v="Delhi"/>
    <x v="0"/>
    <s v=" MH"/>
    <x v="2"/>
    <x v="0"/>
    <x v="0"/>
    <x v="0"/>
    <d v="2019-03-03T20:59:38"/>
    <d v="2019-03-12T20:59:38"/>
    <d v="2019-03-06T20:59:38"/>
    <x v="1"/>
    <n v="36"/>
    <n v="110"/>
    <n v="2115.1998554706292"/>
  </r>
  <r>
    <n v="455099"/>
    <x v="5"/>
    <s v="Delhi"/>
    <x v="4"/>
    <s v=" WB"/>
    <x v="1"/>
    <x v="0"/>
    <x v="1"/>
    <x v="0"/>
    <d v="2019-03-03T21:29:11"/>
    <d v="2019-03-06T21:29:11"/>
    <d v="2019-03-06T21:29:11"/>
    <x v="4"/>
    <n v="34"/>
    <n v="111"/>
    <n v="562.2930182970606"/>
  </r>
  <r>
    <n v="489324"/>
    <x v="5"/>
    <s v="Bangalore"/>
    <x v="2"/>
    <s v=" DL"/>
    <x v="0"/>
    <x v="0"/>
    <x v="0"/>
    <x v="1"/>
    <d v="2019-03-03T21:39:21"/>
    <d v="2019-03-08T21:39:21"/>
    <d v="2019-03-10T21:39:21"/>
    <x v="9"/>
    <n v="87"/>
    <n v="100"/>
    <n v="3343.68"/>
  </r>
  <r>
    <n v="222466"/>
    <x v="5"/>
    <s v="Bangalore"/>
    <x v="0"/>
    <s v=" MH"/>
    <x v="0"/>
    <x v="0"/>
    <x v="0"/>
    <x v="0"/>
    <d v="2019-03-03T21:44:18"/>
    <d v="2019-03-05T21:44:18"/>
    <d v="2019-03-07T21:44:18"/>
    <x v="0"/>
    <n v="68"/>
    <n v="94"/>
    <n v="1138.6553273088462"/>
  </r>
  <r>
    <n v="453508"/>
    <x v="5"/>
    <s v="Bangalore"/>
    <x v="4"/>
    <s v=" WB"/>
    <x v="0"/>
    <x v="0"/>
    <x v="0"/>
    <x v="0"/>
    <d v="2019-03-03T21:48:14"/>
    <d v="2019-03-11T21:48:14"/>
    <d v="2019-03-07T21:48:14"/>
    <x v="5"/>
    <n v="32"/>
    <n v="113"/>
    <n v="2050.3019612860653"/>
  </r>
  <r>
    <n v="887149"/>
    <x v="5"/>
    <s v="Bangalore"/>
    <x v="2"/>
    <s v=" DL"/>
    <x v="1"/>
    <x v="0"/>
    <x v="1"/>
    <x v="0"/>
    <d v="2019-03-03T22:30:36"/>
    <d v="2019-03-08T22:30:36"/>
    <d v="2019-03-09T22:30:36"/>
    <x v="9"/>
    <n v="30"/>
    <n v="128"/>
    <n v="3243.010655554785"/>
  </r>
  <r>
    <n v="124307"/>
    <x v="5"/>
    <s v="Delhi"/>
    <x v="1"/>
    <s v=" TN"/>
    <x v="1"/>
    <x v="0"/>
    <x v="1"/>
    <x v="0"/>
    <d v="2019-03-03T23:10:29"/>
    <d v="2019-03-05T23:10:29"/>
    <d v="2019-03-06T23:10:29"/>
    <x v="0"/>
    <n v="38"/>
    <n v="128"/>
    <n v="3467.3682504149142"/>
  </r>
  <r>
    <n v="247206"/>
    <x v="5"/>
    <s v="Delhi"/>
    <x v="0"/>
    <s v=" MH"/>
    <x v="2"/>
    <x v="0"/>
    <x v="0"/>
    <x v="1"/>
    <d v="2019-03-03T23:30:33"/>
    <d v="2019-03-07T23:30:33"/>
    <d v="2019-03-09T23:30:33"/>
    <x v="6"/>
    <n v="43"/>
    <n v="110"/>
    <n v="738.16"/>
  </r>
  <r>
    <n v="522168"/>
    <x v="5"/>
    <s v="Bangalore"/>
    <x v="4"/>
    <s v=" WB"/>
    <x v="0"/>
    <x v="0"/>
    <x v="0"/>
    <x v="1"/>
    <d v="2019-03-04T01:20:29"/>
    <d v="2019-03-07T01:20:29"/>
    <d v="2019-03-08T01:20:29"/>
    <x v="4"/>
    <n v="32"/>
    <n v="114"/>
    <n v="3296.49"/>
  </r>
  <r>
    <n v="481579"/>
    <x v="5"/>
    <s v="Delhi"/>
    <x v="0"/>
    <s v=" MH"/>
    <x v="1"/>
    <x v="0"/>
    <x v="2"/>
    <x v="0"/>
    <d v="2019-03-04T02:06:17"/>
    <d v="2019-03-08T02:06:17"/>
    <d v="2019-03-08T02:06:17"/>
    <x v="6"/>
    <n v="37"/>
    <n v="108"/>
    <n v="3728.4281903213041"/>
  </r>
  <r>
    <n v="112726"/>
    <x v="5"/>
    <s v="Delhi"/>
    <x v="2"/>
    <s v=" DL"/>
    <x v="2"/>
    <x v="0"/>
    <x v="0"/>
    <x v="0"/>
    <d v="2019-03-04T02:15:26"/>
    <d v="2019-03-06T02:15:26"/>
    <d v="2019-03-11T02:15:26"/>
    <x v="0"/>
    <n v="0"/>
    <n v="124"/>
    <n v="2734.5695439427191"/>
  </r>
  <r>
    <n v="112789"/>
    <x v="5"/>
    <s v="Bangalore"/>
    <x v="2"/>
    <s v=" DL"/>
    <x v="0"/>
    <x v="0"/>
    <x v="1"/>
    <x v="0"/>
    <d v="2019-03-04T02:20:04"/>
    <d v="2019-03-09T02:20:04"/>
    <d v="2019-03-11T02:20:04"/>
    <x v="9"/>
    <n v="83"/>
    <n v="103"/>
    <n v="1666.9715030749337"/>
  </r>
  <r>
    <n v="297920"/>
    <x v="5"/>
    <s v="Bangalore"/>
    <x v="0"/>
    <s v=" MH"/>
    <x v="0"/>
    <x v="0"/>
    <x v="0"/>
    <x v="0"/>
    <d v="2019-03-04T02:41:44"/>
    <d v="2019-03-06T02:41:44"/>
    <d v="2019-03-10T02:41:44"/>
    <x v="0"/>
    <n v="36"/>
    <n v="106"/>
    <n v="2253.6238823149661"/>
  </r>
  <r>
    <n v="833054"/>
    <x v="5"/>
    <s v="Bangalore"/>
    <x v="2"/>
    <s v=" DL"/>
    <x v="2"/>
    <x v="0"/>
    <x v="0"/>
    <x v="0"/>
    <d v="2019-03-04T02:50:04"/>
    <d v="2019-03-10T02:50:04"/>
    <d v="2019-03-11T02:50:04"/>
    <x v="3"/>
    <n v="37"/>
    <n v="121"/>
    <n v="1433.3580821626565"/>
  </r>
  <r>
    <n v="392900"/>
    <x v="5"/>
    <s v="Bangalore"/>
    <x v="3"/>
    <s v=" KA"/>
    <x v="0"/>
    <x v="0"/>
    <x v="0"/>
    <x v="0"/>
    <d v="2019-03-04T03:02:45"/>
    <d v="2019-03-04T03:02:45"/>
    <d v="2019-03-07T03:02:45"/>
    <x v="10"/>
    <n v="0"/>
    <n v="129"/>
    <n v="2551.764262381279"/>
  </r>
  <r>
    <n v="370960"/>
    <x v="5"/>
    <s v="Delhi"/>
    <x v="3"/>
    <s v=" KA"/>
    <x v="0"/>
    <x v="0"/>
    <x v="0"/>
    <x v="0"/>
    <d v="2019-03-04T05:29:59"/>
    <d v="2019-03-10T05:29:59"/>
    <d v="2019-03-10T05:29:59"/>
    <x v="3"/>
    <n v="50"/>
    <n v="127"/>
    <n v="2330.388937235633"/>
  </r>
  <r>
    <n v="504954"/>
    <x v="5"/>
    <s v="Delhi"/>
    <x v="4"/>
    <s v=" WB"/>
    <x v="2"/>
    <x v="0"/>
    <x v="0"/>
    <x v="1"/>
    <d v="2019-03-04T06:35:26"/>
    <d v="2019-03-07T06:35:26"/>
    <d v="2019-03-08T06:35:26"/>
    <x v="4"/>
    <n v="43"/>
    <n v="107"/>
    <n v="2849.02"/>
  </r>
  <r>
    <n v="511950"/>
    <x v="5"/>
    <s v="Delhi"/>
    <x v="2"/>
    <s v=" DL"/>
    <x v="0"/>
    <x v="0"/>
    <x v="0"/>
    <x v="1"/>
    <d v="2019-03-04T08:23:11"/>
    <d v="2019-03-04T08:23:11"/>
    <d v="2019-03-11T08:23:11"/>
    <x v="10"/>
    <n v="0"/>
    <n v="110"/>
    <n v="1392.21"/>
  </r>
  <r>
    <n v="789563"/>
    <x v="5"/>
    <s v="Bangalore"/>
    <x v="3"/>
    <s v=" KA"/>
    <x v="1"/>
    <x v="0"/>
    <x v="1"/>
    <x v="0"/>
    <d v="2019-03-04T08:32:41"/>
    <d v="2019-03-09T08:32:41"/>
    <d v="2019-03-07T08:32:41"/>
    <x v="9"/>
    <n v="0"/>
    <n v="123"/>
    <n v="3038.2960187842777"/>
  </r>
  <r>
    <n v="54078"/>
    <x v="5"/>
    <s v="Bangalore"/>
    <x v="2"/>
    <s v=" DL"/>
    <x v="2"/>
    <x v="0"/>
    <x v="0"/>
    <x v="1"/>
    <d v="2019-03-04T10:05:19"/>
    <d v="2019-03-08T10:05:19"/>
    <d v="2019-03-11T10:05:19"/>
    <x v="6"/>
    <n v="29"/>
    <n v="124"/>
    <n v="3282.83"/>
  </r>
  <r>
    <n v="490038"/>
    <x v="5"/>
    <s v="Bangalore"/>
    <x v="1"/>
    <s v=" TN"/>
    <x v="2"/>
    <x v="0"/>
    <x v="0"/>
    <x v="1"/>
    <d v="2019-03-04T11:02:13"/>
    <d v="2019-03-10T11:02:13"/>
    <d v="2019-03-09T11:02:13"/>
    <x v="3"/>
    <n v="0"/>
    <n v="128"/>
    <n v="804.57"/>
  </r>
  <r>
    <n v="5026"/>
    <x v="5"/>
    <s v="Delhi"/>
    <x v="1"/>
    <s v=" TN"/>
    <x v="0"/>
    <x v="0"/>
    <x v="0"/>
    <x v="0"/>
    <d v="2019-03-04T12:15:31"/>
    <d v="2019-03-10T12:15:31"/>
    <d v="2019-03-07T12:15:31"/>
    <x v="3"/>
    <n v="78"/>
    <n v="109"/>
    <n v="3491.4769523365512"/>
  </r>
  <r>
    <n v="553036"/>
    <x v="5"/>
    <s v="Delhi"/>
    <x v="0"/>
    <s v=" MH"/>
    <x v="0"/>
    <x v="0"/>
    <x v="0"/>
    <x v="0"/>
    <d v="2019-03-04T12:23:41"/>
    <d v="2019-03-06T12:23:41"/>
    <d v="2019-03-09T12:23:41"/>
    <x v="0"/>
    <n v="62"/>
    <n v="95"/>
    <n v="1930.6051837532495"/>
  </r>
  <r>
    <n v="441659"/>
    <x v="5"/>
    <s v="Delhi"/>
    <x v="2"/>
    <s v=" DL"/>
    <x v="0"/>
    <x v="0"/>
    <x v="1"/>
    <x v="0"/>
    <d v="2019-03-04T13:00:59"/>
    <d v="2019-03-05T13:00:59"/>
    <d v="2019-03-09T13:00:59"/>
    <x v="2"/>
    <n v="0"/>
    <n v="104"/>
    <n v="2435.8793428903132"/>
  </r>
  <r>
    <n v="206522"/>
    <x v="5"/>
    <s v="Delhi"/>
    <x v="3"/>
    <s v=" KA"/>
    <x v="0"/>
    <x v="0"/>
    <x v="0"/>
    <x v="0"/>
    <d v="2019-03-04T13:06:30"/>
    <d v="2019-03-07T13:06:30"/>
    <d v="2019-03-11T13:06:30"/>
    <x v="4"/>
    <n v="58"/>
    <n v="107"/>
    <n v="836.94478192573922"/>
  </r>
  <r>
    <n v="677502"/>
    <x v="5"/>
    <s v="Bangalore"/>
    <x v="2"/>
    <s v=" DL"/>
    <x v="2"/>
    <x v="0"/>
    <x v="0"/>
    <x v="1"/>
    <d v="2019-03-04T13:16:52"/>
    <d v="2019-03-12T13:16:52"/>
    <d v="2019-03-09T13:16:52"/>
    <x v="5"/>
    <n v="41"/>
    <n v="126"/>
    <n v="3378.09"/>
  </r>
  <r>
    <n v="267112"/>
    <x v="5"/>
    <s v="Delhi"/>
    <x v="1"/>
    <s v=" TN"/>
    <x v="0"/>
    <x v="0"/>
    <x v="0"/>
    <x v="0"/>
    <d v="2019-03-04T13:41:19"/>
    <d v="2019-03-14T13:41:19"/>
    <d v="2019-03-10T13:41:19"/>
    <x v="7"/>
    <n v="30"/>
    <n v="124"/>
    <n v="1313.4821538318072"/>
  </r>
  <r>
    <n v="732729"/>
    <x v="5"/>
    <s v="Delhi"/>
    <x v="0"/>
    <s v=" MH"/>
    <x v="0"/>
    <x v="0"/>
    <x v="1"/>
    <x v="1"/>
    <d v="2019-03-04T14:06:20"/>
    <d v="2019-03-07T14:06:20"/>
    <d v="2019-03-10T14:06:20"/>
    <x v="4"/>
    <n v="67"/>
    <n v="88"/>
    <n v="1644.75"/>
  </r>
  <r>
    <n v="904060"/>
    <x v="5"/>
    <s v="Bangalore"/>
    <x v="2"/>
    <s v=" DL"/>
    <x v="0"/>
    <x v="0"/>
    <x v="0"/>
    <x v="0"/>
    <d v="2019-03-04T15:39:12"/>
    <d v="2019-03-09T15:39:12"/>
    <d v="2019-03-10T15:39:12"/>
    <x v="9"/>
    <n v="29"/>
    <n v="128"/>
    <n v="2967.7244971395962"/>
  </r>
  <r>
    <n v="786948"/>
    <x v="5"/>
    <s v="Delhi"/>
    <x v="1"/>
    <s v=" TN"/>
    <x v="0"/>
    <x v="0"/>
    <x v="0"/>
    <x v="1"/>
    <d v="2019-03-04T15:50:13"/>
    <d v="2019-03-13T15:50:13"/>
    <d v="2019-03-07T15:50:13"/>
    <x v="1"/>
    <n v="31"/>
    <n v="125"/>
    <n v="2426.2199999999998"/>
  </r>
  <r>
    <n v="274180"/>
    <x v="5"/>
    <s v="Bangalore"/>
    <x v="0"/>
    <s v=" MH"/>
    <x v="0"/>
    <x v="0"/>
    <x v="0"/>
    <x v="0"/>
    <d v="2019-03-04T16:03:28"/>
    <d v="2019-03-06T16:03:28"/>
    <d v="2019-03-10T16:03:28"/>
    <x v="0"/>
    <n v="30"/>
    <n v="111"/>
    <n v="3185.7095675816522"/>
  </r>
  <r>
    <n v="449445"/>
    <x v="5"/>
    <s v="Delhi"/>
    <x v="2"/>
    <s v=" DL"/>
    <x v="0"/>
    <x v="0"/>
    <x v="1"/>
    <x v="1"/>
    <d v="2019-03-04T16:53:39"/>
    <d v="2019-03-09T16:53:39"/>
    <d v="2019-03-11T16:53:39"/>
    <x v="9"/>
    <n v="0"/>
    <n v="109"/>
    <n v="2732.64"/>
  </r>
  <r>
    <n v="754777"/>
    <x v="5"/>
    <s v="Bangalore"/>
    <x v="4"/>
    <s v=" WB"/>
    <x v="1"/>
    <x v="0"/>
    <x v="1"/>
    <x v="0"/>
    <d v="2019-03-04T17:10:03"/>
    <d v="2019-03-10T17:10:03"/>
    <d v="2019-03-07T17:10:03"/>
    <x v="3"/>
    <n v="30"/>
    <n v="113"/>
    <n v="2360.3448734920203"/>
  </r>
  <r>
    <n v="644938"/>
    <x v="5"/>
    <s v="Bangalore"/>
    <x v="1"/>
    <s v=" TN"/>
    <x v="0"/>
    <x v="0"/>
    <x v="0"/>
    <x v="0"/>
    <d v="2019-03-04T17:22:28"/>
    <d v="2019-03-08T17:22:28"/>
    <d v="2019-03-07T17:22:28"/>
    <x v="6"/>
    <n v="63"/>
    <n v="107"/>
    <n v="2164.6287727558911"/>
  </r>
  <r>
    <n v="664364"/>
    <x v="5"/>
    <s v="Delhi"/>
    <x v="3"/>
    <s v=" KA"/>
    <x v="0"/>
    <x v="0"/>
    <x v="0"/>
    <x v="0"/>
    <d v="2019-03-04T17:25:36"/>
    <d v="2019-03-07T17:25:36"/>
    <d v="2019-03-11T17:25:36"/>
    <x v="4"/>
    <n v="40"/>
    <n v="127"/>
    <n v="3738.0423952944175"/>
  </r>
  <r>
    <n v="543602"/>
    <x v="5"/>
    <s v="Delhi"/>
    <x v="0"/>
    <s v=" MH"/>
    <x v="2"/>
    <x v="0"/>
    <x v="0"/>
    <x v="0"/>
    <d v="2019-03-04T17:35:43"/>
    <d v="2019-03-08T17:35:43"/>
    <d v="2019-03-07T17:35:43"/>
    <x v="6"/>
    <n v="45"/>
    <n v="111"/>
    <n v="827.48081479100949"/>
  </r>
  <r>
    <n v="421332"/>
    <x v="5"/>
    <s v="Bangalore"/>
    <x v="1"/>
    <s v=" TN"/>
    <x v="0"/>
    <x v="0"/>
    <x v="0"/>
    <x v="1"/>
    <d v="2019-03-04T18:22:27"/>
    <d v="2019-03-14T18:22:27"/>
    <d v="2019-03-07T18:22:27"/>
    <x v="7"/>
    <n v="65"/>
    <n v="100"/>
    <n v="1042.3699999999999"/>
  </r>
  <r>
    <n v="996475"/>
    <x v="5"/>
    <s v="Bangalore"/>
    <x v="1"/>
    <s v=" TN"/>
    <x v="1"/>
    <x v="0"/>
    <x v="1"/>
    <x v="0"/>
    <d v="2019-03-04T18:30:44"/>
    <d v="2019-03-08T18:30:44"/>
    <d v="2019-03-10T18:30:44"/>
    <x v="6"/>
    <n v="30"/>
    <n v="127"/>
    <n v="1183.6142038474638"/>
  </r>
  <r>
    <n v="932091"/>
    <x v="5"/>
    <s v="Delhi"/>
    <x v="3"/>
    <s v=" KA"/>
    <x v="0"/>
    <x v="0"/>
    <x v="1"/>
    <x v="1"/>
    <d v="2019-03-04T19:28:23"/>
    <d v="2019-03-06T19:28:23"/>
    <d v="2019-03-07T19:28:23"/>
    <x v="0"/>
    <n v="65"/>
    <n v="102"/>
    <n v="1412.65"/>
  </r>
  <r>
    <n v="978354"/>
    <x v="5"/>
    <s v="Bangalore"/>
    <x v="3"/>
    <s v=" KA"/>
    <x v="2"/>
    <x v="0"/>
    <x v="0"/>
    <x v="1"/>
    <d v="2019-03-04T20:32:50"/>
    <d v="2019-03-08T20:32:50"/>
    <d v="2019-03-10T20:32:50"/>
    <x v="6"/>
    <n v="0"/>
    <n v="120"/>
    <n v="2895.43"/>
  </r>
  <r>
    <n v="454834"/>
    <x v="5"/>
    <s v="Bangalore"/>
    <x v="4"/>
    <s v=" WB"/>
    <x v="2"/>
    <x v="0"/>
    <x v="0"/>
    <x v="0"/>
    <d v="2019-03-04T20:38:21"/>
    <d v="2019-03-11T20:38:21"/>
    <d v="2019-03-07T20:38:21"/>
    <x v="8"/>
    <n v="37"/>
    <n v="114"/>
    <n v="3640.4159080113159"/>
  </r>
  <r>
    <n v="97209"/>
    <x v="5"/>
    <s v="Delhi"/>
    <x v="3"/>
    <s v=" KA"/>
    <x v="1"/>
    <x v="0"/>
    <x v="2"/>
    <x v="1"/>
    <d v="2019-03-04T20:40:09"/>
    <d v="2019-03-10T20:40:09"/>
    <d v="2019-03-07T20:40:09"/>
    <x v="3"/>
    <n v="43"/>
    <n v="122"/>
    <n v="1387.59"/>
  </r>
  <r>
    <n v="131293"/>
    <x v="5"/>
    <s v="Delhi"/>
    <x v="2"/>
    <s v=" DL"/>
    <x v="1"/>
    <x v="0"/>
    <x v="1"/>
    <x v="0"/>
    <d v="2019-03-04T21:00:53"/>
    <d v="2019-03-08T21:00:53"/>
    <d v="2019-03-07T21:00:53"/>
    <x v="6"/>
    <n v="0"/>
    <n v="126"/>
    <n v="813.69913204326667"/>
  </r>
  <r>
    <n v="558559"/>
    <x v="5"/>
    <s v="Delhi"/>
    <x v="3"/>
    <s v=" KA"/>
    <x v="1"/>
    <x v="0"/>
    <x v="1"/>
    <x v="0"/>
    <d v="2019-03-04T21:19:26"/>
    <d v="2019-03-09T21:19:26"/>
    <d v="2019-03-11T21:19:26"/>
    <x v="9"/>
    <n v="42"/>
    <n v="125"/>
    <n v="2134.848955850011"/>
  </r>
  <r>
    <n v="8367"/>
    <x v="5"/>
    <s v="Delhi"/>
    <x v="4"/>
    <s v=" WB"/>
    <x v="1"/>
    <x v="0"/>
    <x v="1"/>
    <x v="1"/>
    <d v="2019-03-04T23:37:33"/>
    <d v="2019-03-10T23:37:33"/>
    <d v="2019-03-08T23:37:33"/>
    <x v="3"/>
    <n v="49"/>
    <n v="115"/>
    <n v="401.18"/>
  </r>
  <r>
    <n v="914254"/>
    <x v="5"/>
    <s v="Delhi"/>
    <x v="2"/>
    <s v=" DL"/>
    <x v="0"/>
    <x v="0"/>
    <x v="0"/>
    <x v="0"/>
    <d v="2019-03-05T00:43:14"/>
    <d v="2019-03-06T00:43:14"/>
    <d v="2019-03-10T00:43:14"/>
    <x v="2"/>
    <n v="0"/>
    <n v="107"/>
    <n v="1270.8052652375272"/>
  </r>
  <r>
    <n v="35020"/>
    <x v="5"/>
    <s v="Delhi"/>
    <x v="2"/>
    <s v=" DL"/>
    <x v="0"/>
    <x v="0"/>
    <x v="0"/>
    <x v="0"/>
    <d v="2019-03-05T01:04:35"/>
    <d v="2019-03-09T01:04:35"/>
    <d v="2019-03-08T01:04:35"/>
    <x v="6"/>
    <n v="0"/>
    <n v="130"/>
    <n v="442.02379152099098"/>
  </r>
  <r>
    <n v="308348"/>
    <x v="5"/>
    <s v="Delhi"/>
    <x v="1"/>
    <s v=" TN"/>
    <x v="0"/>
    <x v="0"/>
    <x v="0"/>
    <x v="0"/>
    <d v="2019-03-05T01:26:40"/>
    <d v="2019-03-10T01:26:40"/>
    <d v="2019-03-09T01:26:40"/>
    <x v="9"/>
    <n v="42"/>
    <n v="128"/>
    <n v="1865.0453172502016"/>
  </r>
  <r>
    <n v="304979"/>
    <x v="5"/>
    <s v="Delhi"/>
    <x v="1"/>
    <s v=" TN"/>
    <x v="1"/>
    <x v="0"/>
    <x v="1"/>
    <x v="0"/>
    <d v="2019-03-05T01:41:08"/>
    <d v="2019-03-10T01:41:08"/>
    <d v="2019-03-08T01:41:08"/>
    <x v="9"/>
    <n v="39"/>
    <n v="125"/>
    <n v="2340.9130357852891"/>
  </r>
  <r>
    <n v="903391"/>
    <x v="5"/>
    <s v="Delhi"/>
    <x v="3"/>
    <s v=" KA"/>
    <x v="0"/>
    <x v="0"/>
    <x v="1"/>
    <x v="0"/>
    <d v="2019-03-05T01:45:25"/>
    <d v="2019-03-11T01:45:25"/>
    <d v="2019-03-08T01:45:25"/>
    <x v="3"/>
    <n v="68"/>
    <n v="105"/>
    <n v="1660.1627776439022"/>
  </r>
  <r>
    <n v="224056"/>
    <x v="5"/>
    <s v="Delhi"/>
    <x v="2"/>
    <s v=" DL"/>
    <x v="0"/>
    <x v="0"/>
    <x v="0"/>
    <x v="0"/>
    <d v="2019-03-05T01:57:01"/>
    <d v="2019-03-05T01:57:01"/>
    <d v="2019-03-09T01:57:01"/>
    <x v="10"/>
    <n v="0"/>
    <n v="126"/>
    <n v="3111.7703353190509"/>
  </r>
  <r>
    <n v="21526"/>
    <x v="5"/>
    <s v="Bangalore"/>
    <x v="0"/>
    <s v=" MH"/>
    <x v="2"/>
    <x v="0"/>
    <x v="0"/>
    <x v="0"/>
    <d v="2019-03-05T02:34:11"/>
    <d v="2019-03-10T02:34:11"/>
    <d v="2019-03-09T02:34:11"/>
    <x v="9"/>
    <n v="43"/>
    <n v="108"/>
    <n v="3270.0206835084114"/>
  </r>
  <r>
    <n v="973808"/>
    <x v="5"/>
    <s v="Delhi"/>
    <x v="3"/>
    <s v=" KA"/>
    <x v="0"/>
    <x v="0"/>
    <x v="0"/>
    <x v="0"/>
    <d v="2019-03-05T02:56:46"/>
    <d v="2019-03-07T02:56:46"/>
    <d v="2019-03-09T02:56:46"/>
    <x v="0"/>
    <n v="29"/>
    <n v="122"/>
    <n v="1942.0984134268499"/>
  </r>
  <r>
    <n v="117634"/>
    <x v="5"/>
    <s v="Delhi"/>
    <x v="0"/>
    <s v=" MH"/>
    <x v="2"/>
    <x v="0"/>
    <x v="0"/>
    <x v="0"/>
    <d v="2019-03-05T03:15:06"/>
    <d v="2019-03-14T03:15:06"/>
    <d v="2019-03-08T03:15:06"/>
    <x v="1"/>
    <n v="30"/>
    <n v="110"/>
    <n v="3697.0426093536362"/>
  </r>
  <r>
    <n v="860857"/>
    <x v="5"/>
    <s v="Bangalore"/>
    <x v="3"/>
    <s v=" KA"/>
    <x v="1"/>
    <x v="0"/>
    <x v="1"/>
    <x v="0"/>
    <d v="2019-03-05T04:02:29"/>
    <d v="2019-03-05T04:02:29"/>
    <d v="2019-03-10T04:02:29"/>
    <x v="10"/>
    <n v="0"/>
    <n v="126"/>
    <n v="2431.8156688049862"/>
  </r>
  <r>
    <n v="513579"/>
    <x v="5"/>
    <s v="Bangalore"/>
    <x v="2"/>
    <s v=" DL"/>
    <x v="0"/>
    <x v="0"/>
    <x v="1"/>
    <x v="1"/>
    <d v="2019-03-05T04:23:49"/>
    <d v="2019-03-10T04:23:49"/>
    <d v="2019-03-12T04:23:49"/>
    <x v="9"/>
    <n v="66"/>
    <n v="103"/>
    <n v="1204.49"/>
  </r>
  <r>
    <n v="995482"/>
    <x v="5"/>
    <s v="Delhi"/>
    <x v="0"/>
    <s v=" MH"/>
    <x v="0"/>
    <x v="0"/>
    <x v="0"/>
    <x v="0"/>
    <d v="2019-03-05T04:28:58"/>
    <d v="2019-03-07T04:28:58"/>
    <d v="2019-03-12T04:28:58"/>
    <x v="0"/>
    <n v="70"/>
    <n v="89"/>
    <n v="3358.8638197673799"/>
  </r>
  <r>
    <n v="578867"/>
    <x v="5"/>
    <s v="Delhi"/>
    <x v="3"/>
    <s v=" KA"/>
    <x v="1"/>
    <x v="0"/>
    <x v="1"/>
    <x v="0"/>
    <d v="2019-03-05T04:50:54"/>
    <d v="2019-03-10T04:50:54"/>
    <d v="2019-03-12T04:50:54"/>
    <x v="9"/>
    <n v="36"/>
    <n v="121"/>
    <n v="754.87512198080674"/>
  </r>
  <r>
    <n v="732698"/>
    <x v="5"/>
    <s v="Delhi"/>
    <x v="0"/>
    <s v=" MH"/>
    <x v="2"/>
    <x v="0"/>
    <x v="0"/>
    <x v="0"/>
    <d v="2019-03-05T05:05:29"/>
    <d v="2019-03-09T05:05:29"/>
    <d v="2019-03-12T05:05:29"/>
    <x v="6"/>
    <n v="43"/>
    <n v="107"/>
    <n v="3247.7194071866779"/>
  </r>
  <r>
    <n v="929162"/>
    <x v="5"/>
    <s v="Bangalore"/>
    <x v="4"/>
    <s v=" WB"/>
    <x v="0"/>
    <x v="0"/>
    <x v="0"/>
    <x v="0"/>
    <d v="2019-03-05T05:35:28"/>
    <d v="2019-03-10T05:35:28"/>
    <d v="2019-03-10T05:35:28"/>
    <x v="9"/>
    <n v="79"/>
    <n v="87"/>
    <n v="2383.6960146872498"/>
  </r>
  <r>
    <n v="967561"/>
    <x v="5"/>
    <s v="Bangalore"/>
    <x v="2"/>
    <s v=" DL"/>
    <x v="1"/>
    <x v="0"/>
    <x v="2"/>
    <x v="0"/>
    <d v="2019-03-05T05:45:21"/>
    <d v="2019-03-13T05:45:21"/>
    <d v="2019-03-11T05:45:21"/>
    <x v="5"/>
    <n v="46"/>
    <n v="126"/>
    <n v="3603.357404389405"/>
  </r>
  <r>
    <n v="123210"/>
    <x v="5"/>
    <s v="Delhi"/>
    <x v="3"/>
    <s v=" KA"/>
    <x v="2"/>
    <x v="0"/>
    <x v="0"/>
    <x v="1"/>
    <d v="2019-03-05T06:30:56"/>
    <d v="2019-03-11T06:30:56"/>
    <d v="2019-03-12T06:30:56"/>
    <x v="3"/>
    <n v="40"/>
    <n v="123"/>
    <n v="909.75"/>
  </r>
  <r>
    <n v="284932"/>
    <x v="5"/>
    <s v="Bangalore"/>
    <x v="3"/>
    <s v=" KA"/>
    <x v="0"/>
    <x v="0"/>
    <x v="0"/>
    <x v="0"/>
    <d v="2019-03-05T07:56:29"/>
    <d v="2019-03-06T07:56:29"/>
    <d v="2019-03-10T07:56:29"/>
    <x v="2"/>
    <n v="0"/>
    <n v="110"/>
    <n v="1465.3775788675357"/>
  </r>
  <r>
    <n v="314263"/>
    <x v="5"/>
    <s v="Bangalore"/>
    <x v="3"/>
    <s v=" KA"/>
    <x v="0"/>
    <x v="0"/>
    <x v="1"/>
    <x v="0"/>
    <d v="2019-03-05T08:37:01"/>
    <d v="2019-03-06T08:37:01"/>
    <d v="2019-03-12T08:37:01"/>
    <x v="2"/>
    <n v="0"/>
    <n v="108"/>
    <n v="1857.8441234216573"/>
  </r>
  <r>
    <n v="883705"/>
    <x v="5"/>
    <s v="Delhi"/>
    <x v="2"/>
    <s v=" DL"/>
    <x v="1"/>
    <x v="0"/>
    <x v="1"/>
    <x v="0"/>
    <d v="2019-03-05T08:56:56"/>
    <d v="2019-03-12T08:56:56"/>
    <d v="2019-03-09T08:56:56"/>
    <x v="8"/>
    <n v="0"/>
    <n v="126"/>
    <n v="1919.128711215368"/>
  </r>
  <r>
    <n v="783391"/>
    <x v="5"/>
    <s v="Delhi"/>
    <x v="4"/>
    <s v=" WB"/>
    <x v="0"/>
    <x v="0"/>
    <x v="2"/>
    <x v="0"/>
    <d v="2019-03-05T09:10:35"/>
    <d v="2019-03-13T09:10:35"/>
    <d v="2019-03-12T09:10:35"/>
    <x v="5"/>
    <n v="78"/>
    <n v="95"/>
    <n v="3095.6224330753557"/>
  </r>
  <r>
    <n v="542710"/>
    <x v="5"/>
    <s v="Bangalore"/>
    <x v="1"/>
    <s v=" TN"/>
    <x v="2"/>
    <x v="0"/>
    <x v="0"/>
    <x v="0"/>
    <d v="2019-03-05T09:39:11"/>
    <d v="2019-03-11T09:39:11"/>
    <d v="2019-03-09T09:39:11"/>
    <x v="3"/>
    <n v="39"/>
    <n v="123"/>
    <n v="3304.1098250801383"/>
  </r>
  <r>
    <n v="92592"/>
    <x v="5"/>
    <s v="Delhi"/>
    <x v="1"/>
    <s v=" TN"/>
    <x v="0"/>
    <x v="0"/>
    <x v="0"/>
    <x v="1"/>
    <d v="2019-03-05T09:42:17"/>
    <d v="2019-03-15T09:42:17"/>
    <d v="2019-03-09T09:42:17"/>
    <x v="7"/>
    <n v="47"/>
    <n v="124"/>
    <n v="899.68"/>
  </r>
  <r>
    <n v="356421"/>
    <x v="5"/>
    <s v="Delhi"/>
    <x v="4"/>
    <s v=" WB"/>
    <x v="1"/>
    <x v="0"/>
    <x v="1"/>
    <x v="1"/>
    <d v="2019-03-05T10:11:59"/>
    <d v="2019-03-12T10:11:59"/>
    <d v="2019-03-10T10:11:59"/>
    <x v="8"/>
    <n v="48"/>
    <n v="112"/>
    <n v="2695.99"/>
  </r>
  <r>
    <n v="680174"/>
    <x v="5"/>
    <s v="Delhi"/>
    <x v="3"/>
    <s v=" KA"/>
    <x v="0"/>
    <x v="0"/>
    <x v="0"/>
    <x v="0"/>
    <d v="2019-03-05T10:47:42"/>
    <d v="2019-03-10T10:47:42"/>
    <d v="2019-03-09T10:47:42"/>
    <x v="9"/>
    <n v="72"/>
    <n v="104"/>
    <n v="2335.3219297675787"/>
  </r>
  <r>
    <n v="25414"/>
    <x v="5"/>
    <s v="Delhi"/>
    <x v="2"/>
    <s v=" DL"/>
    <x v="2"/>
    <x v="0"/>
    <x v="0"/>
    <x v="0"/>
    <d v="2019-03-05T10:53:28"/>
    <d v="2019-03-07T10:53:28"/>
    <d v="2019-03-08T10:53:28"/>
    <x v="0"/>
    <n v="0"/>
    <n v="130"/>
    <n v="1146.8821812243211"/>
  </r>
  <r>
    <n v="78042"/>
    <x v="5"/>
    <s v="Bangalore"/>
    <x v="2"/>
    <s v=" DL"/>
    <x v="2"/>
    <x v="0"/>
    <x v="0"/>
    <x v="1"/>
    <d v="2019-03-05T11:14:34"/>
    <d v="2019-03-14T11:14:34"/>
    <d v="2019-03-08T11:14:34"/>
    <x v="1"/>
    <n v="48"/>
    <n v="123"/>
    <n v="356.99"/>
  </r>
  <r>
    <n v="573966"/>
    <x v="5"/>
    <s v="Delhi"/>
    <x v="4"/>
    <s v=" WB"/>
    <x v="2"/>
    <x v="0"/>
    <x v="0"/>
    <x v="1"/>
    <d v="2019-03-05T11:34:19"/>
    <d v="2019-03-07T11:34:19"/>
    <d v="2019-03-09T11:34:19"/>
    <x v="0"/>
    <n v="44"/>
    <n v="106"/>
    <n v="495.71"/>
  </r>
  <r>
    <n v="563478"/>
    <x v="5"/>
    <s v="Bangalore"/>
    <x v="1"/>
    <s v=" TN"/>
    <x v="0"/>
    <x v="0"/>
    <x v="0"/>
    <x v="1"/>
    <d v="2019-03-05T11:55:39"/>
    <d v="2019-03-12T11:55:39"/>
    <d v="2019-03-08T11:55:39"/>
    <x v="8"/>
    <n v="69"/>
    <n v="108"/>
    <n v="3567.26"/>
  </r>
  <r>
    <n v="45221"/>
    <x v="5"/>
    <s v="Bangalore"/>
    <x v="3"/>
    <s v=" KA"/>
    <x v="0"/>
    <x v="0"/>
    <x v="1"/>
    <x v="0"/>
    <d v="2019-03-05T11:57:07"/>
    <d v="2019-03-09T11:57:07"/>
    <d v="2019-03-09T11:57:07"/>
    <x v="6"/>
    <n v="0"/>
    <n v="100"/>
    <n v="1758.7001178515611"/>
  </r>
  <r>
    <n v="639757"/>
    <x v="5"/>
    <s v="Delhi"/>
    <x v="3"/>
    <s v=" KA"/>
    <x v="1"/>
    <x v="0"/>
    <x v="1"/>
    <x v="0"/>
    <d v="2019-03-05T12:05:39"/>
    <d v="2019-03-15T12:05:39"/>
    <d v="2019-03-10T12:05:39"/>
    <x v="7"/>
    <n v="34"/>
    <n v="123"/>
    <n v="2034.0885928973669"/>
  </r>
  <r>
    <n v="538690"/>
    <x v="5"/>
    <s v="Delhi"/>
    <x v="2"/>
    <s v=" DL"/>
    <x v="2"/>
    <x v="0"/>
    <x v="0"/>
    <x v="0"/>
    <d v="2019-03-05T12:19:11"/>
    <d v="2019-03-11T12:19:11"/>
    <d v="2019-03-11T12:19:11"/>
    <x v="3"/>
    <n v="0"/>
    <n v="124"/>
    <n v="1244.6167676901241"/>
  </r>
  <r>
    <n v="804432"/>
    <x v="5"/>
    <s v="Delhi"/>
    <x v="3"/>
    <s v=" KA"/>
    <x v="0"/>
    <x v="0"/>
    <x v="0"/>
    <x v="1"/>
    <d v="2019-03-05T12:44:43"/>
    <d v="2019-03-08T12:44:43"/>
    <d v="2019-03-08T12:44:43"/>
    <x v="4"/>
    <n v="79"/>
    <n v="104"/>
    <n v="1575.49"/>
  </r>
  <r>
    <n v="171688"/>
    <x v="5"/>
    <s v="Bangalore"/>
    <x v="1"/>
    <s v=" TN"/>
    <x v="0"/>
    <x v="0"/>
    <x v="0"/>
    <x v="0"/>
    <d v="2019-03-05T14:39:27"/>
    <d v="2019-03-11T14:39:27"/>
    <d v="2019-03-10T14:39:27"/>
    <x v="3"/>
    <n v="48"/>
    <n v="127"/>
    <n v="756.63874804354384"/>
  </r>
  <r>
    <n v="478444"/>
    <x v="5"/>
    <s v="Delhi"/>
    <x v="0"/>
    <s v=" MH"/>
    <x v="0"/>
    <x v="0"/>
    <x v="0"/>
    <x v="0"/>
    <d v="2019-03-05T15:12:51"/>
    <d v="2019-03-11T15:12:51"/>
    <d v="2019-03-11T15:12:51"/>
    <x v="3"/>
    <n v="42"/>
    <n v="106"/>
    <n v="2822.681764066318"/>
  </r>
  <r>
    <n v="568522"/>
    <x v="5"/>
    <s v="Bangalore"/>
    <x v="1"/>
    <s v=" TN"/>
    <x v="2"/>
    <x v="0"/>
    <x v="0"/>
    <x v="0"/>
    <d v="2019-03-05T15:25:41"/>
    <d v="2019-03-09T15:25:41"/>
    <d v="2019-03-08T15:25:41"/>
    <x v="6"/>
    <n v="30"/>
    <n v="129"/>
    <n v="1895.3303767160587"/>
  </r>
  <r>
    <n v="579554"/>
    <x v="5"/>
    <s v="Delhi"/>
    <x v="2"/>
    <s v=" DL"/>
    <x v="2"/>
    <x v="0"/>
    <x v="0"/>
    <x v="0"/>
    <d v="2019-03-05T15:40:03"/>
    <d v="2019-03-06T15:40:03"/>
    <d v="2019-03-08T15:40:03"/>
    <x v="2"/>
    <n v="0"/>
    <n v="128"/>
    <n v="1049.2957624375006"/>
  </r>
  <r>
    <n v="150130"/>
    <x v="5"/>
    <s v="Delhi"/>
    <x v="0"/>
    <s v=" MH"/>
    <x v="2"/>
    <x v="0"/>
    <x v="0"/>
    <x v="0"/>
    <d v="2019-03-05T17:47:01"/>
    <d v="2019-03-10T17:47:01"/>
    <d v="2019-03-11T17:47:01"/>
    <x v="9"/>
    <n v="39"/>
    <n v="110"/>
    <n v="1738.9659458132146"/>
  </r>
  <r>
    <n v="392988"/>
    <x v="5"/>
    <s v="Bangalore"/>
    <x v="3"/>
    <s v=" KA"/>
    <x v="0"/>
    <x v="0"/>
    <x v="0"/>
    <x v="1"/>
    <d v="2019-03-05T18:10:10"/>
    <d v="2019-03-06T18:10:10"/>
    <d v="2019-03-11T18:10:10"/>
    <x v="2"/>
    <n v="0"/>
    <n v="123"/>
    <n v="1600.33"/>
  </r>
  <r>
    <n v="413898"/>
    <x v="5"/>
    <s v="Delhi"/>
    <x v="0"/>
    <s v=" MH"/>
    <x v="2"/>
    <x v="0"/>
    <x v="0"/>
    <x v="1"/>
    <d v="2019-03-05T18:23:03"/>
    <d v="2019-03-09T18:23:03"/>
    <d v="2019-03-11T18:23:03"/>
    <x v="6"/>
    <n v="44"/>
    <n v="114"/>
    <n v="897.72"/>
  </r>
  <r>
    <n v="426451"/>
    <x v="5"/>
    <s v="Bangalore"/>
    <x v="0"/>
    <s v=" MH"/>
    <x v="1"/>
    <x v="0"/>
    <x v="1"/>
    <x v="0"/>
    <d v="2019-03-05T18:38:08"/>
    <d v="2019-03-12T18:38:08"/>
    <d v="2019-03-09T18:38:08"/>
    <x v="8"/>
    <n v="47"/>
    <n v="115"/>
    <n v="680.24807328010343"/>
  </r>
  <r>
    <n v="401043"/>
    <x v="5"/>
    <s v="Bangalore"/>
    <x v="3"/>
    <s v=" KA"/>
    <x v="1"/>
    <x v="0"/>
    <x v="1"/>
    <x v="1"/>
    <d v="2019-03-05T19:22:46"/>
    <d v="2019-03-06T19:22:46"/>
    <d v="2019-03-11T19:22:46"/>
    <x v="2"/>
    <n v="0"/>
    <n v="127"/>
    <n v="2646.52"/>
  </r>
  <r>
    <n v="244335"/>
    <x v="5"/>
    <s v="Delhi"/>
    <x v="2"/>
    <s v=" DL"/>
    <x v="1"/>
    <x v="0"/>
    <x v="2"/>
    <x v="1"/>
    <d v="2019-03-05T19:47:58"/>
    <d v="2019-03-06T19:47:58"/>
    <d v="2019-03-08T19:47:58"/>
    <x v="2"/>
    <n v="0"/>
    <n v="124"/>
    <n v="1934.06"/>
  </r>
  <r>
    <n v="494199"/>
    <x v="5"/>
    <s v="Bangalore"/>
    <x v="3"/>
    <s v=" KA"/>
    <x v="1"/>
    <x v="0"/>
    <x v="1"/>
    <x v="1"/>
    <d v="2019-03-05T21:00:05"/>
    <d v="2019-03-06T21:00:05"/>
    <d v="2019-03-08T21:00:05"/>
    <x v="2"/>
    <n v="0"/>
    <n v="128"/>
    <n v="1023.23"/>
  </r>
  <r>
    <n v="504829"/>
    <x v="5"/>
    <s v="Delhi"/>
    <x v="0"/>
    <s v=" MH"/>
    <x v="0"/>
    <x v="0"/>
    <x v="1"/>
    <x v="0"/>
    <d v="2019-03-05T21:32:21"/>
    <d v="2019-03-09T21:32:21"/>
    <d v="2019-03-08T21:32:21"/>
    <x v="6"/>
    <n v="62"/>
    <n v="90"/>
    <n v="2845.591218443647"/>
  </r>
  <r>
    <n v="267644"/>
    <x v="5"/>
    <s v="Delhi"/>
    <x v="3"/>
    <s v=" KA"/>
    <x v="0"/>
    <x v="0"/>
    <x v="0"/>
    <x v="0"/>
    <d v="2019-03-05T21:42:15"/>
    <d v="2019-03-09T21:42:15"/>
    <d v="2019-03-10T21:42:15"/>
    <x v="6"/>
    <n v="75"/>
    <n v="106"/>
    <n v="1651.3871852009313"/>
  </r>
  <r>
    <n v="191484"/>
    <x v="5"/>
    <s v="Bangalore"/>
    <x v="2"/>
    <s v=" DL"/>
    <x v="0"/>
    <x v="0"/>
    <x v="0"/>
    <x v="1"/>
    <d v="2019-03-05T21:52:21"/>
    <d v="2019-03-08T21:52:21"/>
    <d v="2019-03-08T21:52:21"/>
    <x v="4"/>
    <n v="28"/>
    <n v="129"/>
    <n v="1297.32"/>
  </r>
  <r>
    <n v="519564"/>
    <x v="5"/>
    <s v="Delhi"/>
    <x v="1"/>
    <s v=" TN"/>
    <x v="0"/>
    <x v="0"/>
    <x v="0"/>
    <x v="1"/>
    <d v="2019-03-05T23:36:15"/>
    <d v="2019-03-11T23:36:15"/>
    <d v="2019-03-12T23:36:15"/>
    <x v="3"/>
    <n v="29"/>
    <n v="126"/>
    <n v="2675.63"/>
  </r>
  <r>
    <n v="306457"/>
    <x v="5"/>
    <s v="Delhi"/>
    <x v="0"/>
    <s v=" MH"/>
    <x v="1"/>
    <x v="0"/>
    <x v="1"/>
    <x v="0"/>
    <d v="2019-03-06T00:23:00"/>
    <d v="2019-03-10T00:23:00"/>
    <d v="2019-03-11T00:23:00"/>
    <x v="6"/>
    <n v="33"/>
    <n v="108"/>
    <n v="1336.2929447245783"/>
  </r>
  <r>
    <n v="830571"/>
    <x v="5"/>
    <s v="Delhi"/>
    <x v="4"/>
    <s v=" WB"/>
    <x v="1"/>
    <x v="0"/>
    <x v="2"/>
    <x v="1"/>
    <d v="2019-03-06T01:07:04"/>
    <d v="2019-03-10T01:07:04"/>
    <d v="2019-03-12T01:07:04"/>
    <x v="6"/>
    <n v="34"/>
    <n v="110"/>
    <n v="1477.28"/>
  </r>
  <r>
    <n v="18024"/>
    <x v="5"/>
    <s v="Delhi"/>
    <x v="4"/>
    <s v=" WB"/>
    <x v="0"/>
    <x v="0"/>
    <x v="0"/>
    <x v="1"/>
    <d v="2019-03-06T01:20:59"/>
    <d v="2019-03-11T01:20:59"/>
    <d v="2019-03-09T01:20:59"/>
    <x v="9"/>
    <n v="38"/>
    <n v="108"/>
    <n v="3035.88"/>
  </r>
  <r>
    <n v="381738"/>
    <x v="5"/>
    <s v="Delhi"/>
    <x v="1"/>
    <s v=" TN"/>
    <x v="2"/>
    <x v="0"/>
    <x v="0"/>
    <x v="1"/>
    <d v="2019-03-06T01:29:01"/>
    <d v="2019-03-12T01:29:01"/>
    <d v="2019-03-11T01:29:01"/>
    <x v="3"/>
    <n v="38"/>
    <n v="128"/>
    <n v="209.58"/>
  </r>
  <r>
    <n v="568490"/>
    <x v="5"/>
    <s v="Delhi"/>
    <x v="0"/>
    <s v=" MH"/>
    <x v="2"/>
    <x v="0"/>
    <x v="0"/>
    <x v="0"/>
    <d v="2019-03-06T01:30:29"/>
    <d v="2019-03-13T01:30:29"/>
    <d v="2019-03-09T01:30:29"/>
    <x v="8"/>
    <n v="40"/>
    <n v="107"/>
    <n v="3443.9560092896213"/>
  </r>
  <r>
    <n v="704732"/>
    <x v="5"/>
    <s v="Delhi"/>
    <x v="3"/>
    <s v=" KA"/>
    <x v="0"/>
    <x v="0"/>
    <x v="0"/>
    <x v="0"/>
    <d v="2019-03-06T01:42:14"/>
    <d v="2019-03-09T01:42:14"/>
    <d v="2019-03-11T01:42:14"/>
    <x v="4"/>
    <n v="46"/>
    <n v="129"/>
    <n v="3529.8145829935729"/>
  </r>
  <r>
    <n v="15655"/>
    <x v="5"/>
    <s v="Delhi"/>
    <x v="3"/>
    <s v=" KA"/>
    <x v="1"/>
    <x v="0"/>
    <x v="1"/>
    <x v="0"/>
    <d v="2019-03-06T02:15:48"/>
    <d v="2019-03-13T02:15:48"/>
    <d v="2019-03-10T02:15:48"/>
    <x v="8"/>
    <n v="31"/>
    <n v="124"/>
    <n v="3468.2212872675705"/>
  </r>
  <r>
    <n v="795106"/>
    <x v="5"/>
    <s v="Delhi"/>
    <x v="1"/>
    <s v=" TN"/>
    <x v="2"/>
    <x v="0"/>
    <x v="0"/>
    <x v="0"/>
    <d v="2019-03-06T02:20:12"/>
    <d v="2019-03-12T02:20:12"/>
    <d v="2019-03-12T02:20:12"/>
    <x v="3"/>
    <n v="35"/>
    <n v="129"/>
    <n v="607.64674060238724"/>
  </r>
  <r>
    <n v="383826"/>
    <x v="5"/>
    <s v="Bangalore"/>
    <x v="0"/>
    <s v=" MH"/>
    <x v="2"/>
    <x v="0"/>
    <x v="0"/>
    <x v="1"/>
    <d v="2019-03-06T03:23:54"/>
    <d v="2019-03-13T03:23:54"/>
    <d v="2019-03-12T03:23:54"/>
    <x v="8"/>
    <n v="38"/>
    <n v="111"/>
    <n v="436.93"/>
  </r>
  <r>
    <n v="756021"/>
    <x v="5"/>
    <s v="Bangalore"/>
    <x v="0"/>
    <s v=" MH"/>
    <x v="1"/>
    <x v="0"/>
    <x v="2"/>
    <x v="1"/>
    <d v="2019-03-06T04:37:32"/>
    <d v="2019-03-15T04:37:32"/>
    <d v="2019-03-12T04:37:32"/>
    <x v="1"/>
    <n v="26"/>
    <n v="114"/>
    <n v="1657.1"/>
  </r>
  <r>
    <n v="5827"/>
    <x v="5"/>
    <s v="Bangalore"/>
    <x v="4"/>
    <s v=" WB"/>
    <x v="0"/>
    <x v="0"/>
    <x v="1"/>
    <x v="0"/>
    <d v="2019-03-06T06:04:21"/>
    <d v="2019-03-09T06:04:21"/>
    <d v="2019-03-09T06:04:21"/>
    <x v="4"/>
    <n v="65"/>
    <n v="86"/>
    <n v="883.6780306431225"/>
  </r>
  <r>
    <n v="727151"/>
    <x v="5"/>
    <s v="Delhi"/>
    <x v="0"/>
    <s v=" MH"/>
    <x v="1"/>
    <x v="0"/>
    <x v="1"/>
    <x v="0"/>
    <d v="2019-03-06T07:07:01"/>
    <d v="2019-03-11T07:07:01"/>
    <d v="2019-03-12T07:07:01"/>
    <x v="9"/>
    <n v="25"/>
    <n v="106"/>
    <n v="3204.135341424219"/>
  </r>
  <r>
    <n v="500451"/>
    <x v="5"/>
    <s v="Bangalore"/>
    <x v="2"/>
    <s v=" DL"/>
    <x v="0"/>
    <x v="0"/>
    <x v="2"/>
    <x v="1"/>
    <d v="2019-03-06T08:04:19"/>
    <d v="2019-03-11T08:04:19"/>
    <d v="2019-03-10T08:04:19"/>
    <x v="9"/>
    <n v="62"/>
    <n v="102"/>
    <n v="1215.3625990710625"/>
  </r>
  <r>
    <n v="358993"/>
    <x v="5"/>
    <s v="Bangalore"/>
    <x v="3"/>
    <s v=" KA"/>
    <x v="1"/>
    <x v="0"/>
    <x v="1"/>
    <x v="0"/>
    <d v="2019-03-06T08:14:12"/>
    <d v="2019-03-11T08:14:12"/>
    <d v="2019-03-09T08:14:12"/>
    <x v="9"/>
    <n v="0"/>
    <n v="125"/>
    <n v="1780"/>
  </r>
  <r>
    <n v="807576"/>
    <x v="5"/>
    <s v="Delhi"/>
    <x v="0"/>
    <s v=" MH"/>
    <x v="0"/>
    <x v="0"/>
    <x v="0"/>
    <x v="1"/>
    <d v="2019-03-06T08:55:27"/>
    <d v="2019-03-11T08:55:27"/>
    <d v="2019-03-09T08:55:27"/>
    <x v="9"/>
    <n v="43"/>
    <n v="111"/>
    <n v="3070"/>
  </r>
  <r>
    <n v="214806"/>
    <x v="5"/>
    <s v="Bangalore"/>
    <x v="2"/>
    <s v=" DL"/>
    <x v="2"/>
    <x v="0"/>
    <x v="0"/>
    <x v="1"/>
    <d v="2019-03-06T09:10:34"/>
    <d v="2019-03-09T09:10:34"/>
    <d v="2019-03-12T09:10:34"/>
    <x v="4"/>
    <n v="45"/>
    <n v="122"/>
    <n v="1727.8257218819338"/>
  </r>
  <r>
    <n v="515056"/>
    <x v="5"/>
    <s v="Delhi"/>
    <x v="0"/>
    <s v=" MH"/>
    <x v="0"/>
    <x v="0"/>
    <x v="0"/>
    <x v="0"/>
    <d v="2019-03-06T09:11:53"/>
    <d v="2019-03-09T09:11:53"/>
    <d v="2019-03-11T09:11:53"/>
    <x v="4"/>
    <n v="47"/>
    <n v="108"/>
    <n v="1679.2181550390133"/>
  </r>
  <r>
    <n v="753588"/>
    <x v="5"/>
    <s v="Bangalore"/>
    <x v="3"/>
    <s v=" KA"/>
    <x v="0"/>
    <x v="0"/>
    <x v="0"/>
    <x v="1"/>
    <d v="2019-03-06T09:52:52"/>
    <d v="2019-03-08T09:52:52"/>
    <d v="2019-03-09T09:52:52"/>
    <x v="0"/>
    <n v="0"/>
    <n v="125"/>
    <n v="1600.4842608911767"/>
  </r>
  <r>
    <n v="767592"/>
    <x v="5"/>
    <s v="Bangalore"/>
    <x v="4"/>
    <s v=" WB"/>
    <x v="0"/>
    <x v="0"/>
    <x v="0"/>
    <x v="1"/>
    <d v="2019-03-06T10:01:24"/>
    <d v="2019-03-13T10:01:24"/>
    <d v="2019-03-09T10:01:24"/>
    <x v="8"/>
    <n v="77"/>
    <n v="91"/>
    <n v="3165.3310761873513"/>
  </r>
  <r>
    <n v="704075"/>
    <x v="5"/>
    <s v="Bangalore"/>
    <x v="0"/>
    <s v=" MH"/>
    <x v="1"/>
    <x v="0"/>
    <x v="1"/>
    <x v="0"/>
    <d v="2019-03-06T10:19:49"/>
    <d v="2019-03-09T10:19:49"/>
    <d v="2019-03-11T10:19:49"/>
    <x v="4"/>
    <n v="38"/>
    <n v="115"/>
    <n v="2891.1722441738948"/>
  </r>
  <r>
    <n v="817711"/>
    <x v="5"/>
    <s v="Delhi"/>
    <x v="2"/>
    <s v=" DL"/>
    <x v="1"/>
    <x v="0"/>
    <x v="1"/>
    <x v="0"/>
    <d v="2019-03-06T11:13:46"/>
    <d v="2019-03-07T11:13:46"/>
    <d v="2019-03-11T11:13:46"/>
    <x v="2"/>
    <n v="0"/>
    <n v="124"/>
    <n v="959.51094564763298"/>
  </r>
  <r>
    <n v="590860"/>
    <x v="5"/>
    <s v="Bangalore"/>
    <x v="1"/>
    <s v=" TN"/>
    <x v="0"/>
    <x v="0"/>
    <x v="0"/>
    <x v="0"/>
    <d v="2019-03-06T13:23:42"/>
    <d v="2019-03-10T13:23:42"/>
    <d v="2019-03-10T13:23:42"/>
    <x v="6"/>
    <n v="61"/>
    <n v="107"/>
    <n v="1619.8048245598732"/>
  </r>
  <r>
    <n v="725024"/>
    <x v="5"/>
    <s v="Delhi"/>
    <x v="3"/>
    <s v=" KA"/>
    <x v="0"/>
    <x v="0"/>
    <x v="0"/>
    <x v="0"/>
    <d v="2019-03-06T13:51:12"/>
    <d v="2019-03-12T13:51:12"/>
    <d v="2019-03-09T13:51:12"/>
    <x v="3"/>
    <n v="50"/>
    <n v="126"/>
    <n v="1579"/>
  </r>
  <r>
    <n v="330525"/>
    <x v="5"/>
    <s v="Bangalore"/>
    <x v="2"/>
    <s v=" DL"/>
    <x v="0"/>
    <x v="0"/>
    <x v="1"/>
    <x v="1"/>
    <d v="2019-03-06T14:12:37"/>
    <d v="2019-03-08T14:12:37"/>
    <d v="2019-03-11T14:12:37"/>
    <x v="0"/>
    <n v="82"/>
    <n v="101"/>
    <n v="2738"/>
  </r>
  <r>
    <n v="991192"/>
    <x v="5"/>
    <s v="Delhi"/>
    <x v="1"/>
    <s v=" TN"/>
    <x v="0"/>
    <x v="0"/>
    <x v="0"/>
    <x v="0"/>
    <d v="2019-03-06T15:23:22"/>
    <d v="2019-03-14T15:23:22"/>
    <d v="2019-03-10T15:23:22"/>
    <x v="5"/>
    <n v="39"/>
    <n v="128"/>
    <n v="704"/>
  </r>
  <r>
    <n v="68800"/>
    <x v="5"/>
    <s v="Delhi"/>
    <x v="2"/>
    <s v=" DL"/>
    <x v="0"/>
    <x v="0"/>
    <x v="0"/>
    <x v="0"/>
    <d v="2019-03-06T15:33:10"/>
    <d v="2019-03-08T15:33:10"/>
    <d v="2019-03-13T15:33:10"/>
    <x v="0"/>
    <n v="0"/>
    <n v="121"/>
    <n v="2662.8781205488917"/>
  </r>
  <r>
    <n v="176517"/>
    <x v="5"/>
    <s v="Bangalore"/>
    <x v="4"/>
    <s v=" WB"/>
    <x v="1"/>
    <x v="0"/>
    <x v="1"/>
    <x v="1"/>
    <d v="2019-03-06T16:05:31"/>
    <d v="2019-03-10T16:05:31"/>
    <d v="2019-03-11T16:05:31"/>
    <x v="6"/>
    <n v="44"/>
    <n v="112"/>
    <n v="892"/>
  </r>
  <r>
    <n v="973164"/>
    <x v="5"/>
    <s v="Delhi"/>
    <x v="2"/>
    <s v=" DL"/>
    <x v="0"/>
    <x v="0"/>
    <x v="0"/>
    <x v="1"/>
    <d v="2019-03-06T17:47:35"/>
    <d v="2019-03-06T17:47:35"/>
    <d v="2019-03-10T17:47:35"/>
    <x v="10"/>
    <n v="0"/>
    <n v="105"/>
    <n v="3001.3026502538796"/>
  </r>
  <r>
    <n v="587898"/>
    <x v="5"/>
    <s v="Bangalore"/>
    <x v="3"/>
    <s v=" KA"/>
    <x v="2"/>
    <x v="0"/>
    <x v="0"/>
    <x v="1"/>
    <d v="2019-03-06T18:14:10"/>
    <d v="2019-03-12T18:14:10"/>
    <d v="2019-03-09T18:14:10"/>
    <x v="3"/>
    <n v="0"/>
    <n v="129"/>
    <n v="3101.597686089151"/>
  </r>
  <r>
    <n v="498876"/>
    <x v="5"/>
    <s v="Bangalore"/>
    <x v="0"/>
    <s v=" MH"/>
    <x v="0"/>
    <x v="0"/>
    <x v="0"/>
    <x v="1"/>
    <d v="2019-03-06T18:19:32"/>
    <d v="2019-03-12T18:19:32"/>
    <d v="2019-03-10T18:19:32"/>
    <x v="3"/>
    <n v="71"/>
    <n v="89"/>
    <n v="1457"/>
  </r>
  <r>
    <n v="925382"/>
    <x v="5"/>
    <s v="Delhi"/>
    <x v="1"/>
    <s v=" TN"/>
    <x v="2"/>
    <x v="0"/>
    <x v="0"/>
    <x v="0"/>
    <d v="2019-03-06T19:23:16"/>
    <d v="2019-03-13T19:23:16"/>
    <d v="2019-03-13T19:23:16"/>
    <x v="8"/>
    <n v="29"/>
    <n v="126"/>
    <n v="2980.141509707656"/>
  </r>
  <r>
    <n v="945893"/>
    <x v="5"/>
    <s v="Delhi"/>
    <x v="0"/>
    <s v=" MH"/>
    <x v="1"/>
    <x v="0"/>
    <x v="1"/>
    <x v="0"/>
    <d v="2019-03-06T20:16:02"/>
    <d v="2019-03-15T20:16:02"/>
    <d v="2019-03-13T20:16:02"/>
    <x v="1"/>
    <n v="30"/>
    <n v="107"/>
    <n v="310.3337213310848"/>
  </r>
  <r>
    <n v="129416"/>
    <x v="5"/>
    <s v="Delhi"/>
    <x v="0"/>
    <s v=" MH"/>
    <x v="0"/>
    <x v="0"/>
    <x v="0"/>
    <x v="0"/>
    <d v="2019-03-06T22:17:09"/>
    <d v="2019-03-11T22:17:09"/>
    <d v="2019-03-13T22:17:09"/>
    <x v="9"/>
    <n v="26"/>
    <n v="114"/>
    <n v="1684.1480676907356"/>
  </r>
  <r>
    <n v="766045"/>
    <x v="5"/>
    <s v="Bangalore"/>
    <x v="2"/>
    <s v=" DL"/>
    <x v="1"/>
    <x v="0"/>
    <x v="2"/>
    <x v="0"/>
    <d v="2019-03-06T22:54:44"/>
    <d v="2019-03-15T22:54:44"/>
    <d v="2019-03-11T22:54:44"/>
    <x v="1"/>
    <n v="9999"/>
    <n v="127"/>
    <n v="3572"/>
  </r>
  <r>
    <n v="550097"/>
    <x v="5"/>
    <s v="Bangalore"/>
    <x v="2"/>
    <s v=" DL"/>
    <x v="1"/>
    <x v="0"/>
    <x v="1"/>
    <x v="0"/>
    <d v="2019-03-06T23:16:45"/>
    <d v="2019-03-10T23:16:45"/>
    <d v="2019-03-09T23:16:45"/>
    <x v="6"/>
    <n v="45"/>
    <n v="128"/>
    <n v="2858.1682934109322"/>
  </r>
  <r>
    <n v="44314"/>
    <x v="5"/>
    <s v="Delhi"/>
    <x v="2"/>
    <s v=" DL"/>
    <x v="2"/>
    <x v="0"/>
    <x v="0"/>
    <x v="0"/>
    <d v="2019-03-07T01:30:03"/>
    <d v="2019-03-12T01:30:03"/>
    <d v="2019-03-12T01:30:03"/>
    <x v="9"/>
    <n v="0"/>
    <n v="120"/>
    <n v="368"/>
  </r>
  <r>
    <n v="12964"/>
    <x v="5"/>
    <s v="Delhi"/>
    <x v="2"/>
    <s v=" DL"/>
    <x v="0"/>
    <x v="0"/>
    <x v="0"/>
    <x v="0"/>
    <d v="2019-03-07T02:37:49"/>
    <d v="2019-03-10T02:37:49"/>
    <d v="2019-03-13T02:37:49"/>
    <x v="4"/>
    <n v="0"/>
    <n v="130"/>
    <n v="3459.7100810478191"/>
  </r>
  <r>
    <n v="327363"/>
    <x v="5"/>
    <s v="Delhi"/>
    <x v="3"/>
    <s v=" KA"/>
    <x v="1"/>
    <x v="0"/>
    <x v="1"/>
    <x v="1"/>
    <d v="2019-03-07T04:27:57"/>
    <d v="2019-03-14T04:27:57"/>
    <d v="2019-03-14T04:27:57"/>
    <x v="8"/>
    <n v="46"/>
    <n v="127"/>
    <n v="2196.6179358609807"/>
  </r>
  <r>
    <n v="89855"/>
    <x v="5"/>
    <s v="Bangalore"/>
    <x v="0"/>
    <s v=" MH"/>
    <x v="1"/>
    <x v="0"/>
    <x v="1"/>
    <x v="0"/>
    <d v="2019-03-07T07:10:20"/>
    <d v="2019-03-13T07:10:20"/>
    <d v="2019-03-11T07:10:20"/>
    <x v="3"/>
    <n v="42"/>
    <n v="111"/>
    <n v="2940.6946443029624"/>
  </r>
  <r>
    <n v="388292"/>
    <x v="5"/>
    <s v="Delhi"/>
    <x v="1"/>
    <s v=" TN"/>
    <x v="0"/>
    <x v="0"/>
    <x v="0"/>
    <x v="0"/>
    <d v="2019-03-07T07:29:02"/>
    <d v="2019-03-14T07:29:02"/>
    <d v="2019-03-11T07:29:02"/>
    <x v="8"/>
    <n v="31"/>
    <n v="123"/>
    <n v="487"/>
  </r>
  <r>
    <n v="41358"/>
    <x v="5"/>
    <s v="Bangalore"/>
    <x v="2"/>
    <s v=" DL"/>
    <x v="0"/>
    <x v="0"/>
    <x v="0"/>
    <x v="1"/>
    <d v="2019-03-07T07:38:53"/>
    <d v="2019-03-13T07:38:53"/>
    <d v="2019-03-10T07:38:53"/>
    <x v="3"/>
    <n v="60"/>
    <n v="105"/>
    <n v="2411.7562286003122"/>
  </r>
  <r>
    <n v="54795"/>
    <x v="5"/>
    <s v="Delhi"/>
    <x v="0"/>
    <s v=" MH"/>
    <x v="1"/>
    <x v="0"/>
    <x v="1"/>
    <x v="1"/>
    <d v="2019-03-07T07:50:55"/>
    <d v="2019-03-16T07:50:55"/>
    <d v="2019-03-10T07:50:55"/>
    <x v="1"/>
    <n v="34"/>
    <n v="106"/>
    <n v="835"/>
  </r>
  <r>
    <n v="810721"/>
    <x v="5"/>
    <s v="Bangalore"/>
    <x v="0"/>
    <s v=" MH"/>
    <x v="0"/>
    <x v="0"/>
    <x v="1"/>
    <x v="0"/>
    <d v="2019-03-07T07:53:19"/>
    <d v="2019-03-09T07:53:19"/>
    <d v="2019-03-14T07:53:19"/>
    <x v="0"/>
    <n v="66"/>
    <n v="87"/>
    <n v="2016.0906450369555"/>
  </r>
  <r>
    <n v="474005"/>
    <x v="5"/>
    <s v="Delhi"/>
    <x v="4"/>
    <s v=" WB"/>
    <x v="1"/>
    <x v="0"/>
    <x v="2"/>
    <x v="0"/>
    <d v="2019-03-07T08:07:12"/>
    <d v="2019-03-11T08:07:12"/>
    <d v="2019-03-11T08:07:12"/>
    <x v="6"/>
    <n v="46"/>
    <n v="107"/>
    <n v="1446.0606943092137"/>
  </r>
  <r>
    <n v="59928"/>
    <x v="5"/>
    <s v="Bangalore"/>
    <x v="2"/>
    <s v=" DL"/>
    <x v="0"/>
    <x v="0"/>
    <x v="0"/>
    <x v="1"/>
    <d v="2019-03-07T08:36:01"/>
    <d v="2019-03-13T08:36:01"/>
    <d v="2019-03-14T08:36:01"/>
    <x v="3"/>
    <n v="32"/>
    <n v="128"/>
    <n v="2110.1922578469157"/>
  </r>
  <r>
    <n v="161654"/>
    <x v="5"/>
    <s v="Delhi"/>
    <x v="0"/>
    <s v=" MH"/>
    <x v="2"/>
    <x v="0"/>
    <x v="0"/>
    <x v="0"/>
    <d v="2019-03-07T08:51:15"/>
    <d v="2019-03-16T08:51:15"/>
    <d v="2019-03-14T08:51:15"/>
    <x v="1"/>
    <n v="28"/>
    <n v="114"/>
    <n v="641"/>
  </r>
  <r>
    <n v="24099"/>
    <x v="5"/>
    <s v="Bangalore"/>
    <x v="3"/>
    <s v=" KA"/>
    <x v="1"/>
    <x v="0"/>
    <x v="1"/>
    <x v="1"/>
    <d v="2019-03-07T09:13:14"/>
    <d v="2019-03-09T09:13:14"/>
    <d v="2019-03-14T09:13:14"/>
    <x v="0"/>
    <n v="0"/>
    <n v="124"/>
    <n v="1492"/>
  </r>
  <r>
    <n v="518522"/>
    <x v="5"/>
    <s v="Bangalore"/>
    <x v="2"/>
    <s v=" DL"/>
    <x v="2"/>
    <x v="0"/>
    <x v="0"/>
    <x v="0"/>
    <d v="2019-03-07T10:41:17"/>
    <d v="2019-03-10T10:41:17"/>
    <d v="2019-03-12T10:41:17"/>
    <x v="4"/>
    <n v="34"/>
    <n v="121"/>
    <n v="2635.4771115765648"/>
  </r>
  <r>
    <n v="166907"/>
    <x v="5"/>
    <s v="Bangalore"/>
    <x v="0"/>
    <s v=" MH"/>
    <x v="0"/>
    <x v="0"/>
    <x v="1"/>
    <x v="0"/>
    <d v="2019-03-07T10:48:24"/>
    <d v="2019-03-09T10:48:24"/>
    <d v="2019-03-12T10:48:24"/>
    <x v="0"/>
    <n v="87"/>
    <n v="87"/>
    <n v="825.55480781152255"/>
  </r>
  <r>
    <n v="21175"/>
    <x v="5"/>
    <s v="Bangalore"/>
    <x v="1"/>
    <s v=" TN"/>
    <x v="1"/>
    <x v="0"/>
    <x v="2"/>
    <x v="0"/>
    <d v="2019-03-07T11:27:39"/>
    <d v="2019-03-09T11:27:39"/>
    <d v="2019-03-14T11:27:39"/>
    <x v="0"/>
    <n v="45"/>
    <n v="121"/>
    <n v="3305.2333066813312"/>
  </r>
  <r>
    <n v="199168"/>
    <x v="5"/>
    <s v="Bangalore"/>
    <x v="0"/>
    <s v=" MH"/>
    <x v="0"/>
    <x v="0"/>
    <x v="0"/>
    <x v="0"/>
    <d v="2019-03-07T12:47:29"/>
    <d v="2019-03-09T12:47:29"/>
    <d v="2019-03-10T12:47:29"/>
    <x v="0"/>
    <n v="35"/>
    <n v="112"/>
    <n v="1408.0688876926963"/>
  </r>
  <r>
    <n v="125070"/>
    <x v="5"/>
    <s v="Bangalore"/>
    <x v="0"/>
    <s v=" MH"/>
    <x v="2"/>
    <x v="0"/>
    <x v="0"/>
    <x v="1"/>
    <d v="2019-03-07T13:27:25"/>
    <d v="2019-03-16T13:27:25"/>
    <d v="2019-03-12T13:27:25"/>
    <x v="1"/>
    <n v="38"/>
    <n v="114"/>
    <n v="564.69775701731476"/>
  </r>
  <r>
    <n v="97974"/>
    <x v="5"/>
    <s v="Bangalore"/>
    <x v="4"/>
    <s v=" WB"/>
    <x v="2"/>
    <x v="0"/>
    <x v="0"/>
    <x v="1"/>
    <d v="2019-03-07T13:48:18"/>
    <d v="2019-03-09T13:48:18"/>
    <d v="2019-03-13T13:48:18"/>
    <x v="0"/>
    <n v="43"/>
    <n v="112"/>
    <n v="1410"/>
  </r>
  <r>
    <n v="716077"/>
    <x v="5"/>
    <s v="Bangalore"/>
    <x v="3"/>
    <s v=" KA"/>
    <x v="0"/>
    <x v="0"/>
    <x v="1"/>
    <x v="0"/>
    <d v="2019-03-07T13:54:44"/>
    <d v="2019-03-08T13:54:44"/>
    <d v="2019-03-13T13:54:44"/>
    <x v="2"/>
    <n v="0"/>
    <n v="100"/>
    <n v="2983.0923078336969"/>
  </r>
  <r>
    <n v="12670"/>
    <x v="5"/>
    <s v="Delhi"/>
    <x v="2"/>
    <s v=" DL"/>
    <x v="2"/>
    <x v="0"/>
    <x v="0"/>
    <x v="0"/>
    <d v="2019-03-07T15:20:40"/>
    <d v="2019-03-13T15:20:40"/>
    <d v="2019-03-14T15:20:40"/>
    <x v="3"/>
    <n v="0"/>
    <n v="123"/>
    <n v="2858.3930361836947"/>
  </r>
  <r>
    <n v="920173"/>
    <x v="5"/>
    <s v="Bangalore"/>
    <x v="0"/>
    <s v=" MH"/>
    <x v="1"/>
    <x v="0"/>
    <x v="1"/>
    <x v="0"/>
    <d v="2019-03-07T16:03:36"/>
    <d v="2019-03-13T16:03:36"/>
    <d v="2019-03-12T16:03:36"/>
    <x v="3"/>
    <n v="30"/>
    <n v="107"/>
    <n v="1259"/>
  </r>
  <r>
    <n v="273218"/>
    <x v="5"/>
    <s v="Delhi"/>
    <x v="2"/>
    <s v=" DL"/>
    <x v="0"/>
    <x v="0"/>
    <x v="0"/>
    <x v="0"/>
    <d v="2019-03-07T16:34:53"/>
    <d v="2019-03-07T16:34:53"/>
    <d v="2019-03-10T16:34:53"/>
    <x v="10"/>
    <n v="0"/>
    <n v="102"/>
    <n v="1689.9447895273952"/>
  </r>
  <r>
    <n v="100665"/>
    <x v="5"/>
    <s v="Delhi"/>
    <x v="2"/>
    <s v=" DL"/>
    <x v="1"/>
    <x v="0"/>
    <x v="1"/>
    <x v="1"/>
    <d v="2019-03-07T18:22:32"/>
    <d v="2019-03-13T18:22:32"/>
    <d v="2019-03-14T18:22:32"/>
    <x v="3"/>
    <n v="0"/>
    <n v="121"/>
    <n v="2525"/>
  </r>
  <r>
    <n v="400182"/>
    <x v="5"/>
    <s v="Delhi"/>
    <x v="2"/>
    <s v=" DL"/>
    <x v="2"/>
    <x v="0"/>
    <x v="0"/>
    <x v="1"/>
    <d v="2019-03-07T18:30:11"/>
    <d v="2019-03-11T18:30:11"/>
    <d v="2019-03-14T18:30:11"/>
    <x v="6"/>
    <n v="0"/>
    <n v="126"/>
    <n v="445.52865938439561"/>
  </r>
  <r>
    <n v="820848"/>
    <x v="5"/>
    <s v="Bangalore"/>
    <x v="3"/>
    <s v=" KA"/>
    <x v="0"/>
    <x v="0"/>
    <x v="0"/>
    <x v="1"/>
    <d v="2019-03-07T18:39:17"/>
    <d v="2019-03-10T18:39:17"/>
    <d v="2019-03-12T18:39:17"/>
    <x v="4"/>
    <n v="0"/>
    <n v="104"/>
    <n v="2516.7933443258839"/>
  </r>
  <r>
    <n v="487921"/>
    <x v="5"/>
    <s v="Bangalore"/>
    <x v="0"/>
    <s v=" MH"/>
    <x v="1"/>
    <x v="0"/>
    <x v="2"/>
    <x v="0"/>
    <d v="2019-03-07T19:07:28"/>
    <d v="2019-03-16T19:07:28"/>
    <d v="2019-03-13T19:07:28"/>
    <x v="1"/>
    <n v="9999"/>
    <n v="110"/>
    <n v="905"/>
  </r>
  <r>
    <n v="579703"/>
    <x v="5"/>
    <s v="Delhi"/>
    <x v="3"/>
    <s v=" KA"/>
    <x v="1"/>
    <x v="0"/>
    <x v="1"/>
    <x v="0"/>
    <d v="2019-03-07T19:24:11"/>
    <d v="2019-03-17T19:24:11"/>
    <d v="2019-03-14T19:24:11"/>
    <x v="7"/>
    <n v="45"/>
    <n v="125"/>
    <n v="2462.5860573131636"/>
  </r>
  <r>
    <n v="225247"/>
    <x v="5"/>
    <s v="Bangalore"/>
    <x v="0"/>
    <s v=" MH"/>
    <x v="1"/>
    <x v="0"/>
    <x v="1"/>
    <x v="0"/>
    <d v="2019-03-07T19:24:55"/>
    <d v="2019-03-10T19:24:55"/>
    <d v="2019-03-13T19:24:55"/>
    <x v="4"/>
    <n v="26"/>
    <n v="111"/>
    <n v="1991"/>
  </r>
  <r>
    <n v="544341"/>
    <x v="5"/>
    <s v="Delhi"/>
    <x v="3"/>
    <s v=" KA"/>
    <x v="0"/>
    <x v="0"/>
    <x v="2"/>
    <x v="1"/>
    <d v="2019-03-07T20:08:43"/>
    <d v="2019-03-09T20:08:43"/>
    <d v="2019-03-11T20:08:43"/>
    <x v="0"/>
    <n v="60"/>
    <n v="106"/>
    <n v="1297.2120702378779"/>
  </r>
  <r>
    <n v="135287"/>
    <x v="5"/>
    <s v="Bangalore"/>
    <x v="2"/>
    <s v=" DL"/>
    <x v="0"/>
    <x v="0"/>
    <x v="1"/>
    <x v="0"/>
    <d v="2019-03-07T20:29:56"/>
    <d v="2019-03-13T20:29:56"/>
    <d v="2019-03-11T20:29:56"/>
    <x v="3"/>
    <n v="68"/>
    <n v="103"/>
    <n v="3455.8089500377"/>
  </r>
  <r>
    <n v="212515"/>
    <x v="5"/>
    <s v="Bangalore"/>
    <x v="0"/>
    <s v=" MH"/>
    <x v="1"/>
    <x v="0"/>
    <x v="1"/>
    <x v="0"/>
    <d v="2019-03-07T20:33:21"/>
    <d v="2019-03-10T20:33:21"/>
    <d v="2019-03-12T20:33:21"/>
    <x v="4"/>
    <n v="41"/>
    <n v="109"/>
    <n v="1164.4463642179378"/>
  </r>
  <r>
    <n v="131236"/>
    <x v="5"/>
    <s v="Delhi"/>
    <x v="0"/>
    <s v=" MH"/>
    <x v="0"/>
    <x v="0"/>
    <x v="0"/>
    <x v="0"/>
    <d v="2019-03-07T20:49:28"/>
    <d v="2019-03-13T20:49:28"/>
    <d v="2019-03-12T20:49:28"/>
    <x v="3"/>
    <n v="9999"/>
    <n v="107"/>
    <n v="2522.985838071153"/>
  </r>
  <r>
    <n v="550103"/>
    <x v="5"/>
    <s v="Bangalore"/>
    <x v="2"/>
    <s v=" DL"/>
    <x v="1"/>
    <x v="0"/>
    <x v="1"/>
    <x v="0"/>
    <d v="2019-03-07T21:00:17"/>
    <d v="2019-03-13T21:00:17"/>
    <d v="2019-03-10T21:00:17"/>
    <x v="3"/>
    <n v="31"/>
    <n v="125"/>
    <n v="1814.0983209646172"/>
  </r>
  <r>
    <n v="191041"/>
    <x v="5"/>
    <s v="Delhi"/>
    <x v="0"/>
    <s v=" MH"/>
    <x v="0"/>
    <x v="0"/>
    <x v="1"/>
    <x v="0"/>
    <d v="2019-03-07T22:17:09"/>
    <d v="2019-03-09T22:17:09"/>
    <d v="2019-03-12T22:17:09"/>
    <x v="0"/>
    <n v="68"/>
    <n v="93"/>
    <n v="1218.5347431590478"/>
  </r>
  <r>
    <n v="627058"/>
    <x v="5"/>
    <s v="Delhi"/>
    <x v="3"/>
    <s v=" KA"/>
    <x v="2"/>
    <x v="0"/>
    <x v="0"/>
    <x v="0"/>
    <d v="2019-03-07T22:36:19"/>
    <d v="2019-03-15T22:36:19"/>
    <d v="2019-03-11T22:36:19"/>
    <x v="5"/>
    <n v="26"/>
    <n v="128"/>
    <n v="2595.5524636243317"/>
  </r>
  <r>
    <n v="869799"/>
    <x v="5"/>
    <s v="Bangalore"/>
    <x v="4"/>
    <s v=" WB"/>
    <x v="1"/>
    <x v="0"/>
    <x v="2"/>
    <x v="1"/>
    <d v="2019-03-07T22:36:48"/>
    <d v="2019-03-09T22:36:48"/>
    <d v="2019-03-10T22:36:48"/>
    <x v="0"/>
    <n v="50"/>
    <n v="113"/>
    <n v="1984"/>
  </r>
  <r>
    <n v="224936"/>
    <x v="5"/>
    <s v="Delhi"/>
    <x v="1"/>
    <s v=" TN"/>
    <x v="0"/>
    <x v="0"/>
    <x v="0"/>
    <x v="0"/>
    <d v="2019-03-07T23:05:27"/>
    <d v="2019-03-16T23:05:27"/>
    <d v="2019-03-13T23:05:27"/>
    <x v="1"/>
    <n v="46"/>
    <n v="121"/>
    <n v="3426.7085144000757"/>
  </r>
  <r>
    <n v="7095"/>
    <x v="5"/>
    <s v="Delhi"/>
    <x v="3"/>
    <s v=" KA"/>
    <x v="1"/>
    <x v="0"/>
    <x v="1"/>
    <x v="1"/>
    <d v="2019-03-07T23:29:52"/>
    <d v="2019-03-17T23:29:52"/>
    <d v="2019-03-13T23:29:52"/>
    <x v="7"/>
    <n v="31"/>
    <n v="129"/>
    <n v="3672.575843197088"/>
  </r>
  <r>
    <n v="171886"/>
    <x v="5"/>
    <s v="Delhi"/>
    <x v="2"/>
    <s v=" DL"/>
    <x v="2"/>
    <x v="0"/>
    <x v="0"/>
    <x v="0"/>
    <d v="2019-03-07T23:34:32"/>
    <d v="2019-03-13T23:34:32"/>
    <d v="2019-03-12T23:34:32"/>
    <x v="3"/>
    <n v="0"/>
    <n v="123"/>
    <n v="715.08799542048405"/>
  </r>
  <r>
    <n v="969959"/>
    <x v="5"/>
    <s v="Delhi"/>
    <x v="1"/>
    <s v=" TN"/>
    <x v="1"/>
    <x v="0"/>
    <x v="1"/>
    <x v="0"/>
    <d v="2019-03-08T00:37:28"/>
    <d v="2019-03-14T00:37:28"/>
    <d v="2019-03-15T00:37:28"/>
    <x v="3"/>
    <n v="36"/>
    <n v="125"/>
    <n v="3171"/>
  </r>
  <r>
    <n v="544231"/>
    <x v="5"/>
    <s v="Delhi"/>
    <x v="3"/>
    <s v=" KA"/>
    <x v="1"/>
    <x v="0"/>
    <x v="1"/>
    <x v="0"/>
    <d v="2019-03-08T01:24:37"/>
    <d v="2019-03-13T01:24:37"/>
    <d v="2019-03-12T01:24:37"/>
    <x v="9"/>
    <n v="41"/>
    <n v="125"/>
    <n v="2989.1407981391567"/>
  </r>
  <r>
    <n v="765855"/>
    <x v="5"/>
    <s v="Delhi"/>
    <x v="4"/>
    <s v=" WB"/>
    <x v="1"/>
    <x v="0"/>
    <x v="1"/>
    <x v="1"/>
    <d v="2019-03-08T02:23:54"/>
    <d v="2019-03-13T02:23:54"/>
    <d v="2019-03-11T02:23:54"/>
    <x v="9"/>
    <n v="31"/>
    <n v="114"/>
    <n v="2715.3766746314723"/>
  </r>
  <r>
    <n v="907502"/>
    <x v="5"/>
    <s v="Delhi"/>
    <x v="2"/>
    <s v=" DL"/>
    <x v="0"/>
    <x v="0"/>
    <x v="0"/>
    <x v="0"/>
    <d v="2019-03-08T02:26:55"/>
    <d v="2019-03-12T02:26:55"/>
    <d v="2019-03-14T02:26:55"/>
    <x v="6"/>
    <n v="0"/>
    <n v="108"/>
    <n v="2865.719811492093"/>
  </r>
  <r>
    <n v="472915"/>
    <x v="5"/>
    <s v="Delhi"/>
    <x v="2"/>
    <s v=" DL"/>
    <x v="1"/>
    <x v="0"/>
    <x v="1"/>
    <x v="0"/>
    <d v="2019-03-08T03:31:14"/>
    <d v="2019-03-15T03:31:14"/>
    <d v="2019-03-12T03:31:14"/>
    <x v="8"/>
    <n v="0"/>
    <n v="125"/>
    <n v="1456.5947177433422"/>
  </r>
  <r>
    <n v="924652"/>
    <x v="5"/>
    <s v="Delhi"/>
    <x v="3"/>
    <s v=" KA"/>
    <x v="0"/>
    <x v="0"/>
    <x v="0"/>
    <x v="0"/>
    <d v="2019-03-08T05:31:38"/>
    <d v="2019-03-10T05:31:38"/>
    <d v="2019-03-12T05:31:38"/>
    <x v="0"/>
    <n v="61"/>
    <n v="109"/>
    <n v="1702.7937889901232"/>
  </r>
  <r>
    <n v="756998"/>
    <x v="5"/>
    <s v="Delhi"/>
    <x v="1"/>
    <s v=" TN"/>
    <x v="2"/>
    <x v="0"/>
    <x v="0"/>
    <x v="0"/>
    <d v="2019-03-08T05:32:12"/>
    <d v="2019-03-13T05:32:12"/>
    <d v="2019-03-12T05:32:12"/>
    <x v="9"/>
    <n v="47"/>
    <n v="129"/>
    <n v="2692.8254422241798"/>
  </r>
  <r>
    <n v="585971"/>
    <x v="5"/>
    <s v="Delhi"/>
    <x v="3"/>
    <s v=" KA"/>
    <x v="1"/>
    <x v="0"/>
    <x v="1"/>
    <x v="0"/>
    <d v="2019-03-08T07:42:17"/>
    <d v="2019-03-17T07:42:17"/>
    <d v="2019-03-12T07:42:17"/>
    <x v="1"/>
    <n v="42"/>
    <n v="124"/>
    <n v="2326.0916412013435"/>
  </r>
  <r>
    <n v="246732"/>
    <x v="5"/>
    <s v="Bangalore"/>
    <x v="2"/>
    <s v=" DL"/>
    <x v="0"/>
    <x v="0"/>
    <x v="0"/>
    <x v="1"/>
    <d v="2019-03-08T09:11:45"/>
    <d v="2019-03-10T09:11:45"/>
    <d v="2019-03-13T09:11:45"/>
    <x v="0"/>
    <n v="62"/>
    <n v="103"/>
    <n v="3166"/>
  </r>
  <r>
    <n v="616469"/>
    <x v="5"/>
    <s v="Delhi"/>
    <x v="0"/>
    <s v=" MH"/>
    <x v="1"/>
    <x v="0"/>
    <x v="2"/>
    <x v="0"/>
    <d v="2019-03-08T10:05:38"/>
    <d v="2019-03-13T10:05:38"/>
    <d v="2019-03-14T10:05:38"/>
    <x v="9"/>
    <n v="35"/>
    <n v="110"/>
    <n v="3161.2992548020534"/>
  </r>
  <r>
    <n v="904250"/>
    <x v="5"/>
    <s v="Delhi"/>
    <x v="2"/>
    <s v=" DL"/>
    <x v="0"/>
    <x v="0"/>
    <x v="0"/>
    <x v="0"/>
    <d v="2019-03-08T10:06:27"/>
    <d v="2019-03-09T10:06:27"/>
    <d v="2019-03-14T10:06:27"/>
    <x v="2"/>
    <n v="0"/>
    <n v="100"/>
    <n v="765.56267064180065"/>
  </r>
  <r>
    <n v="838585"/>
    <x v="5"/>
    <s v="Delhi"/>
    <x v="1"/>
    <s v=" TN"/>
    <x v="1"/>
    <x v="0"/>
    <x v="1"/>
    <x v="0"/>
    <d v="2019-03-08T10:31:57"/>
    <d v="2019-03-11T10:31:57"/>
    <d v="2019-03-13T10:31:57"/>
    <x v="4"/>
    <n v="45"/>
    <n v="124"/>
    <n v="1498.116016044823"/>
  </r>
  <r>
    <n v="209728"/>
    <x v="5"/>
    <s v="Bangalore"/>
    <x v="4"/>
    <s v=" WB"/>
    <x v="0"/>
    <x v="0"/>
    <x v="0"/>
    <x v="0"/>
    <d v="2019-03-08T12:09:15"/>
    <d v="2019-03-11T12:09:15"/>
    <d v="2019-03-12T12:09:15"/>
    <x v="4"/>
    <n v="48"/>
    <n v="112"/>
    <n v="787.38422857828493"/>
  </r>
  <r>
    <n v="16439"/>
    <x v="5"/>
    <s v="Bangalore"/>
    <x v="3"/>
    <s v=" KA"/>
    <x v="1"/>
    <x v="0"/>
    <x v="1"/>
    <x v="0"/>
    <d v="2019-03-08T12:52:15"/>
    <d v="2019-03-11T12:52:15"/>
    <d v="2019-03-12T12:52:15"/>
    <x v="4"/>
    <n v="0"/>
    <n v="123"/>
    <n v="1088.1108848195945"/>
  </r>
  <r>
    <n v="957703"/>
    <x v="5"/>
    <s v="Delhi"/>
    <x v="2"/>
    <s v=" DL"/>
    <x v="1"/>
    <x v="0"/>
    <x v="1"/>
    <x v="0"/>
    <d v="2019-03-08T12:53:41"/>
    <d v="2019-03-10T12:53:41"/>
    <d v="2019-03-12T12:53:41"/>
    <x v="0"/>
    <n v="0"/>
    <n v="122"/>
    <n v="2785.6290881806035"/>
  </r>
  <r>
    <n v="204488"/>
    <x v="5"/>
    <s v="Delhi"/>
    <x v="3"/>
    <s v=" KA"/>
    <x v="0"/>
    <x v="0"/>
    <x v="0"/>
    <x v="0"/>
    <d v="2019-03-08T13:23:03"/>
    <d v="2019-03-14T13:23:03"/>
    <d v="2019-03-12T13:23:03"/>
    <x v="3"/>
    <n v="75"/>
    <n v="105"/>
    <n v="2196"/>
  </r>
  <r>
    <n v="320776"/>
    <x v="5"/>
    <s v="Delhi"/>
    <x v="3"/>
    <s v=" KA"/>
    <x v="0"/>
    <x v="0"/>
    <x v="0"/>
    <x v="0"/>
    <d v="2019-03-08T13:30:59"/>
    <d v="2019-03-13T13:30:59"/>
    <d v="2019-03-14T13:30:59"/>
    <x v="9"/>
    <n v="28"/>
    <n v="128"/>
    <n v="2863.415150794634"/>
  </r>
  <r>
    <n v="272960"/>
    <x v="5"/>
    <s v="Delhi"/>
    <x v="2"/>
    <s v=" DL"/>
    <x v="0"/>
    <x v="0"/>
    <x v="0"/>
    <x v="0"/>
    <d v="2019-03-08T15:21:59"/>
    <d v="2019-03-10T15:21:59"/>
    <d v="2019-03-15T15:21:59"/>
    <x v="0"/>
    <n v="0"/>
    <n v="127"/>
    <n v="1832.3804743753265"/>
  </r>
  <r>
    <n v="329381"/>
    <x v="5"/>
    <s v="Bangalore"/>
    <x v="4"/>
    <s v=" WB"/>
    <x v="1"/>
    <x v="0"/>
    <x v="1"/>
    <x v="0"/>
    <d v="2019-03-08T15:22:18"/>
    <d v="2019-03-13T15:22:18"/>
    <d v="2019-03-14T15:22:18"/>
    <x v="9"/>
    <n v="32"/>
    <n v="111"/>
    <n v="3416.5978453790808"/>
  </r>
  <r>
    <n v="127139"/>
    <x v="5"/>
    <s v="Delhi"/>
    <x v="0"/>
    <s v=" MH"/>
    <x v="1"/>
    <x v="0"/>
    <x v="1"/>
    <x v="0"/>
    <d v="2019-03-08T18:20:12"/>
    <d v="2019-03-15T18:20:12"/>
    <d v="2019-03-15T18:20:12"/>
    <x v="8"/>
    <n v="42"/>
    <n v="112"/>
    <n v="460.21350857182722"/>
  </r>
  <r>
    <n v="637949"/>
    <x v="5"/>
    <s v="Delhi"/>
    <x v="1"/>
    <s v=" TN"/>
    <x v="1"/>
    <x v="0"/>
    <x v="1"/>
    <x v="0"/>
    <d v="2019-03-08T19:14:43"/>
    <d v="2019-03-14T19:14:43"/>
    <d v="2019-03-14T19:14:43"/>
    <x v="3"/>
    <n v="42"/>
    <n v="127"/>
    <n v="1781.1924213584475"/>
  </r>
  <r>
    <n v="157671"/>
    <x v="5"/>
    <s v="Delhi"/>
    <x v="0"/>
    <s v=" MH"/>
    <x v="0"/>
    <x v="0"/>
    <x v="1"/>
    <x v="1"/>
    <d v="2019-03-08T20:33:17"/>
    <d v="2019-03-13T20:33:17"/>
    <d v="2019-03-11T20:33:17"/>
    <x v="9"/>
    <n v="79"/>
    <n v="86"/>
    <n v="1283.0449544630055"/>
  </r>
  <r>
    <n v="179200"/>
    <x v="5"/>
    <s v="Delhi"/>
    <x v="1"/>
    <s v=" TN"/>
    <x v="0"/>
    <x v="0"/>
    <x v="0"/>
    <x v="0"/>
    <d v="2019-03-08T20:49:37"/>
    <d v="2019-03-19T20:49:37"/>
    <d v="2019-03-11T20:49:37"/>
    <x v="11"/>
    <n v="43"/>
    <n v="128"/>
    <n v="2546.4541226411202"/>
  </r>
  <r>
    <n v="803366"/>
    <x v="5"/>
    <s v="Delhi"/>
    <x v="4"/>
    <s v=" WB"/>
    <x v="2"/>
    <x v="0"/>
    <x v="0"/>
    <x v="0"/>
    <d v="2019-03-08T21:45:43"/>
    <d v="2019-03-10T21:45:43"/>
    <d v="2019-03-13T21:45:43"/>
    <x v="0"/>
    <n v="34"/>
    <n v="105"/>
    <n v="2632.9970430161497"/>
  </r>
  <r>
    <n v="190989"/>
    <x v="5"/>
    <s v="Bangalore"/>
    <x v="3"/>
    <s v=" KA"/>
    <x v="1"/>
    <x v="0"/>
    <x v="1"/>
    <x v="1"/>
    <d v="2019-03-08T21:51:43"/>
    <d v="2019-03-08T21:51:43"/>
    <d v="2019-03-14T21:51:43"/>
    <x v="10"/>
    <n v="0"/>
    <n v="129"/>
    <n v="2855"/>
  </r>
  <r>
    <n v="143775"/>
    <x v="5"/>
    <s v="Delhi"/>
    <x v="0"/>
    <s v=" MH"/>
    <x v="1"/>
    <x v="0"/>
    <x v="1"/>
    <x v="1"/>
    <d v="2019-03-08T22:11:42"/>
    <d v="2019-03-13T22:11:42"/>
    <d v="2019-03-13T22:11:42"/>
    <x v="9"/>
    <n v="26"/>
    <n v="105"/>
    <n v="2022"/>
  </r>
  <r>
    <n v="12731"/>
    <x v="5"/>
    <s v="Delhi"/>
    <x v="3"/>
    <s v=" KA"/>
    <x v="1"/>
    <x v="0"/>
    <x v="1"/>
    <x v="0"/>
    <d v="2019-03-08T22:58:26"/>
    <d v="2019-03-16T22:58:26"/>
    <d v="2019-03-11T22:58:26"/>
    <x v="5"/>
    <n v="47"/>
    <n v="127"/>
    <n v="2517.5595184100821"/>
  </r>
  <r>
    <n v="670624"/>
    <x v="5"/>
    <s v="Bangalore"/>
    <x v="2"/>
    <s v=" DL"/>
    <x v="0"/>
    <x v="0"/>
    <x v="0"/>
    <x v="0"/>
    <d v="2019-03-08T23:20:18"/>
    <d v="2019-03-10T23:20:18"/>
    <d v="2019-03-14T23:20:18"/>
    <x v="0"/>
    <n v="66"/>
    <n v="101"/>
    <n v="1374.2763469448817"/>
  </r>
  <r>
    <n v="992649"/>
    <x v="5"/>
    <s v="Delhi"/>
    <x v="4"/>
    <s v=" WB"/>
    <x v="1"/>
    <x v="0"/>
    <x v="2"/>
    <x v="1"/>
    <d v="2019-03-08T23:33:00"/>
    <d v="2019-03-12T23:33:00"/>
    <d v="2019-03-13T23:33:00"/>
    <x v="6"/>
    <n v="35"/>
    <n v="107"/>
    <n v="957.4650705218852"/>
  </r>
  <r>
    <n v="763977"/>
    <x v="5"/>
    <s v="Delhi"/>
    <x v="2"/>
    <s v=" DL"/>
    <x v="0"/>
    <x v="0"/>
    <x v="1"/>
    <x v="1"/>
    <d v="2019-03-08T23:34:26"/>
    <d v="2019-03-13T23:34:26"/>
    <d v="2019-03-12T23:34:26"/>
    <x v="9"/>
    <n v="0"/>
    <n v="109"/>
    <n v="2375"/>
  </r>
  <r>
    <n v="977003"/>
    <x v="5"/>
    <s v="Delhi"/>
    <x v="4"/>
    <s v=" WB"/>
    <x v="0"/>
    <x v="0"/>
    <x v="1"/>
    <x v="0"/>
    <d v="2019-03-09T01:06:13"/>
    <d v="2019-03-13T01:06:13"/>
    <d v="2019-03-13T01:06:13"/>
    <x v="6"/>
    <n v="74"/>
    <n v="91"/>
    <n v="846.72113544847502"/>
  </r>
  <r>
    <n v="159296"/>
    <x v="5"/>
    <s v="Delhi"/>
    <x v="4"/>
    <s v=" WB"/>
    <x v="0"/>
    <x v="0"/>
    <x v="0"/>
    <x v="0"/>
    <d v="2019-03-09T04:28:24"/>
    <d v="2019-03-13T04:28:24"/>
    <d v="2019-03-13T04:28:24"/>
    <x v="6"/>
    <n v="33"/>
    <n v="107"/>
    <n v="909.77075274997947"/>
  </r>
  <r>
    <n v="650994"/>
    <x v="5"/>
    <s v="Delhi"/>
    <x v="0"/>
    <s v=" MH"/>
    <x v="2"/>
    <x v="0"/>
    <x v="0"/>
    <x v="1"/>
    <d v="2019-03-09T05:28:46"/>
    <d v="2019-03-15T05:28:46"/>
    <d v="2019-03-13T05:28:46"/>
    <x v="3"/>
    <n v="28"/>
    <n v="113"/>
    <n v="3526.3702798990716"/>
  </r>
  <r>
    <n v="794355"/>
    <x v="5"/>
    <s v="Delhi"/>
    <x v="1"/>
    <s v=" TN"/>
    <x v="1"/>
    <x v="0"/>
    <x v="1"/>
    <x v="1"/>
    <d v="2019-03-09T06:13:28"/>
    <d v="2019-03-14T06:13:28"/>
    <d v="2019-03-16T06:13:28"/>
    <x v="9"/>
    <n v="47"/>
    <n v="130"/>
    <n v="1425.1869922120659"/>
  </r>
  <r>
    <n v="589857"/>
    <x v="5"/>
    <s v="Delhi"/>
    <x v="0"/>
    <s v=" MH"/>
    <x v="0"/>
    <x v="0"/>
    <x v="1"/>
    <x v="1"/>
    <d v="2019-03-09T06:26:43"/>
    <d v="2019-03-12T06:26:43"/>
    <d v="2019-03-14T06:26:43"/>
    <x v="4"/>
    <n v="83"/>
    <n v="86"/>
    <n v="406.38151964988606"/>
  </r>
  <r>
    <n v="915480"/>
    <x v="5"/>
    <s v="Bangalore"/>
    <x v="2"/>
    <s v=" DL"/>
    <x v="0"/>
    <x v="0"/>
    <x v="0"/>
    <x v="1"/>
    <d v="2019-03-09T07:50:08"/>
    <d v="2019-03-11T07:50:08"/>
    <d v="2019-03-13T07:50:08"/>
    <x v="0"/>
    <n v="36"/>
    <n v="123"/>
    <n v="1512.2458852638706"/>
  </r>
  <r>
    <n v="539382"/>
    <x v="5"/>
    <s v="Delhi"/>
    <x v="1"/>
    <s v=" TN"/>
    <x v="2"/>
    <x v="0"/>
    <x v="0"/>
    <x v="1"/>
    <d v="2019-03-09T08:03:12"/>
    <d v="2019-03-15T08:03:12"/>
    <d v="2019-03-15T08:03:12"/>
    <x v="3"/>
    <n v="37"/>
    <n v="120"/>
    <n v="470.20920991111461"/>
  </r>
  <r>
    <n v="325260"/>
    <x v="5"/>
    <s v="Bangalore"/>
    <x v="4"/>
    <s v=" WB"/>
    <x v="0"/>
    <x v="0"/>
    <x v="0"/>
    <x v="1"/>
    <d v="2019-03-09T08:05:15"/>
    <d v="2019-03-17T08:05:15"/>
    <d v="2019-03-12T08:05:15"/>
    <x v="5"/>
    <n v="25"/>
    <n v="107"/>
    <n v="2808.0884348769514"/>
  </r>
  <r>
    <n v="467418"/>
    <x v="5"/>
    <s v="Bangalore"/>
    <x v="1"/>
    <s v=" TN"/>
    <x v="2"/>
    <x v="0"/>
    <x v="0"/>
    <x v="1"/>
    <d v="2019-03-09T10:15:57"/>
    <d v="2019-03-11T10:15:57"/>
    <d v="2019-03-16T10:15:57"/>
    <x v="0"/>
    <n v="29"/>
    <n v="122"/>
    <n v="2273.144653744655"/>
  </r>
  <r>
    <n v="303709"/>
    <x v="5"/>
    <s v="Delhi"/>
    <x v="2"/>
    <s v=" DL"/>
    <x v="1"/>
    <x v="0"/>
    <x v="2"/>
    <x v="0"/>
    <d v="2019-03-09T10:29:12"/>
    <d v="2019-03-11T10:29:12"/>
    <d v="2019-03-14T10:29:12"/>
    <x v="0"/>
    <n v="9999"/>
    <n v="120"/>
    <n v="1388.3709452917387"/>
  </r>
  <r>
    <n v="321040"/>
    <x v="5"/>
    <s v="Delhi"/>
    <x v="0"/>
    <s v=" MH"/>
    <x v="0"/>
    <x v="0"/>
    <x v="0"/>
    <x v="0"/>
    <d v="2019-03-09T10:34:12"/>
    <d v="2019-03-11T10:34:12"/>
    <d v="2019-03-15T10:34:12"/>
    <x v="0"/>
    <n v="26"/>
    <n v="113"/>
    <n v="1398.0315350809544"/>
  </r>
  <r>
    <n v="504319"/>
    <x v="5"/>
    <s v="Delhi"/>
    <x v="0"/>
    <s v=" MH"/>
    <x v="1"/>
    <x v="0"/>
    <x v="1"/>
    <x v="0"/>
    <d v="2019-03-09T12:18:52"/>
    <d v="2019-03-13T12:18:52"/>
    <d v="2019-03-14T12:18:52"/>
    <x v="6"/>
    <n v="50"/>
    <n v="111"/>
    <n v="445"/>
  </r>
  <r>
    <n v="292278"/>
    <x v="5"/>
    <s v="Delhi"/>
    <x v="3"/>
    <s v=" KA"/>
    <x v="0"/>
    <x v="0"/>
    <x v="0"/>
    <x v="1"/>
    <d v="2019-03-09T13:17:05"/>
    <d v="2019-03-14T13:17:05"/>
    <d v="2019-03-14T13:17:05"/>
    <x v="9"/>
    <n v="70"/>
    <n v="105"/>
    <n v="676.41826254013074"/>
  </r>
  <r>
    <n v="32766"/>
    <x v="5"/>
    <s v="Bangalore"/>
    <x v="2"/>
    <s v=" DL"/>
    <x v="2"/>
    <x v="0"/>
    <x v="0"/>
    <x v="1"/>
    <d v="2019-03-09T14:28:44"/>
    <d v="2019-03-13T14:28:44"/>
    <d v="2019-03-16T14:28:44"/>
    <x v="6"/>
    <n v="31"/>
    <n v="120"/>
    <n v="515.43763687718399"/>
  </r>
  <r>
    <n v="876367"/>
    <x v="5"/>
    <s v="Delhi"/>
    <x v="0"/>
    <s v=" MH"/>
    <x v="0"/>
    <x v="0"/>
    <x v="1"/>
    <x v="0"/>
    <d v="2019-03-09T15:12:23"/>
    <d v="2019-03-12T15:12:23"/>
    <d v="2019-03-16T15:12:23"/>
    <x v="4"/>
    <n v="80"/>
    <n v="93"/>
    <n v="270"/>
  </r>
  <r>
    <n v="56795"/>
    <x v="5"/>
    <s v="Bangalore"/>
    <x v="3"/>
    <s v=" KA"/>
    <x v="0"/>
    <x v="0"/>
    <x v="1"/>
    <x v="0"/>
    <d v="2019-03-09T16:17:39"/>
    <d v="2019-03-09T16:17:39"/>
    <d v="2019-03-13T16:17:39"/>
    <x v="10"/>
    <n v="0"/>
    <n v="101"/>
    <n v="3528"/>
  </r>
  <r>
    <n v="771656"/>
    <x v="5"/>
    <s v="Delhi"/>
    <x v="2"/>
    <s v=" DL"/>
    <x v="0"/>
    <x v="0"/>
    <x v="0"/>
    <x v="0"/>
    <d v="2019-03-09T17:28:30"/>
    <d v="2019-03-11T17:28:30"/>
    <d v="2019-03-16T17:28:30"/>
    <x v="0"/>
    <n v="0"/>
    <n v="128"/>
    <n v="1290.7033771692672"/>
  </r>
  <r>
    <n v="327624"/>
    <x v="5"/>
    <s v="Bangalore"/>
    <x v="4"/>
    <s v=" WB"/>
    <x v="0"/>
    <x v="0"/>
    <x v="0"/>
    <x v="1"/>
    <d v="2019-03-09T17:43:57"/>
    <d v="2019-03-17T17:43:57"/>
    <d v="2019-03-12T17:43:57"/>
    <x v="5"/>
    <n v="64"/>
    <n v="90"/>
    <n v="2034.1995888023569"/>
  </r>
  <r>
    <n v="26635"/>
    <x v="5"/>
    <s v="Delhi"/>
    <x v="0"/>
    <s v=" MH"/>
    <x v="1"/>
    <x v="0"/>
    <x v="2"/>
    <x v="0"/>
    <d v="2019-03-09T18:03:38"/>
    <d v="2019-03-16T18:03:38"/>
    <d v="2019-03-12T18:03:38"/>
    <x v="8"/>
    <n v="47"/>
    <n v="109"/>
    <n v="1164"/>
  </r>
  <r>
    <n v="951029"/>
    <x v="5"/>
    <s v="Delhi"/>
    <x v="0"/>
    <s v=" MH"/>
    <x v="1"/>
    <x v="0"/>
    <x v="1"/>
    <x v="0"/>
    <d v="2019-03-09T18:07:51"/>
    <d v="2019-03-17T18:07:51"/>
    <d v="2019-03-16T18:07:51"/>
    <x v="5"/>
    <n v="43"/>
    <n v="114"/>
    <n v="584.31747826197488"/>
  </r>
  <r>
    <n v="259696"/>
    <x v="5"/>
    <s v="Bangalore"/>
    <x v="4"/>
    <s v=" WB"/>
    <x v="0"/>
    <x v="0"/>
    <x v="0"/>
    <x v="0"/>
    <d v="2019-03-09T18:39:02"/>
    <d v="2019-03-12T18:39:02"/>
    <d v="2019-03-16T18:39:02"/>
    <x v="4"/>
    <n v="35"/>
    <n v="107"/>
    <n v="683"/>
  </r>
  <r>
    <n v="744042"/>
    <x v="5"/>
    <s v="Delhi"/>
    <x v="4"/>
    <s v=" WB"/>
    <x v="2"/>
    <x v="0"/>
    <x v="0"/>
    <x v="1"/>
    <d v="2019-03-09T20:21:36"/>
    <d v="2019-03-11T20:21:36"/>
    <d v="2019-03-15T20:21:36"/>
    <x v="0"/>
    <n v="30"/>
    <n v="108"/>
    <n v="2304"/>
  </r>
  <r>
    <n v="383719"/>
    <x v="5"/>
    <s v="Delhi"/>
    <x v="3"/>
    <s v=" KA"/>
    <x v="1"/>
    <x v="0"/>
    <x v="2"/>
    <x v="0"/>
    <d v="2019-03-09T20:25:00"/>
    <d v="2019-03-14T20:25:00"/>
    <d v="2019-03-14T20:25:00"/>
    <x v="9"/>
    <n v="50"/>
    <n v="122"/>
    <n v="2652"/>
  </r>
  <r>
    <n v="128769"/>
    <x v="5"/>
    <s v="Delhi"/>
    <x v="3"/>
    <s v=" KA"/>
    <x v="1"/>
    <x v="0"/>
    <x v="1"/>
    <x v="1"/>
    <d v="2019-03-09T20:56:46"/>
    <d v="2019-03-16T20:56:46"/>
    <d v="2019-03-15T20:56:46"/>
    <x v="8"/>
    <n v="46"/>
    <n v="126"/>
    <n v="1193.0776123254741"/>
  </r>
  <r>
    <n v="859214"/>
    <x v="5"/>
    <s v="Delhi"/>
    <x v="0"/>
    <s v=" MH"/>
    <x v="2"/>
    <x v="0"/>
    <x v="0"/>
    <x v="0"/>
    <d v="2019-03-09T21:24:19"/>
    <d v="2019-03-12T21:24:19"/>
    <d v="2019-03-13T21:24:19"/>
    <x v="4"/>
    <n v="41"/>
    <n v="108"/>
    <n v="1765.1692468280394"/>
  </r>
  <r>
    <n v="869497"/>
    <x v="5"/>
    <s v="Delhi"/>
    <x v="3"/>
    <s v=" KA"/>
    <x v="1"/>
    <x v="0"/>
    <x v="1"/>
    <x v="0"/>
    <d v="2019-03-09T21:52:03"/>
    <d v="2019-03-13T21:52:03"/>
    <d v="2019-03-14T21:52:03"/>
    <x v="6"/>
    <n v="42"/>
    <n v="125"/>
    <n v="1496"/>
  </r>
  <r>
    <n v="904219"/>
    <x v="5"/>
    <s v="Bangalore"/>
    <x v="2"/>
    <s v=" DL"/>
    <x v="1"/>
    <x v="0"/>
    <x v="1"/>
    <x v="0"/>
    <d v="2019-03-09T22:44:24"/>
    <d v="2019-03-17T22:44:24"/>
    <d v="2019-03-13T22:44:24"/>
    <x v="5"/>
    <n v="42"/>
    <n v="126"/>
    <n v="966.76899098588797"/>
  </r>
  <r>
    <n v="109881"/>
    <x v="5"/>
    <s v="Bangalore"/>
    <x v="0"/>
    <s v=" MH"/>
    <x v="0"/>
    <x v="0"/>
    <x v="1"/>
    <x v="1"/>
    <d v="2019-03-09T22:59:56"/>
    <d v="2019-03-13T22:59:56"/>
    <d v="2019-03-16T22:59:56"/>
    <x v="6"/>
    <n v="74"/>
    <n v="95"/>
    <n v="3138.1446845211203"/>
  </r>
  <r>
    <n v="360530"/>
    <x v="5"/>
    <s v="Delhi"/>
    <x v="0"/>
    <s v=" MH"/>
    <x v="2"/>
    <x v="0"/>
    <x v="0"/>
    <x v="0"/>
    <d v="2019-03-09T23:03:38"/>
    <d v="2019-03-12T23:03:38"/>
    <d v="2019-03-12T23:03:38"/>
    <x v="4"/>
    <n v="39"/>
    <n v="114"/>
    <n v="2930.9084489024399"/>
  </r>
  <r>
    <n v="83748"/>
    <x v="5"/>
    <s v="Bangalore"/>
    <x v="4"/>
    <s v=" WB"/>
    <x v="0"/>
    <x v="0"/>
    <x v="0"/>
    <x v="1"/>
    <d v="2019-03-10T00:18:00"/>
    <d v="2019-03-18T00:18:00"/>
    <d v="2019-03-13T00:18:00"/>
    <x v="5"/>
    <n v="27"/>
    <n v="110"/>
    <n v="806.97468975144284"/>
  </r>
  <r>
    <n v="186385"/>
    <x v="5"/>
    <s v="Bangalore"/>
    <x v="3"/>
    <s v=" KA"/>
    <x v="0"/>
    <x v="0"/>
    <x v="1"/>
    <x v="0"/>
    <d v="2019-03-10T00:18:52"/>
    <d v="2019-03-10T00:18:52"/>
    <d v="2019-03-17T00:18:52"/>
    <x v="10"/>
    <n v="0"/>
    <n v="102"/>
    <n v="1494.2514483283419"/>
  </r>
  <r>
    <n v="213166"/>
    <x v="5"/>
    <s v="Delhi"/>
    <x v="2"/>
    <s v=" DL"/>
    <x v="0"/>
    <x v="0"/>
    <x v="0"/>
    <x v="0"/>
    <d v="2019-03-10T01:23:31"/>
    <d v="2019-03-12T01:23:31"/>
    <d v="2019-03-15T01:23:31"/>
    <x v="0"/>
    <n v="0"/>
    <n v="103"/>
    <n v="831.40003997546398"/>
  </r>
  <r>
    <n v="291149"/>
    <x v="5"/>
    <s v="Bangalore"/>
    <x v="3"/>
    <s v=" KA"/>
    <x v="1"/>
    <x v="0"/>
    <x v="1"/>
    <x v="0"/>
    <d v="2019-03-10T02:52:07"/>
    <d v="2019-03-10T02:52:07"/>
    <d v="2019-03-16T02:52:07"/>
    <x v="10"/>
    <n v="0"/>
    <n v="125"/>
    <n v="3223.9336109816318"/>
  </r>
  <r>
    <n v="757590"/>
    <x v="5"/>
    <s v="Bangalore"/>
    <x v="2"/>
    <s v=" DL"/>
    <x v="0"/>
    <x v="0"/>
    <x v="0"/>
    <x v="1"/>
    <d v="2019-03-10T03:25:07"/>
    <d v="2019-03-12T03:25:07"/>
    <d v="2019-03-13T03:25:07"/>
    <x v="0"/>
    <n v="70"/>
    <n v="100"/>
    <n v="1524"/>
  </r>
  <r>
    <n v="115794"/>
    <x v="5"/>
    <s v="Delhi"/>
    <x v="1"/>
    <s v=" TN"/>
    <x v="0"/>
    <x v="0"/>
    <x v="0"/>
    <x v="1"/>
    <d v="2019-03-10T03:49:28"/>
    <d v="2019-03-16T03:49:28"/>
    <d v="2019-03-15T03:49:28"/>
    <x v="3"/>
    <n v="72"/>
    <n v="107"/>
    <n v="2266"/>
  </r>
  <r>
    <n v="875783"/>
    <x v="5"/>
    <s v="Bangalore"/>
    <x v="4"/>
    <s v=" WB"/>
    <x v="0"/>
    <x v="0"/>
    <x v="1"/>
    <x v="0"/>
    <d v="2019-03-10T06:00:38"/>
    <d v="2019-03-18T06:00:38"/>
    <d v="2019-03-17T06:00:38"/>
    <x v="5"/>
    <n v="65"/>
    <n v="86"/>
    <n v="1383.0802648089434"/>
  </r>
  <r>
    <n v="715006"/>
    <x v="5"/>
    <s v="Delhi"/>
    <x v="3"/>
    <s v=" KA"/>
    <x v="0"/>
    <x v="0"/>
    <x v="0"/>
    <x v="0"/>
    <d v="2019-03-10T07:08:01"/>
    <d v="2019-03-15T07:08:01"/>
    <d v="2019-03-17T07:08:01"/>
    <x v="9"/>
    <n v="66"/>
    <n v="106"/>
    <n v="3760.6518218685583"/>
  </r>
  <r>
    <n v="2790"/>
    <x v="5"/>
    <s v="Delhi"/>
    <x v="2"/>
    <s v=" DL"/>
    <x v="2"/>
    <x v="0"/>
    <x v="0"/>
    <x v="1"/>
    <d v="2019-03-10T07:14:14"/>
    <d v="2019-03-12T07:14:14"/>
    <d v="2019-03-13T07:14:14"/>
    <x v="0"/>
    <n v="0"/>
    <n v="122"/>
    <n v="911"/>
  </r>
  <r>
    <n v="580647"/>
    <x v="5"/>
    <s v="Bangalore"/>
    <x v="3"/>
    <s v=" KA"/>
    <x v="1"/>
    <x v="0"/>
    <x v="1"/>
    <x v="1"/>
    <d v="2019-03-10T07:52:08"/>
    <d v="2019-03-16T07:52:08"/>
    <d v="2019-03-16T07:52:08"/>
    <x v="3"/>
    <n v="0"/>
    <n v="127"/>
    <n v="3029"/>
  </r>
  <r>
    <n v="753164"/>
    <x v="5"/>
    <s v="Delhi"/>
    <x v="3"/>
    <s v=" KA"/>
    <x v="0"/>
    <x v="0"/>
    <x v="0"/>
    <x v="0"/>
    <d v="2019-03-10T08:44:07"/>
    <d v="2019-03-14T08:44:07"/>
    <d v="2019-03-15T08:44:07"/>
    <x v="6"/>
    <n v="46"/>
    <n v="127"/>
    <n v="2836.4635863071303"/>
  </r>
  <r>
    <n v="339801"/>
    <x v="5"/>
    <s v="Delhi"/>
    <x v="2"/>
    <s v=" DL"/>
    <x v="0"/>
    <x v="0"/>
    <x v="2"/>
    <x v="1"/>
    <d v="2019-03-10T09:55:01"/>
    <d v="2019-03-10T09:55:01"/>
    <d v="2019-03-17T09:55:01"/>
    <x v="10"/>
    <n v="0"/>
    <n v="100"/>
    <n v="3203.2514437149352"/>
  </r>
  <r>
    <n v="802010"/>
    <x v="5"/>
    <s v="Delhi"/>
    <x v="4"/>
    <s v=" WB"/>
    <x v="2"/>
    <x v="0"/>
    <x v="0"/>
    <x v="0"/>
    <d v="2019-03-10T10:00:06"/>
    <d v="2019-03-12T10:00:06"/>
    <d v="2019-03-17T10:00:06"/>
    <x v="0"/>
    <n v="38"/>
    <n v="110"/>
    <n v="1204.9798922483235"/>
  </r>
  <r>
    <n v="657877"/>
    <x v="5"/>
    <s v="Bangalore"/>
    <x v="0"/>
    <s v=" MH"/>
    <x v="1"/>
    <x v="0"/>
    <x v="1"/>
    <x v="0"/>
    <d v="2019-03-10T10:22:33"/>
    <d v="2019-03-15T10:22:33"/>
    <d v="2019-03-13T10:22:33"/>
    <x v="9"/>
    <n v="31"/>
    <n v="107"/>
    <n v="2012.7973612984936"/>
  </r>
  <r>
    <n v="688132"/>
    <x v="5"/>
    <s v="Delhi"/>
    <x v="4"/>
    <s v=" WB"/>
    <x v="0"/>
    <x v="0"/>
    <x v="0"/>
    <x v="0"/>
    <d v="2019-03-10T10:27:08"/>
    <d v="2019-03-17T10:27:08"/>
    <d v="2019-03-14T10:27:08"/>
    <x v="8"/>
    <n v="77"/>
    <n v="93"/>
    <n v="709.80470292905943"/>
  </r>
  <r>
    <n v="167513"/>
    <x v="5"/>
    <s v="Delhi"/>
    <x v="0"/>
    <s v=" MH"/>
    <x v="0"/>
    <x v="0"/>
    <x v="1"/>
    <x v="0"/>
    <d v="2019-03-10T10:48:16"/>
    <d v="2019-03-13T10:48:16"/>
    <d v="2019-03-14T10:48:16"/>
    <x v="4"/>
    <n v="79"/>
    <n v="94"/>
    <n v="1224.4836845653019"/>
  </r>
  <r>
    <n v="188301"/>
    <x v="5"/>
    <s v="Delhi"/>
    <x v="4"/>
    <s v=" WB"/>
    <x v="1"/>
    <x v="0"/>
    <x v="1"/>
    <x v="1"/>
    <d v="2019-03-10T10:57:36"/>
    <d v="2019-03-12T10:57:36"/>
    <d v="2019-03-14T10:57:36"/>
    <x v="0"/>
    <n v="46"/>
    <n v="111"/>
    <n v="1525"/>
  </r>
  <r>
    <n v="630443"/>
    <x v="5"/>
    <s v="Bangalore"/>
    <x v="0"/>
    <s v=" MH"/>
    <x v="1"/>
    <x v="0"/>
    <x v="1"/>
    <x v="0"/>
    <d v="2019-03-10T12:52:53"/>
    <d v="2019-03-14T12:52:53"/>
    <d v="2019-03-13T12:52:53"/>
    <x v="6"/>
    <n v="32"/>
    <n v="113"/>
    <n v="1805.6027553695455"/>
  </r>
  <r>
    <n v="871448"/>
    <x v="5"/>
    <s v="Delhi"/>
    <x v="4"/>
    <s v=" WB"/>
    <x v="0"/>
    <x v="0"/>
    <x v="0"/>
    <x v="0"/>
    <d v="2019-03-10T12:55:59"/>
    <d v="2019-03-14T12:55:59"/>
    <d v="2019-03-13T12:55:59"/>
    <x v="6"/>
    <n v="43"/>
    <n v="108"/>
    <n v="875.16119212988394"/>
  </r>
  <r>
    <n v="863931"/>
    <x v="5"/>
    <s v="Bangalore"/>
    <x v="4"/>
    <s v=" WB"/>
    <x v="1"/>
    <x v="0"/>
    <x v="1"/>
    <x v="1"/>
    <d v="2019-03-10T12:56:18"/>
    <d v="2019-03-15T12:56:18"/>
    <d v="2019-03-13T12:56:18"/>
    <x v="9"/>
    <n v="27"/>
    <n v="106"/>
    <n v="2919.6152788479749"/>
  </r>
  <r>
    <n v="88052"/>
    <x v="5"/>
    <s v="Delhi"/>
    <x v="4"/>
    <s v=" WB"/>
    <x v="0"/>
    <x v="0"/>
    <x v="0"/>
    <x v="0"/>
    <d v="2019-03-10T13:03:06"/>
    <d v="2019-03-17T13:03:06"/>
    <d v="2019-03-13T13:03:06"/>
    <x v="8"/>
    <n v="31"/>
    <n v="113"/>
    <n v="2792.367789536584"/>
  </r>
  <r>
    <n v="46298"/>
    <x v="5"/>
    <s v="Delhi"/>
    <x v="2"/>
    <s v=" DL"/>
    <x v="2"/>
    <x v="0"/>
    <x v="0"/>
    <x v="0"/>
    <d v="2019-03-10T13:38:20"/>
    <d v="2019-03-12T13:38:20"/>
    <d v="2019-03-16T13:38:20"/>
    <x v="0"/>
    <n v="0"/>
    <n v="126"/>
    <n v="351.60391511785247"/>
  </r>
  <r>
    <n v="303602"/>
    <x v="5"/>
    <s v="Delhi"/>
    <x v="2"/>
    <s v=" DL"/>
    <x v="2"/>
    <x v="0"/>
    <x v="0"/>
    <x v="0"/>
    <d v="2019-03-10T13:39:58"/>
    <d v="2019-03-15T13:39:58"/>
    <d v="2019-03-17T13:39:58"/>
    <x v="9"/>
    <n v="0"/>
    <n v="127"/>
    <n v="3127.7407896425857"/>
  </r>
  <r>
    <n v="222354"/>
    <x v="5"/>
    <s v="Delhi"/>
    <x v="2"/>
    <s v=" DL"/>
    <x v="2"/>
    <x v="0"/>
    <x v="0"/>
    <x v="1"/>
    <d v="2019-03-10T14:38:34"/>
    <d v="2019-03-14T14:38:34"/>
    <d v="2019-03-15T14:38:34"/>
    <x v="6"/>
    <n v="0"/>
    <n v="124"/>
    <n v="1573.9267572589072"/>
  </r>
  <r>
    <n v="55564"/>
    <x v="5"/>
    <s v="Delhi"/>
    <x v="4"/>
    <s v=" WB"/>
    <x v="0"/>
    <x v="0"/>
    <x v="0"/>
    <x v="0"/>
    <d v="2019-03-10T14:56:23"/>
    <d v="2019-03-19T14:56:23"/>
    <d v="2019-03-13T14:56:23"/>
    <x v="1"/>
    <n v="40"/>
    <n v="114"/>
    <n v="1827.4902850841424"/>
  </r>
  <r>
    <n v="848050"/>
    <x v="5"/>
    <s v="Delhi"/>
    <x v="1"/>
    <s v=" TN"/>
    <x v="2"/>
    <x v="0"/>
    <x v="0"/>
    <x v="0"/>
    <d v="2019-03-10T15:08:23"/>
    <d v="2019-03-17T15:08:23"/>
    <d v="2019-03-17T15:08:23"/>
    <x v="8"/>
    <n v="46"/>
    <n v="122"/>
    <n v="1224"/>
  </r>
  <r>
    <n v="213101"/>
    <x v="5"/>
    <s v="Delhi"/>
    <x v="0"/>
    <s v=" MH"/>
    <x v="1"/>
    <x v="0"/>
    <x v="2"/>
    <x v="0"/>
    <d v="2019-03-10T15:11:36"/>
    <d v="2019-03-13T15:11:36"/>
    <d v="2019-03-16T15:11:36"/>
    <x v="4"/>
    <n v="49"/>
    <n v="109"/>
    <n v="1327"/>
  </r>
  <r>
    <n v="379599"/>
    <x v="5"/>
    <s v="Delhi"/>
    <x v="0"/>
    <s v=" MH"/>
    <x v="1"/>
    <x v="0"/>
    <x v="1"/>
    <x v="1"/>
    <d v="2019-03-10T15:30:33"/>
    <d v="2019-03-18T15:30:33"/>
    <d v="2019-03-15T15:30:33"/>
    <x v="5"/>
    <n v="41"/>
    <n v="105"/>
    <n v="2486.0375075015791"/>
  </r>
  <r>
    <n v="331435"/>
    <x v="5"/>
    <s v="Bangalore"/>
    <x v="1"/>
    <s v=" TN"/>
    <x v="1"/>
    <x v="0"/>
    <x v="1"/>
    <x v="0"/>
    <d v="2019-03-10T17:22:09"/>
    <d v="2019-03-16T17:22:09"/>
    <d v="2019-03-14T17:22:09"/>
    <x v="3"/>
    <n v="46"/>
    <n v="125"/>
    <n v="2404.525580519155"/>
  </r>
  <r>
    <n v="845489"/>
    <x v="5"/>
    <s v="Bangalore"/>
    <x v="0"/>
    <s v=" MH"/>
    <x v="1"/>
    <x v="0"/>
    <x v="1"/>
    <x v="0"/>
    <d v="2019-03-10T17:32:59"/>
    <d v="2019-03-18T17:32:59"/>
    <d v="2019-03-13T17:32:59"/>
    <x v="5"/>
    <n v="26"/>
    <n v="114"/>
    <n v="1667"/>
  </r>
  <r>
    <n v="959529"/>
    <x v="5"/>
    <s v="Bangalore"/>
    <x v="0"/>
    <s v=" MH"/>
    <x v="1"/>
    <x v="0"/>
    <x v="1"/>
    <x v="1"/>
    <d v="2019-03-10T17:47:53"/>
    <d v="2019-03-14T17:47:53"/>
    <d v="2019-03-15T17:47:53"/>
    <x v="6"/>
    <n v="48"/>
    <n v="106"/>
    <n v="1961.2890994512777"/>
  </r>
  <r>
    <n v="529489"/>
    <x v="5"/>
    <s v="Bangalore"/>
    <x v="3"/>
    <s v=" KA"/>
    <x v="1"/>
    <x v="0"/>
    <x v="1"/>
    <x v="0"/>
    <d v="2019-03-10T18:07:14"/>
    <d v="2019-03-16T18:07:14"/>
    <d v="2019-03-14T18:07:14"/>
    <x v="3"/>
    <n v="0"/>
    <n v="128"/>
    <n v="2192.0190062739011"/>
  </r>
  <r>
    <n v="248972"/>
    <x v="5"/>
    <s v="Delhi"/>
    <x v="0"/>
    <s v=" MH"/>
    <x v="0"/>
    <x v="0"/>
    <x v="0"/>
    <x v="0"/>
    <d v="2019-03-10T18:21:33"/>
    <d v="2019-03-13T18:21:33"/>
    <d v="2019-03-15T18:21:33"/>
    <x v="4"/>
    <n v="48"/>
    <n v="108"/>
    <n v="1737.7976155552053"/>
  </r>
  <r>
    <n v="223679"/>
    <x v="5"/>
    <s v="Delhi"/>
    <x v="2"/>
    <s v=" DL"/>
    <x v="0"/>
    <x v="0"/>
    <x v="1"/>
    <x v="0"/>
    <d v="2019-03-10T18:26:23"/>
    <d v="2019-03-13T18:26:23"/>
    <d v="2019-03-14T18:26:23"/>
    <x v="4"/>
    <n v="0"/>
    <n v="102"/>
    <n v="1319.6119446921373"/>
  </r>
  <r>
    <n v="154688"/>
    <x v="5"/>
    <s v="Bangalore"/>
    <x v="1"/>
    <s v=" TN"/>
    <x v="0"/>
    <x v="0"/>
    <x v="0"/>
    <x v="0"/>
    <d v="2019-03-10T19:14:20"/>
    <d v="2019-03-16T19:14:20"/>
    <d v="2019-03-14T19:14:20"/>
    <x v="3"/>
    <n v="32"/>
    <n v="128"/>
    <n v="1738"/>
  </r>
  <r>
    <n v="64039"/>
    <x v="5"/>
    <s v="Delhi"/>
    <x v="1"/>
    <s v=" TN"/>
    <x v="1"/>
    <x v="0"/>
    <x v="1"/>
    <x v="0"/>
    <d v="2019-03-10T19:53:15"/>
    <d v="2019-03-15T19:53:15"/>
    <d v="2019-03-14T19:53:15"/>
    <x v="9"/>
    <n v="32"/>
    <n v="124"/>
    <n v="2494.2340431149528"/>
  </r>
  <r>
    <n v="160621"/>
    <x v="5"/>
    <s v="Bangalore"/>
    <x v="0"/>
    <s v=" MH"/>
    <x v="1"/>
    <x v="0"/>
    <x v="1"/>
    <x v="0"/>
    <d v="2019-03-10T20:40:18"/>
    <d v="2019-03-13T20:40:18"/>
    <d v="2019-03-15T20:40:18"/>
    <x v="4"/>
    <n v="27"/>
    <n v="107"/>
    <n v="521.46765794128362"/>
  </r>
  <r>
    <n v="105591"/>
    <x v="5"/>
    <s v="Bangalore"/>
    <x v="3"/>
    <s v=" KA"/>
    <x v="1"/>
    <x v="0"/>
    <x v="1"/>
    <x v="1"/>
    <d v="2019-03-10T20:55:59"/>
    <d v="2019-03-11T20:55:59"/>
    <d v="2019-03-14T20:55:59"/>
    <x v="2"/>
    <n v="0"/>
    <n v="129"/>
    <n v="3040.7442149058261"/>
  </r>
  <r>
    <n v="316214"/>
    <x v="5"/>
    <s v="Bangalore"/>
    <x v="0"/>
    <s v=" MH"/>
    <x v="0"/>
    <x v="0"/>
    <x v="0"/>
    <x v="0"/>
    <d v="2019-03-10T21:03:46"/>
    <d v="2019-03-16T21:03:46"/>
    <d v="2019-03-16T21:03:46"/>
    <x v="3"/>
    <n v="66"/>
    <n v="93"/>
    <n v="3086.4235284471265"/>
  </r>
  <r>
    <n v="45239"/>
    <x v="5"/>
    <s v="Bangalore"/>
    <x v="0"/>
    <s v=" MH"/>
    <x v="1"/>
    <x v="0"/>
    <x v="1"/>
    <x v="0"/>
    <d v="2019-03-10T21:13:28"/>
    <d v="2019-03-13T21:13:28"/>
    <d v="2019-03-13T21:13:28"/>
    <x v="4"/>
    <n v="45"/>
    <n v="112"/>
    <n v="2158.7463366504671"/>
  </r>
  <r>
    <n v="222741"/>
    <x v="5"/>
    <s v="Bangalore"/>
    <x v="3"/>
    <s v=" KA"/>
    <x v="1"/>
    <x v="0"/>
    <x v="1"/>
    <x v="1"/>
    <d v="2019-03-10T21:23:03"/>
    <d v="2019-03-15T21:23:03"/>
    <d v="2019-03-16T21:23:03"/>
    <x v="9"/>
    <n v="0"/>
    <n v="126"/>
    <n v="1088.1228386649204"/>
  </r>
  <r>
    <n v="563812"/>
    <x v="5"/>
    <s v="Delhi"/>
    <x v="4"/>
    <s v=" WB"/>
    <x v="0"/>
    <x v="0"/>
    <x v="0"/>
    <x v="0"/>
    <d v="2019-03-10T22:05:36"/>
    <d v="2019-03-13T22:05:36"/>
    <d v="2019-03-17T22:05:36"/>
    <x v="4"/>
    <n v="37"/>
    <n v="107"/>
    <n v="1591.9566496925461"/>
  </r>
  <r>
    <n v="228863"/>
    <x v="5"/>
    <s v="Bangalore"/>
    <x v="0"/>
    <s v=" MH"/>
    <x v="0"/>
    <x v="0"/>
    <x v="1"/>
    <x v="0"/>
    <d v="2019-03-10T22:12:30"/>
    <d v="2019-03-12T22:12:30"/>
    <d v="2019-03-15T22:12:30"/>
    <x v="0"/>
    <n v="65"/>
    <n v="93"/>
    <n v="2994.5685375081207"/>
  </r>
  <r>
    <n v="580339"/>
    <x v="5"/>
    <s v="Delhi"/>
    <x v="0"/>
    <s v=" MH"/>
    <x v="1"/>
    <x v="0"/>
    <x v="1"/>
    <x v="0"/>
    <d v="2019-03-10T22:49:28"/>
    <d v="2019-03-18T22:49:28"/>
    <d v="2019-03-17T22:49:28"/>
    <x v="5"/>
    <n v="28"/>
    <n v="107"/>
    <n v="3217.6198014475303"/>
  </r>
  <r>
    <n v="747406"/>
    <x v="5"/>
    <s v="Delhi"/>
    <x v="2"/>
    <s v=" DL"/>
    <x v="2"/>
    <x v="0"/>
    <x v="0"/>
    <x v="0"/>
    <d v="2019-03-10T23:27:37"/>
    <d v="2019-03-15T23:27:37"/>
    <d v="2019-03-15T23:27:37"/>
    <x v="9"/>
    <n v="0"/>
    <n v="129"/>
    <n v="718.97146287686053"/>
  </r>
  <r>
    <n v="791512"/>
    <x v="5"/>
    <s v="Delhi"/>
    <x v="2"/>
    <s v=" DL"/>
    <x v="0"/>
    <x v="0"/>
    <x v="0"/>
    <x v="0"/>
    <d v="2019-03-10T23:44:48"/>
    <d v="2019-03-15T23:44:48"/>
    <d v="2019-03-13T23:44:48"/>
    <x v="9"/>
    <n v="0"/>
    <n v="125"/>
    <n v="2874.3089998382206"/>
  </r>
  <r>
    <n v="475639"/>
    <x v="5"/>
    <s v="Bangalore"/>
    <x v="2"/>
    <s v=" DL"/>
    <x v="0"/>
    <x v="0"/>
    <x v="1"/>
    <x v="0"/>
    <d v="2019-03-10T23:58:28"/>
    <d v="2019-03-13T23:58:28"/>
    <d v="2019-03-14T23:58:28"/>
    <x v="4"/>
    <n v="76"/>
    <n v="101"/>
    <n v="3741.2395786379807"/>
  </r>
  <r>
    <n v="474599"/>
    <x v="5"/>
    <s v="Delhi"/>
    <x v="4"/>
    <s v=" WB"/>
    <x v="1"/>
    <x v="0"/>
    <x v="1"/>
    <x v="0"/>
    <d v="2019-03-11T00:01:30"/>
    <d v="2019-03-14T00:01:30"/>
    <d v="2019-03-14T00:01:30"/>
    <x v="4"/>
    <n v="36"/>
    <n v="110"/>
    <n v="1842.4825576455553"/>
  </r>
  <r>
    <n v="900046"/>
    <x v="5"/>
    <s v="Delhi"/>
    <x v="3"/>
    <s v=" KA"/>
    <x v="2"/>
    <x v="0"/>
    <x v="0"/>
    <x v="0"/>
    <d v="2019-03-11T00:11:49"/>
    <d v="2019-03-21T00:11:49"/>
    <d v="2019-03-18T00:11:49"/>
    <x v="7"/>
    <n v="25"/>
    <n v="122"/>
    <n v="2362.0738035723889"/>
  </r>
  <r>
    <n v="400020"/>
    <x v="5"/>
    <s v="Delhi"/>
    <x v="0"/>
    <s v=" MH"/>
    <x v="0"/>
    <x v="0"/>
    <x v="0"/>
    <x v="1"/>
    <d v="2019-03-11T01:53:16"/>
    <d v="2019-03-17T01:53:16"/>
    <d v="2019-03-17T01:53:16"/>
    <x v="3"/>
    <n v="76"/>
    <n v="94"/>
    <n v="3004.0842897969424"/>
  </r>
  <r>
    <n v="736675"/>
    <x v="5"/>
    <s v="Delhi"/>
    <x v="3"/>
    <s v=" KA"/>
    <x v="0"/>
    <x v="0"/>
    <x v="1"/>
    <x v="0"/>
    <d v="2019-03-11T01:54:48"/>
    <d v="2019-03-13T01:54:48"/>
    <d v="2019-03-16T01:54:48"/>
    <x v="0"/>
    <n v="77"/>
    <n v="109"/>
    <n v="2979"/>
  </r>
  <r>
    <n v="196863"/>
    <x v="5"/>
    <s v="Delhi"/>
    <x v="3"/>
    <s v=" KA"/>
    <x v="1"/>
    <x v="0"/>
    <x v="1"/>
    <x v="1"/>
    <d v="2019-03-11T02:09:13"/>
    <d v="2019-03-15T02:09:13"/>
    <d v="2019-03-14T02:09:13"/>
    <x v="6"/>
    <n v="43"/>
    <n v="120"/>
    <n v="3515.816845652429"/>
  </r>
  <r>
    <n v="723584"/>
    <x v="5"/>
    <s v="Delhi"/>
    <x v="0"/>
    <s v=" MH"/>
    <x v="0"/>
    <x v="0"/>
    <x v="0"/>
    <x v="0"/>
    <d v="2019-03-11T03:00:58"/>
    <d v="2019-03-15T03:00:58"/>
    <d v="2019-03-14T03:00:58"/>
    <x v="6"/>
    <n v="46"/>
    <n v="108"/>
    <n v="2674"/>
  </r>
  <r>
    <n v="566038"/>
    <x v="5"/>
    <s v="Delhi"/>
    <x v="3"/>
    <s v=" KA"/>
    <x v="2"/>
    <x v="0"/>
    <x v="0"/>
    <x v="0"/>
    <d v="2019-03-11T03:21:27"/>
    <d v="2019-03-18T03:21:27"/>
    <d v="2019-03-18T03:21:27"/>
    <x v="8"/>
    <n v="39"/>
    <n v="128"/>
    <n v="3511.3135420116482"/>
  </r>
  <r>
    <n v="431920"/>
    <x v="5"/>
    <s v="Bangalore"/>
    <x v="4"/>
    <s v=" WB"/>
    <x v="0"/>
    <x v="0"/>
    <x v="0"/>
    <x v="0"/>
    <d v="2019-03-11T04:56:43"/>
    <d v="2019-03-18T04:56:43"/>
    <d v="2019-03-17T04:56:43"/>
    <x v="8"/>
    <n v="28"/>
    <n v="110"/>
    <n v="530.50881735341068"/>
  </r>
  <r>
    <n v="637921"/>
    <x v="5"/>
    <s v="Delhi"/>
    <x v="2"/>
    <s v=" DL"/>
    <x v="1"/>
    <x v="0"/>
    <x v="1"/>
    <x v="0"/>
    <d v="2019-03-11T05:20:53"/>
    <d v="2019-03-16T05:20:53"/>
    <d v="2019-03-18T05:20:53"/>
    <x v="9"/>
    <n v="0"/>
    <n v="130"/>
    <n v="2940.5106310767096"/>
  </r>
  <r>
    <n v="104628"/>
    <x v="5"/>
    <s v="Bangalore"/>
    <x v="3"/>
    <s v=" KA"/>
    <x v="0"/>
    <x v="0"/>
    <x v="0"/>
    <x v="1"/>
    <d v="2019-03-11T05:35:08"/>
    <d v="2019-03-11T05:35:08"/>
    <d v="2019-03-16T05:35:08"/>
    <x v="10"/>
    <n v="0"/>
    <n v="109"/>
    <n v="521.40533506292695"/>
  </r>
  <r>
    <n v="110243"/>
    <x v="5"/>
    <s v="Delhi"/>
    <x v="1"/>
    <s v=" TN"/>
    <x v="0"/>
    <x v="0"/>
    <x v="2"/>
    <x v="0"/>
    <d v="2019-03-11T05:56:42"/>
    <d v="2019-03-21T05:56:42"/>
    <d v="2019-03-15T05:56:42"/>
    <x v="7"/>
    <n v="80"/>
    <n v="109"/>
    <n v="1514"/>
  </r>
  <r>
    <n v="94872"/>
    <x v="5"/>
    <s v="Bangalore"/>
    <x v="0"/>
    <s v=" MH"/>
    <x v="0"/>
    <x v="0"/>
    <x v="0"/>
    <x v="1"/>
    <d v="2019-03-11T06:08:47"/>
    <d v="2019-03-14T06:08:47"/>
    <d v="2019-03-14T06:08:47"/>
    <x v="4"/>
    <n v="0"/>
    <n v="106"/>
    <n v="1532.3769670067848"/>
  </r>
  <r>
    <n v="601854"/>
    <x v="5"/>
    <s v="Delhi"/>
    <x v="2"/>
    <s v=" DL"/>
    <x v="2"/>
    <x v="0"/>
    <x v="0"/>
    <x v="1"/>
    <d v="2019-03-11T06:18:17"/>
    <d v="2019-03-18T06:18:17"/>
    <d v="2019-03-17T06:18:17"/>
    <x v="8"/>
    <n v="0"/>
    <n v="124"/>
    <n v="569.86132255770258"/>
  </r>
  <r>
    <n v="521854"/>
    <x v="5"/>
    <s v="Delhi"/>
    <x v="0"/>
    <s v=" MH"/>
    <x v="2"/>
    <x v="0"/>
    <x v="0"/>
    <x v="0"/>
    <d v="2019-03-11T06:59:06"/>
    <d v="2019-03-15T06:59:06"/>
    <d v="2019-03-17T06:59:06"/>
    <x v="6"/>
    <n v="47"/>
    <n v="106"/>
    <n v="1774.7195833938024"/>
  </r>
  <r>
    <n v="570438"/>
    <x v="5"/>
    <s v="Bangalore"/>
    <x v="0"/>
    <s v=" MH"/>
    <x v="2"/>
    <x v="0"/>
    <x v="0"/>
    <x v="1"/>
    <d v="2019-03-11T07:02:42"/>
    <d v="2019-03-18T07:02:42"/>
    <d v="2019-03-18T07:02:42"/>
    <x v="8"/>
    <n v="0"/>
    <n v="106"/>
    <n v="1514.3852044628786"/>
  </r>
  <r>
    <n v="764402"/>
    <x v="5"/>
    <s v="Delhi"/>
    <x v="4"/>
    <s v=" WB"/>
    <x v="2"/>
    <x v="0"/>
    <x v="0"/>
    <x v="0"/>
    <d v="2019-03-11T07:16:32"/>
    <d v="2019-03-18T07:16:32"/>
    <d v="2019-03-16T07:16:32"/>
    <x v="8"/>
    <n v="29"/>
    <n v="109"/>
    <n v="1259.6937158365347"/>
  </r>
  <r>
    <n v="239666"/>
    <x v="5"/>
    <s v="Bangalore"/>
    <x v="3"/>
    <s v=" KA"/>
    <x v="2"/>
    <x v="0"/>
    <x v="0"/>
    <x v="0"/>
    <d v="2019-03-11T07:25:20"/>
    <d v="2019-03-14T07:25:20"/>
    <d v="2019-03-16T07:25:20"/>
    <x v="4"/>
    <n v="0"/>
    <n v="130"/>
    <n v="1526.9888951188125"/>
  </r>
  <r>
    <n v="625878"/>
    <x v="5"/>
    <s v="Delhi"/>
    <x v="4"/>
    <s v=" WB"/>
    <x v="2"/>
    <x v="0"/>
    <x v="0"/>
    <x v="1"/>
    <d v="2019-03-11T07:29:23"/>
    <d v="2019-03-14T07:29:23"/>
    <d v="2019-03-14T07:29:23"/>
    <x v="4"/>
    <n v="48"/>
    <n v="109"/>
    <n v="2507.4018045165894"/>
  </r>
  <r>
    <n v="880355"/>
    <x v="5"/>
    <s v="Bangalore"/>
    <x v="3"/>
    <s v=" KA"/>
    <x v="0"/>
    <x v="0"/>
    <x v="2"/>
    <x v="0"/>
    <d v="2019-03-11T07:38:41"/>
    <d v="2019-03-16T07:38:41"/>
    <d v="2019-03-15T07:38:41"/>
    <x v="9"/>
    <n v="0"/>
    <n v="105"/>
    <n v="2579.6461306158112"/>
  </r>
  <r>
    <n v="898439"/>
    <x v="5"/>
    <s v="Bangalore"/>
    <x v="0"/>
    <s v=" MH"/>
    <x v="1"/>
    <x v="0"/>
    <x v="1"/>
    <x v="0"/>
    <d v="2019-03-11T09:03:56"/>
    <d v="2019-03-15T09:03:56"/>
    <d v="2019-03-14T09:03:56"/>
    <x v="6"/>
    <n v="25"/>
    <n v="109"/>
    <n v="2765"/>
  </r>
  <r>
    <n v="213915"/>
    <x v="5"/>
    <s v="Delhi"/>
    <x v="3"/>
    <s v=" KA"/>
    <x v="1"/>
    <x v="0"/>
    <x v="1"/>
    <x v="1"/>
    <d v="2019-03-11T09:37:48"/>
    <d v="2019-03-19T09:37:48"/>
    <d v="2019-03-16T09:37:48"/>
    <x v="5"/>
    <n v="32"/>
    <n v="123"/>
    <n v="2538.1544624675039"/>
  </r>
  <r>
    <n v="93541"/>
    <x v="5"/>
    <s v="Delhi"/>
    <x v="0"/>
    <s v=" MH"/>
    <x v="1"/>
    <x v="0"/>
    <x v="2"/>
    <x v="0"/>
    <d v="2019-03-11T10:00:06"/>
    <d v="2019-03-17T10:00:06"/>
    <d v="2019-03-14T10:00:06"/>
    <x v="3"/>
    <n v="45"/>
    <n v="107"/>
    <n v="2340"/>
  </r>
  <r>
    <n v="1882"/>
    <x v="5"/>
    <s v="Bangalore"/>
    <x v="0"/>
    <s v=" MH"/>
    <x v="0"/>
    <x v="0"/>
    <x v="0"/>
    <x v="0"/>
    <d v="2019-03-11T10:10:25"/>
    <d v="2019-03-14T10:10:25"/>
    <d v="2019-03-14T10:10:25"/>
    <x v="4"/>
    <n v="82"/>
    <n v="89"/>
    <n v="885.63664507032229"/>
  </r>
  <r>
    <n v="718062"/>
    <x v="5"/>
    <s v="Bangalore"/>
    <x v="0"/>
    <s v=" MH"/>
    <x v="2"/>
    <x v="0"/>
    <x v="0"/>
    <x v="1"/>
    <d v="2019-03-11T12:51:51"/>
    <d v="2019-03-19T12:51:51"/>
    <d v="2019-03-14T12:51:51"/>
    <x v="5"/>
    <n v="38"/>
    <n v="109"/>
    <n v="2498"/>
  </r>
  <r>
    <n v="261023"/>
    <x v="5"/>
    <s v="Delhi"/>
    <x v="2"/>
    <s v=" DL"/>
    <x v="0"/>
    <x v="0"/>
    <x v="2"/>
    <x v="0"/>
    <d v="2019-03-11T13:07:59"/>
    <d v="2019-03-13T13:07:59"/>
    <d v="2019-03-16T13:07:59"/>
    <x v="0"/>
    <n v="0"/>
    <n v="102"/>
    <n v="2589"/>
  </r>
  <r>
    <n v="942368"/>
    <x v="5"/>
    <s v="Delhi"/>
    <x v="3"/>
    <s v=" KA"/>
    <x v="0"/>
    <x v="0"/>
    <x v="0"/>
    <x v="0"/>
    <d v="2019-03-11T13:21:14"/>
    <d v="2019-03-13T13:21:14"/>
    <d v="2019-03-16T13:21:14"/>
    <x v="0"/>
    <n v="85"/>
    <n v="109"/>
    <n v="2108.4312677687417"/>
  </r>
  <r>
    <n v="357132"/>
    <x v="5"/>
    <s v="Bangalore"/>
    <x v="0"/>
    <s v=" MH"/>
    <x v="0"/>
    <x v="0"/>
    <x v="0"/>
    <x v="1"/>
    <d v="2019-03-11T13:26:20"/>
    <d v="2019-03-15T13:26:20"/>
    <d v="2019-03-18T13:26:20"/>
    <x v="6"/>
    <n v="26"/>
    <n v="107"/>
    <n v="372.33581925133115"/>
  </r>
  <r>
    <n v="418332"/>
    <x v="5"/>
    <s v="Bangalore"/>
    <x v="0"/>
    <s v=" MH"/>
    <x v="0"/>
    <x v="0"/>
    <x v="0"/>
    <x v="1"/>
    <d v="2019-03-11T13:52:43"/>
    <d v="2019-03-14T13:52:43"/>
    <d v="2019-03-17T13:52:43"/>
    <x v="4"/>
    <n v="36"/>
    <n v="107"/>
    <n v="2600.8214234161223"/>
  </r>
  <r>
    <n v="363022"/>
    <x v="5"/>
    <s v="Delhi"/>
    <x v="1"/>
    <s v=" TN"/>
    <x v="0"/>
    <x v="0"/>
    <x v="0"/>
    <x v="0"/>
    <d v="2019-03-11T14:16:31"/>
    <d v="2019-03-16T14:16:31"/>
    <d v="2019-03-16T14:16:31"/>
    <x v="9"/>
    <n v="70"/>
    <n v="101"/>
    <n v="768"/>
  </r>
  <r>
    <n v="479771"/>
    <x v="5"/>
    <s v="Bangalore"/>
    <x v="3"/>
    <s v=" KA"/>
    <x v="1"/>
    <x v="0"/>
    <x v="1"/>
    <x v="0"/>
    <d v="2019-03-11T14:51:08"/>
    <d v="2019-03-15T14:51:08"/>
    <d v="2019-03-14T14:51:08"/>
    <x v="6"/>
    <n v="0"/>
    <n v="123"/>
    <n v="2141.4022970367173"/>
  </r>
  <r>
    <n v="34991"/>
    <x v="5"/>
    <s v="Delhi"/>
    <x v="0"/>
    <s v=" MH"/>
    <x v="1"/>
    <x v="0"/>
    <x v="1"/>
    <x v="0"/>
    <d v="2019-03-11T14:53:26"/>
    <d v="2019-03-17T14:53:26"/>
    <d v="2019-03-18T14:53:26"/>
    <x v="3"/>
    <n v="34"/>
    <n v="106"/>
    <n v="416"/>
  </r>
  <r>
    <n v="751064"/>
    <x v="5"/>
    <s v="Bangalore"/>
    <x v="4"/>
    <s v=" WB"/>
    <x v="0"/>
    <x v="0"/>
    <x v="0"/>
    <x v="0"/>
    <d v="2019-03-11T15:02:54"/>
    <d v="2019-03-15T15:02:54"/>
    <d v="2019-03-15T15:02:54"/>
    <x v="6"/>
    <n v="35"/>
    <n v="108"/>
    <n v="1110"/>
  </r>
  <r>
    <n v="511411"/>
    <x v="5"/>
    <s v="Bangalore"/>
    <x v="2"/>
    <s v=" DL"/>
    <x v="0"/>
    <x v="0"/>
    <x v="1"/>
    <x v="0"/>
    <d v="2019-03-11T16:06:05"/>
    <d v="2019-03-15T16:06:05"/>
    <d v="2019-03-16T16:06:05"/>
    <x v="6"/>
    <n v="63"/>
    <n v="108"/>
    <n v="3740.290473060812"/>
  </r>
  <r>
    <n v="967694"/>
    <x v="5"/>
    <s v="Bangalore"/>
    <x v="0"/>
    <s v=" MH"/>
    <x v="2"/>
    <x v="0"/>
    <x v="0"/>
    <x v="0"/>
    <d v="2019-03-11T16:26:48"/>
    <d v="2019-03-16T16:26:48"/>
    <d v="2019-03-16T16:26:48"/>
    <x v="9"/>
    <n v="48"/>
    <n v="109"/>
    <n v="3115.8067367775884"/>
  </r>
  <r>
    <n v="65737"/>
    <x v="5"/>
    <s v="Delhi"/>
    <x v="0"/>
    <s v=" MH"/>
    <x v="1"/>
    <x v="0"/>
    <x v="2"/>
    <x v="0"/>
    <d v="2019-03-11T16:50:35"/>
    <d v="2019-03-20T16:50:35"/>
    <d v="2019-03-15T16:50:35"/>
    <x v="1"/>
    <n v="42"/>
    <n v="112"/>
    <n v="1611.3838977211733"/>
  </r>
  <r>
    <n v="176110"/>
    <x v="5"/>
    <s v="Bangalore"/>
    <x v="2"/>
    <s v=" DL"/>
    <x v="0"/>
    <x v="0"/>
    <x v="0"/>
    <x v="0"/>
    <d v="2019-03-11T19:00:10"/>
    <d v="2019-03-13T19:00:10"/>
    <d v="2019-03-14T19:00:10"/>
    <x v="0"/>
    <n v="68"/>
    <n v="105"/>
    <n v="2845.9959652881384"/>
  </r>
  <r>
    <n v="696194"/>
    <x v="5"/>
    <s v="Delhi"/>
    <x v="4"/>
    <s v=" WB"/>
    <x v="2"/>
    <x v="0"/>
    <x v="0"/>
    <x v="0"/>
    <d v="2019-03-11T19:18:48"/>
    <d v="2019-03-14T19:18:48"/>
    <d v="2019-03-16T19:18:48"/>
    <x v="4"/>
    <n v="35"/>
    <n v="114"/>
    <n v="2724.40357359571"/>
  </r>
  <r>
    <n v="831331"/>
    <x v="5"/>
    <s v="Bangalore"/>
    <x v="0"/>
    <s v=" MH"/>
    <x v="1"/>
    <x v="0"/>
    <x v="1"/>
    <x v="0"/>
    <d v="2019-03-11T19:38:44"/>
    <d v="2019-03-18T19:38:44"/>
    <d v="2019-03-15T19:38:44"/>
    <x v="8"/>
    <n v="46"/>
    <n v="112"/>
    <n v="1109"/>
  </r>
  <r>
    <n v="886094"/>
    <x v="5"/>
    <s v="Bangalore"/>
    <x v="0"/>
    <s v=" MH"/>
    <x v="0"/>
    <x v="0"/>
    <x v="0"/>
    <x v="0"/>
    <d v="2019-03-11T19:54:21"/>
    <d v="2019-03-17T19:54:21"/>
    <d v="2019-03-16T19:54:21"/>
    <x v="3"/>
    <n v="67"/>
    <n v="94"/>
    <n v="1287.2094935068762"/>
  </r>
  <r>
    <n v="179688"/>
    <x v="5"/>
    <s v="Delhi"/>
    <x v="0"/>
    <s v=" MH"/>
    <x v="0"/>
    <x v="0"/>
    <x v="0"/>
    <x v="1"/>
    <d v="2019-03-11T20:06:28"/>
    <d v="2019-03-13T20:06:28"/>
    <d v="2019-03-14T20:06:28"/>
    <x v="0"/>
    <n v="34"/>
    <n v="107"/>
    <n v="520.37832161134907"/>
  </r>
  <r>
    <n v="485231"/>
    <x v="5"/>
    <s v="Bangalore"/>
    <x v="0"/>
    <s v=" MH"/>
    <x v="1"/>
    <x v="0"/>
    <x v="1"/>
    <x v="0"/>
    <d v="2019-03-11T21:52:51"/>
    <d v="2019-03-14T21:52:51"/>
    <d v="2019-03-14T21:52:51"/>
    <x v="4"/>
    <n v="40"/>
    <n v="111"/>
    <n v="647.34057445794065"/>
  </r>
  <r>
    <n v="121512"/>
    <x v="5"/>
    <s v="Delhi"/>
    <x v="2"/>
    <s v=" DL"/>
    <x v="0"/>
    <x v="0"/>
    <x v="0"/>
    <x v="1"/>
    <d v="2019-03-11T23:05:27"/>
    <d v="2019-03-13T23:05:27"/>
    <d v="2019-03-15T23:05:27"/>
    <x v="0"/>
    <n v="0"/>
    <n v="125"/>
    <n v="2033.5137140351803"/>
  </r>
  <r>
    <n v="654470"/>
    <x v="5"/>
    <s v="Delhi"/>
    <x v="4"/>
    <s v=" WB"/>
    <x v="2"/>
    <x v="0"/>
    <x v="0"/>
    <x v="0"/>
    <d v="2019-03-12T00:34:08"/>
    <d v="2019-03-17T00:34:08"/>
    <d v="2019-03-17T00:34:08"/>
    <x v="9"/>
    <n v="41"/>
    <n v="108"/>
    <n v="2465"/>
  </r>
  <r>
    <n v="144558"/>
    <x v="5"/>
    <s v="Delhi"/>
    <x v="2"/>
    <s v=" DL"/>
    <x v="2"/>
    <x v="0"/>
    <x v="0"/>
    <x v="1"/>
    <d v="2019-03-12T00:55:35"/>
    <d v="2019-03-16T00:55:35"/>
    <d v="2019-03-15T00:55:35"/>
    <x v="6"/>
    <n v="0"/>
    <n v="124"/>
    <n v="430"/>
  </r>
  <r>
    <n v="300841"/>
    <x v="5"/>
    <s v="Delhi"/>
    <x v="2"/>
    <s v=" DL"/>
    <x v="1"/>
    <x v="0"/>
    <x v="1"/>
    <x v="0"/>
    <d v="2019-03-12T02:01:49"/>
    <d v="2019-03-13T02:01:49"/>
    <d v="2019-03-16T02:01:49"/>
    <x v="2"/>
    <n v="0"/>
    <n v="122"/>
    <n v="3675.3544623137286"/>
  </r>
  <r>
    <n v="34836"/>
    <x v="5"/>
    <s v="Bangalore"/>
    <x v="4"/>
    <s v=" WB"/>
    <x v="0"/>
    <x v="0"/>
    <x v="0"/>
    <x v="1"/>
    <d v="2019-03-12T02:23:06"/>
    <d v="2019-03-18T02:23:06"/>
    <d v="2019-03-17T02:23:06"/>
    <x v="3"/>
    <n v="27"/>
    <n v="108"/>
    <n v="1250"/>
  </r>
  <r>
    <n v="19948"/>
    <x v="5"/>
    <s v="Delhi"/>
    <x v="3"/>
    <s v=" KA"/>
    <x v="0"/>
    <x v="0"/>
    <x v="0"/>
    <x v="0"/>
    <d v="2019-03-12T03:25:21"/>
    <d v="2019-03-14T03:25:21"/>
    <d v="2019-03-15T03:25:21"/>
    <x v="0"/>
    <n v="42"/>
    <n v="128"/>
    <n v="2764.3874909372939"/>
  </r>
  <r>
    <n v="848399"/>
    <x v="5"/>
    <s v="Delhi"/>
    <x v="1"/>
    <s v=" TN"/>
    <x v="1"/>
    <x v="0"/>
    <x v="1"/>
    <x v="0"/>
    <d v="2019-03-12T03:26:16"/>
    <d v="2019-03-17T03:26:16"/>
    <d v="2019-03-16T03:26:16"/>
    <x v="9"/>
    <n v="38"/>
    <n v="128"/>
    <n v="997"/>
  </r>
  <r>
    <n v="78662"/>
    <x v="5"/>
    <s v="Bangalore"/>
    <x v="0"/>
    <s v=" MH"/>
    <x v="0"/>
    <x v="0"/>
    <x v="0"/>
    <x v="0"/>
    <d v="2019-03-12T03:55:52"/>
    <d v="2019-03-16T03:55:52"/>
    <d v="2019-03-19T03:55:52"/>
    <x v="6"/>
    <n v="79"/>
    <n v="86"/>
    <n v="896.40562792025435"/>
  </r>
  <r>
    <n v="618277"/>
    <x v="5"/>
    <s v="Bangalore"/>
    <x v="3"/>
    <s v=" KA"/>
    <x v="1"/>
    <x v="0"/>
    <x v="1"/>
    <x v="0"/>
    <d v="2019-03-12T05:41:25"/>
    <d v="2019-03-16T05:41:25"/>
    <d v="2019-03-16T05:41:25"/>
    <x v="6"/>
    <n v="0"/>
    <n v="127"/>
    <n v="1808.5491343590515"/>
  </r>
  <r>
    <n v="815613"/>
    <x v="5"/>
    <s v="Delhi"/>
    <x v="3"/>
    <s v=" KA"/>
    <x v="1"/>
    <x v="0"/>
    <x v="1"/>
    <x v="1"/>
    <d v="2019-03-12T05:45:36"/>
    <d v="2019-03-17T05:45:36"/>
    <d v="2019-03-16T05:45:36"/>
    <x v="9"/>
    <n v="43"/>
    <n v="125"/>
    <n v="2428.6861595641371"/>
  </r>
  <r>
    <n v="908072"/>
    <x v="5"/>
    <s v="Bangalore"/>
    <x v="2"/>
    <s v=" DL"/>
    <x v="0"/>
    <x v="0"/>
    <x v="0"/>
    <x v="0"/>
    <d v="2019-03-12T05:51:31"/>
    <d v="2019-03-17T05:51:31"/>
    <d v="2019-03-17T05:51:31"/>
    <x v="9"/>
    <n v="28"/>
    <n v="123"/>
    <n v="2577.8322525842273"/>
  </r>
  <r>
    <n v="872621"/>
    <x v="5"/>
    <s v="Delhi"/>
    <x v="0"/>
    <s v=" MH"/>
    <x v="1"/>
    <x v="0"/>
    <x v="1"/>
    <x v="0"/>
    <d v="2019-03-12T06:24:03"/>
    <d v="2019-03-20T06:24:03"/>
    <d v="2019-03-16T06:24:03"/>
    <x v="5"/>
    <n v="47"/>
    <n v="115"/>
    <n v="3141.8175826696033"/>
  </r>
  <r>
    <n v="486119"/>
    <x v="5"/>
    <s v="Delhi"/>
    <x v="2"/>
    <s v=" DL"/>
    <x v="0"/>
    <x v="0"/>
    <x v="1"/>
    <x v="0"/>
    <d v="2019-03-12T06:34:28"/>
    <d v="2019-03-16T06:34:28"/>
    <d v="2019-03-18T06:34:28"/>
    <x v="6"/>
    <n v="0"/>
    <n v="105"/>
    <n v="2720"/>
  </r>
  <r>
    <n v="936392"/>
    <x v="5"/>
    <s v="Delhi"/>
    <x v="2"/>
    <s v=" DL"/>
    <x v="0"/>
    <x v="0"/>
    <x v="0"/>
    <x v="0"/>
    <d v="2019-03-12T09:43:21"/>
    <d v="2019-03-17T09:43:21"/>
    <d v="2019-03-16T09:43:21"/>
    <x v="9"/>
    <n v="0"/>
    <n v="101"/>
    <n v="2154.2971538732854"/>
  </r>
  <r>
    <n v="299506"/>
    <x v="5"/>
    <s v="Bangalore"/>
    <x v="2"/>
    <s v=" DL"/>
    <x v="2"/>
    <x v="0"/>
    <x v="0"/>
    <x v="0"/>
    <d v="2019-03-12T11:16:18"/>
    <d v="2019-03-18T11:16:18"/>
    <d v="2019-03-15T11:16:18"/>
    <x v="3"/>
    <n v="34"/>
    <n v="122"/>
    <n v="1807.1253793820961"/>
  </r>
  <r>
    <n v="729782"/>
    <x v="5"/>
    <s v="Delhi"/>
    <x v="2"/>
    <s v=" DL"/>
    <x v="2"/>
    <x v="0"/>
    <x v="0"/>
    <x v="0"/>
    <d v="2019-03-12T11:17:11"/>
    <d v="2019-03-18T11:17:11"/>
    <d v="2019-03-17T11:17:11"/>
    <x v="3"/>
    <n v="0"/>
    <n v="121"/>
    <n v="3094.9217718499467"/>
  </r>
  <r>
    <n v="641084"/>
    <x v="5"/>
    <s v="Delhi"/>
    <x v="4"/>
    <s v=" WB"/>
    <x v="0"/>
    <x v="0"/>
    <x v="0"/>
    <x v="0"/>
    <d v="2019-03-12T12:12:56"/>
    <d v="2019-03-18T12:12:56"/>
    <d v="2019-03-19T12:12:56"/>
    <x v="3"/>
    <n v="32"/>
    <n v="108"/>
    <n v="2789"/>
  </r>
  <r>
    <n v="594987"/>
    <x v="5"/>
    <s v="Bangalore"/>
    <x v="0"/>
    <s v=" MH"/>
    <x v="1"/>
    <x v="0"/>
    <x v="1"/>
    <x v="1"/>
    <d v="2019-03-12T12:26:37"/>
    <d v="2019-03-18T12:26:37"/>
    <d v="2019-03-19T12:26:37"/>
    <x v="3"/>
    <n v="50"/>
    <n v="107"/>
    <n v="989.40371353681485"/>
  </r>
  <r>
    <n v="757105"/>
    <x v="5"/>
    <s v="Bangalore"/>
    <x v="2"/>
    <s v=" DL"/>
    <x v="0"/>
    <x v="0"/>
    <x v="1"/>
    <x v="0"/>
    <d v="2019-03-12T14:23:01"/>
    <d v="2019-03-16T14:23:01"/>
    <d v="2019-03-17T14:23:01"/>
    <x v="6"/>
    <n v="71"/>
    <n v="105"/>
    <n v="2092.5091859971858"/>
  </r>
  <r>
    <n v="159385"/>
    <x v="5"/>
    <s v="Delhi"/>
    <x v="2"/>
    <s v=" DL"/>
    <x v="1"/>
    <x v="0"/>
    <x v="1"/>
    <x v="0"/>
    <d v="2019-03-12T16:32:09"/>
    <d v="2019-03-14T16:32:09"/>
    <d v="2019-03-19T16:32:09"/>
    <x v="0"/>
    <n v="0"/>
    <n v="124"/>
    <n v="3324.5128095892856"/>
  </r>
  <r>
    <n v="23289"/>
    <x v="5"/>
    <s v="Bangalore"/>
    <x v="3"/>
    <s v=" KA"/>
    <x v="1"/>
    <x v="0"/>
    <x v="2"/>
    <x v="1"/>
    <d v="2019-03-12T17:10:13"/>
    <d v="2019-03-14T17:10:13"/>
    <d v="2019-03-19T17:10:13"/>
    <x v="0"/>
    <n v="0"/>
    <n v="127"/>
    <n v="251.03131940105081"/>
  </r>
  <r>
    <n v="12849"/>
    <x v="5"/>
    <s v="Delhi"/>
    <x v="1"/>
    <s v=" TN"/>
    <x v="0"/>
    <x v="0"/>
    <x v="1"/>
    <x v="1"/>
    <d v="2019-03-12T18:38:01"/>
    <d v="2019-03-18T18:38:01"/>
    <d v="2019-03-19T18:38:01"/>
    <x v="3"/>
    <n v="74"/>
    <n v="100"/>
    <n v="3427"/>
  </r>
  <r>
    <n v="217330"/>
    <x v="5"/>
    <s v="Delhi"/>
    <x v="0"/>
    <s v=" MH"/>
    <x v="2"/>
    <x v="0"/>
    <x v="0"/>
    <x v="0"/>
    <d v="2019-03-12T18:40:50"/>
    <d v="2019-03-21T18:40:50"/>
    <d v="2019-03-17T18:40:50"/>
    <x v="1"/>
    <n v="41"/>
    <n v="113"/>
    <n v="1437"/>
  </r>
  <r>
    <n v="71730"/>
    <x v="5"/>
    <s v="Bangalore"/>
    <x v="3"/>
    <s v=" KA"/>
    <x v="2"/>
    <x v="0"/>
    <x v="0"/>
    <x v="1"/>
    <d v="2019-03-12T19:13:04"/>
    <d v="2019-03-15T19:13:04"/>
    <d v="2019-03-16T19:13:04"/>
    <x v="4"/>
    <n v="0"/>
    <n v="126"/>
    <n v="2945"/>
  </r>
  <r>
    <n v="246169"/>
    <x v="5"/>
    <s v="Bangalore"/>
    <x v="2"/>
    <s v=" DL"/>
    <x v="0"/>
    <x v="0"/>
    <x v="2"/>
    <x v="0"/>
    <d v="2019-03-12T20:14:28"/>
    <d v="2019-03-14T20:14:28"/>
    <d v="2019-03-18T20:14:28"/>
    <x v="0"/>
    <n v="73"/>
    <n v="110"/>
    <n v="326.47572276022578"/>
  </r>
  <r>
    <n v="352341"/>
    <x v="5"/>
    <s v="Delhi"/>
    <x v="2"/>
    <s v=" DL"/>
    <x v="0"/>
    <x v="0"/>
    <x v="1"/>
    <x v="1"/>
    <d v="2019-03-12T20:16:46"/>
    <d v="2019-03-15T20:16:46"/>
    <d v="2019-03-15T20:16:46"/>
    <x v="4"/>
    <n v="0"/>
    <n v="105"/>
    <n v="289.85565948082922"/>
  </r>
  <r>
    <n v="929329"/>
    <x v="5"/>
    <s v="Delhi"/>
    <x v="2"/>
    <s v=" DL"/>
    <x v="1"/>
    <x v="0"/>
    <x v="1"/>
    <x v="0"/>
    <d v="2019-03-12T21:03:58"/>
    <d v="2019-03-16T21:03:58"/>
    <d v="2019-03-18T21:03:58"/>
    <x v="6"/>
    <n v="0"/>
    <n v="127"/>
    <n v="2506"/>
  </r>
  <r>
    <n v="444029"/>
    <x v="5"/>
    <s v="Bangalore"/>
    <x v="2"/>
    <s v=" DL"/>
    <x v="1"/>
    <x v="0"/>
    <x v="1"/>
    <x v="0"/>
    <d v="2019-03-12T21:03:59"/>
    <d v="2019-03-17T21:03:59"/>
    <d v="2019-03-18T21:03:59"/>
    <x v="9"/>
    <n v="40"/>
    <n v="121"/>
    <n v="1377.9487318774768"/>
  </r>
  <r>
    <n v="128282"/>
    <x v="5"/>
    <s v="Delhi"/>
    <x v="2"/>
    <s v=" DL"/>
    <x v="0"/>
    <x v="0"/>
    <x v="0"/>
    <x v="0"/>
    <d v="2019-03-12T22:33:10"/>
    <d v="2019-03-15T22:33:10"/>
    <d v="2019-03-15T22:33:10"/>
    <x v="4"/>
    <n v="0"/>
    <n v="102"/>
    <n v="2545.5759153719364"/>
  </r>
  <r>
    <n v="512749"/>
    <x v="5"/>
    <s v="Delhi"/>
    <x v="1"/>
    <s v=" TN"/>
    <x v="1"/>
    <x v="0"/>
    <x v="1"/>
    <x v="0"/>
    <d v="2019-03-12T22:40:51"/>
    <d v="2019-03-14T22:40:51"/>
    <d v="2019-03-16T22:40:51"/>
    <x v="0"/>
    <n v="33"/>
    <n v="127"/>
    <n v="893.45571459252801"/>
  </r>
  <r>
    <n v="155422"/>
    <x v="5"/>
    <s v="Bangalore"/>
    <x v="4"/>
    <s v=" WB"/>
    <x v="0"/>
    <x v="0"/>
    <x v="0"/>
    <x v="0"/>
    <d v="2019-03-12T23:40:56"/>
    <d v="2019-03-18T23:40:56"/>
    <d v="2019-03-17T23:40:56"/>
    <x v="3"/>
    <n v="71"/>
    <n v="86"/>
    <n v="1157.3140117278183"/>
  </r>
  <r>
    <n v="138145"/>
    <x v="5"/>
    <s v="Bangalore"/>
    <x v="0"/>
    <s v=" MH"/>
    <x v="1"/>
    <x v="0"/>
    <x v="2"/>
    <x v="0"/>
    <d v="2019-03-12T23:43:52"/>
    <d v="2019-03-17T23:43:52"/>
    <d v="2019-03-19T23:43:52"/>
    <x v="9"/>
    <n v="35"/>
    <n v="114"/>
    <n v="1215.5477821444822"/>
  </r>
  <r>
    <n v="796848"/>
    <x v="5"/>
    <s v="Bangalore"/>
    <x v="3"/>
    <s v=" KA"/>
    <x v="0"/>
    <x v="0"/>
    <x v="0"/>
    <x v="1"/>
    <d v="2019-03-12T23:58:50"/>
    <d v="2019-03-17T23:58:50"/>
    <d v="2019-03-15T23:58:50"/>
    <x v="9"/>
    <n v="0"/>
    <n v="105"/>
    <n v="362.7290278430313"/>
  </r>
  <r>
    <n v="297411"/>
    <x v="5"/>
    <s v="Bangalore"/>
    <x v="3"/>
    <s v=" KA"/>
    <x v="1"/>
    <x v="0"/>
    <x v="1"/>
    <x v="1"/>
    <d v="2019-03-13T00:59:59"/>
    <d v="2019-03-16T00:59:59"/>
    <d v="2019-03-19T00:59:59"/>
    <x v="4"/>
    <n v="0"/>
    <n v="121"/>
    <n v="3443.8470452363781"/>
  </r>
  <r>
    <n v="289999"/>
    <x v="5"/>
    <s v="Delhi"/>
    <x v="1"/>
    <s v=" TN"/>
    <x v="1"/>
    <x v="0"/>
    <x v="1"/>
    <x v="0"/>
    <d v="2019-03-13T01:09:56"/>
    <d v="2019-03-20T01:09:56"/>
    <d v="2019-03-18T01:09:56"/>
    <x v="8"/>
    <n v="37"/>
    <n v="125"/>
    <n v="782.15099024545907"/>
  </r>
  <r>
    <n v="613253"/>
    <x v="5"/>
    <s v="Delhi"/>
    <x v="0"/>
    <s v=" MH"/>
    <x v="1"/>
    <x v="0"/>
    <x v="1"/>
    <x v="0"/>
    <d v="2019-03-13T01:11:08"/>
    <d v="2019-03-16T01:11:08"/>
    <d v="2019-03-19T01:11:08"/>
    <x v="4"/>
    <n v="31"/>
    <n v="111"/>
    <n v="3842.8403344106614"/>
  </r>
  <r>
    <n v="626031"/>
    <x v="5"/>
    <s v="Delhi"/>
    <x v="1"/>
    <s v=" TN"/>
    <x v="1"/>
    <x v="0"/>
    <x v="2"/>
    <x v="1"/>
    <d v="2019-03-13T01:33:43"/>
    <d v="2019-03-15T01:33:43"/>
    <d v="2019-03-17T01:33:43"/>
    <x v="0"/>
    <n v="30"/>
    <n v="120"/>
    <n v="867.50129641126512"/>
  </r>
  <r>
    <n v="939835"/>
    <x v="5"/>
    <s v="Bangalore"/>
    <x v="3"/>
    <s v=" KA"/>
    <x v="1"/>
    <x v="0"/>
    <x v="1"/>
    <x v="0"/>
    <d v="2019-03-13T01:49:25"/>
    <d v="2019-03-14T01:49:25"/>
    <d v="2019-03-17T01:49:25"/>
    <x v="2"/>
    <n v="0"/>
    <n v="121"/>
    <n v="3833.9606330039801"/>
  </r>
  <r>
    <n v="324345"/>
    <x v="5"/>
    <s v="Bangalore"/>
    <x v="0"/>
    <s v=" MH"/>
    <x v="1"/>
    <x v="0"/>
    <x v="2"/>
    <x v="1"/>
    <d v="2019-03-13T02:03:51"/>
    <d v="2019-03-16T02:03:51"/>
    <d v="2019-03-17T02:03:51"/>
    <x v="4"/>
    <n v="33"/>
    <n v="109"/>
    <n v="2046"/>
  </r>
  <r>
    <n v="249887"/>
    <x v="5"/>
    <s v="Delhi"/>
    <x v="4"/>
    <s v=" WB"/>
    <x v="0"/>
    <x v="0"/>
    <x v="1"/>
    <x v="0"/>
    <d v="2019-03-13T02:42:16"/>
    <d v="2019-03-16T02:42:16"/>
    <d v="2019-03-16T02:42:16"/>
    <x v="4"/>
    <n v="79"/>
    <n v="89"/>
    <n v="1487"/>
  </r>
  <r>
    <n v="154613"/>
    <x v="5"/>
    <s v="Delhi"/>
    <x v="0"/>
    <s v=" MH"/>
    <x v="1"/>
    <x v="0"/>
    <x v="1"/>
    <x v="0"/>
    <d v="2019-03-13T03:43:36"/>
    <d v="2019-03-20T03:43:36"/>
    <d v="2019-03-20T03:43:36"/>
    <x v="8"/>
    <n v="45"/>
    <n v="110"/>
    <n v="3162"/>
  </r>
  <r>
    <n v="208715"/>
    <x v="5"/>
    <s v="Delhi"/>
    <x v="0"/>
    <s v=" MH"/>
    <x v="1"/>
    <x v="0"/>
    <x v="1"/>
    <x v="0"/>
    <d v="2019-03-13T04:08:11"/>
    <d v="2019-03-19T04:08:11"/>
    <d v="2019-03-16T04:08:11"/>
    <x v="3"/>
    <n v="38"/>
    <n v="114"/>
    <n v="3435.597101755402"/>
  </r>
  <r>
    <n v="644294"/>
    <x v="5"/>
    <s v="Delhi"/>
    <x v="2"/>
    <s v=" DL"/>
    <x v="2"/>
    <x v="0"/>
    <x v="0"/>
    <x v="0"/>
    <d v="2019-03-13T04:50:19"/>
    <d v="2019-03-14T04:50:19"/>
    <d v="2019-03-20T04:50:19"/>
    <x v="2"/>
    <n v="0"/>
    <n v="129"/>
    <n v="1891.1529792837443"/>
  </r>
  <r>
    <n v="672829"/>
    <x v="5"/>
    <s v="Delhi"/>
    <x v="1"/>
    <s v=" TN"/>
    <x v="1"/>
    <x v="0"/>
    <x v="1"/>
    <x v="0"/>
    <d v="2019-03-13T05:45:40"/>
    <d v="2019-03-17T05:45:40"/>
    <d v="2019-03-18T05:45:40"/>
    <x v="6"/>
    <n v="40"/>
    <n v="128"/>
    <n v="3182"/>
  </r>
  <r>
    <n v="472704"/>
    <x v="5"/>
    <s v="Delhi"/>
    <x v="0"/>
    <s v=" MH"/>
    <x v="0"/>
    <x v="0"/>
    <x v="0"/>
    <x v="1"/>
    <d v="2019-03-13T05:46:32"/>
    <d v="2019-03-15T05:46:32"/>
    <d v="2019-03-16T05:46:32"/>
    <x v="0"/>
    <n v="81"/>
    <n v="86"/>
    <n v="2205.1272908206583"/>
  </r>
  <r>
    <n v="516371"/>
    <x v="5"/>
    <s v="Bangalore"/>
    <x v="3"/>
    <s v=" KA"/>
    <x v="1"/>
    <x v="0"/>
    <x v="1"/>
    <x v="0"/>
    <d v="2019-03-13T07:56:10"/>
    <d v="2019-03-19T07:56:10"/>
    <d v="2019-03-20T07:56:10"/>
    <x v="3"/>
    <n v="0"/>
    <n v="121"/>
    <n v="1921.1857125193865"/>
  </r>
  <r>
    <n v="171003"/>
    <x v="5"/>
    <s v="Delhi"/>
    <x v="2"/>
    <s v=" DL"/>
    <x v="1"/>
    <x v="0"/>
    <x v="2"/>
    <x v="1"/>
    <d v="2019-03-13T08:35:39"/>
    <d v="2019-03-14T08:35:39"/>
    <d v="2019-03-19T08:35:39"/>
    <x v="2"/>
    <n v="0"/>
    <n v="124"/>
    <n v="3492.7426710173622"/>
  </r>
  <r>
    <n v="395217"/>
    <x v="5"/>
    <s v="Delhi"/>
    <x v="2"/>
    <s v=" DL"/>
    <x v="1"/>
    <x v="0"/>
    <x v="1"/>
    <x v="1"/>
    <d v="2019-03-13T09:02:34"/>
    <d v="2019-03-18T09:02:34"/>
    <d v="2019-03-19T09:02:34"/>
    <x v="9"/>
    <n v="0"/>
    <n v="127"/>
    <n v="3702.5254884733986"/>
  </r>
  <r>
    <n v="844273"/>
    <x v="5"/>
    <s v="Bangalore"/>
    <x v="2"/>
    <s v=" DL"/>
    <x v="1"/>
    <x v="0"/>
    <x v="1"/>
    <x v="0"/>
    <d v="2019-03-13T09:15:50"/>
    <d v="2019-03-22T09:15:50"/>
    <d v="2019-03-17T09:15:50"/>
    <x v="1"/>
    <n v="43"/>
    <n v="123"/>
    <n v="3129.0241176846753"/>
  </r>
  <r>
    <n v="566444"/>
    <x v="5"/>
    <s v="Delhi"/>
    <x v="0"/>
    <s v=" MH"/>
    <x v="0"/>
    <x v="0"/>
    <x v="0"/>
    <x v="0"/>
    <d v="2019-03-13T09:42:45"/>
    <d v="2019-03-15T09:42:45"/>
    <d v="2019-03-16T09:42:45"/>
    <x v="0"/>
    <n v="47"/>
    <n v="108"/>
    <n v="1726.7941536636702"/>
  </r>
  <r>
    <n v="164292"/>
    <x v="5"/>
    <s v="Bangalore"/>
    <x v="0"/>
    <s v=" MH"/>
    <x v="0"/>
    <x v="0"/>
    <x v="0"/>
    <x v="1"/>
    <d v="2019-03-13T09:43:17"/>
    <d v="2019-03-18T09:43:17"/>
    <d v="2019-03-20T09:43:17"/>
    <x v="9"/>
    <n v="39"/>
    <n v="113"/>
    <n v="3223.5410778466653"/>
  </r>
  <r>
    <n v="48069"/>
    <x v="5"/>
    <s v="Bangalore"/>
    <x v="0"/>
    <s v=" MH"/>
    <x v="0"/>
    <x v="0"/>
    <x v="2"/>
    <x v="1"/>
    <d v="2019-03-13T09:49:10"/>
    <d v="2019-03-15T09:49:10"/>
    <d v="2019-03-16T09:49:10"/>
    <x v="0"/>
    <n v="65"/>
    <n v="87"/>
    <n v="831.53393155003187"/>
  </r>
  <r>
    <n v="782766"/>
    <x v="5"/>
    <s v="Bangalore"/>
    <x v="3"/>
    <s v=" KA"/>
    <x v="2"/>
    <x v="0"/>
    <x v="0"/>
    <x v="1"/>
    <d v="2019-03-13T11:14:33"/>
    <d v="2019-03-16T11:14:33"/>
    <d v="2019-03-19T11:14:33"/>
    <x v="4"/>
    <n v="0"/>
    <n v="122"/>
    <n v="803.51483534218175"/>
  </r>
  <r>
    <n v="466418"/>
    <x v="5"/>
    <s v="Bangalore"/>
    <x v="1"/>
    <s v=" TN"/>
    <x v="2"/>
    <x v="0"/>
    <x v="0"/>
    <x v="0"/>
    <d v="2019-03-13T11:24:21"/>
    <d v="2019-03-17T11:24:21"/>
    <d v="2019-03-19T11:24:21"/>
    <x v="6"/>
    <n v="34"/>
    <n v="120"/>
    <n v="664.38468201179171"/>
  </r>
  <r>
    <n v="769943"/>
    <x v="5"/>
    <s v="Bangalore"/>
    <x v="1"/>
    <s v=" TN"/>
    <x v="1"/>
    <x v="0"/>
    <x v="1"/>
    <x v="0"/>
    <d v="2019-03-13T12:00:32"/>
    <d v="2019-03-15T12:00:32"/>
    <d v="2019-03-20T12:00:32"/>
    <x v="0"/>
    <n v="48"/>
    <n v="125"/>
    <n v="433.01675293582537"/>
  </r>
  <r>
    <n v="572139"/>
    <x v="5"/>
    <s v="Bangalore"/>
    <x v="0"/>
    <s v=" MH"/>
    <x v="1"/>
    <x v="0"/>
    <x v="1"/>
    <x v="1"/>
    <d v="2019-03-13T12:48:51"/>
    <d v="2019-03-16T12:48:51"/>
    <d v="2019-03-16T12:48:51"/>
    <x v="4"/>
    <n v="34"/>
    <n v="113"/>
    <n v="208.84618144525172"/>
  </r>
  <r>
    <n v="990141"/>
    <x v="5"/>
    <s v="Bangalore"/>
    <x v="0"/>
    <s v=" MH"/>
    <x v="1"/>
    <x v="0"/>
    <x v="1"/>
    <x v="1"/>
    <d v="2019-03-13T15:11:18"/>
    <d v="2019-03-17T15:11:18"/>
    <d v="2019-03-16T15:11:18"/>
    <x v="6"/>
    <n v="31"/>
    <n v="106"/>
    <n v="686.64477006723757"/>
  </r>
  <r>
    <n v="812771"/>
    <x v="5"/>
    <s v="Delhi"/>
    <x v="0"/>
    <s v=" MH"/>
    <x v="0"/>
    <x v="0"/>
    <x v="1"/>
    <x v="0"/>
    <d v="2019-03-13T15:50:45"/>
    <d v="2019-03-16T15:50:45"/>
    <d v="2019-03-18T15:50:45"/>
    <x v="4"/>
    <n v="79"/>
    <n v="86"/>
    <n v="955"/>
  </r>
  <r>
    <n v="37457"/>
    <x v="5"/>
    <s v="Bangalore"/>
    <x v="3"/>
    <s v=" KA"/>
    <x v="1"/>
    <x v="0"/>
    <x v="2"/>
    <x v="0"/>
    <d v="2019-03-13T15:51:10"/>
    <d v="2019-03-17T15:51:10"/>
    <d v="2019-03-16T15:51:10"/>
    <x v="6"/>
    <n v="0"/>
    <n v="125"/>
    <n v="2902.3409633975557"/>
  </r>
  <r>
    <n v="905811"/>
    <x v="5"/>
    <s v="Bangalore"/>
    <x v="0"/>
    <s v=" MH"/>
    <x v="1"/>
    <x v="0"/>
    <x v="1"/>
    <x v="1"/>
    <d v="2019-03-13T15:51:12"/>
    <d v="2019-03-19T15:51:12"/>
    <d v="2019-03-20T15:51:12"/>
    <x v="3"/>
    <n v="37"/>
    <n v="113"/>
    <n v="3143"/>
  </r>
  <r>
    <n v="263909"/>
    <x v="5"/>
    <s v="Delhi"/>
    <x v="1"/>
    <s v=" TN"/>
    <x v="1"/>
    <x v="0"/>
    <x v="1"/>
    <x v="0"/>
    <d v="2019-03-13T16:06:48"/>
    <d v="2019-03-18T16:06:48"/>
    <d v="2019-03-20T16:06:48"/>
    <x v="9"/>
    <n v="44"/>
    <n v="129"/>
    <n v="1693"/>
  </r>
  <r>
    <n v="908487"/>
    <x v="5"/>
    <s v="Delhi"/>
    <x v="3"/>
    <s v=" KA"/>
    <x v="1"/>
    <x v="0"/>
    <x v="1"/>
    <x v="1"/>
    <d v="2019-03-13T16:20:11"/>
    <d v="2019-03-18T16:20:11"/>
    <d v="2019-03-17T16:20:11"/>
    <x v="9"/>
    <n v="33"/>
    <n v="123"/>
    <n v="3038"/>
  </r>
  <r>
    <n v="140731"/>
    <x v="5"/>
    <s v="Delhi"/>
    <x v="0"/>
    <s v=" MH"/>
    <x v="0"/>
    <x v="0"/>
    <x v="1"/>
    <x v="0"/>
    <d v="2019-03-13T17:12:16"/>
    <d v="2019-03-19T17:12:16"/>
    <d v="2019-03-16T17:12:16"/>
    <x v="3"/>
    <n v="82"/>
    <n v="93"/>
    <n v="2850"/>
  </r>
  <r>
    <n v="309739"/>
    <x v="5"/>
    <s v="Delhi"/>
    <x v="4"/>
    <s v=" WB"/>
    <x v="1"/>
    <x v="0"/>
    <x v="1"/>
    <x v="0"/>
    <d v="2019-03-13T17:22:25"/>
    <d v="2019-03-16T17:22:25"/>
    <d v="2019-03-18T17:22:25"/>
    <x v="4"/>
    <n v="49"/>
    <n v="113"/>
    <n v="1606.0822787163086"/>
  </r>
  <r>
    <n v="26000"/>
    <x v="5"/>
    <s v="Bangalore"/>
    <x v="0"/>
    <s v=" MH"/>
    <x v="0"/>
    <x v="0"/>
    <x v="0"/>
    <x v="0"/>
    <d v="2019-03-13T17:23:01"/>
    <d v="2019-03-16T17:23:01"/>
    <d v="2019-03-16T17:23:01"/>
    <x v="4"/>
    <n v="84"/>
    <n v="88"/>
    <n v="2494"/>
  </r>
  <r>
    <n v="830217"/>
    <x v="5"/>
    <s v="Bangalore"/>
    <x v="3"/>
    <s v=" KA"/>
    <x v="0"/>
    <x v="0"/>
    <x v="1"/>
    <x v="1"/>
    <d v="2019-03-13T17:39:54"/>
    <d v="2019-03-17T17:39:54"/>
    <d v="2019-03-19T17:39:54"/>
    <x v="6"/>
    <n v="0"/>
    <n v="108"/>
    <n v="1572"/>
  </r>
  <r>
    <n v="534022"/>
    <x v="5"/>
    <s v="Bangalore"/>
    <x v="2"/>
    <s v=" DL"/>
    <x v="2"/>
    <x v="0"/>
    <x v="0"/>
    <x v="0"/>
    <d v="2019-03-13T18:02:58"/>
    <d v="2019-03-18T18:02:58"/>
    <d v="2019-03-16T18:02:58"/>
    <x v="9"/>
    <n v="34"/>
    <n v="124"/>
    <n v="3096.2379331372913"/>
  </r>
  <r>
    <n v="467222"/>
    <x v="5"/>
    <s v="Delhi"/>
    <x v="1"/>
    <s v=" TN"/>
    <x v="2"/>
    <x v="0"/>
    <x v="0"/>
    <x v="0"/>
    <d v="2019-03-13T19:09:19"/>
    <d v="2019-03-17T19:09:19"/>
    <d v="2019-03-17T19:09:19"/>
    <x v="6"/>
    <n v="28"/>
    <n v="124"/>
    <n v="965.40976021914412"/>
  </r>
  <r>
    <n v="644256"/>
    <x v="5"/>
    <s v="Delhi"/>
    <x v="0"/>
    <s v=" MH"/>
    <x v="0"/>
    <x v="0"/>
    <x v="0"/>
    <x v="1"/>
    <d v="2019-03-13T20:30:49"/>
    <d v="2019-03-18T20:30:49"/>
    <d v="2019-03-20T20:30:49"/>
    <x v="9"/>
    <n v="39"/>
    <n v="115"/>
    <n v="3558.7993372337414"/>
  </r>
  <r>
    <n v="112449"/>
    <x v="5"/>
    <s v="Delhi"/>
    <x v="0"/>
    <s v=" MH"/>
    <x v="1"/>
    <x v="0"/>
    <x v="1"/>
    <x v="1"/>
    <d v="2019-03-13T20:36:59"/>
    <d v="2019-03-20T20:36:59"/>
    <d v="2019-03-19T20:36:59"/>
    <x v="8"/>
    <n v="37"/>
    <n v="111"/>
    <n v="3420"/>
  </r>
  <r>
    <n v="200311"/>
    <x v="5"/>
    <s v="Bangalore"/>
    <x v="3"/>
    <s v=" KA"/>
    <x v="1"/>
    <x v="0"/>
    <x v="1"/>
    <x v="0"/>
    <d v="2019-03-13T21:59:57"/>
    <d v="2019-03-18T21:59:57"/>
    <d v="2019-03-20T21:59:57"/>
    <x v="9"/>
    <n v="0"/>
    <n v="121"/>
    <n v="3463.8895758622839"/>
  </r>
  <r>
    <n v="467789"/>
    <x v="5"/>
    <s v="Bangalore"/>
    <x v="1"/>
    <s v=" TN"/>
    <x v="0"/>
    <x v="0"/>
    <x v="2"/>
    <x v="0"/>
    <d v="2019-03-13T23:09:33"/>
    <d v="2019-03-17T23:09:33"/>
    <d v="2019-03-19T23:09:33"/>
    <x v="6"/>
    <n v="88"/>
    <n v="101"/>
    <n v="3304.1196606287103"/>
  </r>
  <r>
    <n v="984555"/>
    <x v="5"/>
    <s v="Delhi"/>
    <x v="3"/>
    <s v=" KA"/>
    <x v="1"/>
    <x v="0"/>
    <x v="1"/>
    <x v="1"/>
    <d v="2019-03-13T23:16:42"/>
    <d v="2019-03-17T23:16:42"/>
    <d v="2019-03-17T23:16:42"/>
    <x v="6"/>
    <n v="45"/>
    <n v="126"/>
    <n v="291.47568620604994"/>
  </r>
  <r>
    <n v="292525"/>
    <x v="5"/>
    <s v="Delhi"/>
    <x v="4"/>
    <s v=" WB"/>
    <x v="1"/>
    <x v="0"/>
    <x v="1"/>
    <x v="0"/>
    <d v="2019-03-13T23:30:54"/>
    <d v="2019-03-19T23:30:54"/>
    <d v="2019-03-17T23:30:54"/>
    <x v="3"/>
    <n v="40"/>
    <n v="109"/>
    <n v="2554.152957317503"/>
  </r>
  <r>
    <n v="472498"/>
    <x v="5"/>
    <s v="Bangalore"/>
    <x v="0"/>
    <s v=" MH"/>
    <x v="2"/>
    <x v="0"/>
    <x v="0"/>
    <x v="0"/>
    <d v="2019-03-13T23:33:37"/>
    <d v="2019-03-16T23:33:37"/>
    <d v="2019-03-20T23:33:37"/>
    <x v="4"/>
    <n v="40"/>
    <n v="108"/>
    <n v="1698.8478871114323"/>
  </r>
  <r>
    <n v="500006"/>
    <x v="5"/>
    <s v="Delhi"/>
    <x v="0"/>
    <s v=" MH"/>
    <x v="2"/>
    <x v="0"/>
    <x v="0"/>
    <x v="0"/>
    <d v="2019-03-14T01:50:13"/>
    <d v="2019-03-23T01:50:13"/>
    <d v="2019-03-19T01:50:13"/>
    <x v="1"/>
    <n v="37"/>
    <n v="114"/>
    <n v="886"/>
  </r>
  <r>
    <n v="75455"/>
    <x v="5"/>
    <s v="Delhi"/>
    <x v="3"/>
    <s v=" KA"/>
    <x v="0"/>
    <x v="0"/>
    <x v="1"/>
    <x v="0"/>
    <d v="2019-03-14T03:06:01"/>
    <d v="2019-03-19T03:06:01"/>
    <d v="2019-03-18T03:06:01"/>
    <x v="9"/>
    <n v="71"/>
    <n v="103"/>
    <n v="821"/>
  </r>
  <r>
    <n v="179771"/>
    <x v="5"/>
    <s v="Bangalore"/>
    <x v="1"/>
    <s v=" TN"/>
    <x v="1"/>
    <x v="0"/>
    <x v="1"/>
    <x v="0"/>
    <d v="2019-03-14T03:41:27"/>
    <d v="2019-03-17T03:41:27"/>
    <d v="2019-03-17T03:41:27"/>
    <x v="4"/>
    <n v="43"/>
    <n v="129"/>
    <n v="639"/>
  </r>
  <r>
    <n v="476249"/>
    <x v="5"/>
    <s v="Delhi"/>
    <x v="2"/>
    <s v=" DL"/>
    <x v="0"/>
    <x v="0"/>
    <x v="1"/>
    <x v="0"/>
    <d v="2019-03-14T03:50:54"/>
    <d v="2019-03-18T03:50:54"/>
    <d v="2019-03-18T03:50:54"/>
    <x v="6"/>
    <n v="0"/>
    <n v="106"/>
    <n v="3727.9910555915953"/>
  </r>
  <r>
    <n v="711101"/>
    <x v="5"/>
    <s v="Delhi"/>
    <x v="1"/>
    <s v=" TN"/>
    <x v="1"/>
    <x v="0"/>
    <x v="1"/>
    <x v="0"/>
    <d v="2019-03-14T04:41:49"/>
    <d v="2019-03-21T04:41:49"/>
    <d v="2019-03-21T04:41:49"/>
    <x v="8"/>
    <n v="38"/>
    <n v="120"/>
    <n v="2728.747915792791"/>
  </r>
  <r>
    <n v="103910"/>
    <x v="5"/>
    <s v="Bangalore"/>
    <x v="2"/>
    <s v=" DL"/>
    <x v="2"/>
    <x v="0"/>
    <x v="0"/>
    <x v="0"/>
    <d v="2019-03-14T04:58:51"/>
    <d v="2019-03-20T04:58:51"/>
    <d v="2019-03-19T04:58:51"/>
    <x v="3"/>
    <n v="45"/>
    <n v="127"/>
    <n v="1513.9383794009348"/>
  </r>
  <r>
    <n v="311430"/>
    <x v="5"/>
    <s v="Bangalore"/>
    <x v="2"/>
    <s v=" DL"/>
    <x v="2"/>
    <x v="0"/>
    <x v="0"/>
    <x v="1"/>
    <d v="2019-03-14T05:07:52"/>
    <d v="2019-03-18T05:07:52"/>
    <d v="2019-03-21T05:07:52"/>
    <x v="6"/>
    <n v="36"/>
    <n v="126"/>
    <n v="2410.1618140414867"/>
  </r>
  <r>
    <n v="671332"/>
    <x v="5"/>
    <s v="Delhi"/>
    <x v="4"/>
    <s v=" WB"/>
    <x v="0"/>
    <x v="0"/>
    <x v="0"/>
    <x v="0"/>
    <d v="2019-03-14T05:40:46"/>
    <d v="2019-03-20T05:40:46"/>
    <d v="2019-03-20T05:40:46"/>
    <x v="3"/>
    <n v="26"/>
    <n v="112"/>
    <n v="2813"/>
  </r>
  <r>
    <n v="319221"/>
    <x v="5"/>
    <s v="Bangalore"/>
    <x v="2"/>
    <s v=" DL"/>
    <x v="1"/>
    <x v="0"/>
    <x v="2"/>
    <x v="1"/>
    <d v="2019-03-14T06:13:56"/>
    <d v="2019-03-18T06:13:56"/>
    <d v="2019-03-20T06:13:56"/>
    <x v="6"/>
    <n v="34"/>
    <n v="125"/>
    <n v="680.07465723357848"/>
  </r>
  <r>
    <n v="162765"/>
    <x v="5"/>
    <s v="Delhi"/>
    <x v="0"/>
    <s v=" MH"/>
    <x v="0"/>
    <x v="0"/>
    <x v="1"/>
    <x v="1"/>
    <d v="2019-03-14T06:22:22"/>
    <d v="2019-03-16T06:22:22"/>
    <d v="2019-03-21T06:22:22"/>
    <x v="0"/>
    <n v="66"/>
    <n v="92"/>
    <n v="3455.8229623432076"/>
  </r>
  <r>
    <n v="819914"/>
    <x v="5"/>
    <s v="Bangalore"/>
    <x v="0"/>
    <s v=" MH"/>
    <x v="2"/>
    <x v="0"/>
    <x v="0"/>
    <x v="0"/>
    <d v="2019-03-14T07:24:43"/>
    <d v="2019-03-20T07:24:43"/>
    <d v="2019-03-21T07:24:43"/>
    <x v="3"/>
    <n v="41"/>
    <n v="105"/>
    <n v="2431"/>
  </r>
  <r>
    <n v="683481"/>
    <x v="5"/>
    <s v="Delhi"/>
    <x v="3"/>
    <s v=" KA"/>
    <x v="0"/>
    <x v="0"/>
    <x v="1"/>
    <x v="1"/>
    <d v="2019-03-14T07:33:15"/>
    <d v="2019-03-16T07:33:15"/>
    <d v="2019-03-20T07:33:15"/>
    <x v="0"/>
    <n v="84"/>
    <n v="110"/>
    <n v="1016.924924588082"/>
  </r>
  <r>
    <n v="198204"/>
    <x v="5"/>
    <s v="Bangalore"/>
    <x v="3"/>
    <s v=" KA"/>
    <x v="0"/>
    <x v="0"/>
    <x v="0"/>
    <x v="1"/>
    <d v="2019-03-14T09:03:07"/>
    <d v="2019-03-19T09:03:07"/>
    <d v="2019-03-18T09:03:07"/>
    <x v="9"/>
    <n v="0"/>
    <n v="128"/>
    <n v="2587.5235566337237"/>
  </r>
  <r>
    <n v="665527"/>
    <x v="5"/>
    <s v="Bangalore"/>
    <x v="2"/>
    <s v=" DL"/>
    <x v="0"/>
    <x v="0"/>
    <x v="1"/>
    <x v="0"/>
    <d v="2019-03-14T10:21:22"/>
    <d v="2019-03-20T10:21:22"/>
    <d v="2019-03-19T10:21:22"/>
    <x v="3"/>
    <n v="72"/>
    <n v="110"/>
    <n v="2773.4603297184453"/>
  </r>
  <r>
    <n v="746254"/>
    <x v="5"/>
    <s v="Delhi"/>
    <x v="3"/>
    <s v=" KA"/>
    <x v="0"/>
    <x v="0"/>
    <x v="0"/>
    <x v="0"/>
    <d v="2019-03-14T11:34:48"/>
    <d v="2019-03-17T11:34:48"/>
    <d v="2019-03-21T11:34:48"/>
    <x v="4"/>
    <n v="66"/>
    <n v="107"/>
    <n v="885.40277255582146"/>
  </r>
  <r>
    <n v="734525"/>
    <x v="5"/>
    <s v="Bangalore"/>
    <x v="3"/>
    <s v=" KA"/>
    <x v="1"/>
    <x v="0"/>
    <x v="1"/>
    <x v="0"/>
    <d v="2019-03-14T13:31:56"/>
    <d v="2019-03-15T13:31:56"/>
    <d v="2019-03-19T13:31:56"/>
    <x v="2"/>
    <n v="0"/>
    <n v="125"/>
    <n v="2034"/>
  </r>
  <r>
    <n v="792770"/>
    <x v="5"/>
    <s v="Delhi"/>
    <x v="0"/>
    <s v=" MH"/>
    <x v="2"/>
    <x v="0"/>
    <x v="0"/>
    <x v="0"/>
    <d v="2019-03-14T14:45:57"/>
    <d v="2019-03-20T14:45:57"/>
    <d v="2019-03-17T14:45:57"/>
    <x v="3"/>
    <n v="34"/>
    <n v="106"/>
    <n v="1916.1798402332297"/>
  </r>
  <r>
    <n v="544151"/>
    <x v="5"/>
    <s v="Bangalore"/>
    <x v="3"/>
    <s v=" KA"/>
    <x v="0"/>
    <x v="0"/>
    <x v="1"/>
    <x v="0"/>
    <d v="2019-03-14T15:09:42"/>
    <d v="2019-03-17T15:09:42"/>
    <d v="2019-03-21T15:09:42"/>
    <x v="4"/>
    <n v="0"/>
    <n v="107"/>
    <n v="412"/>
  </r>
  <r>
    <n v="472603"/>
    <x v="5"/>
    <s v="Bangalore"/>
    <x v="3"/>
    <s v=" KA"/>
    <x v="1"/>
    <x v="0"/>
    <x v="1"/>
    <x v="0"/>
    <d v="2019-03-14T15:24:22"/>
    <d v="2019-03-17T15:24:22"/>
    <d v="2019-03-19T15:24:22"/>
    <x v="4"/>
    <n v="0"/>
    <n v="122"/>
    <n v="3478"/>
  </r>
  <r>
    <n v="696293"/>
    <x v="5"/>
    <s v="Delhi"/>
    <x v="0"/>
    <s v=" MH"/>
    <x v="1"/>
    <x v="0"/>
    <x v="1"/>
    <x v="0"/>
    <d v="2019-03-14T15:43:25"/>
    <d v="2019-03-22T15:43:25"/>
    <d v="2019-03-18T15:43:25"/>
    <x v="5"/>
    <n v="35"/>
    <n v="107"/>
    <n v="3225.4001437755828"/>
  </r>
  <r>
    <n v="631427"/>
    <x v="5"/>
    <s v="Bangalore"/>
    <x v="0"/>
    <s v=" MH"/>
    <x v="0"/>
    <x v="0"/>
    <x v="1"/>
    <x v="0"/>
    <d v="2019-03-14T16:23:05"/>
    <d v="2019-03-16T16:23:05"/>
    <d v="2019-03-20T16:23:05"/>
    <x v="0"/>
    <n v="71"/>
    <n v="90"/>
    <n v="3424"/>
  </r>
  <r>
    <n v="208091"/>
    <x v="5"/>
    <s v="Bangalore"/>
    <x v="2"/>
    <s v=" DL"/>
    <x v="0"/>
    <x v="0"/>
    <x v="1"/>
    <x v="0"/>
    <d v="2019-03-14T16:38:39"/>
    <d v="2019-03-16T16:38:39"/>
    <d v="2019-03-19T16:38:39"/>
    <x v="0"/>
    <n v="83"/>
    <n v="109"/>
    <n v="1283"/>
  </r>
  <r>
    <n v="768454"/>
    <x v="5"/>
    <s v="Delhi"/>
    <x v="3"/>
    <s v=" KA"/>
    <x v="2"/>
    <x v="0"/>
    <x v="0"/>
    <x v="0"/>
    <d v="2019-03-14T16:41:59"/>
    <d v="2019-03-21T16:41:59"/>
    <d v="2019-03-19T16:41:59"/>
    <x v="8"/>
    <n v="48"/>
    <n v="127"/>
    <n v="3011.3458997552166"/>
  </r>
  <r>
    <n v="279160"/>
    <x v="5"/>
    <s v="Bangalore"/>
    <x v="0"/>
    <s v=" MH"/>
    <x v="0"/>
    <x v="0"/>
    <x v="0"/>
    <x v="0"/>
    <d v="2019-03-14T17:33:27"/>
    <d v="2019-03-16T17:33:27"/>
    <d v="2019-03-20T17:33:27"/>
    <x v="0"/>
    <n v="30"/>
    <n v="111"/>
    <n v="654"/>
  </r>
  <r>
    <n v="714699"/>
    <x v="5"/>
    <s v="Bangalore"/>
    <x v="3"/>
    <s v=" KA"/>
    <x v="1"/>
    <x v="0"/>
    <x v="1"/>
    <x v="1"/>
    <d v="2019-03-14T18:32:32"/>
    <d v="2019-03-18T18:32:32"/>
    <d v="2019-03-19T18:32:32"/>
    <x v="6"/>
    <n v="0"/>
    <n v="126"/>
    <n v="2116.5305455358748"/>
  </r>
  <r>
    <n v="865823"/>
    <x v="5"/>
    <s v="Bangalore"/>
    <x v="2"/>
    <s v=" DL"/>
    <x v="1"/>
    <x v="0"/>
    <x v="2"/>
    <x v="0"/>
    <d v="2019-03-14T18:54:28"/>
    <d v="2019-03-19T18:54:28"/>
    <d v="2019-03-19T18:54:28"/>
    <x v="9"/>
    <n v="42"/>
    <n v="122"/>
    <n v="1447.6081713761489"/>
  </r>
  <r>
    <n v="110019"/>
    <x v="5"/>
    <s v="Delhi"/>
    <x v="0"/>
    <s v=" MH"/>
    <x v="1"/>
    <x v="0"/>
    <x v="2"/>
    <x v="1"/>
    <d v="2019-03-14T19:24:39"/>
    <d v="2019-03-21T19:24:39"/>
    <d v="2019-03-18T19:24:39"/>
    <x v="8"/>
    <n v="26"/>
    <n v="107"/>
    <n v="1346.4353244243589"/>
  </r>
  <r>
    <n v="411911"/>
    <x v="5"/>
    <s v="Delhi"/>
    <x v="0"/>
    <s v=" MH"/>
    <x v="1"/>
    <x v="0"/>
    <x v="1"/>
    <x v="0"/>
    <d v="2019-03-14T22:50:34"/>
    <d v="2019-03-22T22:50:34"/>
    <d v="2019-03-20T22:50:34"/>
    <x v="5"/>
    <n v="37"/>
    <n v="115"/>
    <n v="495"/>
  </r>
  <r>
    <n v="202345"/>
    <x v="5"/>
    <s v="Delhi"/>
    <x v="0"/>
    <s v=" MH"/>
    <x v="0"/>
    <x v="0"/>
    <x v="1"/>
    <x v="0"/>
    <d v="2019-03-14T23:48:30"/>
    <d v="2019-03-16T23:48:30"/>
    <d v="2019-03-18T23:48:30"/>
    <x v="0"/>
    <n v="78"/>
    <n v="87"/>
    <n v="827.05361696762691"/>
  </r>
  <r>
    <n v="76382"/>
    <x v="5"/>
    <s v="Delhi"/>
    <x v="0"/>
    <s v=" MH"/>
    <x v="2"/>
    <x v="1"/>
    <x v="0"/>
    <x v="0"/>
    <d v="2019-03-01T08:02:52"/>
    <d v="2019-03-10T08:02:52"/>
    <d v="2019-03-06T08:02:52"/>
    <x v="1"/>
    <n v="37"/>
    <n v="109"/>
    <n v="3715.9286713215033"/>
  </r>
  <r>
    <n v="30299"/>
    <x v="5"/>
    <s v="Delhi"/>
    <x v="4"/>
    <s v=" WB"/>
    <x v="1"/>
    <x v="1"/>
    <x v="1"/>
    <x v="0"/>
    <d v="2019-03-01T14:03:31"/>
    <d v="2019-03-03T14:03:31"/>
    <d v="2019-03-08T14:03:31"/>
    <x v="0"/>
    <n v="38"/>
    <n v="111"/>
    <n v="3600.5225341519067"/>
  </r>
  <r>
    <n v="634552"/>
    <x v="5"/>
    <s v="Delhi"/>
    <x v="2"/>
    <s v=" DL"/>
    <x v="0"/>
    <x v="1"/>
    <x v="0"/>
    <x v="0"/>
    <d v="2019-03-02T08:46:23"/>
    <d v="2019-03-02T08:46:23"/>
    <d v="2019-03-09T08:46:23"/>
    <x v="10"/>
    <n v="0"/>
    <n v="120"/>
    <n v="1615"/>
  </r>
  <r>
    <n v="747728"/>
    <x v="5"/>
    <s v="Bangalore"/>
    <x v="2"/>
    <s v=" DL"/>
    <x v="0"/>
    <x v="1"/>
    <x v="0"/>
    <x v="0"/>
    <d v="2019-03-02T22:14:43"/>
    <d v="2019-03-05T22:14:43"/>
    <d v="2019-03-09T22:14:43"/>
    <x v="4"/>
    <n v="35"/>
    <n v="128"/>
    <n v="835.42286582332736"/>
  </r>
  <r>
    <n v="473510"/>
    <x v="5"/>
    <s v="Delhi"/>
    <x v="3"/>
    <s v=" KA"/>
    <x v="2"/>
    <x v="1"/>
    <x v="0"/>
    <x v="0"/>
    <d v="2019-03-05T10:18:59"/>
    <d v="2019-03-14T10:18:59"/>
    <d v="2019-03-12T10:18:59"/>
    <x v="1"/>
    <n v="28"/>
    <n v="129"/>
    <n v="881.85161376851056"/>
  </r>
  <r>
    <n v="223804"/>
    <x v="5"/>
    <s v="Delhi"/>
    <x v="2"/>
    <s v=" DL"/>
    <x v="0"/>
    <x v="1"/>
    <x v="0"/>
    <x v="0"/>
    <d v="2019-03-08T11:03:21"/>
    <d v="2019-03-11T11:03:21"/>
    <d v="2019-03-14T11:03:21"/>
    <x v="4"/>
    <n v="0"/>
    <n v="126"/>
    <n v="3621.7663616627769"/>
  </r>
  <r>
    <n v="965104"/>
    <x v="5"/>
    <s v="Delhi"/>
    <x v="0"/>
    <s v=" MH"/>
    <x v="0"/>
    <x v="1"/>
    <x v="0"/>
    <x v="0"/>
    <d v="2019-03-10T07:24:46"/>
    <d v="2019-03-15T07:24:46"/>
    <d v="2019-03-15T07:24:46"/>
    <x v="9"/>
    <n v="26"/>
    <n v="109"/>
    <n v="796"/>
  </r>
  <r>
    <n v="715186"/>
    <x v="5"/>
    <s v="Bangalore"/>
    <x v="4"/>
    <s v=" WB"/>
    <x v="2"/>
    <x v="1"/>
    <x v="0"/>
    <x v="0"/>
    <d v="2019-03-12T19:00:03"/>
    <d v="2019-03-19T19:00:03"/>
    <d v="2019-03-18T19:00:03"/>
    <x v="8"/>
    <n v="36"/>
    <n v="106"/>
    <n v="500.01656339955207"/>
  </r>
  <r>
    <n v="10999"/>
    <x v="5"/>
    <s v="Delhi"/>
    <x v="0"/>
    <s v=" MH"/>
    <x v="0"/>
    <x v="1"/>
    <x v="1"/>
    <x v="0"/>
    <d v="2019-03-14T03:22:25"/>
    <d v="2019-03-20T03:22:25"/>
    <d v="2019-03-21T03:22:25"/>
    <x v="3"/>
    <n v="83"/>
    <n v="92"/>
    <n v="20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09F19-8C02-40F2-9BAD-BBC26C51C4B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Payment Mode" colHeaderCaption="Sources">
  <location ref="B39:F43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numFmtId="22" showAll="0"/>
    <pivotField numFmtId="22" showAll="0"/>
    <pivotField numFmtId="22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7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FFFDA-09FE-49A5-96EB-8C1E3A29507C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 rowHeaderCaption="Product Category">
  <location ref="E9:F16" firstHeaderRow="1" firstDataRow="1" firstDataCol="1"/>
  <pivotFields count="16"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1" baseItem="0"/>
  </dataFields>
  <chartFormats count="3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ABF33-3CC7-4190-9CFF-5A370630704C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Destination City" colHeaderCaption="Sources">
  <location ref="F52:G58" firstHeaderRow="1" firstDataRow="1" firstDataCol="1"/>
  <pivotFields count="16">
    <pivotField dataField="1"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3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02A23-9B67-4A58-B630-B0CAC5D89B1B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Logistics Provider">
  <location ref="E25:F29" firstHeaderRow="1" firstDataRow="1" firstDataCol="1" rowPageCount="1" colPageCount="1"/>
  <pivotFields count="16">
    <pivotField dataField="1" showAll="0"/>
    <pivotField showAll="0"/>
    <pivotField showAll="0"/>
    <pivotField showAll="0"/>
    <pivotField showAll="0"/>
    <pivotField axis="axisRow" showAll="0">
      <items count="5">
        <item m="1"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numFmtId="22" showAll="0"/>
    <pivotField numFmtId="22" showAll="0"/>
    <pivotField numFmtId="22"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6" item="0" hier="-1"/>
  </pageFields>
  <dataFields count="1">
    <dataField name="Count of order_id" fld="0" subtotal="count" baseField="5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DE6DF-143F-495D-87AE-4591C9C0665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Product Category">
  <location ref="B9:C16" firstHeaderRow="1" firstDataRow="1" firstDataCol="1"/>
  <pivotFields count="16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hipping_cost" fld="14" subtotal="average" baseField="1" baseItem="0"/>
  </dataFields>
  <chartFormats count="1"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8F101-6AF9-4E2B-8BF7-67CC5114786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Logistics Provider">
  <location ref="B25:C29" firstHeaderRow="1" firstDataRow="1" firstDataCol="1" rowPageCount="1" colPageCount="1"/>
  <pivotFields count="16">
    <pivotField showAll="0"/>
    <pivotField showAll="0"/>
    <pivotField showAll="0"/>
    <pivotField showAll="0"/>
    <pivotField showAll="0"/>
    <pivotField axis="axisRow" showAll="0">
      <items count="5">
        <item m="1" x="3"/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numFmtId="22" showAll="0"/>
    <pivotField numFmtId="22" showAll="0"/>
    <pivotField numFmtId="22" showAll="0"/>
    <pivotField dataField="1" showAll="0"/>
    <pivotField showAll="0"/>
    <pivotField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6" item="0" hier="-1"/>
  </pageFields>
  <dataFields count="1">
    <dataField name="Average of Delivery Days" fld="12" subtotal="average" baseField="5" baseItem="0" numFmtId="2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5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B6048-37D0-4A99-9257-BFF49D33570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 rowHeaderCaption="Destination City" colHeaderCaption="Sources">
  <location ref="B52:D58" firstHeaderRow="0" firstDataRow="1" firstDataCol="1"/>
  <pivotFields count="16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showAll="0"/>
    <pivotField dataField="1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_cost" fld="14" subtotal="average" baseField="2" baseItem="0"/>
    <dataField name="Average of transit_storage_cost" fld="13" subtotal="average" baseField="2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1CCF7-0769-487B-AA8D-B36A61DACF56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Delivery Days" colHeaderCaption="Sources">
  <location ref="B66:D79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axis="axisRow" showAll="0" sortType="ascending">
      <items count="13">
        <item x="10"/>
        <item x="2"/>
        <item x="0"/>
        <item x="4"/>
        <item x="6"/>
        <item x="9"/>
        <item x="3"/>
        <item x="8"/>
        <item x="5"/>
        <item x="1"/>
        <item x="7"/>
        <item x="11"/>
        <item t="default"/>
      </items>
    </pivotField>
    <pivotField showAll="0"/>
    <pivotField showAll="0"/>
    <pivotField dataField="1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12" baseItem="0"/>
    <dataField name="Average of Session_length" fld="15" subtotal="average" baseField="12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92E498-EC28-4F84-82DC-EBC6729069F0}" autoFormatId="16" applyNumberFormats="0" applyBorderFormats="0" applyFontFormats="0" applyPatternFormats="0" applyAlignmentFormats="0" applyWidthHeightFormats="0">
  <queryTableRefresh nextId="19">
    <queryTableFields count="17">
      <queryTableField id="1" name="order_id" tableColumnId="1"/>
      <queryTableField id="2" name="Product_category_cleaned" tableColumnId="2"/>
      <queryTableField id="3" name="origin_city" tableColumnId="3"/>
      <queryTableField id="4" name="destination_city.1" tableColumnId="4"/>
      <queryTableField id="5" name="destination_state" tableColumnId="5"/>
      <queryTableField id="6" name="logistics_provider_name" tableColumnId="6"/>
      <queryTableField id="7" name="final_delivery_status" tableColumnId="7"/>
      <queryTableField id="8" name="Payment Mode" tableColumnId="8"/>
      <queryTableField id="9" name="Sources" tableColumnId="9"/>
      <queryTableField id="10" name="dispatch_date" tableColumnId="10"/>
      <queryTableField id="11" name="actual_delivery_date" tableColumnId="11"/>
      <queryTableField id="12" name="promised_delivery_date" tableColumnId="12"/>
      <queryTableField id="16" dataBound="0" tableColumnId="16"/>
      <queryTableField id="13" name="transit_storage_cost" tableColumnId="13"/>
      <queryTableField id="18" dataBound="0" tableColumnId="18"/>
      <queryTableField id="14" name="shipping_cost" tableColumnId="14"/>
      <queryTableField id="15" name="Session_length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38534-C5AC-4AA4-AC65-FEE4614F0A51}" name="Table1" displayName="Table1" ref="A1:Q4298" tableType="queryTable" totalsRowShown="0">
  <autoFilter ref="A1:Q4298" xr:uid="{C7238534-C5AC-4AA4-AC65-FEE4614F0A51}"/>
  <sortState xmlns:xlrd2="http://schemas.microsoft.com/office/spreadsheetml/2017/richdata2" ref="A2:Q4298">
    <sortCondition ref="K1:K4298"/>
  </sortState>
  <tableColumns count="17">
    <tableColumn id="1" xr3:uid="{AE0E2B89-FE7A-4D45-B34D-35378A6724E8}" uniqueName="1" name="order_id" queryTableFieldId="1"/>
    <tableColumn id="2" xr3:uid="{BC77869B-4F21-4E4A-98C4-DAC701AE2E71}" uniqueName="2" name="Product_category_cleaned" queryTableFieldId="2" dataDxfId="15"/>
    <tableColumn id="3" xr3:uid="{E3A2962D-0D71-4F04-8C58-2F2AFF528630}" uniqueName="3" name="origin_city" queryTableFieldId="3" dataDxfId="14"/>
    <tableColumn id="4" xr3:uid="{170129FB-37B7-41BA-8B53-172909800EE0}" uniqueName="4" name="destination_city.1" queryTableFieldId="4" dataDxfId="13"/>
    <tableColumn id="5" xr3:uid="{52FA1499-6FA4-41E3-BBD4-485D444A9218}" uniqueName="5" name="destination_state" queryTableFieldId="5" dataDxfId="12"/>
    <tableColumn id="6" xr3:uid="{90538E11-F6AA-4A1A-A407-80C621B03016}" uniqueName="6" name="logistics_provider_name" queryTableFieldId="6" dataDxfId="11"/>
    <tableColumn id="7" xr3:uid="{E892F3D7-7109-458C-9069-CC27716F7665}" uniqueName="7" name="final_delivery_status" queryTableFieldId="7" dataDxfId="10"/>
    <tableColumn id="8" xr3:uid="{509AF5C9-317B-4872-9470-6463283EAF61}" uniqueName="8" name="Payment Mode" queryTableFieldId="8"/>
    <tableColumn id="9" xr3:uid="{16637CB0-1146-4462-A6D3-5A44B9D71031}" uniqueName="9" name="Sources" queryTableFieldId="9" dataDxfId="9"/>
    <tableColumn id="10" xr3:uid="{CE44FAA4-7940-4522-A953-27F35CFC01B5}" uniqueName="10" name="dispatch_date" queryTableFieldId="10" dataDxfId="8"/>
    <tableColumn id="11" xr3:uid="{7A3439D2-D142-4A84-B44F-C032D055B976}" uniqueName="11" name="actual_delivery_date" queryTableFieldId="11" dataDxfId="7"/>
    <tableColumn id="12" xr3:uid="{1E81AB77-359B-40D4-AB74-71C543E7622F}" uniqueName="12" name="promised_delivery_date" queryTableFieldId="12" dataDxfId="6"/>
    <tableColumn id="16" xr3:uid="{88A32C03-2243-447D-9372-B35781D310CE}" uniqueName="16" name="Delivery Days" queryTableFieldId="16" dataDxfId="5">
      <calculatedColumnFormula>_xlfn.DAYS(Table1[[#This Row],[actual_delivery_date]],Table1[[#This Row],[dispatch_date]])</calculatedColumnFormula>
    </tableColumn>
    <tableColumn id="13" xr3:uid="{CA463187-C2AD-4526-B81F-353F381E9E70}" uniqueName="13" name="transit_storage_cost" queryTableFieldId="13"/>
    <tableColumn id="18" xr3:uid="{78EA8F6F-674A-4B82-B071-97091D1E8695}" uniqueName="18" name="Helper_transit" queryTableFieldId="18" dataDxfId="4">
      <calculatedColumnFormula>Table1[[#This Row],[transit_storage_cost]] * (1-'What -if Analysis'!$D$26)</calculatedColumnFormula>
    </tableColumn>
    <tableColumn id="14" xr3:uid="{740122DB-17DA-45F8-8B7D-E53273671EBB}" uniqueName="14" name="shipping_cost" queryTableFieldId="14"/>
    <tableColumn id="15" xr3:uid="{64311AF5-BF67-45A2-B64B-16DF00D7FF40}" uniqueName="15" name="Session_length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11422-6BD9-429E-8B0F-8B5EC70213FE}" name="Table2" displayName="Table2" ref="A1:E19" totalsRowShown="0">
  <autoFilter ref="A1:E19" xr:uid="{A4811422-6BD9-429E-8B0F-8B5EC70213FE}"/>
  <tableColumns count="5">
    <tableColumn id="1" xr3:uid="{605A343E-6093-4596-8298-B243D7F06175}" name="Delivery Days"/>
    <tableColumn id="2" xr3:uid="{BB8E0CFC-78A2-4C41-AB9F-2002CA4C9A83}" name="shipping_cost"/>
    <tableColumn id="3" xr3:uid="{81F48C6C-BBE3-4769-8F86-C7DA178A7946}" name="Forecast(shipping_cost)">
      <calculatedColumnFormula>_xlfn.FORECAST.ETS(A2,$B$2:$B$13,$A$2:$A$13,1,1)</calculatedColumnFormula>
    </tableColumn>
    <tableColumn id="4" xr3:uid="{58D7CC69-B775-41F7-BD29-3DA5EAB80BD9}" name="Lower Confidence Bound(shipping_cost)" dataDxfId="1">
      <calculatedColumnFormula>C2-_xlfn.FORECAST.ETS.CONFINT(A2,$B$2:$B$13,$A$2:$A$13,0.95,1,1)</calculatedColumnFormula>
    </tableColumn>
    <tableColumn id="5" xr3:uid="{033EBB85-6729-41DC-BD25-D4DE3CC96070}" name="Upper Confidence Bound(shipping_cost)" dataDxfId="0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3242-3F7A-4FD5-9B1F-7F6AF15A3FE3}">
  <dimension ref="A1:Q4298"/>
  <sheetViews>
    <sheetView topLeftCell="H1" workbookViewId="0">
      <selection activeCell="O3" sqref="O3"/>
    </sheetView>
  </sheetViews>
  <sheetFormatPr defaultRowHeight="14.4" x14ac:dyDescent="0.3"/>
  <cols>
    <col min="1" max="1" width="10.33203125" bestFit="1" customWidth="1"/>
    <col min="2" max="2" width="26.109375" bestFit="1" customWidth="1"/>
    <col min="3" max="3" width="12" bestFit="1" customWidth="1"/>
    <col min="4" max="4" width="18.33203125" bestFit="1" customWidth="1"/>
    <col min="5" max="5" width="17.88671875" bestFit="1" customWidth="1"/>
    <col min="6" max="6" width="24" bestFit="1" customWidth="1"/>
    <col min="7" max="7" width="20.77734375" bestFit="1" customWidth="1"/>
    <col min="8" max="8" width="16.33203125" bestFit="1" customWidth="1"/>
    <col min="9" max="9" width="9.77734375" bestFit="1" customWidth="1"/>
    <col min="10" max="10" width="15.44140625" bestFit="1" customWidth="1"/>
    <col min="11" max="11" width="21" bestFit="1" customWidth="1"/>
    <col min="12" max="12" width="23.88671875" bestFit="1" customWidth="1"/>
    <col min="13" max="13" width="14.44140625" style="1" bestFit="1" customWidth="1"/>
    <col min="14" max="14" width="20.44140625" bestFit="1" customWidth="1"/>
    <col min="15" max="15" width="20.44140625" customWidth="1"/>
    <col min="16" max="16" width="14.77734375" bestFit="1" customWidth="1"/>
    <col min="17" max="17" width="15.8867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51</v>
      </c>
      <c r="N1" t="s">
        <v>12</v>
      </c>
      <c r="O1" t="s">
        <v>82</v>
      </c>
      <c r="P1" t="s">
        <v>13</v>
      </c>
      <c r="Q1" t="s">
        <v>14</v>
      </c>
    </row>
    <row r="2" spans="1:17" x14ac:dyDescent="0.3">
      <c r="A2">
        <v>977567</v>
      </c>
      <c r="B2" s="1" t="s">
        <v>37</v>
      </c>
      <c r="C2" s="1" t="s">
        <v>16</v>
      </c>
      <c r="D2" s="1" t="s">
        <v>16</v>
      </c>
      <c r="E2" s="1" t="s">
        <v>27</v>
      </c>
      <c r="F2" s="1" t="s">
        <v>19</v>
      </c>
      <c r="G2" s="1" t="s">
        <v>20</v>
      </c>
      <c r="H2" t="s">
        <v>30</v>
      </c>
      <c r="I2" s="1" t="s">
        <v>22</v>
      </c>
      <c r="J2" s="2">
        <v>43525.173125000001</v>
      </c>
      <c r="K2" s="2">
        <v>43525.173125000001</v>
      </c>
      <c r="L2" s="2">
        <v>43528.173125000001</v>
      </c>
      <c r="M2" s="1">
        <f>_xlfn.DAYS(Table1[[#This Row],[actual_delivery_date]],Table1[[#This Row],[dispatch_date]])</f>
        <v>0</v>
      </c>
      <c r="N2">
        <v>0</v>
      </c>
      <c r="O2">
        <f>Table1[[#This Row],[transit_storage_cost]] * (1-'What -if Analysis'!$D$26)</f>
        <v>0</v>
      </c>
      <c r="P2">
        <v>108</v>
      </c>
      <c r="Q2">
        <v>558.88767665432442</v>
      </c>
    </row>
    <row r="3" spans="1:17" x14ac:dyDescent="0.3">
      <c r="A3">
        <v>703560</v>
      </c>
      <c r="B3" s="1" t="s">
        <v>38</v>
      </c>
      <c r="C3" s="1" t="s">
        <v>16</v>
      </c>
      <c r="D3" s="1" t="s">
        <v>16</v>
      </c>
      <c r="E3" s="1" t="s">
        <v>27</v>
      </c>
      <c r="F3" s="1" t="s">
        <v>19</v>
      </c>
      <c r="G3" s="1" t="s">
        <v>20</v>
      </c>
      <c r="H3" t="s">
        <v>21</v>
      </c>
      <c r="I3" s="1" t="s">
        <v>26</v>
      </c>
      <c r="J3" s="2">
        <v>43525.304583333331</v>
      </c>
      <c r="K3" s="2">
        <v>43525.304583333331</v>
      </c>
      <c r="L3" s="2">
        <v>43529.304583333331</v>
      </c>
      <c r="M3" s="1">
        <f>_xlfn.DAYS(Table1[[#This Row],[actual_delivery_date]],Table1[[#This Row],[dispatch_date]])</f>
        <v>0</v>
      </c>
      <c r="N3">
        <v>0</v>
      </c>
      <c r="O3">
        <f>Table1[[#This Row],[transit_storage_cost]] * (1-'What -if Analysis'!$D$26)</f>
        <v>0</v>
      </c>
      <c r="P3">
        <v>123</v>
      </c>
      <c r="Q3">
        <v>766</v>
      </c>
    </row>
    <row r="4" spans="1:17" x14ac:dyDescent="0.3">
      <c r="A4">
        <v>783549</v>
      </c>
      <c r="B4" s="1" t="s">
        <v>37</v>
      </c>
      <c r="C4" s="1" t="s">
        <v>16</v>
      </c>
      <c r="D4" s="1" t="s">
        <v>16</v>
      </c>
      <c r="E4" s="1" t="s">
        <v>27</v>
      </c>
      <c r="F4" s="1" t="s">
        <v>19</v>
      </c>
      <c r="G4" s="1" t="s">
        <v>36</v>
      </c>
      <c r="H4" t="s">
        <v>30</v>
      </c>
      <c r="I4" s="1" t="s">
        <v>26</v>
      </c>
      <c r="J4" s="2">
        <v>43525.342615740738</v>
      </c>
      <c r="K4" s="2">
        <v>43525.342615740738</v>
      </c>
      <c r="L4" s="2">
        <v>43532.342615740738</v>
      </c>
      <c r="M4" s="1">
        <f>_xlfn.DAYS(Table1[[#This Row],[actual_delivery_date]],Table1[[#This Row],[dispatch_date]])</f>
        <v>0</v>
      </c>
      <c r="N4">
        <v>0</v>
      </c>
      <c r="O4">
        <f>Table1[[#This Row],[transit_storage_cost]] * (1-'What -if Analysis'!$D$26)</f>
        <v>0</v>
      </c>
      <c r="P4">
        <v>103</v>
      </c>
      <c r="Q4">
        <v>2763.7690658599654</v>
      </c>
    </row>
    <row r="5" spans="1:17" x14ac:dyDescent="0.3">
      <c r="A5">
        <v>698253</v>
      </c>
      <c r="B5" s="1" t="s">
        <v>37</v>
      </c>
      <c r="C5" s="1" t="s">
        <v>23</v>
      </c>
      <c r="D5" s="1" t="s">
        <v>23</v>
      </c>
      <c r="E5" s="1" t="s">
        <v>28</v>
      </c>
      <c r="F5" s="1" t="s">
        <v>19</v>
      </c>
      <c r="G5" s="1" t="s">
        <v>20</v>
      </c>
      <c r="H5" t="s">
        <v>30</v>
      </c>
      <c r="I5" s="1" t="s">
        <v>26</v>
      </c>
      <c r="J5" s="2">
        <v>43525.387685185182</v>
      </c>
      <c r="K5" s="2">
        <v>43525.387685185182</v>
      </c>
      <c r="L5" s="2">
        <v>43530.387685185182</v>
      </c>
      <c r="M5" s="1">
        <f>_xlfn.DAYS(Table1[[#This Row],[actual_delivery_date]],Table1[[#This Row],[dispatch_date]])</f>
        <v>0</v>
      </c>
      <c r="N5">
        <v>0</v>
      </c>
      <c r="O5">
        <f>Table1[[#This Row],[transit_storage_cost]] * (1-'What -if Analysis'!$D$26)</f>
        <v>0</v>
      </c>
      <c r="P5">
        <v>108</v>
      </c>
      <c r="Q5">
        <v>2376.71</v>
      </c>
    </row>
    <row r="6" spans="1:17" x14ac:dyDescent="0.3">
      <c r="A6">
        <v>731550</v>
      </c>
      <c r="B6" s="1" t="s">
        <v>38</v>
      </c>
      <c r="C6" s="1" t="s">
        <v>23</v>
      </c>
      <c r="D6" s="1" t="s">
        <v>23</v>
      </c>
      <c r="E6" s="1" t="s">
        <v>28</v>
      </c>
      <c r="F6" s="1" t="s">
        <v>19</v>
      </c>
      <c r="G6" s="1" t="s">
        <v>20</v>
      </c>
      <c r="H6" t="s">
        <v>21</v>
      </c>
      <c r="I6" s="1" t="s">
        <v>26</v>
      </c>
      <c r="J6" s="2">
        <v>43525.388148148151</v>
      </c>
      <c r="K6" s="2">
        <v>43525.388148148151</v>
      </c>
      <c r="L6" s="2">
        <v>43532.388148148151</v>
      </c>
      <c r="M6" s="1">
        <f>_xlfn.DAYS(Table1[[#This Row],[actual_delivery_date]],Table1[[#This Row],[dispatch_date]])</f>
        <v>0</v>
      </c>
      <c r="N6">
        <v>0</v>
      </c>
      <c r="O6">
        <f>Table1[[#This Row],[transit_storage_cost]] * (1-'What -if Analysis'!$D$26)</f>
        <v>0</v>
      </c>
      <c r="P6">
        <v>108</v>
      </c>
      <c r="Q6">
        <v>1684.43</v>
      </c>
    </row>
    <row r="7" spans="1:17" x14ac:dyDescent="0.3">
      <c r="A7">
        <v>421910</v>
      </c>
      <c r="B7" s="1" t="s">
        <v>37</v>
      </c>
      <c r="C7" s="1" t="s">
        <v>16</v>
      </c>
      <c r="D7" s="1" t="s">
        <v>16</v>
      </c>
      <c r="E7" s="1" t="s">
        <v>27</v>
      </c>
      <c r="F7" s="1" t="s">
        <v>19</v>
      </c>
      <c r="G7" s="1" t="s">
        <v>20</v>
      </c>
      <c r="H7" t="s">
        <v>21</v>
      </c>
      <c r="I7" s="1" t="s">
        <v>22</v>
      </c>
      <c r="J7" s="2">
        <v>43525.424930555557</v>
      </c>
      <c r="K7" s="2">
        <v>43525.424930555557</v>
      </c>
      <c r="L7" s="2">
        <v>43528.424930555557</v>
      </c>
      <c r="M7" s="1">
        <f>_xlfn.DAYS(Table1[[#This Row],[actual_delivery_date]],Table1[[#This Row],[dispatch_date]])</f>
        <v>0</v>
      </c>
      <c r="N7">
        <v>0</v>
      </c>
      <c r="O7">
        <f>Table1[[#This Row],[transit_storage_cost]] * (1-'What -if Analysis'!$D$26)</f>
        <v>0</v>
      </c>
      <c r="P7">
        <v>108</v>
      </c>
      <c r="Q7">
        <v>2478.4655698612432</v>
      </c>
    </row>
    <row r="8" spans="1:17" x14ac:dyDescent="0.3">
      <c r="A8">
        <v>526095</v>
      </c>
      <c r="B8" s="1" t="s">
        <v>38</v>
      </c>
      <c r="C8" s="1" t="s">
        <v>16</v>
      </c>
      <c r="D8" s="1" t="s">
        <v>16</v>
      </c>
      <c r="E8" s="1" t="s">
        <v>27</v>
      </c>
      <c r="F8" s="1" t="s">
        <v>19</v>
      </c>
      <c r="G8" s="1" t="s">
        <v>20</v>
      </c>
      <c r="H8" t="s">
        <v>30</v>
      </c>
      <c r="I8" s="1" t="s">
        <v>26</v>
      </c>
      <c r="J8" s="2">
        <v>43525.454004629632</v>
      </c>
      <c r="K8" s="2">
        <v>43525.454004629632</v>
      </c>
      <c r="L8" s="2">
        <v>43530.454004629632</v>
      </c>
      <c r="M8" s="1">
        <f>_xlfn.DAYS(Table1[[#This Row],[actual_delivery_date]],Table1[[#This Row],[dispatch_date]])</f>
        <v>0</v>
      </c>
      <c r="N8">
        <v>0</v>
      </c>
      <c r="O8">
        <f>Table1[[#This Row],[transit_storage_cost]] * (1-'What -if Analysis'!$D$26)</f>
        <v>0</v>
      </c>
      <c r="P8">
        <v>104</v>
      </c>
      <c r="Q8">
        <v>3387.3</v>
      </c>
    </row>
    <row r="9" spans="1:17" x14ac:dyDescent="0.3">
      <c r="A9">
        <v>469838</v>
      </c>
      <c r="B9" s="1" t="s">
        <v>38</v>
      </c>
      <c r="C9" s="1" t="s">
        <v>23</v>
      </c>
      <c r="D9" s="1" t="s">
        <v>23</v>
      </c>
      <c r="E9" s="1" t="s">
        <v>28</v>
      </c>
      <c r="F9" s="1" t="s">
        <v>31</v>
      </c>
      <c r="G9" s="1" t="s">
        <v>20</v>
      </c>
      <c r="H9" t="s">
        <v>21</v>
      </c>
      <c r="I9" s="1" t="s">
        <v>22</v>
      </c>
      <c r="J9" s="2">
        <v>43525.454918981479</v>
      </c>
      <c r="K9" s="2">
        <v>43525.454918981479</v>
      </c>
      <c r="L9" s="2">
        <v>43532.454918981479</v>
      </c>
      <c r="M9" s="1">
        <f>_xlfn.DAYS(Table1[[#This Row],[actual_delivery_date]],Table1[[#This Row],[dispatch_date]])</f>
        <v>0</v>
      </c>
      <c r="N9">
        <v>0</v>
      </c>
      <c r="O9">
        <f>Table1[[#This Row],[transit_storage_cost]] * (1-'What -if Analysis'!$D$26)</f>
        <v>0</v>
      </c>
      <c r="P9">
        <v>130</v>
      </c>
      <c r="Q9">
        <v>3461.6870500868608</v>
      </c>
    </row>
    <row r="10" spans="1:17" x14ac:dyDescent="0.3">
      <c r="A10">
        <v>208180</v>
      </c>
      <c r="B10" s="1" t="s">
        <v>38</v>
      </c>
      <c r="C10" s="1" t="s">
        <v>23</v>
      </c>
      <c r="D10" s="1" t="s">
        <v>23</v>
      </c>
      <c r="E10" s="1" t="s">
        <v>28</v>
      </c>
      <c r="F10" s="1" t="s">
        <v>19</v>
      </c>
      <c r="G10" s="1" t="s">
        <v>20</v>
      </c>
      <c r="H10" t="s">
        <v>21</v>
      </c>
      <c r="I10" s="1" t="s">
        <v>22</v>
      </c>
      <c r="J10" s="2">
        <v>43525.747129629628</v>
      </c>
      <c r="K10" s="2">
        <v>43525.747129629628</v>
      </c>
      <c r="L10" s="2">
        <v>43531.747129629628</v>
      </c>
      <c r="M10" s="1">
        <f>_xlfn.DAYS(Table1[[#This Row],[actual_delivery_date]],Table1[[#This Row],[dispatch_date]])</f>
        <v>0</v>
      </c>
      <c r="N10">
        <v>0</v>
      </c>
      <c r="O10">
        <f>Table1[[#This Row],[transit_storage_cost]] * (1-'What -if Analysis'!$D$26)</f>
        <v>0</v>
      </c>
      <c r="P10">
        <v>125</v>
      </c>
      <c r="Q10">
        <v>2910.9519162466622</v>
      </c>
    </row>
    <row r="11" spans="1:17" x14ac:dyDescent="0.3">
      <c r="A11">
        <v>253533</v>
      </c>
      <c r="B11" s="1" t="s">
        <v>38</v>
      </c>
      <c r="C11" s="1" t="s">
        <v>23</v>
      </c>
      <c r="D11" s="1" t="s">
        <v>23</v>
      </c>
      <c r="E11" s="1" t="s">
        <v>28</v>
      </c>
      <c r="F11" s="1" t="s">
        <v>19</v>
      </c>
      <c r="G11" s="1" t="s">
        <v>20</v>
      </c>
      <c r="H11" t="s">
        <v>34</v>
      </c>
      <c r="I11" s="1" t="s">
        <v>26</v>
      </c>
      <c r="J11" s="2">
        <v>43525.866388888891</v>
      </c>
      <c r="K11" s="2">
        <v>43525.866388888891</v>
      </c>
      <c r="L11" s="2">
        <v>43531.866388888891</v>
      </c>
      <c r="M11" s="1">
        <f>_xlfn.DAYS(Table1[[#This Row],[actual_delivery_date]],Table1[[#This Row],[dispatch_date]])</f>
        <v>0</v>
      </c>
      <c r="N11">
        <v>0</v>
      </c>
      <c r="O11">
        <f>Table1[[#This Row],[transit_storage_cost]] * (1-'What -if Analysis'!$D$26)</f>
        <v>0</v>
      </c>
      <c r="P11">
        <v>101</v>
      </c>
      <c r="Q11">
        <v>3254.26</v>
      </c>
    </row>
    <row r="12" spans="1:17" x14ac:dyDescent="0.3">
      <c r="A12">
        <v>379572</v>
      </c>
      <c r="B12" s="1" t="s">
        <v>39</v>
      </c>
      <c r="C12" s="1" t="s">
        <v>16</v>
      </c>
      <c r="D12" s="1" t="s">
        <v>16</v>
      </c>
      <c r="E12" s="1" t="s">
        <v>27</v>
      </c>
      <c r="F12" s="1" t="s">
        <v>19</v>
      </c>
      <c r="G12" s="1" t="s">
        <v>20</v>
      </c>
      <c r="H12" t="s">
        <v>21</v>
      </c>
      <c r="I12" s="1" t="s">
        <v>26</v>
      </c>
      <c r="J12" s="2">
        <v>43526.046527777777</v>
      </c>
      <c r="K12" s="2">
        <v>43526.046527777777</v>
      </c>
      <c r="L12" s="2">
        <v>43529.046527777777</v>
      </c>
      <c r="M12" s="1">
        <f>_xlfn.DAYS(Table1[[#This Row],[actual_delivery_date]],Table1[[#This Row],[dispatch_date]])</f>
        <v>0</v>
      </c>
      <c r="N12">
        <v>0</v>
      </c>
      <c r="O12">
        <f>Table1[[#This Row],[transit_storage_cost]] * (1-'What -if Analysis'!$D$26)</f>
        <v>0</v>
      </c>
      <c r="P12">
        <v>101</v>
      </c>
      <c r="Q12">
        <v>2133.0300000000002</v>
      </c>
    </row>
    <row r="13" spans="1:17" x14ac:dyDescent="0.3">
      <c r="A13">
        <v>438274</v>
      </c>
      <c r="B13" s="1" t="s">
        <v>37</v>
      </c>
      <c r="C13" s="1" t="s">
        <v>23</v>
      </c>
      <c r="D13" s="1" t="s">
        <v>23</v>
      </c>
      <c r="E13" s="1" t="s">
        <v>28</v>
      </c>
      <c r="F13" s="1" t="s">
        <v>31</v>
      </c>
      <c r="G13" s="1" t="s">
        <v>20</v>
      </c>
      <c r="H13" t="s">
        <v>21</v>
      </c>
      <c r="I13" s="1" t="s">
        <v>22</v>
      </c>
      <c r="J13" s="2">
        <v>43525.054942129631</v>
      </c>
      <c r="K13" s="2">
        <v>43526.054942129631</v>
      </c>
      <c r="L13" s="2">
        <v>43531.054942129631</v>
      </c>
      <c r="M13" s="1">
        <f>_xlfn.DAYS(Table1[[#This Row],[actual_delivery_date]],Table1[[#This Row],[dispatch_date]])</f>
        <v>1</v>
      </c>
      <c r="N13">
        <v>0</v>
      </c>
      <c r="O13">
        <f>Table1[[#This Row],[transit_storage_cost]] * (1-'What -if Analysis'!$D$26)</f>
        <v>0</v>
      </c>
      <c r="P13">
        <v>122</v>
      </c>
      <c r="Q13">
        <v>1547.3548572452239</v>
      </c>
    </row>
    <row r="14" spans="1:17" x14ac:dyDescent="0.3">
      <c r="A14">
        <v>404624</v>
      </c>
      <c r="B14" s="1" t="s">
        <v>38</v>
      </c>
      <c r="C14" s="1" t="s">
        <v>16</v>
      </c>
      <c r="D14" s="1" t="s">
        <v>16</v>
      </c>
      <c r="E14" s="1" t="s">
        <v>27</v>
      </c>
      <c r="F14" s="1" t="s">
        <v>19</v>
      </c>
      <c r="G14" s="1" t="s">
        <v>20</v>
      </c>
      <c r="H14" t="s">
        <v>21</v>
      </c>
      <c r="I14" s="1" t="s">
        <v>22</v>
      </c>
      <c r="J14" s="2">
        <v>43526.085381944446</v>
      </c>
      <c r="K14" s="2">
        <v>43526.085381944446</v>
      </c>
      <c r="L14" s="2">
        <v>43531.085381944446</v>
      </c>
      <c r="M14" s="1">
        <f>_xlfn.DAYS(Table1[[#This Row],[actual_delivery_date]],Table1[[#This Row],[dispatch_date]])</f>
        <v>0</v>
      </c>
      <c r="N14">
        <v>0</v>
      </c>
      <c r="O14">
        <f>Table1[[#This Row],[transit_storage_cost]] * (1-'What -if Analysis'!$D$26)</f>
        <v>0</v>
      </c>
      <c r="P14">
        <v>125</v>
      </c>
      <c r="Q14">
        <v>2530.684099360526</v>
      </c>
    </row>
    <row r="15" spans="1:17" x14ac:dyDescent="0.3">
      <c r="A15">
        <v>987428</v>
      </c>
      <c r="B15" s="1" t="s">
        <v>41</v>
      </c>
      <c r="C15" s="1" t="s">
        <v>16</v>
      </c>
      <c r="D15" s="1" t="s">
        <v>16</v>
      </c>
      <c r="E15" s="1" t="s">
        <v>27</v>
      </c>
      <c r="F15" s="1" t="s">
        <v>19</v>
      </c>
      <c r="G15" s="1" t="s">
        <v>20</v>
      </c>
      <c r="H15" t="s">
        <v>21</v>
      </c>
      <c r="I15" s="1" t="s">
        <v>22</v>
      </c>
      <c r="J15" s="2">
        <v>43525.114872685182</v>
      </c>
      <c r="K15" s="2">
        <v>43526.114872685182</v>
      </c>
      <c r="L15" s="2">
        <v>43530.114872685182</v>
      </c>
      <c r="M15" s="1">
        <f>_xlfn.DAYS(Table1[[#This Row],[actual_delivery_date]],Table1[[#This Row],[dispatch_date]])</f>
        <v>1</v>
      </c>
      <c r="N15">
        <v>0</v>
      </c>
      <c r="O15">
        <f>Table1[[#This Row],[transit_storage_cost]] * (1-'What -if Analysis'!$D$26)</f>
        <v>0</v>
      </c>
      <c r="P15">
        <v>130</v>
      </c>
      <c r="Q15">
        <v>3203.2019600329718</v>
      </c>
    </row>
    <row r="16" spans="1:17" x14ac:dyDescent="0.3">
      <c r="A16">
        <v>657437</v>
      </c>
      <c r="B16" s="1" t="s">
        <v>15</v>
      </c>
      <c r="C16" s="1" t="s">
        <v>23</v>
      </c>
      <c r="D16" s="1" t="s">
        <v>23</v>
      </c>
      <c r="E16" s="1" t="s">
        <v>28</v>
      </c>
      <c r="F16" s="1" t="s">
        <v>29</v>
      </c>
      <c r="G16" s="1" t="s">
        <v>20</v>
      </c>
      <c r="H16" t="s">
        <v>30</v>
      </c>
      <c r="I16" s="1" t="s">
        <v>22</v>
      </c>
      <c r="J16" s="2">
        <v>43525.188993055555</v>
      </c>
      <c r="K16" s="2">
        <v>43526.188993055555</v>
      </c>
      <c r="L16" s="2">
        <v>43528.188993055555</v>
      </c>
      <c r="M16" s="1">
        <f>_xlfn.DAYS(Table1[[#This Row],[actual_delivery_date]],Table1[[#This Row],[dispatch_date]])</f>
        <v>1</v>
      </c>
      <c r="N16">
        <v>0</v>
      </c>
      <c r="O16">
        <f>Table1[[#This Row],[transit_storage_cost]] * (1-'What -if Analysis'!$D$26)</f>
        <v>0</v>
      </c>
      <c r="P16">
        <v>126</v>
      </c>
      <c r="Q16">
        <v>2445.2809062113647</v>
      </c>
    </row>
    <row r="17" spans="1:17" x14ac:dyDescent="0.3">
      <c r="A17">
        <v>333461</v>
      </c>
      <c r="B17" s="1" t="s">
        <v>40</v>
      </c>
      <c r="C17" s="1" t="s">
        <v>23</v>
      </c>
      <c r="D17" s="1" t="s">
        <v>23</v>
      </c>
      <c r="E17" s="1" t="s">
        <v>28</v>
      </c>
      <c r="F17" s="1" t="s">
        <v>29</v>
      </c>
      <c r="G17" s="1" t="s">
        <v>20</v>
      </c>
      <c r="H17" t="s">
        <v>30</v>
      </c>
      <c r="I17" s="1" t="s">
        <v>22</v>
      </c>
      <c r="J17" s="2">
        <v>43526.20244212963</v>
      </c>
      <c r="K17" s="2">
        <v>43526.20244212963</v>
      </c>
      <c r="L17" s="2">
        <v>43533.20244212963</v>
      </c>
      <c r="M17" s="1">
        <f>_xlfn.DAYS(Table1[[#This Row],[actual_delivery_date]],Table1[[#This Row],[dispatch_date]])</f>
        <v>0</v>
      </c>
      <c r="N17">
        <v>0</v>
      </c>
      <c r="O17">
        <f>Table1[[#This Row],[transit_storage_cost]] * (1-'What -if Analysis'!$D$26)</f>
        <v>0</v>
      </c>
      <c r="P17">
        <v>128</v>
      </c>
      <c r="Q17">
        <v>1395.4744383230225</v>
      </c>
    </row>
    <row r="18" spans="1:17" x14ac:dyDescent="0.3">
      <c r="A18">
        <v>952365</v>
      </c>
      <c r="B18" s="1" t="s">
        <v>15</v>
      </c>
      <c r="C18" s="1" t="s">
        <v>16</v>
      </c>
      <c r="D18" s="1" t="s">
        <v>16</v>
      </c>
      <c r="E18" s="1" t="s">
        <v>27</v>
      </c>
      <c r="F18" s="1" t="s">
        <v>29</v>
      </c>
      <c r="G18" s="1" t="s">
        <v>20</v>
      </c>
      <c r="H18" t="s">
        <v>30</v>
      </c>
      <c r="I18" s="1" t="s">
        <v>26</v>
      </c>
      <c r="J18" s="2">
        <v>43525.298726851855</v>
      </c>
      <c r="K18" s="2">
        <v>43526.298726851855</v>
      </c>
      <c r="L18" s="2">
        <v>43532.298726851855</v>
      </c>
      <c r="M18" s="1">
        <f>_xlfn.DAYS(Table1[[#This Row],[actual_delivery_date]],Table1[[#This Row],[dispatch_date]])</f>
        <v>1</v>
      </c>
      <c r="N18">
        <v>0</v>
      </c>
      <c r="O18">
        <f>Table1[[#This Row],[transit_storage_cost]] * (1-'What -if Analysis'!$D$26)</f>
        <v>0</v>
      </c>
      <c r="P18">
        <v>129</v>
      </c>
      <c r="Q18">
        <v>2251.81</v>
      </c>
    </row>
    <row r="19" spans="1:17" x14ac:dyDescent="0.3">
      <c r="A19">
        <v>927818</v>
      </c>
      <c r="B19" s="1" t="s">
        <v>15</v>
      </c>
      <c r="C19" s="1" t="s">
        <v>16</v>
      </c>
      <c r="D19" s="1" t="s">
        <v>16</v>
      </c>
      <c r="E19" s="1" t="s">
        <v>27</v>
      </c>
      <c r="F19" s="1" t="s">
        <v>31</v>
      </c>
      <c r="G19" s="1" t="s">
        <v>20</v>
      </c>
      <c r="H19" t="s">
        <v>21</v>
      </c>
      <c r="I19" s="1" t="s">
        <v>22</v>
      </c>
      <c r="J19" s="2">
        <v>43525.312268518515</v>
      </c>
      <c r="K19" s="2">
        <v>43526.312268518515</v>
      </c>
      <c r="L19" s="2">
        <v>43532.312268518515</v>
      </c>
      <c r="M19" s="1">
        <f>_xlfn.DAYS(Table1[[#This Row],[actual_delivery_date]],Table1[[#This Row],[dispatch_date]])</f>
        <v>1</v>
      </c>
      <c r="N19">
        <v>0</v>
      </c>
      <c r="O19">
        <f>Table1[[#This Row],[transit_storage_cost]] * (1-'What -if Analysis'!$D$26)</f>
        <v>0</v>
      </c>
      <c r="P19">
        <v>122</v>
      </c>
      <c r="Q19">
        <v>1377.2110377252884</v>
      </c>
    </row>
    <row r="20" spans="1:17" x14ac:dyDescent="0.3">
      <c r="A20">
        <v>634552</v>
      </c>
      <c r="B20" s="1" t="s">
        <v>41</v>
      </c>
      <c r="C20" s="1" t="s">
        <v>16</v>
      </c>
      <c r="D20" s="1" t="s">
        <v>16</v>
      </c>
      <c r="E20" s="1" t="s">
        <v>27</v>
      </c>
      <c r="F20" s="1" t="s">
        <v>19</v>
      </c>
      <c r="G20" s="1" t="s">
        <v>36</v>
      </c>
      <c r="H20" t="s">
        <v>21</v>
      </c>
      <c r="I20" s="1" t="s">
        <v>22</v>
      </c>
      <c r="J20" s="2">
        <v>43526.365543981483</v>
      </c>
      <c r="K20" s="2">
        <v>43526.365543981483</v>
      </c>
      <c r="L20" s="2">
        <v>43533.365543981483</v>
      </c>
      <c r="M20" s="1">
        <f>_xlfn.DAYS(Table1[[#This Row],[actual_delivery_date]],Table1[[#This Row],[dispatch_date]])</f>
        <v>0</v>
      </c>
      <c r="N20">
        <v>0</v>
      </c>
      <c r="O20">
        <f>Table1[[#This Row],[transit_storage_cost]] * (1-'What -if Analysis'!$D$26)</f>
        <v>0</v>
      </c>
      <c r="P20">
        <v>120</v>
      </c>
      <c r="Q20">
        <v>1615</v>
      </c>
    </row>
    <row r="21" spans="1:17" x14ac:dyDescent="0.3">
      <c r="A21">
        <v>442776</v>
      </c>
      <c r="B21" s="1" t="s">
        <v>41</v>
      </c>
      <c r="C21" s="1" t="s">
        <v>16</v>
      </c>
      <c r="D21" s="1" t="s">
        <v>16</v>
      </c>
      <c r="E21" s="1" t="s">
        <v>27</v>
      </c>
      <c r="F21" s="1" t="s">
        <v>19</v>
      </c>
      <c r="G21" s="1" t="s">
        <v>20</v>
      </c>
      <c r="H21" t="s">
        <v>21</v>
      </c>
      <c r="I21" s="1" t="s">
        <v>26</v>
      </c>
      <c r="J21" s="2">
        <v>43526.382152777776</v>
      </c>
      <c r="K21" s="2">
        <v>43526.382152777776</v>
      </c>
      <c r="L21" s="2">
        <v>43533.382152777776</v>
      </c>
      <c r="M21" s="1">
        <f>_xlfn.DAYS(Table1[[#This Row],[actual_delivery_date]],Table1[[#This Row],[dispatch_date]])</f>
        <v>0</v>
      </c>
      <c r="N21">
        <v>0</v>
      </c>
      <c r="O21">
        <f>Table1[[#This Row],[transit_storage_cost]] * (1-'What -if Analysis'!$D$26)</f>
        <v>0</v>
      </c>
      <c r="P21">
        <v>128</v>
      </c>
      <c r="Q21">
        <v>2985.55</v>
      </c>
    </row>
    <row r="22" spans="1:17" x14ac:dyDescent="0.3">
      <c r="A22">
        <v>655781</v>
      </c>
      <c r="B22" s="1" t="s">
        <v>41</v>
      </c>
      <c r="C22" s="1" t="s">
        <v>16</v>
      </c>
      <c r="D22" s="1" t="s">
        <v>16</v>
      </c>
      <c r="E22" s="1" t="s">
        <v>27</v>
      </c>
      <c r="F22" s="1" t="s">
        <v>29</v>
      </c>
      <c r="G22" s="1" t="s">
        <v>20</v>
      </c>
      <c r="H22" t="s">
        <v>34</v>
      </c>
      <c r="I22" s="1" t="s">
        <v>22</v>
      </c>
      <c r="J22" s="2">
        <v>43525.428425925929</v>
      </c>
      <c r="K22" s="2">
        <v>43526.428425925929</v>
      </c>
      <c r="L22" s="2">
        <v>43529.428425925929</v>
      </c>
      <c r="M22" s="1">
        <f>_xlfn.DAYS(Table1[[#This Row],[actual_delivery_date]],Table1[[#This Row],[dispatch_date]])</f>
        <v>1</v>
      </c>
      <c r="N22">
        <v>0</v>
      </c>
      <c r="O22">
        <f>Table1[[#This Row],[transit_storage_cost]] * (1-'What -if Analysis'!$D$26)</f>
        <v>0</v>
      </c>
      <c r="P22">
        <v>123</v>
      </c>
      <c r="Q22">
        <v>898.39788539891151</v>
      </c>
    </row>
    <row r="23" spans="1:17" x14ac:dyDescent="0.3">
      <c r="A23">
        <v>152544</v>
      </c>
      <c r="B23" s="1" t="s">
        <v>37</v>
      </c>
      <c r="C23" s="1" t="s">
        <v>16</v>
      </c>
      <c r="D23" s="1" t="s">
        <v>16</v>
      </c>
      <c r="E23" s="1" t="s">
        <v>27</v>
      </c>
      <c r="F23" s="1" t="s">
        <v>19</v>
      </c>
      <c r="G23" s="1" t="s">
        <v>20</v>
      </c>
      <c r="H23" t="s">
        <v>21</v>
      </c>
      <c r="I23" s="1" t="s">
        <v>26</v>
      </c>
      <c r="J23" s="2">
        <v>43526.574016203704</v>
      </c>
      <c r="K23" s="2">
        <v>43526.574016203704</v>
      </c>
      <c r="L23" s="2">
        <v>43529.574016203704</v>
      </c>
      <c r="M23" s="1">
        <f>_xlfn.DAYS(Table1[[#This Row],[actual_delivery_date]],Table1[[#This Row],[dispatch_date]])</f>
        <v>0</v>
      </c>
      <c r="N23">
        <v>0</v>
      </c>
      <c r="O23">
        <f>Table1[[#This Row],[transit_storage_cost]] * (1-'What -if Analysis'!$D$26)</f>
        <v>0</v>
      </c>
      <c r="P23">
        <v>127</v>
      </c>
      <c r="Q23">
        <v>1452.97</v>
      </c>
    </row>
    <row r="24" spans="1:17" x14ac:dyDescent="0.3">
      <c r="A24">
        <v>733997</v>
      </c>
      <c r="B24" s="1" t="s">
        <v>41</v>
      </c>
      <c r="C24" s="1" t="s">
        <v>23</v>
      </c>
      <c r="D24" s="1" t="s">
        <v>23</v>
      </c>
      <c r="E24" s="1" t="s">
        <v>28</v>
      </c>
      <c r="F24" s="1" t="s">
        <v>29</v>
      </c>
      <c r="G24" s="1" t="s">
        <v>20</v>
      </c>
      <c r="H24" t="s">
        <v>30</v>
      </c>
      <c r="I24" s="1" t="s">
        <v>22</v>
      </c>
      <c r="J24" s="2">
        <v>43525.632210648146</v>
      </c>
      <c r="K24" s="2">
        <v>43526.632210648146</v>
      </c>
      <c r="L24" s="2">
        <v>43530.632210648146</v>
      </c>
      <c r="M24" s="1">
        <f>_xlfn.DAYS(Table1[[#This Row],[actual_delivery_date]],Table1[[#This Row],[dispatch_date]])</f>
        <v>1</v>
      </c>
      <c r="N24">
        <v>0</v>
      </c>
      <c r="O24">
        <f>Table1[[#This Row],[transit_storage_cost]] * (1-'What -if Analysis'!$D$26)</f>
        <v>0</v>
      </c>
      <c r="P24">
        <v>121</v>
      </c>
      <c r="Q24">
        <v>3228.2240924409498</v>
      </c>
    </row>
    <row r="25" spans="1:17" x14ac:dyDescent="0.3">
      <c r="A25">
        <v>169292</v>
      </c>
      <c r="B25" s="1" t="s">
        <v>38</v>
      </c>
      <c r="C25" s="1" t="s">
        <v>16</v>
      </c>
      <c r="D25" s="1" t="s">
        <v>16</v>
      </c>
      <c r="E25" s="1" t="s">
        <v>27</v>
      </c>
      <c r="F25" s="1" t="s">
        <v>19</v>
      </c>
      <c r="G25" s="1" t="s">
        <v>20</v>
      </c>
      <c r="H25" t="s">
        <v>21</v>
      </c>
      <c r="I25" s="1" t="s">
        <v>22</v>
      </c>
      <c r="J25" s="2">
        <v>43526.673078703701</v>
      </c>
      <c r="K25" s="2">
        <v>43526.673078703701</v>
      </c>
      <c r="L25" s="2">
        <v>43530.673078703701</v>
      </c>
      <c r="M25" s="1">
        <f>_xlfn.DAYS(Table1[[#This Row],[actual_delivery_date]],Table1[[#This Row],[dispatch_date]])</f>
        <v>0</v>
      </c>
      <c r="N25">
        <v>0</v>
      </c>
      <c r="O25">
        <f>Table1[[#This Row],[transit_storage_cost]] * (1-'What -if Analysis'!$D$26)</f>
        <v>0</v>
      </c>
      <c r="P25">
        <v>126</v>
      </c>
      <c r="Q25">
        <v>3522.9078234562448</v>
      </c>
    </row>
    <row r="26" spans="1:17" x14ac:dyDescent="0.3">
      <c r="A26">
        <v>851061</v>
      </c>
      <c r="B26" s="1" t="s">
        <v>39</v>
      </c>
      <c r="C26" s="1" t="s">
        <v>16</v>
      </c>
      <c r="D26" s="1" t="s">
        <v>16</v>
      </c>
      <c r="E26" s="1" t="s">
        <v>27</v>
      </c>
      <c r="F26" s="1" t="s">
        <v>19</v>
      </c>
      <c r="G26" s="1" t="s">
        <v>20</v>
      </c>
      <c r="H26" t="s">
        <v>30</v>
      </c>
      <c r="I26" s="1" t="s">
        <v>26</v>
      </c>
      <c r="J26" s="2">
        <v>43526.703344907408</v>
      </c>
      <c r="K26" s="2">
        <v>43526.703344907408</v>
      </c>
      <c r="L26" s="2">
        <v>43529.703344907408</v>
      </c>
      <c r="M26" s="1">
        <f>_xlfn.DAYS(Table1[[#This Row],[actual_delivery_date]],Table1[[#This Row],[dispatch_date]])</f>
        <v>0</v>
      </c>
      <c r="N26">
        <v>0</v>
      </c>
      <c r="O26">
        <f>Table1[[#This Row],[transit_storage_cost]] * (1-'What -if Analysis'!$D$26)</f>
        <v>0</v>
      </c>
      <c r="P26">
        <v>109</v>
      </c>
      <c r="Q26">
        <v>1400.39</v>
      </c>
    </row>
    <row r="27" spans="1:17" x14ac:dyDescent="0.3">
      <c r="A27">
        <v>229369</v>
      </c>
      <c r="B27" s="1" t="s">
        <v>38</v>
      </c>
      <c r="C27" s="1" t="s">
        <v>16</v>
      </c>
      <c r="D27" s="1" t="s">
        <v>16</v>
      </c>
      <c r="E27" s="1" t="s">
        <v>27</v>
      </c>
      <c r="F27" s="1" t="s">
        <v>29</v>
      </c>
      <c r="G27" s="1" t="s">
        <v>20</v>
      </c>
      <c r="H27" t="s">
        <v>34</v>
      </c>
      <c r="I27" s="1" t="s">
        <v>22</v>
      </c>
      <c r="J27" s="2">
        <v>43525.709699074076</v>
      </c>
      <c r="K27" s="2">
        <v>43526.709699074076</v>
      </c>
      <c r="L27" s="2">
        <v>43530.709699074076</v>
      </c>
      <c r="M27" s="1">
        <f>_xlfn.DAYS(Table1[[#This Row],[actual_delivery_date]],Table1[[#This Row],[dispatch_date]])</f>
        <v>1</v>
      </c>
      <c r="N27">
        <v>0</v>
      </c>
      <c r="O27">
        <f>Table1[[#This Row],[transit_storage_cost]] * (1-'What -if Analysis'!$D$26)</f>
        <v>0</v>
      </c>
      <c r="P27">
        <v>129</v>
      </c>
      <c r="Q27">
        <v>3613.3457387762064</v>
      </c>
    </row>
    <row r="28" spans="1:17" x14ac:dyDescent="0.3">
      <c r="A28">
        <v>711063</v>
      </c>
      <c r="B28" s="1" t="s">
        <v>15</v>
      </c>
      <c r="C28" s="1" t="s">
        <v>16</v>
      </c>
      <c r="D28" s="1" t="s">
        <v>16</v>
      </c>
      <c r="E28" s="1" t="s">
        <v>27</v>
      </c>
      <c r="F28" s="1" t="s">
        <v>19</v>
      </c>
      <c r="G28" s="1" t="s">
        <v>20</v>
      </c>
      <c r="H28" t="s">
        <v>30</v>
      </c>
      <c r="I28" s="1" t="s">
        <v>26</v>
      </c>
      <c r="J28" s="2">
        <v>43526.772592592592</v>
      </c>
      <c r="K28" s="2">
        <v>43526.772592592592</v>
      </c>
      <c r="L28" s="2">
        <v>43530.772592592592</v>
      </c>
      <c r="M28" s="1">
        <f>_xlfn.DAYS(Table1[[#This Row],[actual_delivery_date]],Table1[[#This Row],[dispatch_date]])</f>
        <v>0</v>
      </c>
      <c r="N28">
        <v>0</v>
      </c>
      <c r="O28">
        <f>Table1[[#This Row],[transit_storage_cost]] * (1-'What -if Analysis'!$D$26)</f>
        <v>0</v>
      </c>
      <c r="P28">
        <v>105</v>
      </c>
      <c r="Q28">
        <v>1858.43</v>
      </c>
    </row>
    <row r="29" spans="1:17" x14ac:dyDescent="0.3">
      <c r="A29">
        <v>56365</v>
      </c>
      <c r="B29" s="1" t="s">
        <v>37</v>
      </c>
      <c r="C29" s="1" t="s">
        <v>23</v>
      </c>
      <c r="D29" s="1" t="s">
        <v>23</v>
      </c>
      <c r="E29" s="1" t="s">
        <v>28</v>
      </c>
      <c r="F29" s="1" t="s">
        <v>29</v>
      </c>
      <c r="G29" s="1" t="s">
        <v>20</v>
      </c>
      <c r="H29" t="s">
        <v>30</v>
      </c>
      <c r="I29" s="1" t="s">
        <v>22</v>
      </c>
      <c r="J29" s="2">
        <v>43525.85056712963</v>
      </c>
      <c r="K29" s="2">
        <v>43526.85056712963</v>
      </c>
      <c r="L29" s="2">
        <v>43529.85056712963</v>
      </c>
      <c r="M29" s="1">
        <f>_xlfn.DAYS(Table1[[#This Row],[actual_delivery_date]],Table1[[#This Row],[dispatch_date]])</f>
        <v>1</v>
      </c>
      <c r="N29">
        <v>0</v>
      </c>
      <c r="O29">
        <f>Table1[[#This Row],[transit_storage_cost]] * (1-'What -if Analysis'!$D$26)</f>
        <v>0</v>
      </c>
      <c r="P29">
        <v>126</v>
      </c>
      <c r="Q29">
        <v>3737.8788200022177</v>
      </c>
    </row>
    <row r="30" spans="1:17" x14ac:dyDescent="0.3">
      <c r="A30">
        <v>141160</v>
      </c>
      <c r="B30" s="1" t="s">
        <v>37</v>
      </c>
      <c r="C30" s="1" t="s">
        <v>23</v>
      </c>
      <c r="D30" s="1" t="s">
        <v>23</v>
      </c>
      <c r="E30" s="1" t="s">
        <v>28</v>
      </c>
      <c r="F30" s="1" t="s">
        <v>19</v>
      </c>
      <c r="G30" s="1" t="s">
        <v>20</v>
      </c>
      <c r="H30" t="s">
        <v>21</v>
      </c>
      <c r="I30" s="1" t="s">
        <v>22</v>
      </c>
      <c r="J30" s="2">
        <v>43526.945567129631</v>
      </c>
      <c r="K30" s="2">
        <v>43526.945567129631</v>
      </c>
      <c r="L30" s="2">
        <v>43530.945567129631</v>
      </c>
      <c r="M30" s="1">
        <f>_xlfn.DAYS(Table1[[#This Row],[actual_delivery_date]],Table1[[#This Row],[dispatch_date]])</f>
        <v>0</v>
      </c>
      <c r="N30">
        <v>0</v>
      </c>
      <c r="O30">
        <f>Table1[[#This Row],[transit_storage_cost]] * (1-'What -if Analysis'!$D$26)</f>
        <v>0</v>
      </c>
      <c r="P30">
        <v>103</v>
      </c>
      <c r="Q30">
        <v>3448.1911729463031</v>
      </c>
    </row>
    <row r="31" spans="1:17" x14ac:dyDescent="0.3">
      <c r="A31">
        <v>157595</v>
      </c>
      <c r="B31" s="1" t="s">
        <v>15</v>
      </c>
      <c r="C31" s="1" t="s">
        <v>16</v>
      </c>
      <c r="D31" s="1" t="s">
        <v>16</v>
      </c>
      <c r="E31" s="1" t="s">
        <v>27</v>
      </c>
      <c r="F31" s="1" t="s">
        <v>19</v>
      </c>
      <c r="G31" s="1" t="s">
        <v>20</v>
      </c>
      <c r="H31" t="s">
        <v>30</v>
      </c>
      <c r="I31" s="1" t="s">
        <v>22</v>
      </c>
      <c r="J31" s="2">
        <v>43526.965011574073</v>
      </c>
      <c r="K31" s="2">
        <v>43526.965011574073</v>
      </c>
      <c r="L31" s="2">
        <v>43531.965011574073</v>
      </c>
      <c r="M31" s="1">
        <f>_xlfn.DAYS(Table1[[#This Row],[actual_delivery_date]],Table1[[#This Row],[dispatch_date]])</f>
        <v>0</v>
      </c>
      <c r="N31">
        <v>0</v>
      </c>
      <c r="O31">
        <f>Table1[[#This Row],[transit_storage_cost]] * (1-'What -if Analysis'!$D$26)</f>
        <v>0</v>
      </c>
      <c r="P31">
        <v>102</v>
      </c>
      <c r="Q31">
        <v>1501.5982936416649</v>
      </c>
    </row>
    <row r="32" spans="1:17" x14ac:dyDescent="0.3">
      <c r="A32">
        <v>498950</v>
      </c>
      <c r="B32" s="1" t="s">
        <v>37</v>
      </c>
      <c r="C32" s="1" t="s">
        <v>23</v>
      </c>
      <c r="D32" s="1" t="s">
        <v>24</v>
      </c>
      <c r="E32" s="1" t="s">
        <v>25</v>
      </c>
      <c r="F32" s="1" t="s">
        <v>31</v>
      </c>
      <c r="G32" s="1" t="s">
        <v>20</v>
      </c>
      <c r="H32" t="s">
        <v>21</v>
      </c>
      <c r="I32" s="1" t="s">
        <v>22</v>
      </c>
      <c r="J32" s="2">
        <v>43525.018865740742</v>
      </c>
      <c r="K32" s="2">
        <v>43527.018865740742</v>
      </c>
      <c r="L32" s="2">
        <v>43528.018865740742</v>
      </c>
      <c r="M32" s="1">
        <f>_xlfn.DAYS(Table1[[#This Row],[actual_delivery_date]],Table1[[#This Row],[dispatch_date]])</f>
        <v>2</v>
      </c>
      <c r="N32">
        <v>34</v>
      </c>
      <c r="O32">
        <f>Table1[[#This Row],[transit_storage_cost]] * (1-'What -if Analysis'!$D$26)</f>
        <v>34</v>
      </c>
      <c r="P32">
        <v>129</v>
      </c>
      <c r="Q32">
        <v>1696.1239200997873</v>
      </c>
    </row>
    <row r="33" spans="1:17" x14ac:dyDescent="0.3">
      <c r="A33">
        <v>189148</v>
      </c>
      <c r="B33" s="1" t="s">
        <v>38</v>
      </c>
      <c r="C33" s="1" t="s">
        <v>16</v>
      </c>
      <c r="D33" s="1" t="s">
        <v>16</v>
      </c>
      <c r="E33" s="1" t="s">
        <v>27</v>
      </c>
      <c r="F33" s="1" t="s">
        <v>19</v>
      </c>
      <c r="G33" s="1" t="s">
        <v>20</v>
      </c>
      <c r="H33" t="s">
        <v>21</v>
      </c>
      <c r="I33" s="1" t="s">
        <v>22</v>
      </c>
      <c r="J33" s="2">
        <v>43525.023252314815</v>
      </c>
      <c r="K33" s="2">
        <v>43527.023252314815</v>
      </c>
      <c r="L33" s="2">
        <v>43531.023252314815</v>
      </c>
      <c r="M33" s="1">
        <f>_xlfn.DAYS(Table1[[#This Row],[actual_delivery_date]],Table1[[#This Row],[dispatch_date]])</f>
        <v>2</v>
      </c>
      <c r="N33">
        <v>0</v>
      </c>
      <c r="O33">
        <f>Table1[[#This Row],[transit_storage_cost]] * (1-'What -if Analysis'!$D$26)</f>
        <v>0</v>
      </c>
      <c r="P33">
        <v>125</v>
      </c>
      <c r="Q33">
        <v>2031.388653272013</v>
      </c>
    </row>
    <row r="34" spans="1:17" x14ac:dyDescent="0.3">
      <c r="A34">
        <v>105661</v>
      </c>
      <c r="B34" s="1" t="s">
        <v>38</v>
      </c>
      <c r="C34" s="1" t="s">
        <v>23</v>
      </c>
      <c r="D34" s="1" t="s">
        <v>16</v>
      </c>
      <c r="E34" s="1" t="s">
        <v>27</v>
      </c>
      <c r="F34" s="1" t="s">
        <v>19</v>
      </c>
      <c r="G34" s="1" t="s">
        <v>20</v>
      </c>
      <c r="H34" t="s">
        <v>30</v>
      </c>
      <c r="I34" s="1" t="s">
        <v>22</v>
      </c>
      <c r="J34" s="2">
        <v>43525.031481481485</v>
      </c>
      <c r="K34" s="2">
        <v>43527.031481481485</v>
      </c>
      <c r="L34" s="2">
        <v>43529.031481481485</v>
      </c>
      <c r="M34" s="1">
        <f>_xlfn.DAYS(Table1[[#This Row],[actual_delivery_date]],Table1[[#This Row],[dispatch_date]])</f>
        <v>2</v>
      </c>
      <c r="N34">
        <v>84</v>
      </c>
      <c r="O34">
        <f>Table1[[#This Row],[transit_storage_cost]] * (1-'What -if Analysis'!$D$26)</f>
        <v>84</v>
      </c>
      <c r="P34">
        <v>104</v>
      </c>
      <c r="Q34">
        <v>2527.8748075693293</v>
      </c>
    </row>
    <row r="35" spans="1:17" x14ac:dyDescent="0.3">
      <c r="A35">
        <v>116731</v>
      </c>
      <c r="B35" s="1" t="s">
        <v>39</v>
      </c>
      <c r="C35" s="1" t="s">
        <v>16</v>
      </c>
      <c r="D35" s="1" t="s">
        <v>24</v>
      </c>
      <c r="E35" s="1" t="s">
        <v>25</v>
      </c>
      <c r="F35" s="1" t="s">
        <v>29</v>
      </c>
      <c r="G35" s="1" t="s">
        <v>20</v>
      </c>
      <c r="H35" t="s">
        <v>30</v>
      </c>
      <c r="I35" s="1" t="s">
        <v>22</v>
      </c>
      <c r="J35" s="2">
        <v>43525.045671296299</v>
      </c>
      <c r="K35" s="2">
        <v>43527.045671296299</v>
      </c>
      <c r="L35" s="2">
        <v>43530.045671296299</v>
      </c>
      <c r="M35" s="1">
        <f>_xlfn.DAYS(Table1[[#This Row],[actual_delivery_date]],Table1[[#This Row],[dispatch_date]])</f>
        <v>2</v>
      </c>
      <c r="N35">
        <v>36</v>
      </c>
      <c r="O35">
        <f>Table1[[#This Row],[transit_storage_cost]] * (1-'What -if Analysis'!$D$26)</f>
        <v>36</v>
      </c>
      <c r="P35">
        <v>126</v>
      </c>
      <c r="Q35">
        <v>901.97309410255855</v>
      </c>
    </row>
    <row r="36" spans="1:17" x14ac:dyDescent="0.3">
      <c r="A36">
        <v>266483</v>
      </c>
      <c r="B36" s="1" t="s">
        <v>39</v>
      </c>
      <c r="C36" s="1" t="s">
        <v>16</v>
      </c>
      <c r="D36" s="1" t="s">
        <v>16</v>
      </c>
      <c r="E36" s="1" t="s">
        <v>27</v>
      </c>
      <c r="F36" s="1" t="s">
        <v>29</v>
      </c>
      <c r="G36" s="1" t="s">
        <v>20</v>
      </c>
      <c r="H36" t="s">
        <v>34</v>
      </c>
      <c r="I36" s="1" t="s">
        <v>22</v>
      </c>
      <c r="J36" s="2">
        <v>43526.075011574074</v>
      </c>
      <c r="K36" s="2">
        <v>43527.075011574074</v>
      </c>
      <c r="L36" s="2">
        <v>43533.075011574074</v>
      </c>
      <c r="M36" s="1">
        <f>_xlfn.DAYS(Table1[[#This Row],[actual_delivery_date]],Table1[[#This Row],[dispatch_date]])</f>
        <v>1</v>
      </c>
      <c r="N36">
        <v>0</v>
      </c>
      <c r="O36">
        <f>Table1[[#This Row],[transit_storage_cost]] * (1-'What -if Analysis'!$D$26)</f>
        <v>0</v>
      </c>
      <c r="P36">
        <v>130</v>
      </c>
      <c r="Q36">
        <v>3461.5531694902415</v>
      </c>
    </row>
    <row r="37" spans="1:17" x14ac:dyDescent="0.3">
      <c r="A37">
        <v>639610</v>
      </c>
      <c r="B37" s="1" t="s">
        <v>38</v>
      </c>
      <c r="C37" s="1" t="s">
        <v>16</v>
      </c>
      <c r="D37" s="1" t="s">
        <v>23</v>
      </c>
      <c r="E37" s="1" t="s">
        <v>28</v>
      </c>
      <c r="F37" s="1" t="s">
        <v>19</v>
      </c>
      <c r="G37" s="1" t="s">
        <v>20</v>
      </c>
      <c r="H37" t="s">
        <v>21</v>
      </c>
      <c r="I37" s="1" t="s">
        <v>22</v>
      </c>
      <c r="J37" s="2">
        <v>43525.083472222221</v>
      </c>
      <c r="K37" s="2">
        <v>43527.083472222221</v>
      </c>
      <c r="L37" s="2">
        <v>43529.083472222221</v>
      </c>
      <c r="M37" s="1">
        <f>_xlfn.DAYS(Table1[[#This Row],[actual_delivery_date]],Table1[[#This Row],[dispatch_date]])</f>
        <v>2</v>
      </c>
      <c r="N37">
        <v>71</v>
      </c>
      <c r="O37">
        <f>Table1[[#This Row],[transit_storage_cost]] * (1-'What -if Analysis'!$D$26)</f>
        <v>71</v>
      </c>
      <c r="P37">
        <v>105</v>
      </c>
      <c r="Q37">
        <v>2378.4858681774981</v>
      </c>
    </row>
    <row r="38" spans="1:17" x14ac:dyDescent="0.3">
      <c r="A38">
        <v>704398</v>
      </c>
      <c r="B38" s="1" t="s">
        <v>39</v>
      </c>
      <c r="C38" s="1" t="s">
        <v>23</v>
      </c>
      <c r="D38" s="1" t="s">
        <v>23</v>
      </c>
      <c r="E38" s="1" t="s">
        <v>28</v>
      </c>
      <c r="F38" s="1" t="s">
        <v>19</v>
      </c>
      <c r="G38" s="1" t="s">
        <v>20</v>
      </c>
      <c r="H38" t="s">
        <v>21</v>
      </c>
      <c r="I38" s="1" t="s">
        <v>22</v>
      </c>
      <c r="J38" s="2">
        <v>43526.086365740739</v>
      </c>
      <c r="K38" s="2">
        <v>43527.086365740739</v>
      </c>
      <c r="L38" s="2">
        <v>43529.086365740739</v>
      </c>
      <c r="M38" s="1">
        <f>_xlfn.DAYS(Table1[[#This Row],[actual_delivery_date]],Table1[[#This Row],[dispatch_date]])</f>
        <v>1</v>
      </c>
      <c r="N38">
        <v>0</v>
      </c>
      <c r="O38">
        <f>Table1[[#This Row],[transit_storage_cost]] * (1-'What -if Analysis'!$D$26)</f>
        <v>0</v>
      </c>
      <c r="P38">
        <v>104</v>
      </c>
      <c r="Q38">
        <v>789.16184922428124</v>
      </c>
    </row>
    <row r="39" spans="1:17" x14ac:dyDescent="0.3">
      <c r="A39">
        <v>647282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19</v>
      </c>
      <c r="G39" s="1" t="s">
        <v>20</v>
      </c>
      <c r="H39" t="s">
        <v>21</v>
      </c>
      <c r="I39" s="1" t="s">
        <v>22</v>
      </c>
      <c r="J39" s="2">
        <v>43525.090081018519</v>
      </c>
      <c r="K39" s="2">
        <v>43527.090081018519</v>
      </c>
      <c r="L39" s="2">
        <v>43532.090081018519</v>
      </c>
      <c r="M39" s="1">
        <f>_xlfn.DAYS(Table1[[#This Row],[actual_delivery_date]],Table1[[#This Row],[dispatch_date]])</f>
        <v>2</v>
      </c>
      <c r="N39">
        <v>68</v>
      </c>
      <c r="O39">
        <f>Table1[[#This Row],[transit_storage_cost]] * (1-'What -if Analysis'!$D$26)</f>
        <v>68</v>
      </c>
      <c r="P39">
        <v>90</v>
      </c>
      <c r="Q39">
        <v>2433.7882497132041</v>
      </c>
    </row>
    <row r="40" spans="1:17" x14ac:dyDescent="0.3">
      <c r="A40">
        <v>487298</v>
      </c>
      <c r="B40" s="1" t="s">
        <v>39</v>
      </c>
      <c r="C40" s="1" t="s">
        <v>23</v>
      </c>
      <c r="D40" s="1" t="s">
        <v>24</v>
      </c>
      <c r="E40" s="1" t="s">
        <v>25</v>
      </c>
      <c r="F40" s="1" t="s">
        <v>31</v>
      </c>
      <c r="G40" s="1" t="s">
        <v>20</v>
      </c>
      <c r="H40" t="s">
        <v>21</v>
      </c>
      <c r="I40" s="1" t="s">
        <v>22</v>
      </c>
      <c r="J40" s="2">
        <v>43525.09070601852</v>
      </c>
      <c r="K40" s="2">
        <v>43527.09070601852</v>
      </c>
      <c r="L40" s="2">
        <v>43530.09070601852</v>
      </c>
      <c r="M40" s="1">
        <f>_xlfn.DAYS(Table1[[#This Row],[actual_delivery_date]],Table1[[#This Row],[dispatch_date]])</f>
        <v>2</v>
      </c>
      <c r="N40">
        <v>45</v>
      </c>
      <c r="O40">
        <f>Table1[[#This Row],[transit_storage_cost]] * (1-'What -if Analysis'!$D$26)</f>
        <v>45</v>
      </c>
      <c r="P40">
        <v>121</v>
      </c>
      <c r="Q40">
        <v>2127.6438340726691</v>
      </c>
    </row>
    <row r="41" spans="1:17" x14ac:dyDescent="0.3">
      <c r="A41">
        <v>195198</v>
      </c>
      <c r="B41" s="1" t="s">
        <v>37</v>
      </c>
      <c r="C41" s="1" t="s">
        <v>16</v>
      </c>
      <c r="D41" s="1" t="s">
        <v>16</v>
      </c>
      <c r="E41" s="1" t="s">
        <v>27</v>
      </c>
      <c r="F41" s="1" t="s">
        <v>19</v>
      </c>
      <c r="G41" s="1" t="s">
        <v>20</v>
      </c>
      <c r="H41" t="s">
        <v>21</v>
      </c>
      <c r="I41" s="1" t="s">
        <v>26</v>
      </c>
      <c r="J41" s="2">
        <v>43527.096435185187</v>
      </c>
      <c r="K41" s="2">
        <v>43527.096435185187</v>
      </c>
      <c r="L41" s="2">
        <v>43532.096435185187</v>
      </c>
      <c r="M41" s="1">
        <f>_xlfn.DAYS(Table1[[#This Row],[actual_delivery_date]],Table1[[#This Row],[dispatch_date]])</f>
        <v>0</v>
      </c>
      <c r="N41">
        <v>0</v>
      </c>
      <c r="O41">
        <f>Table1[[#This Row],[transit_storage_cost]] * (1-'What -if Analysis'!$D$26)</f>
        <v>0</v>
      </c>
      <c r="P41">
        <v>109</v>
      </c>
      <c r="Q41">
        <v>1915.04</v>
      </c>
    </row>
    <row r="42" spans="1:17" x14ac:dyDescent="0.3">
      <c r="A42">
        <v>197125</v>
      </c>
      <c r="B42" s="1" t="s">
        <v>40</v>
      </c>
      <c r="C42" s="1" t="s">
        <v>23</v>
      </c>
      <c r="D42" s="1" t="s">
        <v>23</v>
      </c>
      <c r="E42" s="1" t="s">
        <v>28</v>
      </c>
      <c r="F42" s="1" t="s">
        <v>29</v>
      </c>
      <c r="G42" s="1" t="s">
        <v>20</v>
      </c>
      <c r="H42" t="s">
        <v>30</v>
      </c>
      <c r="I42" s="1" t="s">
        <v>22</v>
      </c>
      <c r="J42" s="2">
        <v>43525.097314814811</v>
      </c>
      <c r="K42" s="2">
        <v>43527.097314814811</v>
      </c>
      <c r="L42" s="2">
        <v>43528.097314814811</v>
      </c>
      <c r="M42" s="1">
        <f>_xlfn.DAYS(Table1[[#This Row],[actual_delivery_date]],Table1[[#This Row],[dispatch_date]])</f>
        <v>2</v>
      </c>
      <c r="N42">
        <v>0</v>
      </c>
      <c r="O42">
        <f>Table1[[#This Row],[transit_storage_cost]] * (1-'What -if Analysis'!$D$26)</f>
        <v>0</v>
      </c>
      <c r="P42">
        <v>124</v>
      </c>
      <c r="Q42">
        <v>722.76346991021308</v>
      </c>
    </row>
    <row r="43" spans="1:17" x14ac:dyDescent="0.3">
      <c r="A43">
        <v>503378</v>
      </c>
      <c r="B43" s="1" t="s">
        <v>39</v>
      </c>
      <c r="C43" s="1" t="s">
        <v>16</v>
      </c>
      <c r="D43" s="1" t="s">
        <v>17</v>
      </c>
      <c r="E43" s="1" t="s">
        <v>18</v>
      </c>
      <c r="F43" s="1" t="s">
        <v>19</v>
      </c>
      <c r="G43" s="1" t="s">
        <v>20</v>
      </c>
      <c r="H43" t="s">
        <v>21</v>
      </c>
      <c r="I43" s="1" t="s">
        <v>22</v>
      </c>
      <c r="J43" s="2">
        <v>43525.110243055555</v>
      </c>
      <c r="K43" s="2">
        <v>43527.110243055555</v>
      </c>
      <c r="L43" s="2">
        <v>43530.110243055555</v>
      </c>
      <c r="M43" s="1">
        <f>_xlfn.DAYS(Table1[[#This Row],[actual_delivery_date]],Table1[[#This Row],[dispatch_date]])</f>
        <v>2</v>
      </c>
      <c r="N43">
        <v>81</v>
      </c>
      <c r="O43">
        <f>Table1[[#This Row],[transit_storage_cost]] * (1-'What -if Analysis'!$D$26)</f>
        <v>81</v>
      </c>
      <c r="P43">
        <v>93</v>
      </c>
      <c r="Q43">
        <v>861.14456984146193</v>
      </c>
    </row>
    <row r="44" spans="1:17" x14ac:dyDescent="0.3">
      <c r="A44">
        <v>19045</v>
      </c>
      <c r="B44" s="1" t="s">
        <v>37</v>
      </c>
      <c r="C44" s="1" t="s">
        <v>23</v>
      </c>
      <c r="D44" s="1" t="s">
        <v>23</v>
      </c>
      <c r="E44" s="1" t="s">
        <v>28</v>
      </c>
      <c r="F44" s="1" t="s">
        <v>29</v>
      </c>
      <c r="G44" s="1" t="s">
        <v>20</v>
      </c>
      <c r="H44" t="s">
        <v>30</v>
      </c>
      <c r="I44" s="1" t="s">
        <v>22</v>
      </c>
      <c r="J44" s="2">
        <v>43526.128009259257</v>
      </c>
      <c r="K44" s="2">
        <v>43527.128009259257</v>
      </c>
      <c r="L44" s="2">
        <v>43531.128009259257</v>
      </c>
      <c r="M44" s="1">
        <f>_xlfn.DAYS(Table1[[#This Row],[actual_delivery_date]],Table1[[#This Row],[dispatch_date]])</f>
        <v>1</v>
      </c>
      <c r="N44">
        <v>0</v>
      </c>
      <c r="O44">
        <f>Table1[[#This Row],[transit_storage_cost]] * (1-'What -if Analysis'!$D$26)</f>
        <v>0</v>
      </c>
      <c r="P44">
        <v>124</v>
      </c>
      <c r="Q44">
        <v>3062.0541085073951</v>
      </c>
    </row>
    <row r="45" spans="1:17" x14ac:dyDescent="0.3">
      <c r="A45">
        <v>314572</v>
      </c>
      <c r="B45" s="1" t="s">
        <v>38</v>
      </c>
      <c r="C45" s="1" t="s">
        <v>16</v>
      </c>
      <c r="D45" s="1" t="s">
        <v>17</v>
      </c>
      <c r="E45" s="1" t="s">
        <v>18</v>
      </c>
      <c r="F45" s="1" t="s">
        <v>19</v>
      </c>
      <c r="G45" s="1" t="s">
        <v>20</v>
      </c>
      <c r="H45" t="s">
        <v>21</v>
      </c>
      <c r="I45" s="1" t="s">
        <v>22</v>
      </c>
      <c r="J45" s="2">
        <v>43525.131307870368</v>
      </c>
      <c r="K45" s="2">
        <v>43527.131307870368</v>
      </c>
      <c r="L45" s="2">
        <v>43529.131307870368</v>
      </c>
      <c r="M45" s="1">
        <f>_xlfn.DAYS(Table1[[#This Row],[actual_delivery_date]],Table1[[#This Row],[dispatch_date]])</f>
        <v>2</v>
      </c>
      <c r="N45">
        <v>40</v>
      </c>
      <c r="O45">
        <f>Table1[[#This Row],[transit_storage_cost]] * (1-'What -if Analysis'!$D$26)</f>
        <v>40</v>
      </c>
      <c r="P45">
        <v>109</v>
      </c>
      <c r="Q45">
        <v>3366.4890395571751</v>
      </c>
    </row>
    <row r="46" spans="1:17" x14ac:dyDescent="0.3">
      <c r="A46">
        <v>295256</v>
      </c>
      <c r="B46" s="1" t="s">
        <v>37</v>
      </c>
      <c r="C46" s="1" t="s">
        <v>23</v>
      </c>
      <c r="D46" s="1" t="s">
        <v>17</v>
      </c>
      <c r="E46" s="1" t="s">
        <v>18</v>
      </c>
      <c r="F46" s="1" t="s">
        <v>19</v>
      </c>
      <c r="G46" s="1" t="s">
        <v>20</v>
      </c>
      <c r="H46" t="s">
        <v>21</v>
      </c>
      <c r="I46" s="1" t="s">
        <v>22</v>
      </c>
      <c r="J46" s="2">
        <v>43525.144479166665</v>
      </c>
      <c r="K46" s="2">
        <v>43527.144479166665</v>
      </c>
      <c r="L46" s="2">
        <v>43530.144479166665</v>
      </c>
      <c r="M46" s="1">
        <f>_xlfn.DAYS(Table1[[#This Row],[actual_delivery_date]],Table1[[#This Row],[dispatch_date]])</f>
        <v>2</v>
      </c>
      <c r="N46">
        <v>76</v>
      </c>
      <c r="O46">
        <f>Table1[[#This Row],[transit_storage_cost]] * (1-'What -if Analysis'!$D$26)</f>
        <v>76</v>
      </c>
      <c r="P46">
        <v>93</v>
      </c>
      <c r="Q46">
        <v>2191.5334028821226</v>
      </c>
    </row>
    <row r="47" spans="1:17" x14ac:dyDescent="0.3">
      <c r="A47">
        <v>100740</v>
      </c>
      <c r="B47" s="1" t="s">
        <v>38</v>
      </c>
      <c r="C47" s="1" t="s">
        <v>23</v>
      </c>
      <c r="D47" s="1" t="s">
        <v>23</v>
      </c>
      <c r="E47" s="1" t="s">
        <v>28</v>
      </c>
      <c r="F47" s="1" t="s">
        <v>19</v>
      </c>
      <c r="G47" s="1" t="s">
        <v>20</v>
      </c>
      <c r="H47" t="s">
        <v>21</v>
      </c>
      <c r="I47" s="1" t="s">
        <v>26</v>
      </c>
      <c r="J47" s="2">
        <v>43525.149641203701</v>
      </c>
      <c r="K47" s="2">
        <v>43527.149641203701</v>
      </c>
      <c r="L47" s="2">
        <v>43531.149641203701</v>
      </c>
      <c r="M47" s="1">
        <f>_xlfn.DAYS(Table1[[#This Row],[actual_delivery_date]],Table1[[#This Row],[dispatch_date]])</f>
        <v>2</v>
      </c>
      <c r="N47">
        <v>0</v>
      </c>
      <c r="O47">
        <f>Table1[[#This Row],[transit_storage_cost]] * (1-'What -if Analysis'!$D$26)</f>
        <v>0</v>
      </c>
      <c r="P47">
        <v>128</v>
      </c>
      <c r="Q47">
        <v>315.45</v>
      </c>
    </row>
    <row r="48" spans="1:17" x14ac:dyDescent="0.3">
      <c r="A48">
        <v>53315</v>
      </c>
      <c r="B48" s="1" t="s">
        <v>37</v>
      </c>
      <c r="C48" s="1" t="s">
        <v>16</v>
      </c>
      <c r="D48" s="1" t="s">
        <v>23</v>
      </c>
      <c r="E48" s="1" t="s">
        <v>28</v>
      </c>
      <c r="F48" s="1" t="s">
        <v>19</v>
      </c>
      <c r="G48" s="1" t="s">
        <v>20</v>
      </c>
      <c r="H48" t="s">
        <v>30</v>
      </c>
      <c r="I48" s="1" t="s">
        <v>22</v>
      </c>
      <c r="J48" s="2">
        <v>43525.161678240744</v>
      </c>
      <c r="K48" s="2">
        <v>43527.161678240744</v>
      </c>
      <c r="L48" s="2">
        <v>43528.161678240744</v>
      </c>
      <c r="M48" s="1">
        <f>_xlfn.DAYS(Table1[[#This Row],[actual_delivery_date]],Table1[[#This Row],[dispatch_date]])</f>
        <v>2</v>
      </c>
      <c r="N48">
        <v>87</v>
      </c>
      <c r="O48">
        <f>Table1[[#This Row],[transit_storage_cost]] * (1-'What -if Analysis'!$D$26)</f>
        <v>87</v>
      </c>
      <c r="P48">
        <v>100</v>
      </c>
      <c r="Q48">
        <v>3692.1522726607914</v>
      </c>
    </row>
    <row r="49" spans="1:17" x14ac:dyDescent="0.3">
      <c r="A49">
        <v>319164</v>
      </c>
      <c r="B49" s="1" t="s">
        <v>15</v>
      </c>
      <c r="C49" s="1" t="s">
        <v>23</v>
      </c>
      <c r="D49" s="1" t="s">
        <v>16</v>
      </c>
      <c r="E49" s="1" t="s">
        <v>27</v>
      </c>
      <c r="F49" s="1" t="s">
        <v>19</v>
      </c>
      <c r="G49" s="1" t="s">
        <v>20</v>
      </c>
      <c r="H49" t="s">
        <v>21</v>
      </c>
      <c r="I49" s="1" t="s">
        <v>26</v>
      </c>
      <c r="J49" s="2">
        <v>43525.172060185185</v>
      </c>
      <c r="K49" s="2">
        <v>43527.172060185185</v>
      </c>
      <c r="L49" s="2">
        <v>43528.172060185185</v>
      </c>
      <c r="M49" s="1">
        <f>_xlfn.DAYS(Table1[[#This Row],[actual_delivery_date]],Table1[[#This Row],[dispatch_date]])</f>
        <v>2</v>
      </c>
      <c r="N49">
        <v>48</v>
      </c>
      <c r="O49">
        <f>Table1[[#This Row],[transit_storage_cost]] * (1-'What -if Analysis'!$D$26)</f>
        <v>48</v>
      </c>
      <c r="P49">
        <v>121</v>
      </c>
      <c r="Q49">
        <v>2079.81</v>
      </c>
    </row>
    <row r="50" spans="1:17" x14ac:dyDescent="0.3">
      <c r="A50">
        <v>10994</v>
      </c>
      <c r="B50" s="1" t="s">
        <v>40</v>
      </c>
      <c r="C50" s="1" t="s">
        <v>23</v>
      </c>
      <c r="D50" s="1" t="s">
        <v>16</v>
      </c>
      <c r="E50" s="1" t="s">
        <v>27</v>
      </c>
      <c r="F50" s="1" t="s">
        <v>19</v>
      </c>
      <c r="G50" s="1" t="s">
        <v>20</v>
      </c>
      <c r="H50" t="s">
        <v>21</v>
      </c>
      <c r="I50" s="1" t="s">
        <v>22</v>
      </c>
      <c r="J50" s="2">
        <v>43525.184884259259</v>
      </c>
      <c r="K50" s="2">
        <v>43527.184884259259</v>
      </c>
      <c r="L50" s="2">
        <v>43531.184884259259</v>
      </c>
      <c r="M50" s="1">
        <f>_xlfn.DAYS(Table1[[#This Row],[actual_delivery_date]],Table1[[#This Row],[dispatch_date]])</f>
        <v>2</v>
      </c>
      <c r="N50">
        <v>63</v>
      </c>
      <c r="O50">
        <f>Table1[[#This Row],[transit_storage_cost]] * (1-'What -if Analysis'!$D$26)</f>
        <v>63</v>
      </c>
      <c r="P50">
        <v>102</v>
      </c>
      <c r="Q50">
        <v>2073.4985938729187</v>
      </c>
    </row>
    <row r="51" spans="1:17" x14ac:dyDescent="0.3">
      <c r="A51">
        <v>43994</v>
      </c>
      <c r="B51" s="1" t="s">
        <v>39</v>
      </c>
      <c r="C51" s="1" t="s">
        <v>23</v>
      </c>
      <c r="D51" s="1" t="s">
        <v>17</v>
      </c>
      <c r="E51" s="1" t="s">
        <v>18</v>
      </c>
      <c r="F51" s="1" t="s">
        <v>19</v>
      </c>
      <c r="G51" s="1" t="s">
        <v>20</v>
      </c>
      <c r="H51" t="s">
        <v>21</v>
      </c>
      <c r="I51" s="1" t="s">
        <v>22</v>
      </c>
      <c r="J51" s="2">
        <v>43525.19971064815</v>
      </c>
      <c r="K51" s="2">
        <v>43527.19971064815</v>
      </c>
      <c r="L51" s="2">
        <v>43528.19971064815</v>
      </c>
      <c r="M51" s="1">
        <f>_xlfn.DAYS(Table1[[#This Row],[actual_delivery_date]],Table1[[#This Row],[dispatch_date]])</f>
        <v>2</v>
      </c>
      <c r="N51">
        <v>65</v>
      </c>
      <c r="O51">
        <f>Table1[[#This Row],[transit_storage_cost]] * (1-'What -if Analysis'!$D$26)</f>
        <v>65</v>
      </c>
      <c r="P51">
        <v>88</v>
      </c>
      <c r="Q51">
        <v>901.99200128433313</v>
      </c>
    </row>
    <row r="52" spans="1:17" x14ac:dyDescent="0.3">
      <c r="A52">
        <v>808094</v>
      </c>
      <c r="B52" s="1" t="s">
        <v>38</v>
      </c>
      <c r="C52" s="1" t="s">
        <v>23</v>
      </c>
      <c r="D52" s="1" t="s">
        <v>23</v>
      </c>
      <c r="E52" s="1" t="s">
        <v>28</v>
      </c>
      <c r="F52" s="1" t="s">
        <v>31</v>
      </c>
      <c r="G52" s="1" t="s">
        <v>20</v>
      </c>
      <c r="H52" t="s">
        <v>21</v>
      </c>
      <c r="I52" s="1" t="s">
        <v>22</v>
      </c>
      <c r="J52" s="2">
        <v>43526.219780092593</v>
      </c>
      <c r="K52" s="2">
        <v>43527.219780092593</v>
      </c>
      <c r="L52" s="2">
        <v>43532.219780092593</v>
      </c>
      <c r="M52" s="1">
        <f>_xlfn.DAYS(Table1[[#This Row],[actual_delivery_date]],Table1[[#This Row],[dispatch_date]])</f>
        <v>1</v>
      </c>
      <c r="N52">
        <v>0</v>
      </c>
      <c r="O52">
        <f>Table1[[#This Row],[transit_storage_cost]] * (1-'What -if Analysis'!$D$26)</f>
        <v>0</v>
      </c>
      <c r="P52">
        <v>124</v>
      </c>
      <c r="Q52">
        <v>485.23012727467182</v>
      </c>
    </row>
    <row r="53" spans="1:17" x14ac:dyDescent="0.3">
      <c r="A53">
        <v>564851</v>
      </c>
      <c r="B53" s="1" t="s">
        <v>15</v>
      </c>
      <c r="C53" s="1" t="s">
        <v>23</v>
      </c>
      <c r="D53" s="1" t="s">
        <v>23</v>
      </c>
      <c r="E53" s="1" t="s">
        <v>28</v>
      </c>
      <c r="F53" s="1" t="s">
        <v>29</v>
      </c>
      <c r="G53" s="1" t="s">
        <v>20</v>
      </c>
      <c r="H53" t="s">
        <v>34</v>
      </c>
      <c r="I53" s="1" t="s">
        <v>22</v>
      </c>
      <c r="J53" s="2">
        <v>43526.296226851853</v>
      </c>
      <c r="K53" s="2">
        <v>43527.296226851853</v>
      </c>
      <c r="L53" s="2">
        <v>43531.296226851853</v>
      </c>
      <c r="M53" s="1">
        <f>_xlfn.DAYS(Table1[[#This Row],[actual_delivery_date]],Table1[[#This Row],[dispatch_date]])</f>
        <v>1</v>
      </c>
      <c r="N53">
        <v>0</v>
      </c>
      <c r="O53">
        <f>Table1[[#This Row],[transit_storage_cost]] * (1-'What -if Analysis'!$D$26)</f>
        <v>0</v>
      </c>
      <c r="P53">
        <v>120</v>
      </c>
      <c r="Q53">
        <v>2577.8344254189965</v>
      </c>
    </row>
    <row r="54" spans="1:17" x14ac:dyDescent="0.3">
      <c r="A54">
        <v>164897</v>
      </c>
      <c r="B54" s="1" t="s">
        <v>38</v>
      </c>
      <c r="C54" s="1" t="s">
        <v>16</v>
      </c>
      <c r="D54" s="1" t="s">
        <v>32</v>
      </c>
      <c r="E54" s="1" t="s">
        <v>33</v>
      </c>
      <c r="F54" s="1" t="s">
        <v>29</v>
      </c>
      <c r="G54" s="1" t="s">
        <v>20</v>
      </c>
      <c r="H54" t="s">
        <v>30</v>
      </c>
      <c r="I54" s="1" t="s">
        <v>22</v>
      </c>
      <c r="J54" s="2">
        <v>43525.303310185183</v>
      </c>
      <c r="K54" s="2">
        <v>43527.303310185183</v>
      </c>
      <c r="L54" s="2">
        <v>43529.303310185183</v>
      </c>
      <c r="M54" s="1">
        <f>_xlfn.DAYS(Table1[[#This Row],[actual_delivery_date]],Table1[[#This Row],[dispatch_date]])</f>
        <v>2</v>
      </c>
      <c r="N54">
        <v>29</v>
      </c>
      <c r="O54">
        <f>Table1[[#This Row],[transit_storage_cost]] * (1-'What -if Analysis'!$D$26)</f>
        <v>29</v>
      </c>
      <c r="P54">
        <v>108</v>
      </c>
      <c r="Q54">
        <v>721.72886800276206</v>
      </c>
    </row>
    <row r="55" spans="1:17" x14ac:dyDescent="0.3">
      <c r="A55">
        <v>325374</v>
      </c>
      <c r="B55" s="1" t="s">
        <v>38</v>
      </c>
      <c r="C55" s="1" t="s">
        <v>23</v>
      </c>
      <c r="D55" s="1" t="s">
        <v>32</v>
      </c>
      <c r="E55" s="1" t="s">
        <v>33</v>
      </c>
      <c r="F55" s="1" t="s">
        <v>31</v>
      </c>
      <c r="G55" s="1" t="s">
        <v>20</v>
      </c>
      <c r="H55" t="s">
        <v>21</v>
      </c>
      <c r="I55" s="1" t="s">
        <v>26</v>
      </c>
      <c r="J55" s="2">
        <v>43525.308217592596</v>
      </c>
      <c r="K55" s="2">
        <v>43527.308217592596</v>
      </c>
      <c r="L55" s="2">
        <v>43531.308217592596</v>
      </c>
      <c r="M55" s="1">
        <f>_xlfn.DAYS(Table1[[#This Row],[actual_delivery_date]],Table1[[#This Row],[dispatch_date]])</f>
        <v>2</v>
      </c>
      <c r="N55">
        <v>41</v>
      </c>
      <c r="O55">
        <f>Table1[[#This Row],[transit_storage_cost]] * (1-'What -if Analysis'!$D$26)</f>
        <v>41</v>
      </c>
      <c r="P55">
        <v>112</v>
      </c>
      <c r="Q55">
        <v>1481.24</v>
      </c>
    </row>
    <row r="56" spans="1:17" x14ac:dyDescent="0.3">
      <c r="A56">
        <v>735043</v>
      </c>
      <c r="B56" s="1" t="s">
        <v>37</v>
      </c>
      <c r="C56" s="1" t="s">
        <v>16</v>
      </c>
      <c r="D56" s="1" t="s">
        <v>16</v>
      </c>
      <c r="E56" s="1" t="s">
        <v>27</v>
      </c>
      <c r="F56" s="1" t="s">
        <v>19</v>
      </c>
      <c r="G56" s="1" t="s">
        <v>20</v>
      </c>
      <c r="H56" t="s">
        <v>30</v>
      </c>
      <c r="I56" s="1" t="s">
        <v>22</v>
      </c>
      <c r="J56" s="2">
        <v>43525.333113425928</v>
      </c>
      <c r="K56" s="2">
        <v>43527.333113425928</v>
      </c>
      <c r="L56" s="2">
        <v>43529.333113425928</v>
      </c>
      <c r="M56" s="1">
        <f>_xlfn.DAYS(Table1[[#This Row],[actual_delivery_date]],Table1[[#This Row],[dispatch_date]])</f>
        <v>2</v>
      </c>
      <c r="N56">
        <v>0</v>
      </c>
      <c r="O56">
        <f>Table1[[#This Row],[transit_storage_cost]] * (1-'What -if Analysis'!$D$26)</f>
        <v>0</v>
      </c>
      <c r="P56">
        <v>104</v>
      </c>
      <c r="Q56">
        <v>1965.3955759948892</v>
      </c>
    </row>
    <row r="57" spans="1:17" x14ac:dyDescent="0.3">
      <c r="A57">
        <v>407204</v>
      </c>
      <c r="B57" s="1" t="s">
        <v>37</v>
      </c>
      <c r="C57" s="1" t="s">
        <v>16</v>
      </c>
      <c r="D57" s="1" t="s">
        <v>16</v>
      </c>
      <c r="E57" s="1" t="s">
        <v>27</v>
      </c>
      <c r="F57" s="1" t="s">
        <v>19</v>
      </c>
      <c r="G57" s="1" t="s">
        <v>20</v>
      </c>
      <c r="H57" t="s">
        <v>21</v>
      </c>
      <c r="I57" s="1" t="s">
        <v>22</v>
      </c>
      <c r="J57" s="2">
        <v>43525.341365740744</v>
      </c>
      <c r="K57" s="2">
        <v>43527.341365740744</v>
      </c>
      <c r="L57" s="2">
        <v>43531.341365740744</v>
      </c>
      <c r="M57" s="1">
        <f>_xlfn.DAYS(Table1[[#This Row],[actual_delivery_date]],Table1[[#This Row],[dispatch_date]])</f>
        <v>2</v>
      </c>
      <c r="N57">
        <v>0</v>
      </c>
      <c r="O57">
        <f>Table1[[#This Row],[transit_storage_cost]] * (1-'What -if Analysis'!$D$26)</f>
        <v>0</v>
      </c>
      <c r="P57">
        <v>129</v>
      </c>
      <c r="Q57">
        <v>2068.3822316786222</v>
      </c>
    </row>
    <row r="58" spans="1:17" x14ac:dyDescent="0.3">
      <c r="A58">
        <v>297148</v>
      </c>
      <c r="B58" s="1" t="s">
        <v>41</v>
      </c>
      <c r="C58" s="1" t="s">
        <v>23</v>
      </c>
      <c r="D58" s="1" t="s">
        <v>17</v>
      </c>
      <c r="E58" s="1" t="s">
        <v>18</v>
      </c>
      <c r="F58" s="1" t="s">
        <v>19</v>
      </c>
      <c r="G58" s="1" t="s">
        <v>20</v>
      </c>
      <c r="H58" t="s">
        <v>21</v>
      </c>
      <c r="I58" s="1" t="s">
        <v>22</v>
      </c>
      <c r="J58" s="2">
        <v>43525.351307870369</v>
      </c>
      <c r="K58" s="2">
        <v>43527.351307870369</v>
      </c>
      <c r="L58" s="2">
        <v>43532.351307870369</v>
      </c>
      <c r="M58" s="1">
        <f>_xlfn.DAYS(Table1[[#This Row],[actual_delivery_date]],Table1[[#This Row],[dispatch_date]])</f>
        <v>2</v>
      </c>
      <c r="N58">
        <v>60</v>
      </c>
      <c r="O58">
        <f>Table1[[#This Row],[transit_storage_cost]] * (1-'What -if Analysis'!$D$26)</f>
        <v>60</v>
      </c>
      <c r="P58">
        <v>89</v>
      </c>
      <c r="Q58">
        <v>1169.823045226007</v>
      </c>
    </row>
    <row r="59" spans="1:17" x14ac:dyDescent="0.3">
      <c r="A59">
        <v>880643</v>
      </c>
      <c r="B59" s="1" t="s">
        <v>38</v>
      </c>
      <c r="C59" s="1" t="s">
        <v>23</v>
      </c>
      <c r="D59" s="1" t="s">
        <v>23</v>
      </c>
      <c r="E59" s="1" t="s">
        <v>28</v>
      </c>
      <c r="F59" s="1" t="s">
        <v>29</v>
      </c>
      <c r="G59" s="1" t="s">
        <v>20</v>
      </c>
      <c r="H59" t="s">
        <v>30</v>
      </c>
      <c r="I59" s="1" t="s">
        <v>22</v>
      </c>
      <c r="J59" s="2">
        <v>43527.355370370373</v>
      </c>
      <c r="K59" s="2">
        <v>43527.355370370373</v>
      </c>
      <c r="L59" s="2">
        <v>43531.355370370373</v>
      </c>
      <c r="M59" s="1">
        <f>_xlfn.DAYS(Table1[[#This Row],[actual_delivery_date]],Table1[[#This Row],[dispatch_date]])</f>
        <v>0</v>
      </c>
      <c r="N59">
        <v>0</v>
      </c>
      <c r="O59">
        <f>Table1[[#This Row],[transit_storage_cost]] * (1-'What -if Analysis'!$D$26)</f>
        <v>0</v>
      </c>
      <c r="P59">
        <v>123</v>
      </c>
      <c r="Q59">
        <v>2967.0015418539856</v>
      </c>
    </row>
    <row r="60" spans="1:17" x14ac:dyDescent="0.3">
      <c r="A60">
        <v>307661</v>
      </c>
      <c r="B60" s="1" t="s">
        <v>37</v>
      </c>
      <c r="C60" s="1" t="s">
        <v>23</v>
      </c>
      <c r="D60" s="1" t="s">
        <v>17</v>
      </c>
      <c r="E60" s="1" t="s">
        <v>18</v>
      </c>
      <c r="F60" s="1" t="s">
        <v>19</v>
      </c>
      <c r="G60" s="1" t="s">
        <v>20</v>
      </c>
      <c r="H60" t="s">
        <v>30</v>
      </c>
      <c r="I60" s="1" t="s">
        <v>22</v>
      </c>
      <c r="J60" s="2">
        <v>43525.387129629627</v>
      </c>
      <c r="K60" s="2">
        <v>43527.387129629627</v>
      </c>
      <c r="L60" s="2">
        <v>43532.387129629627</v>
      </c>
      <c r="M60" s="1">
        <f>_xlfn.DAYS(Table1[[#This Row],[actual_delivery_date]],Table1[[#This Row],[dispatch_date]])</f>
        <v>2</v>
      </c>
      <c r="N60">
        <v>70</v>
      </c>
      <c r="O60">
        <f>Table1[[#This Row],[transit_storage_cost]] * (1-'What -if Analysis'!$D$26)</f>
        <v>70</v>
      </c>
      <c r="P60">
        <v>87</v>
      </c>
      <c r="Q60">
        <v>3153.8325583863425</v>
      </c>
    </row>
    <row r="61" spans="1:17" x14ac:dyDescent="0.3">
      <c r="A61">
        <v>92063</v>
      </c>
      <c r="B61" s="1" t="s">
        <v>38</v>
      </c>
      <c r="C61" s="1" t="s">
        <v>16</v>
      </c>
      <c r="D61" s="1" t="s">
        <v>32</v>
      </c>
      <c r="E61" s="1" t="s">
        <v>33</v>
      </c>
      <c r="F61" s="1" t="s">
        <v>29</v>
      </c>
      <c r="G61" s="1" t="s">
        <v>20</v>
      </c>
      <c r="H61" t="s">
        <v>30</v>
      </c>
      <c r="I61" s="1" t="s">
        <v>22</v>
      </c>
      <c r="J61" s="2">
        <v>43525.402199074073</v>
      </c>
      <c r="K61" s="2">
        <v>43527.402199074073</v>
      </c>
      <c r="L61" s="2">
        <v>43530.402199074073</v>
      </c>
      <c r="M61" s="1">
        <f>_xlfn.DAYS(Table1[[#This Row],[actual_delivery_date]],Table1[[#This Row],[dispatch_date]])</f>
        <v>2</v>
      </c>
      <c r="N61">
        <v>44</v>
      </c>
      <c r="O61">
        <f>Table1[[#This Row],[transit_storage_cost]] * (1-'What -if Analysis'!$D$26)</f>
        <v>44</v>
      </c>
      <c r="P61">
        <v>110</v>
      </c>
      <c r="Q61">
        <v>3113.4306722175993</v>
      </c>
    </row>
    <row r="62" spans="1:17" x14ac:dyDescent="0.3">
      <c r="A62">
        <v>38001</v>
      </c>
      <c r="B62" s="1" t="s">
        <v>37</v>
      </c>
      <c r="C62" s="1" t="s">
        <v>23</v>
      </c>
      <c r="D62" s="1" t="s">
        <v>16</v>
      </c>
      <c r="E62" s="1" t="s">
        <v>27</v>
      </c>
      <c r="F62" s="1" t="s">
        <v>19</v>
      </c>
      <c r="G62" s="1" t="s">
        <v>20</v>
      </c>
      <c r="H62" t="s">
        <v>30</v>
      </c>
      <c r="I62" s="1" t="s">
        <v>26</v>
      </c>
      <c r="J62" s="2">
        <v>43525.40966435185</v>
      </c>
      <c r="K62" s="2">
        <v>43527.40966435185</v>
      </c>
      <c r="L62" s="2">
        <v>43529.40966435185</v>
      </c>
      <c r="M62" s="1">
        <f>_xlfn.DAYS(Table1[[#This Row],[actual_delivery_date]],Table1[[#This Row],[dispatch_date]])</f>
        <v>2</v>
      </c>
      <c r="N62">
        <v>82</v>
      </c>
      <c r="O62">
        <f>Table1[[#This Row],[transit_storage_cost]] * (1-'What -if Analysis'!$D$26)</f>
        <v>82</v>
      </c>
      <c r="P62">
        <v>100</v>
      </c>
      <c r="Q62">
        <v>2361.21</v>
      </c>
    </row>
    <row r="63" spans="1:17" x14ac:dyDescent="0.3">
      <c r="A63">
        <v>171752</v>
      </c>
      <c r="B63" s="1" t="s">
        <v>37</v>
      </c>
      <c r="C63" s="1" t="s">
        <v>23</v>
      </c>
      <c r="D63" s="1" t="s">
        <v>23</v>
      </c>
      <c r="E63" s="1" t="s">
        <v>28</v>
      </c>
      <c r="F63" s="1" t="s">
        <v>19</v>
      </c>
      <c r="G63" s="1" t="s">
        <v>20</v>
      </c>
      <c r="H63" t="s">
        <v>21</v>
      </c>
      <c r="I63" s="1" t="s">
        <v>22</v>
      </c>
      <c r="J63" s="2">
        <v>43526.414236111108</v>
      </c>
      <c r="K63" s="2">
        <v>43527.414236111108</v>
      </c>
      <c r="L63" s="2">
        <v>43530.414236111108</v>
      </c>
      <c r="M63" s="1">
        <f>_xlfn.DAYS(Table1[[#This Row],[actual_delivery_date]],Table1[[#This Row],[dispatch_date]])</f>
        <v>1</v>
      </c>
      <c r="N63">
        <v>0</v>
      </c>
      <c r="O63">
        <f>Table1[[#This Row],[transit_storage_cost]] * (1-'What -if Analysis'!$D$26)</f>
        <v>0</v>
      </c>
      <c r="P63">
        <v>122</v>
      </c>
      <c r="Q63">
        <v>337.57356439807734</v>
      </c>
    </row>
    <row r="64" spans="1:17" x14ac:dyDescent="0.3">
      <c r="A64">
        <v>363596</v>
      </c>
      <c r="B64" s="1" t="s">
        <v>40</v>
      </c>
      <c r="C64" s="1" t="s">
        <v>23</v>
      </c>
      <c r="D64" s="1" t="s">
        <v>17</v>
      </c>
      <c r="E64" s="1" t="s">
        <v>18</v>
      </c>
      <c r="F64" s="1" t="s">
        <v>19</v>
      </c>
      <c r="G64" s="1" t="s">
        <v>20</v>
      </c>
      <c r="H64" t="s">
        <v>21</v>
      </c>
      <c r="I64" s="1" t="s">
        <v>22</v>
      </c>
      <c r="J64" s="2">
        <v>43525.415416666663</v>
      </c>
      <c r="K64" s="2">
        <v>43527.415416666663</v>
      </c>
      <c r="L64" s="2">
        <v>43530.415416666663</v>
      </c>
      <c r="M64" s="1">
        <f>_xlfn.DAYS(Table1[[#This Row],[actual_delivery_date]],Table1[[#This Row],[dispatch_date]])</f>
        <v>2</v>
      </c>
      <c r="N64">
        <v>50</v>
      </c>
      <c r="O64">
        <f>Table1[[#This Row],[transit_storage_cost]] * (1-'What -if Analysis'!$D$26)</f>
        <v>50</v>
      </c>
      <c r="P64">
        <v>111</v>
      </c>
      <c r="Q64">
        <v>3221.5167557166715</v>
      </c>
    </row>
    <row r="65" spans="1:17" x14ac:dyDescent="0.3">
      <c r="A65">
        <v>843676</v>
      </c>
      <c r="B65" s="1" t="s">
        <v>38</v>
      </c>
      <c r="C65" s="1" t="s">
        <v>16</v>
      </c>
      <c r="D65" s="1" t="s">
        <v>16</v>
      </c>
      <c r="E65" s="1" t="s">
        <v>27</v>
      </c>
      <c r="F65" s="1" t="s">
        <v>19</v>
      </c>
      <c r="G65" s="1" t="s">
        <v>20</v>
      </c>
      <c r="H65" t="s">
        <v>21</v>
      </c>
      <c r="I65" s="1" t="s">
        <v>22</v>
      </c>
      <c r="J65" s="2">
        <v>43525.418530092589</v>
      </c>
      <c r="K65" s="2">
        <v>43527.418530092589</v>
      </c>
      <c r="L65" s="2">
        <v>43531.418530092589</v>
      </c>
      <c r="M65" s="1">
        <f>_xlfn.DAYS(Table1[[#This Row],[actual_delivery_date]],Table1[[#This Row],[dispatch_date]])</f>
        <v>2</v>
      </c>
      <c r="N65">
        <v>0</v>
      </c>
      <c r="O65">
        <f>Table1[[#This Row],[transit_storage_cost]] * (1-'What -if Analysis'!$D$26)</f>
        <v>0</v>
      </c>
      <c r="P65">
        <v>125</v>
      </c>
      <c r="Q65">
        <v>1126.2632504213025</v>
      </c>
    </row>
    <row r="66" spans="1:17" x14ac:dyDescent="0.3">
      <c r="A66">
        <v>173681</v>
      </c>
      <c r="B66" s="1" t="s">
        <v>41</v>
      </c>
      <c r="C66" s="1" t="s">
        <v>23</v>
      </c>
      <c r="D66" s="1" t="s">
        <v>23</v>
      </c>
      <c r="E66" s="1" t="s">
        <v>28</v>
      </c>
      <c r="F66" s="1" t="s">
        <v>29</v>
      </c>
      <c r="G66" s="1" t="s">
        <v>20</v>
      </c>
      <c r="H66" t="s">
        <v>30</v>
      </c>
      <c r="I66" s="1" t="s">
        <v>22</v>
      </c>
      <c r="J66" s="2">
        <v>43526.437256944446</v>
      </c>
      <c r="K66" s="2">
        <v>43527.437256944446</v>
      </c>
      <c r="L66" s="2">
        <v>43530.437256944446</v>
      </c>
      <c r="M66" s="1">
        <f>_xlfn.DAYS(Table1[[#This Row],[actual_delivery_date]],Table1[[#This Row],[dispatch_date]])</f>
        <v>1</v>
      </c>
      <c r="N66">
        <v>0</v>
      </c>
      <c r="O66">
        <f>Table1[[#This Row],[transit_storage_cost]] * (1-'What -if Analysis'!$D$26)</f>
        <v>0</v>
      </c>
      <c r="P66">
        <v>122</v>
      </c>
      <c r="Q66">
        <v>1167.436321598213</v>
      </c>
    </row>
    <row r="67" spans="1:17" x14ac:dyDescent="0.3">
      <c r="A67">
        <v>45289</v>
      </c>
      <c r="B67" s="1" t="s">
        <v>41</v>
      </c>
      <c r="C67" s="1" t="s">
        <v>23</v>
      </c>
      <c r="D67" s="1" t="s">
        <v>24</v>
      </c>
      <c r="E67" s="1" t="s">
        <v>25</v>
      </c>
      <c r="F67" s="1" t="s">
        <v>29</v>
      </c>
      <c r="G67" s="1" t="s">
        <v>20</v>
      </c>
      <c r="H67" t="s">
        <v>30</v>
      </c>
      <c r="I67" s="1" t="s">
        <v>22</v>
      </c>
      <c r="J67" s="2">
        <v>43525.440775462965</v>
      </c>
      <c r="K67" s="2">
        <v>43527.440775462965</v>
      </c>
      <c r="L67" s="2">
        <v>43528.440775462965</v>
      </c>
      <c r="M67" s="1">
        <f>_xlfn.DAYS(Table1[[#This Row],[actual_delivery_date]],Table1[[#This Row],[dispatch_date]])</f>
        <v>2</v>
      </c>
      <c r="N67">
        <v>36</v>
      </c>
      <c r="O67">
        <f>Table1[[#This Row],[transit_storage_cost]] * (1-'What -if Analysis'!$D$26)</f>
        <v>36</v>
      </c>
      <c r="P67">
        <v>121</v>
      </c>
      <c r="Q67">
        <v>1552.6127778638647</v>
      </c>
    </row>
    <row r="68" spans="1:17" x14ac:dyDescent="0.3">
      <c r="A68">
        <v>406942</v>
      </c>
      <c r="B68" s="1" t="s">
        <v>39</v>
      </c>
      <c r="C68" s="1" t="s">
        <v>23</v>
      </c>
      <c r="D68" s="1" t="s">
        <v>32</v>
      </c>
      <c r="E68" s="1" t="s">
        <v>33</v>
      </c>
      <c r="F68" s="1" t="s">
        <v>31</v>
      </c>
      <c r="G68" s="1" t="s">
        <v>20</v>
      </c>
      <c r="H68" t="s">
        <v>21</v>
      </c>
      <c r="I68" s="1" t="s">
        <v>22</v>
      </c>
      <c r="J68" s="2">
        <v>43525.484398148146</v>
      </c>
      <c r="K68" s="2">
        <v>43527.484398148146</v>
      </c>
      <c r="L68" s="2">
        <v>43531.484398148146</v>
      </c>
      <c r="M68" s="1">
        <f>_xlfn.DAYS(Table1[[#This Row],[actual_delivery_date]],Table1[[#This Row],[dispatch_date]])</f>
        <v>2</v>
      </c>
      <c r="N68">
        <v>31</v>
      </c>
      <c r="O68">
        <f>Table1[[#This Row],[transit_storage_cost]] * (1-'What -if Analysis'!$D$26)</f>
        <v>31</v>
      </c>
      <c r="P68">
        <v>108</v>
      </c>
      <c r="Q68">
        <v>2572.5813643867195</v>
      </c>
    </row>
    <row r="69" spans="1:17" x14ac:dyDescent="0.3">
      <c r="A69">
        <v>702219</v>
      </c>
      <c r="B69" s="1" t="s">
        <v>39</v>
      </c>
      <c r="C69" s="1" t="s">
        <v>16</v>
      </c>
      <c r="D69" s="1" t="s">
        <v>24</v>
      </c>
      <c r="E69" s="1" t="s">
        <v>25</v>
      </c>
      <c r="F69" s="1" t="s">
        <v>29</v>
      </c>
      <c r="G69" s="1" t="s">
        <v>20</v>
      </c>
      <c r="H69" t="s">
        <v>34</v>
      </c>
      <c r="I69" s="1" t="s">
        <v>26</v>
      </c>
      <c r="J69" s="2">
        <v>43525.501006944447</v>
      </c>
      <c r="K69" s="2">
        <v>43527.501006944447</v>
      </c>
      <c r="L69" s="2">
        <v>43530.501006944447</v>
      </c>
      <c r="M69" s="1">
        <f>_xlfn.DAYS(Table1[[#This Row],[actual_delivery_date]],Table1[[#This Row],[dispatch_date]])</f>
        <v>2</v>
      </c>
      <c r="N69">
        <v>40</v>
      </c>
      <c r="O69">
        <f>Table1[[#This Row],[transit_storage_cost]] * (1-'What -if Analysis'!$D$26)</f>
        <v>40</v>
      </c>
      <c r="P69">
        <v>128</v>
      </c>
      <c r="Q69">
        <v>2961.43</v>
      </c>
    </row>
    <row r="70" spans="1:17" x14ac:dyDescent="0.3">
      <c r="A70">
        <v>443781</v>
      </c>
      <c r="B70" s="1" t="s">
        <v>38</v>
      </c>
      <c r="C70" s="1" t="s">
        <v>16</v>
      </c>
      <c r="D70" s="1" t="s">
        <v>32</v>
      </c>
      <c r="E70" s="1" t="s">
        <v>33</v>
      </c>
      <c r="F70" s="1" t="s">
        <v>29</v>
      </c>
      <c r="G70" s="1" t="s">
        <v>20</v>
      </c>
      <c r="H70" t="s">
        <v>30</v>
      </c>
      <c r="I70" s="1" t="s">
        <v>26</v>
      </c>
      <c r="J70" s="2">
        <v>43525.520370370374</v>
      </c>
      <c r="K70" s="2">
        <v>43527.520370370374</v>
      </c>
      <c r="L70" s="2">
        <v>43528.520370370374</v>
      </c>
      <c r="M70" s="1">
        <f>_xlfn.DAYS(Table1[[#This Row],[actual_delivery_date]],Table1[[#This Row],[dispatch_date]])</f>
        <v>2</v>
      </c>
      <c r="N70">
        <v>25</v>
      </c>
      <c r="O70">
        <f>Table1[[#This Row],[transit_storage_cost]] * (1-'What -if Analysis'!$D$26)</f>
        <v>25</v>
      </c>
      <c r="P70">
        <v>115</v>
      </c>
      <c r="Q70">
        <v>1397.95</v>
      </c>
    </row>
    <row r="71" spans="1:17" x14ac:dyDescent="0.3">
      <c r="A71">
        <v>130978</v>
      </c>
      <c r="B71" s="1" t="s">
        <v>15</v>
      </c>
      <c r="C71" s="1" t="s">
        <v>23</v>
      </c>
      <c r="D71" s="1" t="s">
        <v>23</v>
      </c>
      <c r="E71" s="1" t="s">
        <v>28</v>
      </c>
      <c r="F71" s="1" t="s">
        <v>31</v>
      </c>
      <c r="G71" s="1" t="s">
        <v>20</v>
      </c>
      <c r="H71" t="s">
        <v>21</v>
      </c>
      <c r="I71" s="1" t="s">
        <v>22</v>
      </c>
      <c r="J71" s="2">
        <v>43527.531435185185</v>
      </c>
      <c r="K71" s="2">
        <v>43527.531435185185</v>
      </c>
      <c r="L71" s="2">
        <v>43531.531435185185</v>
      </c>
      <c r="M71" s="1">
        <f>_xlfn.DAYS(Table1[[#This Row],[actual_delivery_date]],Table1[[#This Row],[dispatch_date]])</f>
        <v>0</v>
      </c>
      <c r="N71">
        <v>0</v>
      </c>
      <c r="O71">
        <f>Table1[[#This Row],[transit_storage_cost]] * (1-'What -if Analysis'!$D$26)</f>
        <v>0</v>
      </c>
      <c r="P71">
        <v>127</v>
      </c>
      <c r="Q71">
        <v>2576.5043934627129</v>
      </c>
    </row>
    <row r="72" spans="1:17" x14ac:dyDescent="0.3">
      <c r="A72">
        <v>671707</v>
      </c>
      <c r="B72" s="1" t="s">
        <v>38</v>
      </c>
      <c r="C72" s="1" t="s">
        <v>16</v>
      </c>
      <c r="D72" s="1" t="s">
        <v>17</v>
      </c>
      <c r="E72" s="1" t="s">
        <v>18</v>
      </c>
      <c r="F72" s="1" t="s">
        <v>19</v>
      </c>
      <c r="G72" s="1" t="s">
        <v>20</v>
      </c>
      <c r="H72" t="s">
        <v>30</v>
      </c>
      <c r="I72" s="1" t="s">
        <v>22</v>
      </c>
      <c r="J72" s="2">
        <v>43525.533564814818</v>
      </c>
      <c r="K72" s="2">
        <v>43527.533564814818</v>
      </c>
      <c r="L72" s="2">
        <v>43532.533564814818</v>
      </c>
      <c r="M72" s="1">
        <f>_xlfn.DAYS(Table1[[#This Row],[actual_delivery_date]],Table1[[#This Row],[dispatch_date]])</f>
        <v>2</v>
      </c>
      <c r="N72">
        <v>66</v>
      </c>
      <c r="O72">
        <f>Table1[[#This Row],[transit_storage_cost]] * (1-'What -if Analysis'!$D$26)</f>
        <v>66</v>
      </c>
      <c r="P72">
        <v>89</v>
      </c>
      <c r="Q72">
        <v>1674.1508155947397</v>
      </c>
    </row>
    <row r="73" spans="1:17" x14ac:dyDescent="0.3">
      <c r="A73">
        <v>123154</v>
      </c>
      <c r="B73" s="1" t="s">
        <v>40</v>
      </c>
      <c r="C73" s="1" t="s">
        <v>16</v>
      </c>
      <c r="D73" s="1" t="s">
        <v>24</v>
      </c>
      <c r="E73" s="1" t="s">
        <v>25</v>
      </c>
      <c r="F73" s="1" t="s">
        <v>31</v>
      </c>
      <c r="G73" s="1" t="s">
        <v>20</v>
      </c>
      <c r="H73" t="s">
        <v>21</v>
      </c>
      <c r="I73" s="1" t="s">
        <v>22</v>
      </c>
      <c r="J73" s="2">
        <v>43525.549826388888</v>
      </c>
      <c r="K73" s="2">
        <v>43527.549826388888</v>
      </c>
      <c r="L73" s="2">
        <v>43528.549826388888</v>
      </c>
      <c r="M73" s="1">
        <f>_xlfn.DAYS(Table1[[#This Row],[actual_delivery_date]],Table1[[#This Row],[dispatch_date]])</f>
        <v>2</v>
      </c>
      <c r="N73">
        <v>28</v>
      </c>
      <c r="O73">
        <f>Table1[[#This Row],[transit_storage_cost]] * (1-'What -if Analysis'!$D$26)</f>
        <v>28</v>
      </c>
      <c r="P73">
        <v>122</v>
      </c>
      <c r="Q73">
        <v>1612.8230435374517</v>
      </c>
    </row>
    <row r="74" spans="1:17" x14ac:dyDescent="0.3">
      <c r="A74">
        <v>256116</v>
      </c>
      <c r="B74" s="1" t="s">
        <v>39</v>
      </c>
      <c r="C74" s="1" t="s">
        <v>16</v>
      </c>
      <c r="D74" s="1" t="s">
        <v>16</v>
      </c>
      <c r="E74" s="1" t="s">
        <v>27</v>
      </c>
      <c r="F74" s="1" t="s">
        <v>19</v>
      </c>
      <c r="G74" s="1" t="s">
        <v>20</v>
      </c>
      <c r="H74" t="s">
        <v>21</v>
      </c>
      <c r="I74" s="1" t="s">
        <v>26</v>
      </c>
      <c r="J74" s="2">
        <v>43525.550196759257</v>
      </c>
      <c r="K74" s="2">
        <v>43527.550196759257</v>
      </c>
      <c r="L74" s="2">
        <v>43532.550196759257</v>
      </c>
      <c r="M74" s="1">
        <f>_xlfn.DAYS(Table1[[#This Row],[actual_delivery_date]],Table1[[#This Row],[dispatch_date]])</f>
        <v>2</v>
      </c>
      <c r="N74">
        <v>0</v>
      </c>
      <c r="O74">
        <f>Table1[[#This Row],[transit_storage_cost]] * (1-'What -if Analysis'!$D$26)</f>
        <v>0</v>
      </c>
      <c r="P74">
        <v>106</v>
      </c>
      <c r="Q74">
        <v>1727.65</v>
      </c>
    </row>
    <row r="75" spans="1:17" x14ac:dyDescent="0.3">
      <c r="A75">
        <v>112275</v>
      </c>
      <c r="B75" s="1" t="s">
        <v>41</v>
      </c>
      <c r="C75" s="1" t="s">
        <v>23</v>
      </c>
      <c r="D75" s="1" t="s">
        <v>23</v>
      </c>
      <c r="E75" s="1" t="s">
        <v>28</v>
      </c>
      <c r="F75" s="1" t="s">
        <v>19</v>
      </c>
      <c r="G75" s="1" t="s">
        <v>20</v>
      </c>
      <c r="H75" t="s">
        <v>30</v>
      </c>
      <c r="I75" s="1" t="s">
        <v>26</v>
      </c>
      <c r="J75" s="2">
        <v>43526.575509259259</v>
      </c>
      <c r="K75" s="2">
        <v>43527.575509259259</v>
      </c>
      <c r="L75" s="2">
        <v>43532.575509259259</v>
      </c>
      <c r="M75" s="1">
        <f>_xlfn.DAYS(Table1[[#This Row],[actual_delivery_date]],Table1[[#This Row],[dispatch_date]])</f>
        <v>1</v>
      </c>
      <c r="N75">
        <v>0</v>
      </c>
      <c r="O75">
        <f>Table1[[#This Row],[transit_storage_cost]] * (1-'What -if Analysis'!$D$26)</f>
        <v>0</v>
      </c>
      <c r="P75">
        <v>100</v>
      </c>
      <c r="Q75">
        <v>2818.04</v>
      </c>
    </row>
    <row r="76" spans="1:17" x14ac:dyDescent="0.3">
      <c r="A76">
        <v>30299</v>
      </c>
      <c r="B76" s="1" t="s">
        <v>41</v>
      </c>
      <c r="C76" s="1" t="s">
        <v>16</v>
      </c>
      <c r="D76" s="1" t="s">
        <v>32</v>
      </c>
      <c r="E76" s="1" t="s">
        <v>33</v>
      </c>
      <c r="F76" s="1" t="s">
        <v>29</v>
      </c>
      <c r="G76" s="1" t="s">
        <v>36</v>
      </c>
      <c r="H76" t="s">
        <v>30</v>
      </c>
      <c r="I76" s="1" t="s">
        <v>22</v>
      </c>
      <c r="J76" s="2">
        <v>43525.585775462961</v>
      </c>
      <c r="K76" s="2">
        <v>43527.585775462961</v>
      </c>
      <c r="L76" s="2">
        <v>43532.585775462961</v>
      </c>
      <c r="M76" s="1">
        <f>_xlfn.DAYS(Table1[[#This Row],[actual_delivery_date]],Table1[[#This Row],[dispatch_date]])</f>
        <v>2</v>
      </c>
      <c r="N76">
        <v>38</v>
      </c>
      <c r="O76">
        <f>Table1[[#This Row],[transit_storage_cost]] * (1-'What -if Analysis'!$D$26)</f>
        <v>38</v>
      </c>
      <c r="P76">
        <v>111</v>
      </c>
      <c r="Q76">
        <v>3600.5225341519067</v>
      </c>
    </row>
    <row r="77" spans="1:17" x14ac:dyDescent="0.3">
      <c r="A77">
        <v>544262</v>
      </c>
      <c r="B77" s="1" t="s">
        <v>38</v>
      </c>
      <c r="C77" s="1" t="s">
        <v>23</v>
      </c>
      <c r="D77" s="1" t="s">
        <v>24</v>
      </c>
      <c r="E77" s="1" t="s">
        <v>25</v>
      </c>
      <c r="F77" s="1" t="s">
        <v>31</v>
      </c>
      <c r="G77" s="1" t="s">
        <v>20</v>
      </c>
      <c r="H77" t="s">
        <v>21</v>
      </c>
      <c r="I77" s="1" t="s">
        <v>22</v>
      </c>
      <c r="J77" s="2">
        <v>43525.59233796296</v>
      </c>
      <c r="K77" s="2">
        <v>43527.59233796296</v>
      </c>
      <c r="L77" s="2">
        <v>43531.59233796296</v>
      </c>
      <c r="M77" s="1">
        <f>_xlfn.DAYS(Table1[[#This Row],[actual_delivery_date]],Table1[[#This Row],[dispatch_date]])</f>
        <v>2</v>
      </c>
      <c r="N77">
        <v>27</v>
      </c>
      <c r="O77">
        <f>Table1[[#This Row],[transit_storage_cost]] * (1-'What -if Analysis'!$D$26)</f>
        <v>27</v>
      </c>
      <c r="P77">
        <v>129</v>
      </c>
      <c r="Q77">
        <v>3088.643057369557</v>
      </c>
    </row>
    <row r="78" spans="1:17" x14ac:dyDescent="0.3">
      <c r="A78">
        <v>686560</v>
      </c>
      <c r="B78" s="1" t="s">
        <v>40</v>
      </c>
      <c r="C78" s="1" t="s">
        <v>16</v>
      </c>
      <c r="D78" s="1" t="s">
        <v>17</v>
      </c>
      <c r="E78" s="1" t="s">
        <v>18</v>
      </c>
      <c r="F78" s="1" t="s">
        <v>19</v>
      </c>
      <c r="G78" s="1" t="s">
        <v>20</v>
      </c>
      <c r="H78" t="s">
        <v>21</v>
      </c>
      <c r="I78" s="1" t="s">
        <v>22</v>
      </c>
      <c r="J78" s="2">
        <v>43525.607731481483</v>
      </c>
      <c r="K78" s="2">
        <v>43527.607731481483</v>
      </c>
      <c r="L78" s="2">
        <v>43531.607731481483</v>
      </c>
      <c r="M78" s="1">
        <f>_xlfn.DAYS(Table1[[#This Row],[actual_delivery_date]],Table1[[#This Row],[dispatch_date]])</f>
        <v>2</v>
      </c>
      <c r="N78">
        <v>33</v>
      </c>
      <c r="O78">
        <f>Table1[[#This Row],[transit_storage_cost]] * (1-'What -if Analysis'!$D$26)</f>
        <v>33</v>
      </c>
      <c r="P78">
        <v>108</v>
      </c>
      <c r="Q78">
        <v>848.78364099037458</v>
      </c>
    </row>
    <row r="79" spans="1:17" x14ac:dyDescent="0.3">
      <c r="A79">
        <v>510527</v>
      </c>
      <c r="B79" s="1" t="s">
        <v>40</v>
      </c>
      <c r="C79" s="1" t="s">
        <v>16</v>
      </c>
      <c r="D79" s="1" t="s">
        <v>32</v>
      </c>
      <c r="E79" s="1" t="s">
        <v>33</v>
      </c>
      <c r="F79" s="1" t="s">
        <v>29</v>
      </c>
      <c r="G79" s="1" t="s">
        <v>20</v>
      </c>
      <c r="H79" t="s">
        <v>30</v>
      </c>
      <c r="I79" s="1" t="s">
        <v>22</v>
      </c>
      <c r="J79" s="2">
        <v>43525.612905092596</v>
      </c>
      <c r="K79" s="2">
        <v>43527.612905092596</v>
      </c>
      <c r="L79" s="2">
        <v>43531.612905092596</v>
      </c>
      <c r="M79" s="1">
        <f>_xlfn.DAYS(Table1[[#This Row],[actual_delivery_date]],Table1[[#This Row],[dispatch_date]])</f>
        <v>2</v>
      </c>
      <c r="N79">
        <v>49</v>
      </c>
      <c r="O79">
        <f>Table1[[#This Row],[transit_storage_cost]] * (1-'What -if Analysis'!$D$26)</f>
        <v>49</v>
      </c>
      <c r="P79">
        <v>109</v>
      </c>
      <c r="Q79">
        <v>3171.7097155046872</v>
      </c>
    </row>
    <row r="80" spans="1:17" x14ac:dyDescent="0.3">
      <c r="A80">
        <v>481588</v>
      </c>
      <c r="B80" s="1" t="s">
        <v>38</v>
      </c>
      <c r="C80" s="1" t="s">
        <v>16</v>
      </c>
      <c r="D80" s="1" t="s">
        <v>23</v>
      </c>
      <c r="E80" s="1" t="s">
        <v>28</v>
      </c>
      <c r="F80" s="1" t="s">
        <v>19</v>
      </c>
      <c r="G80" s="1" t="s">
        <v>20</v>
      </c>
      <c r="H80" t="s">
        <v>21</v>
      </c>
      <c r="I80" s="1" t="s">
        <v>22</v>
      </c>
      <c r="J80" s="2">
        <v>43525.620266203703</v>
      </c>
      <c r="K80" s="2">
        <v>43527.620266203703</v>
      </c>
      <c r="L80" s="2">
        <v>43530.620266203703</v>
      </c>
      <c r="M80" s="1">
        <f>_xlfn.DAYS(Table1[[#This Row],[actual_delivery_date]],Table1[[#This Row],[dispatch_date]])</f>
        <v>2</v>
      </c>
      <c r="N80">
        <v>47</v>
      </c>
      <c r="O80">
        <f>Table1[[#This Row],[transit_storage_cost]] * (1-'What -if Analysis'!$D$26)</f>
        <v>47</v>
      </c>
      <c r="P80">
        <v>121</v>
      </c>
      <c r="Q80">
        <v>2678.3523585647913</v>
      </c>
    </row>
    <row r="81" spans="1:17" x14ac:dyDescent="0.3">
      <c r="A81">
        <v>653852</v>
      </c>
      <c r="B81" s="1" t="s">
        <v>37</v>
      </c>
      <c r="C81" s="1" t="s">
        <v>16</v>
      </c>
      <c r="D81" s="1" t="s">
        <v>23</v>
      </c>
      <c r="E81" s="1" t="s">
        <v>28</v>
      </c>
      <c r="F81" s="1" t="s">
        <v>19</v>
      </c>
      <c r="G81" s="1" t="s">
        <v>20</v>
      </c>
      <c r="H81" t="s">
        <v>21</v>
      </c>
      <c r="I81" s="1" t="s">
        <v>22</v>
      </c>
      <c r="J81" s="2">
        <v>43525.648553240739</v>
      </c>
      <c r="K81" s="2">
        <v>43527.648553240739</v>
      </c>
      <c r="L81" s="2">
        <v>43530.648553240739</v>
      </c>
      <c r="M81" s="1">
        <f>_xlfn.DAYS(Table1[[#This Row],[actual_delivery_date]],Table1[[#This Row],[dispatch_date]])</f>
        <v>2</v>
      </c>
      <c r="N81">
        <v>63</v>
      </c>
      <c r="O81">
        <f>Table1[[#This Row],[transit_storage_cost]] * (1-'What -if Analysis'!$D$26)</f>
        <v>63</v>
      </c>
      <c r="P81">
        <v>109</v>
      </c>
      <c r="Q81">
        <v>3592.1527814176643</v>
      </c>
    </row>
    <row r="82" spans="1:17" x14ac:dyDescent="0.3">
      <c r="A82">
        <v>382112</v>
      </c>
      <c r="B82" s="1" t="s">
        <v>39</v>
      </c>
      <c r="C82" s="1" t="s">
        <v>23</v>
      </c>
      <c r="D82" s="1" t="s">
        <v>16</v>
      </c>
      <c r="E82" s="1" t="s">
        <v>27</v>
      </c>
      <c r="F82" s="1" t="s">
        <v>19</v>
      </c>
      <c r="G82" s="1" t="s">
        <v>36</v>
      </c>
      <c r="H82" t="s">
        <v>21</v>
      </c>
      <c r="I82" s="1" t="s">
        <v>22</v>
      </c>
      <c r="J82" s="2">
        <v>43525.690821759257</v>
      </c>
      <c r="K82" s="2">
        <v>43527.690821759257</v>
      </c>
      <c r="L82" s="2">
        <v>43532.690821759257</v>
      </c>
      <c r="M82" s="1">
        <f>_xlfn.DAYS(Table1[[#This Row],[actual_delivery_date]],Table1[[#This Row],[dispatch_date]])</f>
        <v>2</v>
      </c>
      <c r="N82">
        <v>81</v>
      </c>
      <c r="O82">
        <f>Table1[[#This Row],[transit_storage_cost]] * (1-'What -if Analysis'!$D$26)</f>
        <v>81</v>
      </c>
      <c r="P82">
        <v>105</v>
      </c>
      <c r="Q82">
        <v>3674.2047457468207</v>
      </c>
    </row>
    <row r="83" spans="1:17" x14ac:dyDescent="0.3">
      <c r="A83">
        <v>809826</v>
      </c>
      <c r="B83" s="1" t="s">
        <v>39</v>
      </c>
      <c r="C83" s="1" t="s">
        <v>16</v>
      </c>
      <c r="D83" s="1" t="s">
        <v>17</v>
      </c>
      <c r="E83" s="1" t="s">
        <v>18</v>
      </c>
      <c r="F83" s="1" t="s">
        <v>19</v>
      </c>
      <c r="G83" s="1" t="s">
        <v>20</v>
      </c>
      <c r="H83" t="s">
        <v>21</v>
      </c>
      <c r="I83" s="1" t="s">
        <v>26</v>
      </c>
      <c r="J83" s="2">
        <v>43525.695532407408</v>
      </c>
      <c r="K83" s="2">
        <v>43527.695532407408</v>
      </c>
      <c r="L83" s="2">
        <v>43528.695532407408</v>
      </c>
      <c r="M83" s="1">
        <f>_xlfn.DAYS(Table1[[#This Row],[actual_delivery_date]],Table1[[#This Row],[dispatch_date]])</f>
        <v>2</v>
      </c>
      <c r="N83">
        <v>71</v>
      </c>
      <c r="O83">
        <f>Table1[[#This Row],[transit_storage_cost]] * (1-'What -if Analysis'!$D$26)</f>
        <v>71</v>
      </c>
      <c r="P83">
        <v>87</v>
      </c>
      <c r="Q83">
        <v>1744.64</v>
      </c>
    </row>
    <row r="84" spans="1:17" x14ac:dyDescent="0.3">
      <c r="A84">
        <v>799696</v>
      </c>
      <c r="B84" s="1" t="s">
        <v>38</v>
      </c>
      <c r="C84" s="1" t="s">
        <v>16</v>
      </c>
      <c r="D84" s="1" t="s">
        <v>17</v>
      </c>
      <c r="E84" s="1" t="s">
        <v>18</v>
      </c>
      <c r="F84" s="1" t="s">
        <v>19</v>
      </c>
      <c r="G84" s="1" t="s">
        <v>20</v>
      </c>
      <c r="H84" t="s">
        <v>21</v>
      </c>
      <c r="I84" s="1" t="s">
        <v>22</v>
      </c>
      <c r="J84" s="2">
        <v>43525.719143518516</v>
      </c>
      <c r="K84" s="2">
        <v>43527.719143518516</v>
      </c>
      <c r="L84" s="2">
        <v>43532.719143518516</v>
      </c>
      <c r="M84" s="1">
        <f>_xlfn.DAYS(Table1[[#This Row],[actual_delivery_date]],Table1[[#This Row],[dispatch_date]])</f>
        <v>2</v>
      </c>
      <c r="N84">
        <v>35</v>
      </c>
      <c r="O84">
        <f>Table1[[#This Row],[transit_storage_cost]] * (1-'What -if Analysis'!$D$26)</f>
        <v>35</v>
      </c>
      <c r="P84">
        <v>110</v>
      </c>
      <c r="Q84">
        <v>571.55567552321963</v>
      </c>
    </row>
    <row r="85" spans="1:17" x14ac:dyDescent="0.3">
      <c r="A85">
        <v>576111</v>
      </c>
      <c r="B85" s="1" t="s">
        <v>37</v>
      </c>
      <c r="C85" s="1" t="s">
        <v>23</v>
      </c>
      <c r="D85" s="1" t="s">
        <v>17</v>
      </c>
      <c r="E85" s="1" t="s">
        <v>18</v>
      </c>
      <c r="F85" s="1" t="s">
        <v>19</v>
      </c>
      <c r="G85" s="1" t="s">
        <v>20</v>
      </c>
      <c r="H85" t="s">
        <v>30</v>
      </c>
      <c r="I85" s="1" t="s">
        <v>26</v>
      </c>
      <c r="J85" s="2">
        <v>43525.765717592592</v>
      </c>
      <c r="K85" s="2">
        <v>43527.765717592592</v>
      </c>
      <c r="L85" s="2">
        <v>43529.765717592592</v>
      </c>
      <c r="M85" s="1">
        <f>_xlfn.DAYS(Table1[[#This Row],[actual_delivery_date]],Table1[[#This Row],[dispatch_date]])</f>
        <v>2</v>
      </c>
      <c r="N85">
        <v>88</v>
      </c>
      <c r="O85">
        <f>Table1[[#This Row],[transit_storage_cost]] * (1-'What -if Analysis'!$D$26)</f>
        <v>88</v>
      </c>
      <c r="P85">
        <v>85</v>
      </c>
      <c r="Q85">
        <v>2925.68</v>
      </c>
    </row>
    <row r="86" spans="1:17" x14ac:dyDescent="0.3">
      <c r="A86">
        <v>77755</v>
      </c>
      <c r="B86" s="1" t="s">
        <v>38</v>
      </c>
      <c r="C86" s="1" t="s">
        <v>23</v>
      </c>
      <c r="D86" s="1" t="s">
        <v>23</v>
      </c>
      <c r="E86" s="1" t="s">
        <v>28</v>
      </c>
      <c r="F86" s="1" t="s">
        <v>29</v>
      </c>
      <c r="G86" s="1" t="s">
        <v>20</v>
      </c>
      <c r="H86" t="s">
        <v>30</v>
      </c>
      <c r="I86" s="1" t="s">
        <v>22</v>
      </c>
      <c r="J86" s="2">
        <v>43526.78570601852</v>
      </c>
      <c r="K86" s="2">
        <v>43527.78570601852</v>
      </c>
      <c r="L86" s="2">
        <v>43532.78570601852</v>
      </c>
      <c r="M86" s="1">
        <f>_xlfn.DAYS(Table1[[#This Row],[actual_delivery_date]],Table1[[#This Row],[dispatch_date]])</f>
        <v>1</v>
      </c>
      <c r="N86">
        <v>0</v>
      </c>
      <c r="O86">
        <f>Table1[[#This Row],[transit_storage_cost]] * (1-'What -if Analysis'!$D$26)</f>
        <v>0</v>
      </c>
      <c r="P86">
        <v>124</v>
      </c>
      <c r="Q86">
        <v>1354.3377031146019</v>
      </c>
    </row>
    <row r="87" spans="1:17" x14ac:dyDescent="0.3">
      <c r="A87">
        <v>624780</v>
      </c>
      <c r="B87" s="1" t="s">
        <v>38</v>
      </c>
      <c r="C87" s="1" t="s">
        <v>23</v>
      </c>
      <c r="D87" s="1" t="s">
        <v>16</v>
      </c>
      <c r="E87" s="1" t="s">
        <v>27</v>
      </c>
      <c r="F87" s="1" t="s">
        <v>19</v>
      </c>
      <c r="G87" s="1" t="s">
        <v>20</v>
      </c>
      <c r="H87" t="s">
        <v>21</v>
      </c>
      <c r="I87" s="1" t="s">
        <v>26</v>
      </c>
      <c r="J87" s="2">
        <v>43525.796111111114</v>
      </c>
      <c r="K87" s="2">
        <v>43527.796111111114</v>
      </c>
      <c r="L87" s="2">
        <v>43532.796111111114</v>
      </c>
      <c r="M87" s="1">
        <f>_xlfn.DAYS(Table1[[#This Row],[actual_delivery_date]],Table1[[#This Row],[dispatch_date]])</f>
        <v>2</v>
      </c>
      <c r="N87">
        <v>43</v>
      </c>
      <c r="O87">
        <f>Table1[[#This Row],[transit_storage_cost]] * (1-'What -if Analysis'!$D$26)</f>
        <v>43</v>
      </c>
      <c r="P87">
        <v>123</v>
      </c>
      <c r="Q87">
        <v>1031.21</v>
      </c>
    </row>
    <row r="88" spans="1:17" x14ac:dyDescent="0.3">
      <c r="A88">
        <v>656147</v>
      </c>
      <c r="B88" s="1" t="s">
        <v>37</v>
      </c>
      <c r="C88" s="1" t="s">
        <v>16</v>
      </c>
      <c r="D88" s="1" t="s">
        <v>32</v>
      </c>
      <c r="E88" s="1" t="s">
        <v>33</v>
      </c>
      <c r="F88" s="1" t="s">
        <v>29</v>
      </c>
      <c r="G88" s="1" t="s">
        <v>20</v>
      </c>
      <c r="H88" t="s">
        <v>30</v>
      </c>
      <c r="I88" s="1" t="s">
        <v>22</v>
      </c>
      <c r="J88" s="2">
        <v>43525.828159722223</v>
      </c>
      <c r="K88" s="2">
        <v>43527.828159722223</v>
      </c>
      <c r="L88" s="2">
        <v>43532.828159722223</v>
      </c>
      <c r="M88" s="1">
        <f>_xlfn.DAYS(Table1[[#This Row],[actual_delivery_date]],Table1[[#This Row],[dispatch_date]])</f>
        <v>2</v>
      </c>
      <c r="N88">
        <v>27</v>
      </c>
      <c r="O88">
        <f>Table1[[#This Row],[transit_storage_cost]] * (1-'What -if Analysis'!$D$26)</f>
        <v>27</v>
      </c>
      <c r="P88">
        <v>107</v>
      </c>
      <c r="Q88">
        <v>1473.8283177525559</v>
      </c>
    </row>
    <row r="89" spans="1:17" x14ac:dyDescent="0.3">
      <c r="A89">
        <v>26977</v>
      </c>
      <c r="B89" s="1" t="s">
        <v>38</v>
      </c>
      <c r="C89" s="1" t="s">
        <v>23</v>
      </c>
      <c r="D89" s="1" t="s">
        <v>23</v>
      </c>
      <c r="E89" s="1" t="s">
        <v>28</v>
      </c>
      <c r="F89" s="1" t="s">
        <v>29</v>
      </c>
      <c r="G89" s="1" t="s">
        <v>20</v>
      </c>
      <c r="H89" t="s">
        <v>30</v>
      </c>
      <c r="I89" s="1" t="s">
        <v>22</v>
      </c>
      <c r="J89" s="2">
        <v>43526.836423611108</v>
      </c>
      <c r="K89" s="2">
        <v>43527.836423611108</v>
      </c>
      <c r="L89" s="2">
        <v>43530.836423611108</v>
      </c>
      <c r="M89" s="1">
        <f>_xlfn.DAYS(Table1[[#This Row],[actual_delivery_date]],Table1[[#This Row],[dispatch_date]])</f>
        <v>1</v>
      </c>
      <c r="N89">
        <v>0</v>
      </c>
      <c r="O89">
        <f>Table1[[#This Row],[transit_storage_cost]] * (1-'What -if Analysis'!$D$26)</f>
        <v>0</v>
      </c>
      <c r="P89">
        <v>124</v>
      </c>
      <c r="Q89">
        <v>1651.3634066356194</v>
      </c>
    </row>
    <row r="90" spans="1:17" x14ac:dyDescent="0.3">
      <c r="A90">
        <v>217985</v>
      </c>
      <c r="B90" s="1" t="s">
        <v>37</v>
      </c>
      <c r="C90" s="1" t="s">
        <v>16</v>
      </c>
      <c r="D90" s="1" t="s">
        <v>16</v>
      </c>
      <c r="E90" s="1" t="s">
        <v>27</v>
      </c>
      <c r="F90" s="1" t="s">
        <v>29</v>
      </c>
      <c r="G90" s="1" t="s">
        <v>20</v>
      </c>
      <c r="H90" t="s">
        <v>30</v>
      </c>
      <c r="I90" s="1" t="s">
        <v>22</v>
      </c>
      <c r="J90" s="2">
        <v>43525.844930555555</v>
      </c>
      <c r="K90" s="2">
        <v>43527.844930555555</v>
      </c>
      <c r="L90" s="2">
        <v>43532.844930555555</v>
      </c>
      <c r="M90" s="1">
        <f>_xlfn.DAYS(Table1[[#This Row],[actual_delivery_date]],Table1[[#This Row],[dispatch_date]])</f>
        <v>2</v>
      </c>
      <c r="N90">
        <v>0</v>
      </c>
      <c r="O90">
        <f>Table1[[#This Row],[transit_storage_cost]] * (1-'What -if Analysis'!$D$26)</f>
        <v>0</v>
      </c>
      <c r="P90">
        <v>124</v>
      </c>
      <c r="Q90">
        <v>3189.6399276335787</v>
      </c>
    </row>
    <row r="91" spans="1:17" x14ac:dyDescent="0.3">
      <c r="A91">
        <v>673917</v>
      </c>
      <c r="B91" s="1" t="s">
        <v>39</v>
      </c>
      <c r="C91" s="1" t="s">
        <v>16</v>
      </c>
      <c r="D91" s="1" t="s">
        <v>24</v>
      </c>
      <c r="E91" s="1" t="s">
        <v>25</v>
      </c>
      <c r="F91" s="1" t="s">
        <v>29</v>
      </c>
      <c r="G91" s="1" t="s">
        <v>20</v>
      </c>
      <c r="H91" t="s">
        <v>30</v>
      </c>
      <c r="I91" s="1" t="s">
        <v>26</v>
      </c>
      <c r="J91" s="2">
        <v>43525.861284722225</v>
      </c>
      <c r="K91" s="2">
        <v>43527.861284722225</v>
      </c>
      <c r="L91" s="2">
        <v>43531.861284722225</v>
      </c>
      <c r="M91" s="1">
        <f>_xlfn.DAYS(Table1[[#This Row],[actual_delivery_date]],Table1[[#This Row],[dispatch_date]])</f>
        <v>2</v>
      </c>
      <c r="N91">
        <v>46</v>
      </c>
      <c r="O91">
        <f>Table1[[#This Row],[transit_storage_cost]] * (1-'What -if Analysis'!$D$26)</f>
        <v>46</v>
      </c>
      <c r="P91">
        <v>124</v>
      </c>
      <c r="Q91">
        <v>2039.86</v>
      </c>
    </row>
    <row r="92" spans="1:17" x14ac:dyDescent="0.3">
      <c r="A92">
        <v>781281</v>
      </c>
      <c r="B92" s="1" t="s">
        <v>41</v>
      </c>
      <c r="C92" s="1" t="s">
        <v>16</v>
      </c>
      <c r="D92" s="1" t="s">
        <v>16</v>
      </c>
      <c r="E92" s="1" t="s">
        <v>27</v>
      </c>
      <c r="F92" s="1" t="s">
        <v>29</v>
      </c>
      <c r="G92" s="1" t="s">
        <v>20</v>
      </c>
      <c r="H92" t="s">
        <v>30</v>
      </c>
      <c r="I92" s="1" t="s">
        <v>26</v>
      </c>
      <c r="J92" s="2">
        <v>43526.866516203707</v>
      </c>
      <c r="K92" s="2">
        <v>43527.866516203707</v>
      </c>
      <c r="L92" s="2">
        <v>43530.866516203707</v>
      </c>
      <c r="M92" s="1">
        <f>_xlfn.DAYS(Table1[[#This Row],[actual_delivery_date]],Table1[[#This Row],[dispatch_date]])</f>
        <v>1</v>
      </c>
      <c r="N92">
        <v>0</v>
      </c>
      <c r="O92">
        <f>Table1[[#This Row],[transit_storage_cost]] * (1-'What -if Analysis'!$D$26)</f>
        <v>0</v>
      </c>
      <c r="P92">
        <v>123</v>
      </c>
      <c r="Q92">
        <v>2754.8</v>
      </c>
    </row>
    <row r="93" spans="1:17" x14ac:dyDescent="0.3">
      <c r="A93">
        <v>640169</v>
      </c>
      <c r="B93" s="1" t="s">
        <v>37</v>
      </c>
      <c r="C93" s="1" t="s">
        <v>23</v>
      </c>
      <c r="D93" s="1" t="s">
        <v>23</v>
      </c>
      <c r="E93" s="1" t="s">
        <v>28</v>
      </c>
      <c r="F93" s="1" t="s">
        <v>29</v>
      </c>
      <c r="G93" s="1" t="s">
        <v>20</v>
      </c>
      <c r="H93" t="s">
        <v>30</v>
      </c>
      <c r="I93" s="1" t="s">
        <v>22</v>
      </c>
      <c r="J93" s="2">
        <v>43526.88108796296</v>
      </c>
      <c r="K93" s="2">
        <v>43527.88108796296</v>
      </c>
      <c r="L93" s="2">
        <v>43531.88108796296</v>
      </c>
      <c r="M93" s="1">
        <f>_xlfn.DAYS(Table1[[#This Row],[actual_delivery_date]],Table1[[#This Row],[dispatch_date]])</f>
        <v>1</v>
      </c>
      <c r="N93">
        <v>0</v>
      </c>
      <c r="O93">
        <f>Table1[[#This Row],[transit_storage_cost]] * (1-'What -if Analysis'!$D$26)</f>
        <v>0</v>
      </c>
      <c r="P93">
        <v>122</v>
      </c>
      <c r="Q93">
        <v>3553.3985577440217</v>
      </c>
    </row>
    <row r="94" spans="1:17" x14ac:dyDescent="0.3">
      <c r="A94">
        <v>312364</v>
      </c>
      <c r="B94" s="1" t="s">
        <v>37</v>
      </c>
      <c r="C94" s="1" t="s">
        <v>23</v>
      </c>
      <c r="D94" s="1" t="s">
        <v>17</v>
      </c>
      <c r="E94" s="1" t="s">
        <v>18</v>
      </c>
      <c r="F94" s="1" t="s">
        <v>19</v>
      </c>
      <c r="G94" s="1" t="s">
        <v>20</v>
      </c>
      <c r="H94" t="s">
        <v>21</v>
      </c>
      <c r="I94" s="1" t="s">
        <v>22</v>
      </c>
      <c r="J94" s="2">
        <v>43525.911712962959</v>
      </c>
      <c r="K94" s="2">
        <v>43527.911712962959</v>
      </c>
      <c r="L94" s="2">
        <v>43532.911712962959</v>
      </c>
      <c r="M94" s="1">
        <f>_xlfn.DAYS(Table1[[#This Row],[actual_delivery_date]],Table1[[#This Row],[dispatch_date]])</f>
        <v>2</v>
      </c>
      <c r="N94">
        <v>31</v>
      </c>
      <c r="O94">
        <f>Table1[[#This Row],[transit_storage_cost]] * (1-'What -if Analysis'!$D$26)</f>
        <v>31</v>
      </c>
      <c r="P94">
        <v>114</v>
      </c>
      <c r="Q94">
        <v>1354.2717129353607</v>
      </c>
    </row>
    <row r="95" spans="1:17" x14ac:dyDescent="0.3">
      <c r="A95">
        <v>961551</v>
      </c>
      <c r="B95" s="1" t="s">
        <v>37</v>
      </c>
      <c r="C95" s="1" t="s">
        <v>16</v>
      </c>
      <c r="D95" s="1" t="s">
        <v>23</v>
      </c>
      <c r="E95" s="1" t="s">
        <v>28</v>
      </c>
      <c r="F95" s="1" t="s">
        <v>19</v>
      </c>
      <c r="G95" s="1" t="s">
        <v>20</v>
      </c>
      <c r="H95" t="s">
        <v>30</v>
      </c>
      <c r="I95" s="1" t="s">
        <v>26</v>
      </c>
      <c r="J95" s="2">
        <v>43525.922569444447</v>
      </c>
      <c r="K95" s="2">
        <v>43527.922569444447</v>
      </c>
      <c r="L95" s="2">
        <v>43529.922569444447</v>
      </c>
      <c r="M95" s="1">
        <f>_xlfn.DAYS(Table1[[#This Row],[actual_delivery_date]],Table1[[#This Row],[dispatch_date]])</f>
        <v>2</v>
      </c>
      <c r="N95">
        <v>59</v>
      </c>
      <c r="O95">
        <f>Table1[[#This Row],[transit_storage_cost]] * (1-'What -if Analysis'!$D$26)</f>
        <v>59</v>
      </c>
      <c r="P95">
        <v>106</v>
      </c>
      <c r="Q95">
        <v>2584.77</v>
      </c>
    </row>
    <row r="96" spans="1:17" x14ac:dyDescent="0.3">
      <c r="A96">
        <v>919926</v>
      </c>
      <c r="B96" s="1" t="s">
        <v>15</v>
      </c>
      <c r="C96" s="1" t="s">
        <v>16</v>
      </c>
      <c r="D96" s="1" t="s">
        <v>32</v>
      </c>
      <c r="E96" s="1" t="s">
        <v>33</v>
      </c>
      <c r="F96" s="1" t="s">
        <v>31</v>
      </c>
      <c r="G96" s="1" t="s">
        <v>20</v>
      </c>
      <c r="H96" t="s">
        <v>21</v>
      </c>
      <c r="I96" s="1" t="s">
        <v>26</v>
      </c>
      <c r="J96" s="2">
        <v>43525.93445601852</v>
      </c>
      <c r="K96" s="2">
        <v>43527.93445601852</v>
      </c>
      <c r="L96" s="2">
        <v>43530.93445601852</v>
      </c>
      <c r="M96" s="1">
        <f>_xlfn.DAYS(Table1[[#This Row],[actual_delivery_date]],Table1[[#This Row],[dispatch_date]])</f>
        <v>2</v>
      </c>
      <c r="N96">
        <v>43</v>
      </c>
      <c r="O96">
        <f>Table1[[#This Row],[transit_storage_cost]] * (1-'What -if Analysis'!$D$26)</f>
        <v>43</v>
      </c>
      <c r="P96">
        <v>105</v>
      </c>
      <c r="Q96">
        <v>2048.41</v>
      </c>
    </row>
    <row r="97" spans="1:17" x14ac:dyDescent="0.3">
      <c r="A97">
        <v>785572</v>
      </c>
      <c r="B97" s="1" t="s">
        <v>37</v>
      </c>
      <c r="C97" s="1" t="s">
        <v>16</v>
      </c>
      <c r="D97" s="1" t="s">
        <v>17</v>
      </c>
      <c r="E97" s="1" t="s">
        <v>18</v>
      </c>
      <c r="F97" s="1" t="s">
        <v>19</v>
      </c>
      <c r="G97" s="1" t="s">
        <v>20</v>
      </c>
      <c r="H97" t="s">
        <v>21</v>
      </c>
      <c r="I97" s="1" t="s">
        <v>22</v>
      </c>
      <c r="J97" s="2">
        <v>43525.964328703703</v>
      </c>
      <c r="K97" s="2">
        <v>43527.964328703703</v>
      </c>
      <c r="L97" s="2">
        <v>43532.964328703703</v>
      </c>
      <c r="M97" s="1">
        <f>_xlfn.DAYS(Table1[[#This Row],[actual_delivery_date]],Table1[[#This Row],[dispatch_date]])</f>
        <v>2</v>
      </c>
      <c r="N97">
        <v>72</v>
      </c>
      <c r="O97">
        <f>Table1[[#This Row],[transit_storage_cost]] * (1-'What -if Analysis'!$D$26)</f>
        <v>72</v>
      </c>
      <c r="P97">
        <v>93</v>
      </c>
      <c r="Q97">
        <v>2698.509476872523</v>
      </c>
    </row>
    <row r="98" spans="1:17" x14ac:dyDescent="0.3">
      <c r="A98">
        <v>207202</v>
      </c>
      <c r="B98" s="1" t="s">
        <v>38</v>
      </c>
      <c r="C98" s="1" t="s">
        <v>16</v>
      </c>
      <c r="D98" s="1" t="s">
        <v>16</v>
      </c>
      <c r="E98" s="1" t="s">
        <v>27</v>
      </c>
      <c r="F98" s="1" t="s">
        <v>31</v>
      </c>
      <c r="G98" s="1" t="s">
        <v>20</v>
      </c>
      <c r="H98" t="s">
        <v>21</v>
      </c>
      <c r="I98" s="1" t="s">
        <v>22</v>
      </c>
      <c r="J98" s="2">
        <v>43526.965162037035</v>
      </c>
      <c r="K98" s="2">
        <v>43527.965162037035</v>
      </c>
      <c r="L98" s="2">
        <v>43532.965162037035</v>
      </c>
      <c r="M98" s="1">
        <f>_xlfn.DAYS(Table1[[#This Row],[actual_delivery_date]],Table1[[#This Row],[dispatch_date]])</f>
        <v>1</v>
      </c>
      <c r="N98">
        <v>0</v>
      </c>
      <c r="O98">
        <f>Table1[[#This Row],[transit_storage_cost]] * (1-'What -if Analysis'!$D$26)</f>
        <v>0</v>
      </c>
      <c r="P98">
        <v>130</v>
      </c>
      <c r="Q98">
        <v>2586.0095598981757</v>
      </c>
    </row>
    <row r="99" spans="1:17" x14ac:dyDescent="0.3">
      <c r="A99">
        <v>705732</v>
      </c>
      <c r="B99" s="1" t="s">
        <v>39</v>
      </c>
      <c r="C99" s="1" t="s">
        <v>16</v>
      </c>
      <c r="D99" s="1" t="s">
        <v>17</v>
      </c>
      <c r="E99" s="1" t="s">
        <v>18</v>
      </c>
      <c r="F99" s="1" t="s">
        <v>19</v>
      </c>
      <c r="G99" s="1" t="s">
        <v>20</v>
      </c>
      <c r="H99" t="s">
        <v>21</v>
      </c>
      <c r="I99" s="1" t="s">
        <v>26</v>
      </c>
      <c r="J99" s="2">
        <v>43525.97996527778</v>
      </c>
      <c r="K99" s="2">
        <v>43527.97996527778</v>
      </c>
      <c r="L99" s="2">
        <v>43532.97996527778</v>
      </c>
      <c r="M99" s="1">
        <f>_xlfn.DAYS(Table1[[#This Row],[actual_delivery_date]],Table1[[#This Row],[dispatch_date]])</f>
        <v>2</v>
      </c>
      <c r="N99">
        <v>32</v>
      </c>
      <c r="O99">
        <f>Table1[[#This Row],[transit_storage_cost]] * (1-'What -if Analysis'!$D$26)</f>
        <v>32</v>
      </c>
      <c r="P99">
        <v>114</v>
      </c>
      <c r="Q99">
        <v>2106.7800000000002</v>
      </c>
    </row>
    <row r="100" spans="1:17" x14ac:dyDescent="0.3">
      <c r="A100">
        <v>426803</v>
      </c>
      <c r="B100" s="1" t="s">
        <v>40</v>
      </c>
      <c r="C100" s="1" t="s">
        <v>23</v>
      </c>
      <c r="D100" s="1" t="s">
        <v>16</v>
      </c>
      <c r="E100" s="1" t="s">
        <v>27</v>
      </c>
      <c r="F100" s="1" t="s">
        <v>19</v>
      </c>
      <c r="G100" s="1" t="s">
        <v>20</v>
      </c>
      <c r="H100" t="s">
        <v>30</v>
      </c>
      <c r="I100" s="1" t="s">
        <v>22</v>
      </c>
      <c r="J100" s="2">
        <v>43525.981030092589</v>
      </c>
      <c r="K100" s="2">
        <v>43527.981030092589</v>
      </c>
      <c r="L100" s="2">
        <v>43530.981030092589</v>
      </c>
      <c r="M100" s="1">
        <f>_xlfn.DAYS(Table1[[#This Row],[actual_delivery_date]],Table1[[#This Row],[dispatch_date]])</f>
        <v>2</v>
      </c>
      <c r="N100">
        <v>71</v>
      </c>
      <c r="O100">
        <f>Table1[[#This Row],[transit_storage_cost]] * (1-'What -if Analysis'!$D$26)</f>
        <v>71</v>
      </c>
      <c r="P100">
        <v>101</v>
      </c>
      <c r="Q100">
        <v>988.90142448320239</v>
      </c>
    </row>
    <row r="101" spans="1:17" x14ac:dyDescent="0.3">
      <c r="A101">
        <v>312374</v>
      </c>
      <c r="B101" s="1" t="s">
        <v>37</v>
      </c>
      <c r="C101" s="1" t="s">
        <v>16</v>
      </c>
      <c r="D101" s="1" t="s">
        <v>23</v>
      </c>
      <c r="E101" s="1" t="s">
        <v>28</v>
      </c>
      <c r="F101" s="1" t="s">
        <v>19</v>
      </c>
      <c r="G101" s="1" t="s">
        <v>20</v>
      </c>
      <c r="H101" t="s">
        <v>21</v>
      </c>
      <c r="I101" s="1" t="s">
        <v>22</v>
      </c>
      <c r="J101" s="2">
        <v>43525.9844212963</v>
      </c>
      <c r="K101" s="2">
        <v>43527.9844212963</v>
      </c>
      <c r="L101" s="2">
        <v>43528.9844212963</v>
      </c>
      <c r="M101" s="1">
        <f>_xlfn.DAYS(Table1[[#This Row],[actual_delivery_date]],Table1[[#This Row],[dispatch_date]])</f>
        <v>2</v>
      </c>
      <c r="N101">
        <v>62</v>
      </c>
      <c r="O101">
        <f>Table1[[#This Row],[transit_storage_cost]] * (1-'What -if Analysis'!$D$26)</f>
        <v>62</v>
      </c>
      <c r="P101">
        <v>104</v>
      </c>
      <c r="Q101">
        <v>2533.7565173290395</v>
      </c>
    </row>
    <row r="102" spans="1:17" x14ac:dyDescent="0.3">
      <c r="A102">
        <v>876252</v>
      </c>
      <c r="B102" s="1" t="s">
        <v>41</v>
      </c>
      <c r="C102" s="1" t="s">
        <v>23</v>
      </c>
      <c r="D102" s="1" t="s">
        <v>23</v>
      </c>
      <c r="E102" s="1" t="s">
        <v>28</v>
      </c>
      <c r="F102" s="1" t="s">
        <v>19</v>
      </c>
      <c r="G102" s="1" t="s">
        <v>20</v>
      </c>
      <c r="H102" t="s">
        <v>21</v>
      </c>
      <c r="I102" s="1" t="s">
        <v>26</v>
      </c>
      <c r="J102" s="2">
        <v>43526.993773148148</v>
      </c>
      <c r="K102" s="2">
        <v>43527.993773148148</v>
      </c>
      <c r="L102" s="2">
        <v>43530.993773148148</v>
      </c>
      <c r="M102" s="1">
        <f>_xlfn.DAYS(Table1[[#This Row],[actual_delivery_date]],Table1[[#This Row],[dispatch_date]])</f>
        <v>1</v>
      </c>
      <c r="N102">
        <v>0</v>
      </c>
      <c r="O102">
        <f>Table1[[#This Row],[transit_storage_cost]] * (1-'What -if Analysis'!$D$26)</f>
        <v>0</v>
      </c>
      <c r="P102">
        <v>128</v>
      </c>
      <c r="Q102">
        <v>1487.82</v>
      </c>
    </row>
    <row r="103" spans="1:17" x14ac:dyDescent="0.3">
      <c r="A103">
        <v>924488</v>
      </c>
      <c r="B103" s="1" t="s">
        <v>37</v>
      </c>
      <c r="C103" s="1" t="s">
        <v>23</v>
      </c>
      <c r="D103" s="1" t="s">
        <v>17</v>
      </c>
      <c r="E103" s="1" t="s">
        <v>18</v>
      </c>
      <c r="F103" s="1" t="s">
        <v>19</v>
      </c>
      <c r="G103" s="1" t="s">
        <v>20</v>
      </c>
      <c r="H103" t="s">
        <v>21</v>
      </c>
      <c r="I103" s="1" t="s">
        <v>22</v>
      </c>
      <c r="J103" s="2">
        <v>43526.000196759262</v>
      </c>
      <c r="K103" s="2">
        <v>43528.000196759262</v>
      </c>
      <c r="L103" s="2">
        <v>43532.000196759262</v>
      </c>
      <c r="M103" s="1">
        <f>_xlfn.DAYS(Table1[[#This Row],[actual_delivery_date]],Table1[[#This Row],[dispatch_date]])</f>
        <v>2</v>
      </c>
      <c r="N103">
        <v>73</v>
      </c>
      <c r="O103">
        <f>Table1[[#This Row],[transit_storage_cost]] * (1-'What -if Analysis'!$D$26)</f>
        <v>73</v>
      </c>
      <c r="P103">
        <v>95</v>
      </c>
      <c r="Q103">
        <v>287.6114059836583</v>
      </c>
    </row>
    <row r="104" spans="1:17" x14ac:dyDescent="0.3">
      <c r="A104">
        <v>318813</v>
      </c>
      <c r="B104" s="1" t="s">
        <v>39</v>
      </c>
      <c r="C104" s="1" t="s">
        <v>23</v>
      </c>
      <c r="D104" s="1" t="s">
        <v>16</v>
      </c>
      <c r="E104" s="1" t="s">
        <v>27</v>
      </c>
      <c r="F104" s="1" t="s">
        <v>29</v>
      </c>
      <c r="G104" s="1" t="s">
        <v>20</v>
      </c>
      <c r="H104" t="s">
        <v>30</v>
      </c>
      <c r="I104" s="1" t="s">
        <v>26</v>
      </c>
      <c r="J104" s="2">
        <v>43525.002500000002</v>
      </c>
      <c r="K104" s="2">
        <v>43528.002500000002</v>
      </c>
      <c r="L104" s="2">
        <v>43530.002500000002</v>
      </c>
      <c r="M104" s="1">
        <f>_xlfn.DAYS(Table1[[#This Row],[actual_delivery_date]],Table1[[#This Row],[dispatch_date]])</f>
        <v>3</v>
      </c>
      <c r="N104">
        <v>26</v>
      </c>
      <c r="O104">
        <f>Table1[[#This Row],[transit_storage_cost]] * (1-'What -if Analysis'!$D$26)</f>
        <v>26</v>
      </c>
      <c r="P104">
        <v>129</v>
      </c>
      <c r="Q104">
        <v>3259.85</v>
      </c>
    </row>
    <row r="105" spans="1:17" x14ac:dyDescent="0.3">
      <c r="A105">
        <v>554580</v>
      </c>
      <c r="B105" s="1" t="s">
        <v>38</v>
      </c>
      <c r="C105" s="1" t="s">
        <v>23</v>
      </c>
      <c r="D105" s="1" t="s">
        <v>23</v>
      </c>
      <c r="E105" s="1" t="s">
        <v>28</v>
      </c>
      <c r="F105" s="1" t="s">
        <v>19</v>
      </c>
      <c r="G105" s="1" t="s">
        <v>20</v>
      </c>
      <c r="H105" t="s">
        <v>21</v>
      </c>
      <c r="I105" s="1" t="s">
        <v>26</v>
      </c>
      <c r="J105" s="2">
        <v>43528.011458333334</v>
      </c>
      <c r="K105" s="2">
        <v>43528.011458333334</v>
      </c>
      <c r="L105" s="2">
        <v>43534.011458333334</v>
      </c>
      <c r="M105" s="1">
        <f>_xlfn.DAYS(Table1[[#This Row],[actual_delivery_date]],Table1[[#This Row],[dispatch_date]])</f>
        <v>0</v>
      </c>
      <c r="N105">
        <v>0</v>
      </c>
      <c r="O105">
        <f>Table1[[#This Row],[transit_storage_cost]] * (1-'What -if Analysis'!$D$26)</f>
        <v>0</v>
      </c>
      <c r="P105">
        <v>127</v>
      </c>
      <c r="Q105">
        <v>1488.27</v>
      </c>
    </row>
    <row r="106" spans="1:17" x14ac:dyDescent="0.3">
      <c r="A106">
        <v>185855</v>
      </c>
      <c r="B106" s="1" t="s">
        <v>40</v>
      </c>
      <c r="C106" s="1" t="s">
        <v>23</v>
      </c>
      <c r="D106" s="1" t="s">
        <v>23</v>
      </c>
      <c r="E106" s="1" t="s">
        <v>28</v>
      </c>
      <c r="F106" s="1" t="s">
        <v>29</v>
      </c>
      <c r="G106" s="1" t="s">
        <v>20</v>
      </c>
      <c r="H106" t="s">
        <v>30</v>
      </c>
      <c r="I106" s="1" t="s">
        <v>22</v>
      </c>
      <c r="J106" s="2">
        <v>43528.038460648146</v>
      </c>
      <c r="K106" s="2">
        <v>43528.038460648146</v>
      </c>
      <c r="L106" s="2">
        <v>43533.038460648146</v>
      </c>
      <c r="M106" s="1">
        <f>_xlfn.DAYS(Table1[[#This Row],[actual_delivery_date]],Table1[[#This Row],[dispatch_date]])</f>
        <v>0</v>
      </c>
      <c r="N106">
        <v>0</v>
      </c>
      <c r="O106">
        <f>Table1[[#This Row],[transit_storage_cost]] * (1-'What -if Analysis'!$D$26)</f>
        <v>0</v>
      </c>
      <c r="P106">
        <v>125</v>
      </c>
      <c r="Q106">
        <v>2754.7281334056088</v>
      </c>
    </row>
    <row r="107" spans="1:17" x14ac:dyDescent="0.3">
      <c r="A107">
        <v>339481</v>
      </c>
      <c r="B107" s="1" t="s">
        <v>41</v>
      </c>
      <c r="C107" s="1" t="s">
        <v>16</v>
      </c>
      <c r="D107" s="1" t="s">
        <v>32</v>
      </c>
      <c r="E107" s="1" t="s">
        <v>33</v>
      </c>
      <c r="F107" s="1" t="s">
        <v>19</v>
      </c>
      <c r="G107" s="1" t="s">
        <v>20</v>
      </c>
      <c r="H107" t="s">
        <v>30</v>
      </c>
      <c r="I107" s="1" t="s">
        <v>22</v>
      </c>
      <c r="J107" s="2">
        <v>43525.052581018521</v>
      </c>
      <c r="K107" s="2">
        <v>43528.052581018521</v>
      </c>
      <c r="L107" s="2">
        <v>43530.052581018521</v>
      </c>
      <c r="M107" s="1">
        <f>_xlfn.DAYS(Table1[[#This Row],[actual_delivery_date]],Table1[[#This Row],[dispatch_date]])</f>
        <v>3</v>
      </c>
      <c r="N107">
        <v>77</v>
      </c>
      <c r="O107">
        <f>Table1[[#This Row],[transit_storage_cost]] * (1-'What -if Analysis'!$D$26)</f>
        <v>77</v>
      </c>
      <c r="P107">
        <v>87</v>
      </c>
      <c r="Q107">
        <v>1915.6547349078537</v>
      </c>
    </row>
    <row r="108" spans="1:17" x14ac:dyDescent="0.3">
      <c r="A108">
        <v>361228</v>
      </c>
      <c r="B108" s="1" t="s">
        <v>39</v>
      </c>
      <c r="C108" s="1" t="s">
        <v>23</v>
      </c>
      <c r="D108" s="1" t="s">
        <v>32</v>
      </c>
      <c r="E108" s="1" t="s">
        <v>33</v>
      </c>
      <c r="F108" s="1" t="s">
        <v>19</v>
      </c>
      <c r="G108" s="1" t="s">
        <v>20</v>
      </c>
      <c r="H108" t="s">
        <v>21</v>
      </c>
      <c r="I108" s="1" t="s">
        <v>22</v>
      </c>
      <c r="J108" s="2">
        <v>43525.054039351853</v>
      </c>
      <c r="K108" s="2">
        <v>43528.054039351853</v>
      </c>
      <c r="L108" s="2">
        <v>43528.054039351853</v>
      </c>
      <c r="M108" s="1">
        <f>_xlfn.DAYS(Table1[[#This Row],[actual_delivery_date]],Table1[[#This Row],[dispatch_date]])</f>
        <v>3</v>
      </c>
      <c r="N108">
        <v>46</v>
      </c>
      <c r="O108">
        <f>Table1[[#This Row],[transit_storage_cost]] * (1-'What -if Analysis'!$D$26)</f>
        <v>46</v>
      </c>
      <c r="P108">
        <v>113</v>
      </c>
      <c r="Q108">
        <v>3650.8724411950625</v>
      </c>
    </row>
    <row r="109" spans="1:17" x14ac:dyDescent="0.3">
      <c r="A109">
        <v>170265</v>
      </c>
      <c r="B109" s="1" t="s">
        <v>38</v>
      </c>
      <c r="C109" s="1" t="s">
        <v>23</v>
      </c>
      <c r="D109" s="1" t="s">
        <v>24</v>
      </c>
      <c r="E109" s="1" t="s">
        <v>25</v>
      </c>
      <c r="F109" s="1" t="s">
        <v>29</v>
      </c>
      <c r="G109" s="1" t="s">
        <v>20</v>
      </c>
      <c r="H109" t="s">
        <v>30</v>
      </c>
      <c r="I109" s="1" t="s">
        <v>26</v>
      </c>
      <c r="J109" s="2">
        <v>43526.058877314812</v>
      </c>
      <c r="K109" s="2">
        <v>43528.058877314812</v>
      </c>
      <c r="L109" s="2">
        <v>43530.058877314812</v>
      </c>
      <c r="M109" s="1">
        <f>_xlfn.DAYS(Table1[[#This Row],[actual_delivery_date]],Table1[[#This Row],[dispatch_date]])</f>
        <v>2</v>
      </c>
      <c r="N109">
        <v>26</v>
      </c>
      <c r="O109">
        <f>Table1[[#This Row],[transit_storage_cost]] * (1-'What -if Analysis'!$D$26)</f>
        <v>26</v>
      </c>
      <c r="P109">
        <v>123</v>
      </c>
      <c r="Q109">
        <v>794.76</v>
      </c>
    </row>
    <row r="110" spans="1:17" x14ac:dyDescent="0.3">
      <c r="A110">
        <v>473646</v>
      </c>
      <c r="B110" s="1" t="s">
        <v>38</v>
      </c>
      <c r="C110" s="1" t="s">
        <v>23</v>
      </c>
      <c r="D110" s="1" t="s">
        <v>17</v>
      </c>
      <c r="E110" s="1" t="s">
        <v>18</v>
      </c>
      <c r="F110" s="1" t="s">
        <v>19</v>
      </c>
      <c r="G110" s="1" t="s">
        <v>20</v>
      </c>
      <c r="H110" t="s">
        <v>21</v>
      </c>
      <c r="I110" s="1" t="s">
        <v>26</v>
      </c>
      <c r="J110" s="2">
        <v>43525.067627314813</v>
      </c>
      <c r="K110" s="2">
        <v>43528.067627314813</v>
      </c>
      <c r="L110" s="2">
        <v>43528.067627314813</v>
      </c>
      <c r="M110" s="1">
        <f>_xlfn.DAYS(Table1[[#This Row],[actual_delivery_date]],Table1[[#This Row],[dispatch_date]])</f>
        <v>3</v>
      </c>
      <c r="N110">
        <v>82</v>
      </c>
      <c r="O110">
        <f>Table1[[#This Row],[transit_storage_cost]] * (1-'What -if Analysis'!$D$26)</f>
        <v>82</v>
      </c>
      <c r="P110">
        <v>90</v>
      </c>
      <c r="Q110">
        <v>347.33</v>
      </c>
    </row>
    <row r="111" spans="1:17" x14ac:dyDescent="0.3">
      <c r="A111">
        <v>673068</v>
      </c>
      <c r="B111" s="1" t="s">
        <v>37</v>
      </c>
      <c r="C111" s="1" t="s">
        <v>23</v>
      </c>
      <c r="D111" s="1" t="s">
        <v>32</v>
      </c>
      <c r="E111" s="1" t="s">
        <v>33</v>
      </c>
      <c r="F111" s="1" t="s">
        <v>19</v>
      </c>
      <c r="G111" s="1" t="s">
        <v>20</v>
      </c>
      <c r="H111" t="s">
        <v>21</v>
      </c>
      <c r="I111" s="1" t="s">
        <v>26</v>
      </c>
      <c r="J111" s="2">
        <v>43525.07545138889</v>
      </c>
      <c r="K111" s="2">
        <v>43528.07545138889</v>
      </c>
      <c r="L111" s="2">
        <v>43530.07545138889</v>
      </c>
      <c r="M111" s="1">
        <f>_xlfn.DAYS(Table1[[#This Row],[actual_delivery_date]],Table1[[#This Row],[dispatch_date]])</f>
        <v>3</v>
      </c>
      <c r="N111">
        <v>73</v>
      </c>
      <c r="O111">
        <f>Table1[[#This Row],[transit_storage_cost]] * (1-'What -if Analysis'!$D$26)</f>
        <v>73</v>
      </c>
      <c r="P111">
        <v>95</v>
      </c>
      <c r="Q111">
        <v>2976.35</v>
      </c>
    </row>
    <row r="112" spans="1:17" x14ac:dyDescent="0.3">
      <c r="A112">
        <v>400996</v>
      </c>
      <c r="B112" s="1" t="s">
        <v>38</v>
      </c>
      <c r="C112" s="1" t="s">
        <v>16</v>
      </c>
      <c r="D112" s="1" t="s">
        <v>16</v>
      </c>
      <c r="E112" s="1" t="s">
        <v>27</v>
      </c>
      <c r="F112" s="1" t="s">
        <v>19</v>
      </c>
      <c r="G112" s="1" t="s">
        <v>20</v>
      </c>
      <c r="H112" t="s">
        <v>21</v>
      </c>
      <c r="I112" s="1" t="s">
        <v>22</v>
      </c>
      <c r="J112" s="2">
        <v>43528.078298611108</v>
      </c>
      <c r="K112" s="2">
        <v>43528.078298611108</v>
      </c>
      <c r="L112" s="2">
        <v>43534.078298611108</v>
      </c>
      <c r="M112" s="1">
        <f>_xlfn.DAYS(Table1[[#This Row],[actual_delivery_date]],Table1[[#This Row],[dispatch_date]])</f>
        <v>0</v>
      </c>
      <c r="N112">
        <v>0</v>
      </c>
      <c r="O112">
        <f>Table1[[#This Row],[transit_storage_cost]] * (1-'What -if Analysis'!$D$26)</f>
        <v>0</v>
      </c>
      <c r="P112">
        <v>120</v>
      </c>
      <c r="Q112">
        <v>3570.0741351190172</v>
      </c>
    </row>
    <row r="113" spans="1:17" x14ac:dyDescent="0.3">
      <c r="A113">
        <v>751257</v>
      </c>
      <c r="B113" s="1" t="s">
        <v>37</v>
      </c>
      <c r="C113" s="1" t="s">
        <v>23</v>
      </c>
      <c r="D113" s="1" t="s">
        <v>24</v>
      </c>
      <c r="E113" s="1" t="s">
        <v>25</v>
      </c>
      <c r="F113" s="1" t="s">
        <v>29</v>
      </c>
      <c r="G113" s="1" t="s">
        <v>20</v>
      </c>
      <c r="H113" t="s">
        <v>30</v>
      </c>
      <c r="I113" s="1" t="s">
        <v>26</v>
      </c>
      <c r="J113" s="2">
        <v>43526.093969907408</v>
      </c>
      <c r="K113" s="2">
        <v>43528.093969907408</v>
      </c>
      <c r="L113" s="2">
        <v>43533.093969907408</v>
      </c>
      <c r="M113" s="1">
        <f>_xlfn.DAYS(Table1[[#This Row],[actual_delivery_date]],Table1[[#This Row],[dispatch_date]])</f>
        <v>2</v>
      </c>
      <c r="N113">
        <v>33</v>
      </c>
      <c r="O113">
        <f>Table1[[#This Row],[transit_storage_cost]] * (1-'What -if Analysis'!$D$26)</f>
        <v>33</v>
      </c>
      <c r="P113">
        <v>123</v>
      </c>
      <c r="Q113">
        <v>312.41000000000003</v>
      </c>
    </row>
    <row r="114" spans="1:17" x14ac:dyDescent="0.3">
      <c r="A114">
        <v>271556</v>
      </c>
      <c r="B114" s="1" t="s">
        <v>39</v>
      </c>
      <c r="C114" s="1" t="s">
        <v>16</v>
      </c>
      <c r="D114" s="1" t="s">
        <v>16</v>
      </c>
      <c r="E114" s="1" t="s">
        <v>27</v>
      </c>
      <c r="F114" s="1" t="s">
        <v>19</v>
      </c>
      <c r="G114" s="1" t="s">
        <v>20</v>
      </c>
      <c r="H114" t="s">
        <v>21</v>
      </c>
      <c r="I114" s="1" t="s">
        <v>22</v>
      </c>
      <c r="J114" s="2">
        <v>43525.098726851851</v>
      </c>
      <c r="K114" s="2">
        <v>43528.098726851851</v>
      </c>
      <c r="L114" s="2">
        <v>43532.098726851851</v>
      </c>
      <c r="M114" s="1">
        <f>_xlfn.DAYS(Table1[[#This Row],[actual_delivery_date]],Table1[[#This Row],[dispatch_date]])</f>
        <v>3</v>
      </c>
      <c r="N114">
        <v>0</v>
      </c>
      <c r="O114">
        <f>Table1[[#This Row],[transit_storage_cost]] * (1-'What -if Analysis'!$D$26)</f>
        <v>0</v>
      </c>
      <c r="P114">
        <v>108</v>
      </c>
      <c r="Q114">
        <v>2370.2787693667451</v>
      </c>
    </row>
    <row r="115" spans="1:17" x14ac:dyDescent="0.3">
      <c r="A115">
        <v>27233</v>
      </c>
      <c r="B115" s="1" t="s">
        <v>39</v>
      </c>
      <c r="C115" s="1" t="s">
        <v>16</v>
      </c>
      <c r="D115" s="1" t="s">
        <v>24</v>
      </c>
      <c r="E115" s="1" t="s">
        <v>25</v>
      </c>
      <c r="F115" s="1" t="s">
        <v>29</v>
      </c>
      <c r="G115" s="1" t="s">
        <v>20</v>
      </c>
      <c r="H115" t="s">
        <v>30</v>
      </c>
      <c r="I115" s="1" t="s">
        <v>22</v>
      </c>
      <c r="J115" s="2">
        <v>43526.101180555554</v>
      </c>
      <c r="K115" s="2">
        <v>43528.101180555554</v>
      </c>
      <c r="L115" s="2">
        <v>43531.101180555554</v>
      </c>
      <c r="M115" s="1">
        <f>_xlfn.DAYS(Table1[[#This Row],[actual_delivery_date]],Table1[[#This Row],[dispatch_date]])</f>
        <v>2</v>
      </c>
      <c r="N115">
        <v>41</v>
      </c>
      <c r="O115">
        <f>Table1[[#This Row],[transit_storage_cost]] * (1-'What -if Analysis'!$D$26)</f>
        <v>41</v>
      </c>
      <c r="P115">
        <v>127</v>
      </c>
      <c r="Q115">
        <v>3602.7538360106669</v>
      </c>
    </row>
    <row r="116" spans="1:17" x14ac:dyDescent="0.3">
      <c r="A116">
        <v>804573</v>
      </c>
      <c r="B116" s="1" t="s">
        <v>37</v>
      </c>
      <c r="C116" s="1" t="s">
        <v>16</v>
      </c>
      <c r="D116" s="1" t="s">
        <v>16</v>
      </c>
      <c r="E116" s="1" t="s">
        <v>27</v>
      </c>
      <c r="F116" s="1" t="s">
        <v>19</v>
      </c>
      <c r="G116" s="1" t="s">
        <v>20</v>
      </c>
      <c r="H116" t="s">
        <v>34</v>
      </c>
      <c r="I116" s="1" t="s">
        <v>26</v>
      </c>
      <c r="J116" s="2">
        <v>43526.115752314814</v>
      </c>
      <c r="K116" s="2">
        <v>43528.115752314814</v>
      </c>
      <c r="L116" s="2">
        <v>43531.115752314814</v>
      </c>
      <c r="M116" s="1">
        <f>_xlfn.DAYS(Table1[[#This Row],[actual_delivery_date]],Table1[[#This Row],[dispatch_date]])</f>
        <v>2</v>
      </c>
      <c r="N116">
        <v>9999</v>
      </c>
      <c r="O116">
        <f>Table1[[#This Row],[transit_storage_cost]] * (1-'What -if Analysis'!$D$26)</f>
        <v>9999</v>
      </c>
      <c r="P116">
        <v>110</v>
      </c>
      <c r="Q116">
        <v>2994.09</v>
      </c>
    </row>
    <row r="117" spans="1:17" x14ac:dyDescent="0.3">
      <c r="A117">
        <v>392900</v>
      </c>
      <c r="B117" s="1" t="s">
        <v>41</v>
      </c>
      <c r="C117" s="1" t="s">
        <v>23</v>
      </c>
      <c r="D117" s="1" t="s">
        <v>23</v>
      </c>
      <c r="E117" s="1" t="s">
        <v>28</v>
      </c>
      <c r="F117" s="1" t="s">
        <v>19</v>
      </c>
      <c r="G117" s="1" t="s">
        <v>20</v>
      </c>
      <c r="H117" t="s">
        <v>21</v>
      </c>
      <c r="I117" s="1" t="s">
        <v>22</v>
      </c>
      <c r="J117" s="2">
        <v>43528.126909722225</v>
      </c>
      <c r="K117" s="2">
        <v>43528.126909722225</v>
      </c>
      <c r="L117" s="2">
        <v>43531.126909722225</v>
      </c>
      <c r="M117" s="1">
        <f>_xlfn.DAYS(Table1[[#This Row],[actual_delivery_date]],Table1[[#This Row],[dispatch_date]])</f>
        <v>0</v>
      </c>
      <c r="N117">
        <v>0</v>
      </c>
      <c r="O117">
        <f>Table1[[#This Row],[transit_storage_cost]] * (1-'What -if Analysis'!$D$26)</f>
        <v>0</v>
      </c>
      <c r="P117">
        <v>129</v>
      </c>
      <c r="Q117">
        <v>2551.764262381279</v>
      </c>
    </row>
    <row r="118" spans="1:17" x14ac:dyDescent="0.3">
      <c r="A118">
        <v>772673</v>
      </c>
      <c r="B118" s="1" t="s">
        <v>41</v>
      </c>
      <c r="C118" s="1" t="s">
        <v>16</v>
      </c>
      <c r="D118" s="1" t="s">
        <v>16</v>
      </c>
      <c r="E118" s="1" t="s">
        <v>27</v>
      </c>
      <c r="F118" s="1" t="s">
        <v>19</v>
      </c>
      <c r="G118" s="1" t="s">
        <v>20</v>
      </c>
      <c r="H118" t="s">
        <v>30</v>
      </c>
      <c r="I118" s="1" t="s">
        <v>22</v>
      </c>
      <c r="J118" s="2">
        <v>43526.139814814815</v>
      </c>
      <c r="K118" s="2">
        <v>43528.139814814815</v>
      </c>
      <c r="L118" s="2">
        <v>43531.139814814815</v>
      </c>
      <c r="M118" s="1">
        <f>_xlfn.DAYS(Table1[[#This Row],[actual_delivery_date]],Table1[[#This Row],[dispatch_date]])</f>
        <v>2</v>
      </c>
      <c r="N118">
        <v>0</v>
      </c>
      <c r="O118">
        <f>Table1[[#This Row],[transit_storage_cost]] * (1-'What -if Analysis'!$D$26)</f>
        <v>0</v>
      </c>
      <c r="P118">
        <v>107</v>
      </c>
      <c r="Q118">
        <v>3346.1008056321452</v>
      </c>
    </row>
    <row r="119" spans="1:17" x14ac:dyDescent="0.3">
      <c r="A119">
        <v>679570</v>
      </c>
      <c r="B119" s="1" t="s">
        <v>37</v>
      </c>
      <c r="C119" s="1" t="s">
        <v>23</v>
      </c>
      <c r="D119" s="1" t="s">
        <v>32</v>
      </c>
      <c r="E119" s="1" t="s">
        <v>33</v>
      </c>
      <c r="F119" s="1" t="s">
        <v>31</v>
      </c>
      <c r="G119" s="1" t="s">
        <v>20</v>
      </c>
      <c r="H119" t="s">
        <v>21</v>
      </c>
      <c r="I119" s="1" t="s">
        <v>22</v>
      </c>
      <c r="J119" s="2">
        <v>43526.143136574072</v>
      </c>
      <c r="K119" s="2">
        <v>43528.143136574072</v>
      </c>
      <c r="L119" s="2">
        <v>43533.143136574072</v>
      </c>
      <c r="M119" s="1">
        <f>_xlfn.DAYS(Table1[[#This Row],[actual_delivery_date]],Table1[[#This Row],[dispatch_date]])</f>
        <v>2</v>
      </c>
      <c r="N119">
        <v>37</v>
      </c>
      <c r="O119">
        <f>Table1[[#This Row],[transit_storage_cost]] * (1-'What -if Analysis'!$D$26)</f>
        <v>37</v>
      </c>
      <c r="P119">
        <v>114</v>
      </c>
      <c r="Q119">
        <v>2285.743835575659</v>
      </c>
    </row>
    <row r="120" spans="1:17" x14ac:dyDescent="0.3">
      <c r="A120">
        <v>368432</v>
      </c>
      <c r="B120" s="1" t="s">
        <v>38</v>
      </c>
      <c r="C120" s="1" t="s">
        <v>23</v>
      </c>
      <c r="D120" s="1" t="s">
        <v>17</v>
      </c>
      <c r="E120" s="1" t="s">
        <v>18</v>
      </c>
      <c r="F120" s="1" t="s">
        <v>19</v>
      </c>
      <c r="G120" s="1" t="s">
        <v>20</v>
      </c>
      <c r="H120" t="s">
        <v>21</v>
      </c>
      <c r="I120" s="1" t="s">
        <v>22</v>
      </c>
      <c r="J120" s="2">
        <v>43526.165266203701</v>
      </c>
      <c r="K120" s="2">
        <v>43528.165266203701</v>
      </c>
      <c r="L120" s="2">
        <v>43532.165266203701</v>
      </c>
      <c r="M120" s="1">
        <f>_xlfn.DAYS(Table1[[#This Row],[actual_delivery_date]],Table1[[#This Row],[dispatch_date]])</f>
        <v>2</v>
      </c>
      <c r="N120">
        <v>43</v>
      </c>
      <c r="O120">
        <f>Table1[[#This Row],[transit_storage_cost]] * (1-'What -if Analysis'!$D$26)</f>
        <v>43</v>
      </c>
      <c r="P120">
        <v>114</v>
      </c>
      <c r="Q120">
        <v>2078.1512909701291</v>
      </c>
    </row>
    <row r="121" spans="1:17" x14ac:dyDescent="0.3">
      <c r="A121">
        <v>125124</v>
      </c>
      <c r="B121" s="1" t="s">
        <v>38</v>
      </c>
      <c r="C121" s="1" t="s">
        <v>23</v>
      </c>
      <c r="D121" s="1" t="s">
        <v>32</v>
      </c>
      <c r="E121" s="1" t="s">
        <v>33</v>
      </c>
      <c r="F121" s="1" t="s">
        <v>19</v>
      </c>
      <c r="G121" s="1" t="s">
        <v>20</v>
      </c>
      <c r="H121" t="s">
        <v>21</v>
      </c>
      <c r="I121" s="1" t="s">
        <v>26</v>
      </c>
      <c r="J121" s="2">
        <v>43525.177268518521</v>
      </c>
      <c r="K121" s="2">
        <v>43528.177268518521</v>
      </c>
      <c r="L121" s="2">
        <v>43532.177268518521</v>
      </c>
      <c r="M121" s="1">
        <f>_xlfn.DAYS(Table1[[#This Row],[actual_delivery_date]],Table1[[#This Row],[dispatch_date]])</f>
        <v>3</v>
      </c>
      <c r="N121">
        <v>35</v>
      </c>
      <c r="O121">
        <f>Table1[[#This Row],[transit_storage_cost]] * (1-'What -if Analysis'!$D$26)</f>
        <v>35</v>
      </c>
      <c r="P121">
        <v>109</v>
      </c>
      <c r="Q121">
        <v>3522.52</v>
      </c>
    </row>
    <row r="122" spans="1:17" x14ac:dyDescent="0.3">
      <c r="A122">
        <v>181459</v>
      </c>
      <c r="B122" s="1" t="s">
        <v>38</v>
      </c>
      <c r="C122" s="1" t="s">
        <v>23</v>
      </c>
      <c r="D122" s="1" t="s">
        <v>17</v>
      </c>
      <c r="E122" s="1" t="s">
        <v>18</v>
      </c>
      <c r="F122" s="1" t="s">
        <v>19</v>
      </c>
      <c r="G122" s="1" t="s">
        <v>20</v>
      </c>
      <c r="H122" t="s">
        <v>30</v>
      </c>
      <c r="I122" s="1" t="s">
        <v>22</v>
      </c>
      <c r="J122" s="2">
        <v>43526.194398148145</v>
      </c>
      <c r="K122" s="2">
        <v>43528.194398148145</v>
      </c>
      <c r="L122" s="2">
        <v>43531.194398148145</v>
      </c>
      <c r="M122" s="1">
        <f>_xlfn.DAYS(Table1[[#This Row],[actual_delivery_date]],Table1[[#This Row],[dispatch_date]])</f>
        <v>2</v>
      </c>
      <c r="N122">
        <v>65</v>
      </c>
      <c r="O122">
        <f>Table1[[#This Row],[transit_storage_cost]] * (1-'What -if Analysis'!$D$26)</f>
        <v>65</v>
      </c>
      <c r="P122">
        <v>85</v>
      </c>
      <c r="Q122">
        <v>592.69795073760906</v>
      </c>
    </row>
    <row r="123" spans="1:17" x14ac:dyDescent="0.3">
      <c r="A123">
        <v>671841</v>
      </c>
      <c r="B123" s="1" t="s">
        <v>41</v>
      </c>
      <c r="C123" s="1" t="s">
        <v>16</v>
      </c>
      <c r="D123" s="1" t="s">
        <v>17</v>
      </c>
      <c r="E123" s="1" t="s">
        <v>18</v>
      </c>
      <c r="F123" s="1" t="s">
        <v>19</v>
      </c>
      <c r="G123" s="1" t="s">
        <v>20</v>
      </c>
      <c r="H123" t="s">
        <v>30</v>
      </c>
      <c r="I123" s="1" t="s">
        <v>26</v>
      </c>
      <c r="J123" s="2">
        <v>43526.19703703704</v>
      </c>
      <c r="K123" s="2">
        <v>43528.19703703704</v>
      </c>
      <c r="L123" s="2">
        <v>43529.19703703704</v>
      </c>
      <c r="M123" s="1">
        <f>_xlfn.DAYS(Table1[[#This Row],[actual_delivery_date]],Table1[[#This Row],[dispatch_date]])</f>
        <v>2</v>
      </c>
      <c r="N123">
        <v>74</v>
      </c>
      <c r="O123">
        <f>Table1[[#This Row],[transit_storage_cost]] * (1-'What -if Analysis'!$D$26)</f>
        <v>74</v>
      </c>
      <c r="P123">
        <v>87</v>
      </c>
      <c r="Q123">
        <v>1809.5</v>
      </c>
    </row>
    <row r="124" spans="1:17" x14ac:dyDescent="0.3">
      <c r="A124">
        <v>487016</v>
      </c>
      <c r="B124" s="1" t="s">
        <v>39</v>
      </c>
      <c r="C124" s="1" t="s">
        <v>23</v>
      </c>
      <c r="D124" s="1" t="s">
        <v>23</v>
      </c>
      <c r="E124" s="1" t="s">
        <v>28</v>
      </c>
      <c r="F124" s="1" t="s">
        <v>19</v>
      </c>
      <c r="G124" s="1" t="s">
        <v>20</v>
      </c>
      <c r="H124" t="s">
        <v>21</v>
      </c>
      <c r="I124" s="1" t="s">
        <v>22</v>
      </c>
      <c r="J124" s="2">
        <v>43526.223587962966</v>
      </c>
      <c r="K124" s="2">
        <v>43528.223587962966</v>
      </c>
      <c r="L124" s="2">
        <v>43530.223587962966</v>
      </c>
      <c r="M124" s="1">
        <f>_xlfn.DAYS(Table1[[#This Row],[actual_delivery_date]],Table1[[#This Row],[dispatch_date]])</f>
        <v>2</v>
      </c>
      <c r="N124">
        <v>0</v>
      </c>
      <c r="O124">
        <f>Table1[[#This Row],[transit_storage_cost]] * (1-'What -if Analysis'!$D$26)</f>
        <v>0</v>
      </c>
      <c r="P124">
        <v>122</v>
      </c>
      <c r="Q124">
        <v>1709.6671532790513</v>
      </c>
    </row>
    <row r="125" spans="1:17" x14ac:dyDescent="0.3">
      <c r="A125">
        <v>227346</v>
      </c>
      <c r="B125" s="1" t="s">
        <v>40</v>
      </c>
      <c r="C125" s="1" t="s">
        <v>23</v>
      </c>
      <c r="D125" s="1" t="s">
        <v>32</v>
      </c>
      <c r="E125" s="1" t="s">
        <v>33</v>
      </c>
      <c r="F125" s="1" t="s">
        <v>31</v>
      </c>
      <c r="G125" s="1" t="s">
        <v>20</v>
      </c>
      <c r="H125" t="s">
        <v>21</v>
      </c>
      <c r="I125" s="1" t="s">
        <v>26</v>
      </c>
      <c r="J125" s="2">
        <v>43526.229074074072</v>
      </c>
      <c r="K125" s="2">
        <v>43528.229074074072</v>
      </c>
      <c r="L125" s="2">
        <v>43531.229074074072</v>
      </c>
      <c r="M125" s="1">
        <f>_xlfn.DAYS(Table1[[#This Row],[actual_delivery_date]],Table1[[#This Row],[dispatch_date]])</f>
        <v>2</v>
      </c>
      <c r="N125">
        <v>25</v>
      </c>
      <c r="O125">
        <f>Table1[[#This Row],[transit_storage_cost]] * (1-'What -if Analysis'!$D$26)</f>
        <v>25</v>
      </c>
      <c r="P125">
        <v>108</v>
      </c>
      <c r="Q125">
        <v>1688.6</v>
      </c>
    </row>
    <row r="126" spans="1:17" x14ac:dyDescent="0.3">
      <c r="A126">
        <v>739577</v>
      </c>
      <c r="B126" s="1" t="s">
        <v>38</v>
      </c>
      <c r="C126" s="1" t="s">
        <v>16</v>
      </c>
      <c r="D126" s="1" t="s">
        <v>16</v>
      </c>
      <c r="E126" s="1" t="s">
        <v>27</v>
      </c>
      <c r="F126" s="1" t="s">
        <v>19</v>
      </c>
      <c r="G126" s="1" t="s">
        <v>20</v>
      </c>
      <c r="H126" t="s">
        <v>30</v>
      </c>
      <c r="I126" s="1" t="s">
        <v>22</v>
      </c>
      <c r="J126" s="2">
        <v>43528.233043981483</v>
      </c>
      <c r="K126" s="2">
        <v>43528.233043981483</v>
      </c>
      <c r="L126" s="2">
        <v>43532.233043981483</v>
      </c>
      <c r="M126" s="1">
        <f>_xlfn.DAYS(Table1[[#This Row],[actual_delivery_date]],Table1[[#This Row],[dispatch_date]])</f>
        <v>0</v>
      </c>
      <c r="N126">
        <v>0</v>
      </c>
      <c r="O126">
        <f>Table1[[#This Row],[transit_storage_cost]] * (1-'What -if Analysis'!$D$26)</f>
        <v>0</v>
      </c>
      <c r="P126">
        <v>108</v>
      </c>
      <c r="Q126">
        <v>2308.0401059394881</v>
      </c>
    </row>
    <row r="127" spans="1:17" x14ac:dyDescent="0.3">
      <c r="A127">
        <v>759711</v>
      </c>
      <c r="B127" s="1" t="s">
        <v>37</v>
      </c>
      <c r="C127" s="1" t="s">
        <v>16</v>
      </c>
      <c r="D127" s="1" t="s">
        <v>16</v>
      </c>
      <c r="E127" s="1" t="s">
        <v>27</v>
      </c>
      <c r="F127" s="1" t="s">
        <v>19</v>
      </c>
      <c r="G127" s="1" t="s">
        <v>20</v>
      </c>
      <c r="H127" t="s">
        <v>30</v>
      </c>
      <c r="I127" s="1" t="s">
        <v>26</v>
      </c>
      <c r="J127" s="2">
        <v>43527.233749999999</v>
      </c>
      <c r="K127" s="2">
        <v>43528.233749999999</v>
      </c>
      <c r="L127" s="2">
        <v>43533.233749999999</v>
      </c>
      <c r="M127" s="1">
        <f>_xlfn.DAYS(Table1[[#This Row],[actual_delivery_date]],Table1[[#This Row],[dispatch_date]])</f>
        <v>1</v>
      </c>
      <c r="N127">
        <v>0</v>
      </c>
      <c r="O127">
        <f>Table1[[#This Row],[transit_storage_cost]] * (1-'What -if Analysis'!$D$26)</f>
        <v>0</v>
      </c>
      <c r="P127">
        <v>102</v>
      </c>
      <c r="Q127">
        <v>1354.46</v>
      </c>
    </row>
    <row r="128" spans="1:17" x14ac:dyDescent="0.3">
      <c r="A128">
        <v>658286</v>
      </c>
      <c r="B128" s="1" t="s">
        <v>40</v>
      </c>
      <c r="C128" s="1" t="s">
        <v>23</v>
      </c>
      <c r="D128" s="1" t="s">
        <v>32</v>
      </c>
      <c r="E128" s="1" t="s">
        <v>33</v>
      </c>
      <c r="F128" s="1" t="s">
        <v>31</v>
      </c>
      <c r="G128" s="1" t="s">
        <v>20</v>
      </c>
      <c r="H128" t="s">
        <v>21</v>
      </c>
      <c r="I128" s="1" t="s">
        <v>22</v>
      </c>
      <c r="J128" s="2">
        <v>43526.244710648149</v>
      </c>
      <c r="K128" s="2">
        <v>43528.244710648149</v>
      </c>
      <c r="L128" s="2">
        <v>43529.244710648149</v>
      </c>
      <c r="M128" s="1">
        <f>_xlfn.DAYS(Table1[[#This Row],[actual_delivery_date]],Table1[[#This Row],[dispatch_date]])</f>
        <v>2</v>
      </c>
      <c r="N128">
        <v>32</v>
      </c>
      <c r="O128">
        <f>Table1[[#This Row],[transit_storage_cost]] * (1-'What -if Analysis'!$D$26)</f>
        <v>32</v>
      </c>
      <c r="P128">
        <v>106</v>
      </c>
      <c r="Q128">
        <v>1582.7236114538782</v>
      </c>
    </row>
    <row r="129" spans="1:17" x14ac:dyDescent="0.3">
      <c r="A129">
        <v>837576</v>
      </c>
      <c r="B129" s="1" t="s">
        <v>40</v>
      </c>
      <c r="C129" s="1" t="s">
        <v>23</v>
      </c>
      <c r="D129" s="1" t="s">
        <v>17</v>
      </c>
      <c r="E129" s="1" t="s">
        <v>18</v>
      </c>
      <c r="F129" s="1" t="s">
        <v>19</v>
      </c>
      <c r="G129" s="1" t="s">
        <v>20</v>
      </c>
      <c r="H129" t="s">
        <v>21</v>
      </c>
      <c r="I129" s="1" t="s">
        <v>26</v>
      </c>
      <c r="J129" s="2">
        <v>43526.254675925928</v>
      </c>
      <c r="K129" s="2">
        <v>43528.254675925928</v>
      </c>
      <c r="L129" s="2">
        <v>43529.254675925928</v>
      </c>
      <c r="M129" s="1">
        <f>_xlfn.DAYS(Table1[[#This Row],[actual_delivery_date]],Table1[[#This Row],[dispatch_date]])</f>
        <v>2</v>
      </c>
      <c r="N129">
        <v>77</v>
      </c>
      <c r="O129">
        <f>Table1[[#This Row],[transit_storage_cost]] * (1-'What -if Analysis'!$D$26)</f>
        <v>77</v>
      </c>
      <c r="P129">
        <v>87</v>
      </c>
      <c r="Q129">
        <v>737.43</v>
      </c>
    </row>
    <row r="130" spans="1:17" x14ac:dyDescent="0.3">
      <c r="A130">
        <v>361894</v>
      </c>
      <c r="B130" s="1" t="s">
        <v>37</v>
      </c>
      <c r="C130" s="1" t="s">
        <v>23</v>
      </c>
      <c r="D130" s="1" t="s">
        <v>32</v>
      </c>
      <c r="E130" s="1" t="s">
        <v>33</v>
      </c>
      <c r="F130" s="1" t="s">
        <v>31</v>
      </c>
      <c r="G130" s="1" t="s">
        <v>20</v>
      </c>
      <c r="H130" t="s">
        <v>21</v>
      </c>
      <c r="I130" s="1" t="s">
        <v>22</v>
      </c>
      <c r="J130" s="2">
        <v>43526.261701388888</v>
      </c>
      <c r="K130" s="2">
        <v>43528.261701388888</v>
      </c>
      <c r="L130" s="2">
        <v>43529.261701388888</v>
      </c>
      <c r="M130" s="1">
        <f>_xlfn.DAYS(Table1[[#This Row],[actual_delivery_date]],Table1[[#This Row],[dispatch_date]])</f>
        <v>2</v>
      </c>
      <c r="N130">
        <v>26</v>
      </c>
      <c r="O130">
        <f>Table1[[#This Row],[transit_storage_cost]] * (1-'What -if Analysis'!$D$26)</f>
        <v>26</v>
      </c>
      <c r="P130">
        <v>108</v>
      </c>
      <c r="Q130">
        <v>1446.8046535134092</v>
      </c>
    </row>
    <row r="131" spans="1:17" x14ac:dyDescent="0.3">
      <c r="A131">
        <v>656940</v>
      </c>
      <c r="B131" s="1" t="s">
        <v>38</v>
      </c>
      <c r="C131" s="1" t="s">
        <v>16</v>
      </c>
      <c r="D131" s="1" t="s">
        <v>32</v>
      </c>
      <c r="E131" s="1" t="s">
        <v>33</v>
      </c>
      <c r="F131" s="1" t="s">
        <v>19</v>
      </c>
      <c r="G131" s="1" t="s">
        <v>20</v>
      </c>
      <c r="H131" t="s">
        <v>21</v>
      </c>
      <c r="I131" s="1" t="s">
        <v>26</v>
      </c>
      <c r="J131" s="2">
        <v>43525.264062499999</v>
      </c>
      <c r="K131" s="2">
        <v>43528.264062499999</v>
      </c>
      <c r="L131" s="2">
        <v>43530.264062499999</v>
      </c>
      <c r="M131" s="1">
        <f>_xlfn.DAYS(Table1[[#This Row],[actual_delivery_date]],Table1[[#This Row],[dispatch_date]])</f>
        <v>3</v>
      </c>
      <c r="N131">
        <v>39</v>
      </c>
      <c r="O131">
        <f>Table1[[#This Row],[transit_storage_cost]] * (1-'What -if Analysis'!$D$26)</f>
        <v>39</v>
      </c>
      <c r="P131">
        <v>111</v>
      </c>
      <c r="Q131">
        <v>1948.41</v>
      </c>
    </row>
    <row r="132" spans="1:17" x14ac:dyDescent="0.3">
      <c r="A132">
        <v>690015</v>
      </c>
      <c r="B132" s="1" t="s">
        <v>37</v>
      </c>
      <c r="C132" s="1" t="s">
        <v>16</v>
      </c>
      <c r="D132" s="1" t="s">
        <v>23</v>
      </c>
      <c r="E132" s="1" t="s">
        <v>28</v>
      </c>
      <c r="F132" s="1" t="s">
        <v>19</v>
      </c>
      <c r="G132" s="1" t="s">
        <v>20</v>
      </c>
      <c r="H132" t="s">
        <v>30</v>
      </c>
      <c r="I132" s="1" t="s">
        <v>26</v>
      </c>
      <c r="J132" s="2">
        <v>43526.293391203704</v>
      </c>
      <c r="K132" s="2">
        <v>43528.293391203704</v>
      </c>
      <c r="L132" s="2">
        <v>43531.293391203704</v>
      </c>
      <c r="M132" s="1">
        <f>_xlfn.DAYS(Table1[[#This Row],[actual_delivery_date]],Table1[[#This Row],[dispatch_date]])</f>
        <v>2</v>
      </c>
      <c r="N132">
        <v>83</v>
      </c>
      <c r="O132">
        <f>Table1[[#This Row],[transit_storage_cost]] * (1-'What -if Analysis'!$D$26)</f>
        <v>83</v>
      </c>
      <c r="P132">
        <v>103</v>
      </c>
      <c r="Q132">
        <v>3263.18</v>
      </c>
    </row>
    <row r="133" spans="1:17" x14ac:dyDescent="0.3">
      <c r="A133">
        <v>575591</v>
      </c>
      <c r="B133" s="1" t="s">
        <v>39</v>
      </c>
      <c r="C133" s="1" t="s">
        <v>16</v>
      </c>
      <c r="D133" s="1" t="s">
        <v>17</v>
      </c>
      <c r="E133" s="1" t="s">
        <v>18</v>
      </c>
      <c r="F133" s="1" t="s">
        <v>29</v>
      </c>
      <c r="G133" s="1" t="s">
        <v>20</v>
      </c>
      <c r="H133" t="s">
        <v>30</v>
      </c>
      <c r="I133" s="1" t="s">
        <v>22</v>
      </c>
      <c r="J133" s="2">
        <v>43525.309571759259</v>
      </c>
      <c r="K133" s="2">
        <v>43528.309571759259</v>
      </c>
      <c r="L133" s="2">
        <v>43530.309571759259</v>
      </c>
      <c r="M133" s="1">
        <f>_xlfn.DAYS(Table1[[#This Row],[actual_delivery_date]],Table1[[#This Row],[dispatch_date]])</f>
        <v>3</v>
      </c>
      <c r="N133">
        <v>50</v>
      </c>
      <c r="O133">
        <f>Table1[[#This Row],[transit_storage_cost]] * (1-'What -if Analysis'!$D$26)</f>
        <v>50</v>
      </c>
      <c r="P133">
        <v>113</v>
      </c>
      <c r="Q133">
        <v>651.82310924871092</v>
      </c>
    </row>
    <row r="134" spans="1:17" x14ac:dyDescent="0.3">
      <c r="A134">
        <v>768237</v>
      </c>
      <c r="B134" s="1" t="s">
        <v>41</v>
      </c>
      <c r="C134" s="1" t="s">
        <v>23</v>
      </c>
      <c r="D134" s="1" t="s">
        <v>16</v>
      </c>
      <c r="E134" s="1" t="s">
        <v>27</v>
      </c>
      <c r="F134" s="1" t="s">
        <v>19</v>
      </c>
      <c r="G134" s="1" t="s">
        <v>20</v>
      </c>
      <c r="H134" t="s">
        <v>30</v>
      </c>
      <c r="I134" s="1" t="s">
        <v>26</v>
      </c>
      <c r="J134" s="2">
        <v>43526.311527777776</v>
      </c>
      <c r="K134" s="2">
        <v>43528.311527777776</v>
      </c>
      <c r="L134" s="2">
        <v>43530.311527777776</v>
      </c>
      <c r="M134" s="1">
        <f>_xlfn.DAYS(Table1[[#This Row],[actual_delivery_date]],Table1[[#This Row],[dispatch_date]])</f>
        <v>2</v>
      </c>
      <c r="N134">
        <v>62</v>
      </c>
      <c r="O134">
        <f>Table1[[#This Row],[transit_storage_cost]] * (1-'What -if Analysis'!$D$26)</f>
        <v>62</v>
      </c>
      <c r="P134">
        <v>109</v>
      </c>
      <c r="Q134">
        <v>1921.02</v>
      </c>
    </row>
    <row r="135" spans="1:17" x14ac:dyDescent="0.3">
      <c r="A135">
        <v>332276</v>
      </c>
      <c r="B135" s="1" t="s">
        <v>41</v>
      </c>
      <c r="C135" s="1" t="s">
        <v>23</v>
      </c>
      <c r="D135" s="1" t="s">
        <v>16</v>
      </c>
      <c r="E135" s="1" t="s">
        <v>27</v>
      </c>
      <c r="F135" s="1" t="s">
        <v>19</v>
      </c>
      <c r="G135" s="1" t="s">
        <v>20</v>
      </c>
      <c r="H135" t="s">
        <v>21</v>
      </c>
      <c r="I135" s="1" t="s">
        <v>22</v>
      </c>
      <c r="J135" s="2">
        <v>43526.319849537038</v>
      </c>
      <c r="K135" s="2">
        <v>43528.319849537038</v>
      </c>
      <c r="L135" s="2">
        <v>43529.319849537038</v>
      </c>
      <c r="M135" s="1">
        <f>_xlfn.DAYS(Table1[[#This Row],[actual_delivery_date]],Table1[[#This Row],[dispatch_date]])</f>
        <v>2</v>
      </c>
      <c r="N135">
        <v>27</v>
      </c>
      <c r="O135">
        <f>Table1[[#This Row],[transit_storage_cost]] * (1-'What -if Analysis'!$D$26)</f>
        <v>27</v>
      </c>
      <c r="P135">
        <v>124</v>
      </c>
      <c r="Q135">
        <v>371.75790649018097</v>
      </c>
    </row>
    <row r="136" spans="1:17" x14ac:dyDescent="0.3">
      <c r="A136">
        <v>217660</v>
      </c>
      <c r="B136" s="1" t="s">
        <v>39</v>
      </c>
      <c r="C136" s="1" t="s">
        <v>16</v>
      </c>
      <c r="D136" s="1" t="s">
        <v>16</v>
      </c>
      <c r="E136" s="1" t="s">
        <v>27</v>
      </c>
      <c r="F136" s="1" t="s">
        <v>19</v>
      </c>
      <c r="G136" s="1" t="s">
        <v>20</v>
      </c>
      <c r="H136" t="s">
        <v>21</v>
      </c>
      <c r="I136" s="1" t="s">
        <v>22</v>
      </c>
      <c r="J136" s="2">
        <v>43525.323460648149</v>
      </c>
      <c r="K136" s="2">
        <v>43528.323460648149</v>
      </c>
      <c r="L136" s="2">
        <v>43529.323460648149</v>
      </c>
      <c r="M136" s="1">
        <f>_xlfn.DAYS(Table1[[#This Row],[actual_delivery_date]],Table1[[#This Row],[dispatch_date]])</f>
        <v>3</v>
      </c>
      <c r="N136">
        <v>0</v>
      </c>
      <c r="O136">
        <f>Table1[[#This Row],[transit_storage_cost]] * (1-'What -if Analysis'!$D$26)</f>
        <v>0</v>
      </c>
      <c r="P136">
        <v>121</v>
      </c>
      <c r="Q136">
        <v>924.32133835905665</v>
      </c>
    </row>
    <row r="137" spans="1:17" x14ac:dyDescent="0.3">
      <c r="A137">
        <v>634170</v>
      </c>
      <c r="B137" s="1" t="s">
        <v>40</v>
      </c>
      <c r="C137" s="1" t="s">
        <v>23</v>
      </c>
      <c r="D137" s="1" t="s">
        <v>16</v>
      </c>
      <c r="E137" s="1" t="s">
        <v>27</v>
      </c>
      <c r="F137" s="1" t="s">
        <v>19</v>
      </c>
      <c r="G137" s="1" t="s">
        <v>20</v>
      </c>
      <c r="H137" t="s">
        <v>21</v>
      </c>
      <c r="I137" s="1" t="s">
        <v>26</v>
      </c>
      <c r="J137" s="2">
        <v>43525.323912037034</v>
      </c>
      <c r="K137" s="2">
        <v>43528.323912037034</v>
      </c>
      <c r="L137" s="2">
        <v>43529.323912037034</v>
      </c>
      <c r="M137" s="1">
        <f>_xlfn.DAYS(Table1[[#This Row],[actual_delivery_date]],Table1[[#This Row],[dispatch_date]])</f>
        <v>3</v>
      </c>
      <c r="N137">
        <v>84</v>
      </c>
      <c r="O137">
        <f>Table1[[#This Row],[transit_storage_cost]] * (1-'What -if Analysis'!$D$26)</f>
        <v>84</v>
      </c>
      <c r="P137">
        <v>101</v>
      </c>
      <c r="Q137">
        <v>618.33000000000004</v>
      </c>
    </row>
    <row r="138" spans="1:17" x14ac:dyDescent="0.3">
      <c r="A138">
        <v>946703</v>
      </c>
      <c r="B138" s="1" t="s">
        <v>37</v>
      </c>
      <c r="C138" s="1" t="s">
        <v>23</v>
      </c>
      <c r="D138" s="1" t="s">
        <v>32</v>
      </c>
      <c r="E138" s="1" t="s">
        <v>33</v>
      </c>
      <c r="F138" s="1" t="s">
        <v>29</v>
      </c>
      <c r="G138" s="1" t="s">
        <v>20</v>
      </c>
      <c r="H138" t="s">
        <v>30</v>
      </c>
      <c r="I138" s="1" t="s">
        <v>22</v>
      </c>
      <c r="J138" s="2">
        <v>43526.33053240741</v>
      </c>
      <c r="K138" s="2">
        <v>43528.33053240741</v>
      </c>
      <c r="L138" s="2">
        <v>43530.33053240741</v>
      </c>
      <c r="M138" s="1">
        <f>_xlfn.DAYS(Table1[[#This Row],[actual_delivery_date]],Table1[[#This Row],[dispatch_date]])</f>
        <v>2</v>
      </c>
      <c r="N138">
        <v>44</v>
      </c>
      <c r="O138">
        <f>Table1[[#This Row],[transit_storage_cost]] * (1-'What -if Analysis'!$D$26)</f>
        <v>44</v>
      </c>
      <c r="P138">
        <v>110</v>
      </c>
      <c r="Q138">
        <v>1739.6072353431832</v>
      </c>
    </row>
    <row r="139" spans="1:17" x14ac:dyDescent="0.3">
      <c r="A139">
        <v>5291</v>
      </c>
      <c r="B139" s="1" t="s">
        <v>40</v>
      </c>
      <c r="C139" s="1" t="s">
        <v>16</v>
      </c>
      <c r="D139" s="1" t="s">
        <v>16</v>
      </c>
      <c r="E139" s="1" t="s">
        <v>27</v>
      </c>
      <c r="F139" s="1" t="s">
        <v>19</v>
      </c>
      <c r="G139" s="1" t="s">
        <v>20</v>
      </c>
      <c r="H139" t="s">
        <v>30</v>
      </c>
      <c r="I139" s="1" t="s">
        <v>22</v>
      </c>
      <c r="J139" s="2">
        <v>43526.345335648148</v>
      </c>
      <c r="K139" s="2">
        <v>43528.345335648148</v>
      </c>
      <c r="L139" s="2">
        <v>43533.345335648148</v>
      </c>
      <c r="M139" s="1">
        <f>_xlfn.DAYS(Table1[[#This Row],[actual_delivery_date]],Table1[[#This Row],[dispatch_date]])</f>
        <v>2</v>
      </c>
      <c r="N139">
        <v>0</v>
      </c>
      <c r="O139">
        <f>Table1[[#This Row],[transit_storage_cost]] * (1-'What -if Analysis'!$D$26)</f>
        <v>0</v>
      </c>
      <c r="P139">
        <v>109</v>
      </c>
      <c r="Q139">
        <v>1560.1258189443038</v>
      </c>
    </row>
    <row r="140" spans="1:17" x14ac:dyDescent="0.3">
      <c r="A140">
        <v>511950</v>
      </c>
      <c r="B140" s="1" t="s">
        <v>41</v>
      </c>
      <c r="C140" s="1" t="s">
        <v>16</v>
      </c>
      <c r="D140" s="1" t="s">
        <v>16</v>
      </c>
      <c r="E140" s="1" t="s">
        <v>27</v>
      </c>
      <c r="F140" s="1" t="s">
        <v>19</v>
      </c>
      <c r="G140" s="1" t="s">
        <v>20</v>
      </c>
      <c r="H140" t="s">
        <v>21</v>
      </c>
      <c r="I140" s="1" t="s">
        <v>26</v>
      </c>
      <c r="J140" s="2">
        <v>43528.349432870367</v>
      </c>
      <c r="K140" s="2">
        <v>43528.349432870367</v>
      </c>
      <c r="L140" s="2">
        <v>43535.349432870367</v>
      </c>
      <c r="M140" s="1">
        <f>_xlfn.DAYS(Table1[[#This Row],[actual_delivery_date]],Table1[[#This Row],[dispatch_date]])</f>
        <v>0</v>
      </c>
      <c r="N140">
        <v>0</v>
      </c>
      <c r="O140">
        <f>Table1[[#This Row],[transit_storage_cost]] * (1-'What -if Analysis'!$D$26)</f>
        <v>0</v>
      </c>
      <c r="P140">
        <v>110</v>
      </c>
      <c r="Q140">
        <v>1392.21</v>
      </c>
    </row>
    <row r="141" spans="1:17" x14ac:dyDescent="0.3">
      <c r="A141">
        <v>728290</v>
      </c>
      <c r="B141" s="1" t="s">
        <v>40</v>
      </c>
      <c r="C141" s="1" t="s">
        <v>23</v>
      </c>
      <c r="D141" s="1" t="s">
        <v>17</v>
      </c>
      <c r="E141" s="1" t="s">
        <v>18</v>
      </c>
      <c r="F141" s="1" t="s">
        <v>19</v>
      </c>
      <c r="G141" s="1" t="s">
        <v>20</v>
      </c>
      <c r="H141" t="s">
        <v>21</v>
      </c>
      <c r="I141" s="1" t="s">
        <v>22</v>
      </c>
      <c r="J141" s="2">
        <v>43525.359976851854</v>
      </c>
      <c r="K141" s="2">
        <v>43528.359976851854</v>
      </c>
      <c r="L141" s="2">
        <v>43528.359976851854</v>
      </c>
      <c r="M141" s="1">
        <f>_xlfn.DAYS(Table1[[#This Row],[actual_delivery_date]],Table1[[#This Row],[dispatch_date]])</f>
        <v>3</v>
      </c>
      <c r="N141">
        <v>90</v>
      </c>
      <c r="O141">
        <f>Table1[[#This Row],[transit_storage_cost]] * (1-'What -if Analysis'!$D$26)</f>
        <v>90</v>
      </c>
      <c r="P141">
        <v>93</v>
      </c>
      <c r="Q141">
        <v>1835.3591890282653</v>
      </c>
    </row>
    <row r="142" spans="1:17" x14ac:dyDescent="0.3">
      <c r="A142">
        <v>26891</v>
      </c>
      <c r="B142" s="1" t="s">
        <v>38</v>
      </c>
      <c r="C142" s="1" t="s">
        <v>23</v>
      </c>
      <c r="D142" s="1" t="s">
        <v>17</v>
      </c>
      <c r="E142" s="1" t="s">
        <v>18</v>
      </c>
      <c r="F142" s="1" t="s">
        <v>19</v>
      </c>
      <c r="G142" s="1" t="s">
        <v>20</v>
      </c>
      <c r="H142" t="s">
        <v>30</v>
      </c>
      <c r="I142" s="1" t="s">
        <v>22</v>
      </c>
      <c r="J142" s="2">
        <v>43526.364525462966</v>
      </c>
      <c r="K142" s="2">
        <v>43528.364525462966</v>
      </c>
      <c r="L142" s="2">
        <v>43533.364525462966</v>
      </c>
      <c r="M142" s="1">
        <f>_xlfn.DAYS(Table1[[#This Row],[actual_delivery_date]],Table1[[#This Row],[dispatch_date]])</f>
        <v>2</v>
      </c>
      <c r="N142">
        <v>86</v>
      </c>
      <c r="O142">
        <f>Table1[[#This Row],[transit_storage_cost]] * (1-'What -if Analysis'!$D$26)</f>
        <v>86</v>
      </c>
      <c r="P142">
        <v>91</v>
      </c>
      <c r="Q142">
        <v>1695.0599240038412</v>
      </c>
    </row>
    <row r="143" spans="1:17" x14ac:dyDescent="0.3">
      <c r="A143">
        <v>34440</v>
      </c>
      <c r="B143" s="1" t="s">
        <v>37</v>
      </c>
      <c r="C143" s="1" t="s">
        <v>16</v>
      </c>
      <c r="D143" s="1" t="s">
        <v>16</v>
      </c>
      <c r="E143" s="1" t="s">
        <v>27</v>
      </c>
      <c r="F143" s="1" t="s">
        <v>19</v>
      </c>
      <c r="G143" s="1" t="s">
        <v>20</v>
      </c>
      <c r="H143" t="s">
        <v>21</v>
      </c>
      <c r="I143" s="1" t="s">
        <v>26</v>
      </c>
      <c r="J143" s="2">
        <v>43525.372013888889</v>
      </c>
      <c r="K143" s="2">
        <v>43528.372013888889</v>
      </c>
      <c r="L143" s="2">
        <v>43532.372013888889</v>
      </c>
      <c r="M143" s="1">
        <f>_xlfn.DAYS(Table1[[#This Row],[actual_delivery_date]],Table1[[#This Row],[dispatch_date]])</f>
        <v>3</v>
      </c>
      <c r="N143">
        <v>0</v>
      </c>
      <c r="O143">
        <f>Table1[[#This Row],[transit_storage_cost]] * (1-'What -if Analysis'!$D$26)</f>
        <v>0</v>
      </c>
      <c r="P143">
        <v>128</v>
      </c>
      <c r="Q143">
        <v>937.67</v>
      </c>
    </row>
    <row r="144" spans="1:17" x14ac:dyDescent="0.3">
      <c r="A144">
        <v>962895</v>
      </c>
      <c r="B144" s="1" t="s">
        <v>15</v>
      </c>
      <c r="C144" s="1" t="s">
        <v>23</v>
      </c>
      <c r="D144" s="1" t="s">
        <v>17</v>
      </c>
      <c r="E144" s="1" t="s">
        <v>18</v>
      </c>
      <c r="F144" s="1" t="s">
        <v>29</v>
      </c>
      <c r="G144" s="1" t="s">
        <v>20</v>
      </c>
      <c r="H144" t="s">
        <v>30</v>
      </c>
      <c r="I144" s="1" t="s">
        <v>26</v>
      </c>
      <c r="J144" s="2">
        <v>43525.37290509259</v>
      </c>
      <c r="K144" s="2">
        <v>43528.37290509259</v>
      </c>
      <c r="L144" s="2">
        <v>43530.37290509259</v>
      </c>
      <c r="M144" s="1">
        <f>_xlfn.DAYS(Table1[[#This Row],[actual_delivery_date]],Table1[[#This Row],[dispatch_date]])</f>
        <v>3</v>
      </c>
      <c r="N144">
        <v>47</v>
      </c>
      <c r="O144">
        <f>Table1[[#This Row],[transit_storage_cost]] * (1-'What -if Analysis'!$D$26)</f>
        <v>47</v>
      </c>
      <c r="P144">
        <v>110</v>
      </c>
      <c r="Q144">
        <v>2031.18</v>
      </c>
    </row>
    <row r="145" spans="1:17" x14ac:dyDescent="0.3">
      <c r="A145">
        <v>453971</v>
      </c>
      <c r="B145" s="1" t="s">
        <v>37</v>
      </c>
      <c r="C145" s="1" t="s">
        <v>23</v>
      </c>
      <c r="D145" s="1" t="s">
        <v>23</v>
      </c>
      <c r="E145" s="1" t="s">
        <v>28</v>
      </c>
      <c r="F145" s="1" t="s">
        <v>29</v>
      </c>
      <c r="G145" s="1" t="s">
        <v>36</v>
      </c>
      <c r="H145" t="s">
        <v>34</v>
      </c>
      <c r="I145" s="1" t="s">
        <v>22</v>
      </c>
      <c r="J145" s="2">
        <v>43525.386458333334</v>
      </c>
      <c r="K145" s="2">
        <v>43528.386458333334</v>
      </c>
      <c r="L145" s="2">
        <v>43530.386458333334</v>
      </c>
      <c r="M145" s="1">
        <f>_xlfn.DAYS(Table1[[#This Row],[actual_delivery_date]],Table1[[#This Row],[dispatch_date]])</f>
        <v>3</v>
      </c>
      <c r="N145">
        <v>0</v>
      </c>
      <c r="O145">
        <f>Table1[[#This Row],[transit_storage_cost]] * (1-'What -if Analysis'!$D$26)</f>
        <v>0</v>
      </c>
      <c r="P145">
        <v>127</v>
      </c>
      <c r="Q145">
        <v>3115.4662212335961</v>
      </c>
    </row>
    <row r="146" spans="1:17" x14ac:dyDescent="0.3">
      <c r="A146">
        <v>617806</v>
      </c>
      <c r="B146" s="1" t="s">
        <v>40</v>
      </c>
      <c r="C146" s="1" t="s">
        <v>23</v>
      </c>
      <c r="D146" s="1" t="s">
        <v>23</v>
      </c>
      <c r="E146" s="1" t="s">
        <v>28</v>
      </c>
      <c r="F146" s="1" t="s">
        <v>19</v>
      </c>
      <c r="G146" s="1" t="s">
        <v>20</v>
      </c>
      <c r="H146" t="s">
        <v>21</v>
      </c>
      <c r="I146" s="1" t="s">
        <v>22</v>
      </c>
      <c r="J146" s="2">
        <v>43528.397847222222</v>
      </c>
      <c r="K146" s="2">
        <v>43528.397847222222</v>
      </c>
      <c r="L146" s="2">
        <v>43531.397847222222</v>
      </c>
      <c r="M146" s="1">
        <f>_xlfn.DAYS(Table1[[#This Row],[actual_delivery_date]],Table1[[#This Row],[dispatch_date]])</f>
        <v>0</v>
      </c>
      <c r="N146">
        <v>0</v>
      </c>
      <c r="O146">
        <f>Table1[[#This Row],[transit_storage_cost]] * (1-'What -if Analysis'!$D$26)</f>
        <v>0</v>
      </c>
      <c r="P146">
        <v>104</v>
      </c>
      <c r="Q146">
        <v>2123.3295126362877</v>
      </c>
    </row>
    <row r="147" spans="1:17" x14ac:dyDescent="0.3">
      <c r="A147">
        <v>988385</v>
      </c>
      <c r="B147" s="1" t="s">
        <v>38</v>
      </c>
      <c r="C147" s="1" t="s">
        <v>16</v>
      </c>
      <c r="D147" s="1" t="s">
        <v>16</v>
      </c>
      <c r="E147" s="1" t="s">
        <v>27</v>
      </c>
      <c r="F147" s="1" t="s">
        <v>19</v>
      </c>
      <c r="G147" s="1" t="s">
        <v>20</v>
      </c>
      <c r="H147" t="s">
        <v>30</v>
      </c>
      <c r="I147" s="1" t="s">
        <v>22</v>
      </c>
      <c r="J147" s="2">
        <v>43528.3984837963</v>
      </c>
      <c r="K147" s="2">
        <v>43528.3984837963</v>
      </c>
      <c r="L147" s="2">
        <v>43531.3984837963</v>
      </c>
      <c r="M147" s="1">
        <f>_xlfn.DAYS(Table1[[#This Row],[actual_delivery_date]],Table1[[#This Row],[dispatch_date]])</f>
        <v>0</v>
      </c>
      <c r="N147">
        <v>0</v>
      </c>
      <c r="O147">
        <f>Table1[[#This Row],[transit_storage_cost]] * (1-'What -if Analysis'!$D$26)</f>
        <v>0</v>
      </c>
      <c r="P147">
        <v>104</v>
      </c>
      <c r="Q147">
        <v>2592.3322238866535</v>
      </c>
    </row>
    <row r="148" spans="1:17" x14ac:dyDescent="0.3">
      <c r="A148">
        <v>248281</v>
      </c>
      <c r="B148" s="1" t="s">
        <v>38</v>
      </c>
      <c r="C148" s="1" t="s">
        <v>23</v>
      </c>
      <c r="D148" s="1" t="s">
        <v>23</v>
      </c>
      <c r="E148" s="1" t="s">
        <v>28</v>
      </c>
      <c r="F148" s="1" t="s">
        <v>29</v>
      </c>
      <c r="G148" s="1" t="s">
        <v>20</v>
      </c>
      <c r="H148" t="s">
        <v>30</v>
      </c>
      <c r="I148" s="1" t="s">
        <v>22</v>
      </c>
      <c r="J148" s="2">
        <v>43525.401400462964</v>
      </c>
      <c r="K148" s="2">
        <v>43528.401400462964</v>
      </c>
      <c r="L148" s="2">
        <v>43529.401400462964</v>
      </c>
      <c r="M148" s="1">
        <f>_xlfn.DAYS(Table1[[#This Row],[actual_delivery_date]],Table1[[#This Row],[dispatch_date]])</f>
        <v>3</v>
      </c>
      <c r="N148">
        <v>0</v>
      </c>
      <c r="O148">
        <f>Table1[[#This Row],[transit_storage_cost]] * (1-'What -if Analysis'!$D$26)</f>
        <v>0</v>
      </c>
      <c r="P148">
        <v>127</v>
      </c>
      <c r="Q148">
        <v>1459.7654616162638</v>
      </c>
    </row>
    <row r="149" spans="1:17" x14ac:dyDescent="0.3">
      <c r="A149">
        <v>168644</v>
      </c>
      <c r="B149" s="1" t="s">
        <v>37</v>
      </c>
      <c r="C149" s="1" t="s">
        <v>23</v>
      </c>
      <c r="D149" s="1" t="s">
        <v>17</v>
      </c>
      <c r="E149" s="1" t="s">
        <v>18</v>
      </c>
      <c r="F149" s="1" t="s">
        <v>19</v>
      </c>
      <c r="G149" s="1" t="s">
        <v>20</v>
      </c>
      <c r="H149" t="s">
        <v>21</v>
      </c>
      <c r="I149" s="1" t="s">
        <v>22</v>
      </c>
      <c r="J149" s="2">
        <v>43526.411145833335</v>
      </c>
      <c r="K149" s="2">
        <v>43528.411145833335</v>
      </c>
      <c r="L149" s="2">
        <v>43529.411145833335</v>
      </c>
      <c r="M149" s="1">
        <f>_xlfn.DAYS(Table1[[#This Row],[actual_delivery_date]],Table1[[#This Row],[dispatch_date]])</f>
        <v>2</v>
      </c>
      <c r="N149">
        <v>48</v>
      </c>
      <c r="O149">
        <f>Table1[[#This Row],[transit_storage_cost]] * (1-'What -if Analysis'!$D$26)</f>
        <v>48</v>
      </c>
      <c r="P149">
        <v>111</v>
      </c>
      <c r="Q149">
        <v>1466.0320772139644</v>
      </c>
    </row>
    <row r="150" spans="1:17" x14ac:dyDescent="0.3">
      <c r="A150">
        <v>64842</v>
      </c>
      <c r="B150" s="1" t="s">
        <v>38</v>
      </c>
      <c r="C150" s="1" t="s">
        <v>23</v>
      </c>
      <c r="D150" s="1" t="s">
        <v>32</v>
      </c>
      <c r="E150" s="1" t="s">
        <v>33</v>
      </c>
      <c r="F150" s="1" t="s">
        <v>31</v>
      </c>
      <c r="G150" s="1" t="s">
        <v>20</v>
      </c>
      <c r="H150" t="s">
        <v>21</v>
      </c>
      <c r="I150" s="1" t="s">
        <v>26</v>
      </c>
      <c r="J150" s="2">
        <v>43525.412905092591</v>
      </c>
      <c r="K150" s="2">
        <v>43528.412905092591</v>
      </c>
      <c r="L150" s="2">
        <v>43532.412905092591</v>
      </c>
      <c r="M150" s="1">
        <f>_xlfn.DAYS(Table1[[#This Row],[actual_delivery_date]],Table1[[#This Row],[dispatch_date]])</f>
        <v>3</v>
      </c>
      <c r="N150">
        <v>25</v>
      </c>
      <c r="O150">
        <f>Table1[[#This Row],[transit_storage_cost]] * (1-'What -if Analysis'!$D$26)</f>
        <v>25</v>
      </c>
      <c r="P150">
        <v>114</v>
      </c>
      <c r="Q150">
        <v>1729.68</v>
      </c>
    </row>
    <row r="151" spans="1:17" x14ac:dyDescent="0.3">
      <c r="A151">
        <v>972467</v>
      </c>
      <c r="B151" s="1" t="s">
        <v>41</v>
      </c>
      <c r="C151" s="1" t="s">
        <v>23</v>
      </c>
      <c r="D151" s="1" t="s">
        <v>24</v>
      </c>
      <c r="E151" s="1" t="s">
        <v>25</v>
      </c>
      <c r="F151" s="1" t="s">
        <v>29</v>
      </c>
      <c r="G151" s="1" t="s">
        <v>20</v>
      </c>
      <c r="H151" t="s">
        <v>30</v>
      </c>
      <c r="I151" s="1" t="s">
        <v>22</v>
      </c>
      <c r="J151" s="2">
        <v>43526.425057870372</v>
      </c>
      <c r="K151" s="2">
        <v>43528.425057870372</v>
      </c>
      <c r="L151" s="2">
        <v>43532.425057870372</v>
      </c>
      <c r="M151" s="1">
        <f>_xlfn.DAYS(Table1[[#This Row],[actual_delivery_date]],Table1[[#This Row],[dispatch_date]])</f>
        <v>2</v>
      </c>
      <c r="N151">
        <v>36</v>
      </c>
      <c r="O151">
        <f>Table1[[#This Row],[transit_storage_cost]] * (1-'What -if Analysis'!$D$26)</f>
        <v>36</v>
      </c>
      <c r="P151">
        <v>127</v>
      </c>
      <c r="Q151">
        <v>2754.7789073679951</v>
      </c>
    </row>
    <row r="152" spans="1:17" x14ac:dyDescent="0.3">
      <c r="A152">
        <v>74428</v>
      </c>
      <c r="B152" s="1" t="s">
        <v>37</v>
      </c>
      <c r="C152" s="1" t="s">
        <v>16</v>
      </c>
      <c r="D152" s="1" t="s">
        <v>16</v>
      </c>
      <c r="E152" s="1" t="s">
        <v>27</v>
      </c>
      <c r="F152" s="1" t="s">
        <v>19</v>
      </c>
      <c r="G152" s="1" t="s">
        <v>20</v>
      </c>
      <c r="H152" t="s">
        <v>21</v>
      </c>
      <c r="I152" s="1" t="s">
        <v>22</v>
      </c>
      <c r="J152" s="2">
        <v>43527.435613425929</v>
      </c>
      <c r="K152" s="2">
        <v>43528.435613425929</v>
      </c>
      <c r="L152" s="2">
        <v>43531.435613425929</v>
      </c>
      <c r="M152" s="1">
        <f>_xlfn.DAYS(Table1[[#This Row],[actual_delivery_date]],Table1[[#This Row],[dispatch_date]])</f>
        <v>1</v>
      </c>
      <c r="N152">
        <v>0</v>
      </c>
      <c r="O152">
        <f>Table1[[#This Row],[transit_storage_cost]] * (1-'What -if Analysis'!$D$26)</f>
        <v>0</v>
      </c>
      <c r="P152">
        <v>104</v>
      </c>
      <c r="Q152">
        <v>666.81883443603078</v>
      </c>
    </row>
    <row r="153" spans="1:17" x14ac:dyDescent="0.3">
      <c r="A153">
        <v>199657</v>
      </c>
      <c r="B153" s="1" t="s">
        <v>40</v>
      </c>
      <c r="C153" s="1" t="s">
        <v>16</v>
      </c>
      <c r="D153" s="1" t="s">
        <v>17</v>
      </c>
      <c r="E153" s="1" t="s">
        <v>18</v>
      </c>
      <c r="F153" s="1" t="s">
        <v>19</v>
      </c>
      <c r="G153" s="1" t="s">
        <v>20</v>
      </c>
      <c r="H153" t="s">
        <v>30</v>
      </c>
      <c r="I153" s="1" t="s">
        <v>22</v>
      </c>
      <c r="J153" s="2">
        <v>43526.450682870367</v>
      </c>
      <c r="K153" s="2">
        <v>43528.450682870367</v>
      </c>
      <c r="L153" s="2">
        <v>43530.450682870367</v>
      </c>
      <c r="M153" s="1">
        <f>_xlfn.DAYS(Table1[[#This Row],[actual_delivery_date]],Table1[[#This Row],[dispatch_date]])</f>
        <v>2</v>
      </c>
      <c r="N153">
        <v>62</v>
      </c>
      <c r="O153">
        <f>Table1[[#This Row],[transit_storage_cost]] * (1-'What -if Analysis'!$D$26)</f>
        <v>62</v>
      </c>
      <c r="P153">
        <v>91</v>
      </c>
      <c r="Q153">
        <v>963.35528937971242</v>
      </c>
    </row>
    <row r="154" spans="1:17" x14ac:dyDescent="0.3">
      <c r="A154">
        <v>980559</v>
      </c>
      <c r="B154" s="1" t="s">
        <v>38</v>
      </c>
      <c r="C154" s="1" t="s">
        <v>16</v>
      </c>
      <c r="D154" s="1" t="s">
        <v>24</v>
      </c>
      <c r="E154" s="1" t="s">
        <v>25</v>
      </c>
      <c r="F154" s="1" t="s">
        <v>29</v>
      </c>
      <c r="G154" s="1" t="s">
        <v>20</v>
      </c>
      <c r="H154" t="s">
        <v>30</v>
      </c>
      <c r="I154" s="1" t="s">
        <v>26</v>
      </c>
      <c r="J154" s="2">
        <v>43525.457245370373</v>
      </c>
      <c r="K154" s="2">
        <v>43528.457245370373</v>
      </c>
      <c r="L154" s="2">
        <v>43531.457245370373</v>
      </c>
      <c r="M154" s="1">
        <f>_xlfn.DAYS(Table1[[#This Row],[actual_delivery_date]],Table1[[#This Row],[dispatch_date]])</f>
        <v>3</v>
      </c>
      <c r="N154">
        <v>43</v>
      </c>
      <c r="O154">
        <f>Table1[[#This Row],[transit_storage_cost]] * (1-'What -if Analysis'!$D$26)</f>
        <v>43</v>
      </c>
      <c r="P154">
        <v>128</v>
      </c>
      <c r="Q154">
        <v>1910.38</v>
      </c>
    </row>
    <row r="155" spans="1:17" x14ac:dyDescent="0.3">
      <c r="A155">
        <v>863056</v>
      </c>
      <c r="B155" s="1" t="s">
        <v>37</v>
      </c>
      <c r="C155" s="1" t="s">
        <v>16</v>
      </c>
      <c r="D155" s="1" t="s">
        <v>17</v>
      </c>
      <c r="E155" s="1" t="s">
        <v>18</v>
      </c>
      <c r="F155" s="1" t="s">
        <v>19</v>
      </c>
      <c r="G155" s="1" t="s">
        <v>20</v>
      </c>
      <c r="H155" t="s">
        <v>21</v>
      </c>
      <c r="I155" s="1" t="s">
        <v>22</v>
      </c>
      <c r="J155" s="2">
        <v>43526.457662037035</v>
      </c>
      <c r="K155" s="2">
        <v>43528.457662037035</v>
      </c>
      <c r="L155" s="2">
        <v>43529.457662037035</v>
      </c>
      <c r="M155" s="1">
        <f>_xlfn.DAYS(Table1[[#This Row],[actual_delivery_date]],Table1[[#This Row],[dispatch_date]])</f>
        <v>2</v>
      </c>
      <c r="N155">
        <v>50</v>
      </c>
      <c r="O155">
        <f>Table1[[#This Row],[transit_storage_cost]] * (1-'What -if Analysis'!$D$26)</f>
        <v>50</v>
      </c>
      <c r="P155">
        <v>109</v>
      </c>
      <c r="Q155">
        <v>1062.5756070396787</v>
      </c>
    </row>
    <row r="156" spans="1:17" x14ac:dyDescent="0.3">
      <c r="A156">
        <v>331610</v>
      </c>
      <c r="B156" s="1" t="s">
        <v>38</v>
      </c>
      <c r="C156" s="1" t="s">
        <v>16</v>
      </c>
      <c r="D156" s="1" t="s">
        <v>17</v>
      </c>
      <c r="E156" s="1" t="s">
        <v>18</v>
      </c>
      <c r="F156" s="1" t="s">
        <v>19</v>
      </c>
      <c r="G156" s="1" t="s">
        <v>20</v>
      </c>
      <c r="H156" t="s">
        <v>21</v>
      </c>
      <c r="I156" s="1" t="s">
        <v>22</v>
      </c>
      <c r="J156" s="2">
        <v>43526.45784722222</v>
      </c>
      <c r="K156" s="2">
        <v>43528.45784722222</v>
      </c>
      <c r="L156" s="2">
        <v>43533.45784722222</v>
      </c>
      <c r="M156" s="1">
        <f>_xlfn.DAYS(Table1[[#This Row],[actual_delivery_date]],Table1[[#This Row],[dispatch_date]])</f>
        <v>2</v>
      </c>
      <c r="N156">
        <v>73</v>
      </c>
      <c r="O156">
        <f>Table1[[#This Row],[transit_storage_cost]] * (1-'What -if Analysis'!$D$26)</f>
        <v>73</v>
      </c>
      <c r="P156">
        <v>88</v>
      </c>
      <c r="Q156">
        <v>1087.3825468727296</v>
      </c>
    </row>
    <row r="157" spans="1:17" x14ac:dyDescent="0.3">
      <c r="A157">
        <v>892748</v>
      </c>
      <c r="B157" s="1" t="s">
        <v>37</v>
      </c>
      <c r="C157" s="1" t="s">
        <v>16</v>
      </c>
      <c r="D157" s="1" t="s">
        <v>16</v>
      </c>
      <c r="E157" s="1" t="s">
        <v>27</v>
      </c>
      <c r="F157" s="1" t="s">
        <v>19</v>
      </c>
      <c r="G157" s="1" t="s">
        <v>20</v>
      </c>
      <c r="H157" t="s">
        <v>21</v>
      </c>
      <c r="I157" s="1" t="s">
        <v>22</v>
      </c>
      <c r="J157" s="2">
        <v>43527.478935185187</v>
      </c>
      <c r="K157" s="2">
        <v>43528.478935185187</v>
      </c>
      <c r="L157" s="2">
        <v>43534.478935185187</v>
      </c>
      <c r="M157" s="1">
        <f>_xlfn.DAYS(Table1[[#This Row],[actual_delivery_date]],Table1[[#This Row],[dispatch_date]])</f>
        <v>1</v>
      </c>
      <c r="N157">
        <v>0</v>
      </c>
      <c r="O157">
        <f>Table1[[#This Row],[transit_storage_cost]] * (1-'What -if Analysis'!$D$26)</f>
        <v>0</v>
      </c>
      <c r="P157">
        <v>120</v>
      </c>
      <c r="Q157">
        <v>2499.3789746101315</v>
      </c>
    </row>
    <row r="158" spans="1:17" x14ac:dyDescent="0.3">
      <c r="A158">
        <v>223884</v>
      </c>
      <c r="B158" s="1" t="s">
        <v>41</v>
      </c>
      <c r="C158" s="1" t="s">
        <v>16</v>
      </c>
      <c r="D158" s="1" t="s">
        <v>17</v>
      </c>
      <c r="E158" s="1" t="s">
        <v>18</v>
      </c>
      <c r="F158" s="1" t="s">
        <v>19</v>
      </c>
      <c r="G158" s="1" t="s">
        <v>20</v>
      </c>
      <c r="H158" t="s">
        <v>21</v>
      </c>
      <c r="I158" s="1" t="s">
        <v>26</v>
      </c>
      <c r="J158" s="2">
        <v>43526.48065972222</v>
      </c>
      <c r="K158" s="2">
        <v>43528.48065972222</v>
      </c>
      <c r="L158" s="2">
        <v>43529.48065972222</v>
      </c>
      <c r="M158" s="1">
        <f>_xlfn.DAYS(Table1[[#This Row],[actual_delivery_date]],Table1[[#This Row],[dispatch_date]])</f>
        <v>2</v>
      </c>
      <c r="N158">
        <v>81</v>
      </c>
      <c r="O158">
        <f>Table1[[#This Row],[transit_storage_cost]] * (1-'What -if Analysis'!$D$26)</f>
        <v>81</v>
      </c>
      <c r="P158">
        <v>91</v>
      </c>
      <c r="Q158">
        <v>1774.64</v>
      </c>
    </row>
    <row r="159" spans="1:17" x14ac:dyDescent="0.3">
      <c r="A159">
        <v>81876</v>
      </c>
      <c r="B159" s="1" t="s">
        <v>39</v>
      </c>
      <c r="C159" s="1" t="s">
        <v>16</v>
      </c>
      <c r="D159" s="1" t="s">
        <v>16</v>
      </c>
      <c r="E159" s="1" t="s">
        <v>27</v>
      </c>
      <c r="F159" s="1" t="s">
        <v>19</v>
      </c>
      <c r="G159" s="1" t="s">
        <v>20</v>
      </c>
      <c r="H159" t="s">
        <v>21</v>
      </c>
      <c r="I159" s="1" t="s">
        <v>26</v>
      </c>
      <c r="J159" s="2">
        <v>43528.491377314815</v>
      </c>
      <c r="K159" s="2">
        <v>43528.491377314815</v>
      </c>
      <c r="L159" s="2">
        <v>43533.491377314815</v>
      </c>
      <c r="M159" s="1">
        <f>_xlfn.DAYS(Table1[[#This Row],[actual_delivery_date]],Table1[[#This Row],[dispatch_date]])</f>
        <v>0</v>
      </c>
      <c r="N159">
        <v>0</v>
      </c>
      <c r="O159">
        <f>Table1[[#This Row],[transit_storage_cost]] * (1-'What -if Analysis'!$D$26)</f>
        <v>0</v>
      </c>
      <c r="P159">
        <v>123</v>
      </c>
      <c r="Q159">
        <v>1002.86</v>
      </c>
    </row>
    <row r="160" spans="1:17" x14ac:dyDescent="0.3">
      <c r="A160">
        <v>979497</v>
      </c>
      <c r="B160" s="1" t="s">
        <v>37</v>
      </c>
      <c r="C160" s="1" t="s">
        <v>16</v>
      </c>
      <c r="D160" s="1" t="s">
        <v>16</v>
      </c>
      <c r="E160" s="1" t="s">
        <v>27</v>
      </c>
      <c r="F160" s="1" t="s">
        <v>19</v>
      </c>
      <c r="G160" s="1" t="s">
        <v>20</v>
      </c>
      <c r="H160" t="s">
        <v>30</v>
      </c>
      <c r="I160" s="1" t="s">
        <v>26</v>
      </c>
      <c r="J160" s="2">
        <v>43528.495057870372</v>
      </c>
      <c r="K160" s="2">
        <v>43528.495057870372</v>
      </c>
      <c r="L160" s="2">
        <v>43535.495057870372</v>
      </c>
      <c r="M160" s="1">
        <f>_xlfn.DAYS(Table1[[#This Row],[actual_delivery_date]],Table1[[#This Row],[dispatch_date]])</f>
        <v>0</v>
      </c>
      <c r="N160">
        <v>0</v>
      </c>
      <c r="O160">
        <f>Table1[[#This Row],[transit_storage_cost]] * (1-'What -if Analysis'!$D$26)</f>
        <v>0</v>
      </c>
      <c r="P160">
        <v>105</v>
      </c>
      <c r="Q160">
        <v>3076.47</v>
      </c>
    </row>
    <row r="161" spans="1:17" x14ac:dyDescent="0.3">
      <c r="A161">
        <v>463167</v>
      </c>
      <c r="B161" s="1" t="s">
        <v>40</v>
      </c>
      <c r="C161" s="1" t="s">
        <v>16</v>
      </c>
      <c r="D161" s="1" t="s">
        <v>23</v>
      </c>
      <c r="E161" s="1" t="s">
        <v>28</v>
      </c>
      <c r="F161" s="1" t="s">
        <v>19</v>
      </c>
      <c r="G161" s="1" t="s">
        <v>20</v>
      </c>
      <c r="H161" t="s">
        <v>30</v>
      </c>
      <c r="I161" s="1" t="s">
        <v>26</v>
      </c>
      <c r="J161" s="2">
        <v>43526.49795138889</v>
      </c>
      <c r="K161" s="2">
        <v>43528.49795138889</v>
      </c>
      <c r="L161" s="2">
        <v>43531.49795138889</v>
      </c>
      <c r="M161" s="1">
        <f>_xlfn.DAYS(Table1[[#This Row],[actual_delivery_date]],Table1[[#This Row],[dispatch_date]])</f>
        <v>2</v>
      </c>
      <c r="N161">
        <v>64</v>
      </c>
      <c r="O161">
        <f>Table1[[#This Row],[transit_storage_cost]] * (1-'What -if Analysis'!$D$26)</f>
        <v>64</v>
      </c>
      <c r="P161">
        <v>105</v>
      </c>
      <c r="Q161">
        <v>3591.7</v>
      </c>
    </row>
    <row r="162" spans="1:17" x14ac:dyDescent="0.3">
      <c r="A162">
        <v>834190</v>
      </c>
      <c r="B162" s="1" t="s">
        <v>37</v>
      </c>
      <c r="C162" s="1" t="s">
        <v>16</v>
      </c>
      <c r="D162" s="1" t="s">
        <v>23</v>
      </c>
      <c r="E162" s="1" t="s">
        <v>28</v>
      </c>
      <c r="F162" s="1" t="s">
        <v>35</v>
      </c>
      <c r="G162" s="1" t="s">
        <v>20</v>
      </c>
      <c r="H162" t="s">
        <v>21</v>
      </c>
      <c r="I162" s="1" t="s">
        <v>22</v>
      </c>
      <c r="J162" s="2">
        <v>43526.499803240738</v>
      </c>
      <c r="K162" s="2">
        <v>43528.499803240738</v>
      </c>
      <c r="L162" s="2">
        <v>43533.499803240738</v>
      </c>
      <c r="M162" s="1">
        <f>_xlfn.DAYS(Table1[[#This Row],[actual_delivery_date]],Table1[[#This Row],[dispatch_date]])</f>
        <v>2</v>
      </c>
      <c r="N162">
        <v>31</v>
      </c>
      <c r="O162">
        <f>Table1[[#This Row],[transit_storage_cost]] * (1-'What -if Analysis'!$D$26)</f>
        <v>31</v>
      </c>
      <c r="P162">
        <v>128</v>
      </c>
      <c r="Q162">
        <v>3311.752089502671</v>
      </c>
    </row>
    <row r="163" spans="1:17" x14ac:dyDescent="0.3">
      <c r="A163">
        <v>836756</v>
      </c>
      <c r="B163" s="1" t="s">
        <v>39</v>
      </c>
      <c r="C163" s="1" t="s">
        <v>23</v>
      </c>
      <c r="D163" s="1" t="s">
        <v>32</v>
      </c>
      <c r="E163" s="1" t="s">
        <v>33</v>
      </c>
      <c r="F163" s="1" t="s">
        <v>19</v>
      </c>
      <c r="G163" s="1" t="s">
        <v>20</v>
      </c>
      <c r="H163" t="s">
        <v>21</v>
      </c>
      <c r="I163" s="1" t="s">
        <v>22</v>
      </c>
      <c r="J163" s="2">
        <v>43525.500543981485</v>
      </c>
      <c r="K163" s="2">
        <v>43528.500543981485</v>
      </c>
      <c r="L163" s="2">
        <v>43531.500543981485</v>
      </c>
      <c r="M163" s="1">
        <f>_xlfn.DAYS(Table1[[#This Row],[actual_delivery_date]],Table1[[#This Row],[dispatch_date]])</f>
        <v>3</v>
      </c>
      <c r="N163">
        <v>26</v>
      </c>
      <c r="O163">
        <f>Table1[[#This Row],[transit_storage_cost]] * (1-'What -if Analysis'!$D$26)</f>
        <v>26</v>
      </c>
      <c r="P163">
        <v>115</v>
      </c>
      <c r="Q163">
        <v>586.91424298940626</v>
      </c>
    </row>
    <row r="164" spans="1:17" x14ac:dyDescent="0.3">
      <c r="A164">
        <v>473212</v>
      </c>
      <c r="B164" s="1" t="s">
        <v>37</v>
      </c>
      <c r="C164" s="1" t="s">
        <v>16</v>
      </c>
      <c r="D164" s="1" t="s">
        <v>16</v>
      </c>
      <c r="E164" s="1" t="s">
        <v>27</v>
      </c>
      <c r="F164" s="1" t="s">
        <v>19</v>
      </c>
      <c r="G164" s="1" t="s">
        <v>20</v>
      </c>
      <c r="H164" t="s">
        <v>21</v>
      </c>
      <c r="I164" s="1" t="s">
        <v>22</v>
      </c>
      <c r="J164" s="2">
        <v>43525.503946759258</v>
      </c>
      <c r="K164" s="2">
        <v>43528.503946759258</v>
      </c>
      <c r="L164" s="2">
        <v>43528.503946759258</v>
      </c>
      <c r="M164" s="1">
        <f>_xlfn.DAYS(Table1[[#This Row],[actual_delivery_date]],Table1[[#This Row],[dispatch_date]])</f>
        <v>3</v>
      </c>
      <c r="N164">
        <v>0</v>
      </c>
      <c r="O164">
        <f>Table1[[#This Row],[transit_storage_cost]] * (1-'What -if Analysis'!$D$26)</f>
        <v>0</v>
      </c>
      <c r="P164">
        <v>126</v>
      </c>
      <c r="Q164">
        <v>3113.8189758334606</v>
      </c>
    </row>
    <row r="165" spans="1:17" x14ac:dyDescent="0.3">
      <c r="A165">
        <v>260810</v>
      </c>
      <c r="B165" s="1" t="s">
        <v>15</v>
      </c>
      <c r="C165" s="1" t="s">
        <v>16</v>
      </c>
      <c r="D165" s="1" t="s">
        <v>17</v>
      </c>
      <c r="E165" s="1" t="s">
        <v>18</v>
      </c>
      <c r="F165" s="1" t="s">
        <v>19</v>
      </c>
      <c r="G165" s="1" t="s">
        <v>20</v>
      </c>
      <c r="H165" t="s">
        <v>21</v>
      </c>
      <c r="I165" s="1" t="s">
        <v>22</v>
      </c>
      <c r="J165" s="2">
        <v>43526.507708333331</v>
      </c>
      <c r="K165" s="2">
        <v>43528.507708333331</v>
      </c>
      <c r="L165" s="2">
        <v>43531.507708333331</v>
      </c>
      <c r="M165" s="1">
        <f>_xlfn.DAYS(Table1[[#This Row],[actual_delivery_date]],Table1[[#This Row],[dispatch_date]])</f>
        <v>2</v>
      </c>
      <c r="N165">
        <v>71</v>
      </c>
      <c r="O165">
        <f>Table1[[#This Row],[transit_storage_cost]] * (1-'What -if Analysis'!$D$26)</f>
        <v>71</v>
      </c>
      <c r="P165">
        <v>92</v>
      </c>
      <c r="Q165">
        <v>2600.7327444370308</v>
      </c>
    </row>
    <row r="166" spans="1:17" x14ac:dyDescent="0.3">
      <c r="A166">
        <v>276378</v>
      </c>
      <c r="B166" s="1" t="s">
        <v>38</v>
      </c>
      <c r="C166" s="1" t="s">
        <v>23</v>
      </c>
      <c r="D166" s="1" t="s">
        <v>17</v>
      </c>
      <c r="E166" s="1" t="s">
        <v>18</v>
      </c>
      <c r="F166" s="1" t="s">
        <v>19</v>
      </c>
      <c r="G166" s="1" t="s">
        <v>20</v>
      </c>
      <c r="H166" t="s">
        <v>21</v>
      </c>
      <c r="I166" s="1" t="s">
        <v>26</v>
      </c>
      <c r="J166" s="2">
        <v>43526.516585648147</v>
      </c>
      <c r="K166" s="2">
        <v>43528.516585648147</v>
      </c>
      <c r="L166" s="2">
        <v>43532.516585648147</v>
      </c>
      <c r="M166" s="1">
        <f>_xlfn.DAYS(Table1[[#This Row],[actual_delivery_date]],Table1[[#This Row],[dispatch_date]])</f>
        <v>2</v>
      </c>
      <c r="N166">
        <v>71</v>
      </c>
      <c r="O166">
        <f>Table1[[#This Row],[transit_storage_cost]] * (1-'What -if Analysis'!$D$26)</f>
        <v>71</v>
      </c>
      <c r="P166">
        <v>94</v>
      </c>
      <c r="Q166">
        <v>1334.86</v>
      </c>
    </row>
    <row r="167" spans="1:17" x14ac:dyDescent="0.3">
      <c r="A167">
        <v>11940</v>
      </c>
      <c r="B167" s="1" t="s">
        <v>38</v>
      </c>
      <c r="C167" s="1" t="s">
        <v>16</v>
      </c>
      <c r="D167" s="1" t="s">
        <v>23</v>
      </c>
      <c r="E167" s="1" t="s">
        <v>28</v>
      </c>
      <c r="F167" s="1" t="s">
        <v>19</v>
      </c>
      <c r="G167" s="1" t="s">
        <v>20</v>
      </c>
      <c r="H167" t="s">
        <v>21</v>
      </c>
      <c r="I167" s="1" t="s">
        <v>26</v>
      </c>
      <c r="J167" s="2">
        <v>43526.52616898148</v>
      </c>
      <c r="K167" s="2">
        <v>43528.52616898148</v>
      </c>
      <c r="L167" s="2">
        <v>43530.52616898148</v>
      </c>
      <c r="M167" s="1">
        <f>_xlfn.DAYS(Table1[[#This Row],[actual_delivery_date]],Table1[[#This Row],[dispatch_date]])</f>
        <v>2</v>
      </c>
      <c r="N167">
        <v>40</v>
      </c>
      <c r="O167">
        <f>Table1[[#This Row],[transit_storage_cost]] * (1-'What -if Analysis'!$D$26)</f>
        <v>40</v>
      </c>
      <c r="P167">
        <v>125</v>
      </c>
      <c r="Q167">
        <v>1802.29</v>
      </c>
    </row>
    <row r="168" spans="1:17" x14ac:dyDescent="0.3">
      <c r="A168">
        <v>601672</v>
      </c>
      <c r="B168" s="1" t="s">
        <v>40</v>
      </c>
      <c r="C168" s="1" t="s">
        <v>16</v>
      </c>
      <c r="D168" s="1" t="s">
        <v>32</v>
      </c>
      <c r="E168" s="1" t="s">
        <v>33</v>
      </c>
      <c r="F168" s="1" t="s">
        <v>19</v>
      </c>
      <c r="G168" s="1" t="s">
        <v>20</v>
      </c>
      <c r="H168" t="s">
        <v>21</v>
      </c>
      <c r="I168" s="1" t="s">
        <v>22</v>
      </c>
      <c r="J168" s="2">
        <v>43525.533310185187</v>
      </c>
      <c r="K168" s="2">
        <v>43528.533310185187</v>
      </c>
      <c r="L168" s="2">
        <v>43530.533310185187</v>
      </c>
      <c r="M168" s="1">
        <f>_xlfn.DAYS(Table1[[#This Row],[actual_delivery_date]],Table1[[#This Row],[dispatch_date]])</f>
        <v>3</v>
      </c>
      <c r="N168">
        <v>28</v>
      </c>
      <c r="O168">
        <f>Table1[[#This Row],[transit_storage_cost]] * (1-'What -if Analysis'!$D$26)</f>
        <v>28</v>
      </c>
      <c r="P168">
        <v>106</v>
      </c>
      <c r="Q168">
        <v>990.0004784508991</v>
      </c>
    </row>
    <row r="169" spans="1:17" x14ac:dyDescent="0.3">
      <c r="A169">
        <v>707752</v>
      </c>
      <c r="B169" s="1" t="s">
        <v>40</v>
      </c>
      <c r="C169" s="1" t="s">
        <v>16</v>
      </c>
      <c r="D169" s="1" t="s">
        <v>17</v>
      </c>
      <c r="E169" s="1" t="s">
        <v>18</v>
      </c>
      <c r="F169" s="1" t="s">
        <v>19</v>
      </c>
      <c r="G169" s="1" t="s">
        <v>20</v>
      </c>
      <c r="H169" t="s">
        <v>21</v>
      </c>
      <c r="I169" s="1" t="s">
        <v>22</v>
      </c>
      <c r="J169" s="2">
        <v>43525.548576388886</v>
      </c>
      <c r="K169" s="2">
        <v>43528.548576388886</v>
      </c>
      <c r="L169" s="2">
        <v>43529.548576388886</v>
      </c>
      <c r="M169" s="1">
        <f>_xlfn.DAYS(Table1[[#This Row],[actual_delivery_date]],Table1[[#This Row],[dispatch_date]])</f>
        <v>3</v>
      </c>
      <c r="N169">
        <v>86</v>
      </c>
      <c r="O169">
        <f>Table1[[#This Row],[transit_storage_cost]] * (1-'What -if Analysis'!$D$26)</f>
        <v>86</v>
      </c>
      <c r="P169">
        <v>86</v>
      </c>
      <c r="Q169">
        <v>3517.3201957166343</v>
      </c>
    </row>
    <row r="170" spans="1:17" x14ac:dyDescent="0.3">
      <c r="A170">
        <v>655078</v>
      </c>
      <c r="B170" s="1" t="s">
        <v>38</v>
      </c>
      <c r="C170" s="1" t="s">
        <v>23</v>
      </c>
      <c r="D170" s="1" t="s">
        <v>32</v>
      </c>
      <c r="E170" s="1" t="s">
        <v>33</v>
      </c>
      <c r="F170" s="1" t="s">
        <v>31</v>
      </c>
      <c r="G170" s="1" t="s">
        <v>20</v>
      </c>
      <c r="H170" t="s">
        <v>21</v>
      </c>
      <c r="I170" s="1" t="s">
        <v>22</v>
      </c>
      <c r="J170" s="2">
        <v>43526.54960648148</v>
      </c>
      <c r="K170" s="2">
        <v>43528.54960648148</v>
      </c>
      <c r="L170" s="2">
        <v>43529.54960648148</v>
      </c>
      <c r="M170" s="1">
        <f>_xlfn.DAYS(Table1[[#This Row],[actual_delivery_date]],Table1[[#This Row],[dispatch_date]])</f>
        <v>2</v>
      </c>
      <c r="N170">
        <v>39</v>
      </c>
      <c r="O170">
        <f>Table1[[#This Row],[transit_storage_cost]] * (1-'What -if Analysis'!$D$26)</f>
        <v>39</v>
      </c>
      <c r="P170">
        <v>108</v>
      </c>
      <c r="Q170">
        <v>2939.1284545888175</v>
      </c>
    </row>
    <row r="171" spans="1:17" x14ac:dyDescent="0.3">
      <c r="A171">
        <v>62892</v>
      </c>
      <c r="B171" s="1" t="s">
        <v>37</v>
      </c>
      <c r="C171" s="1" t="s">
        <v>23</v>
      </c>
      <c r="D171" s="1" t="s">
        <v>17</v>
      </c>
      <c r="E171" s="1" t="s">
        <v>18</v>
      </c>
      <c r="F171" s="1" t="s">
        <v>19</v>
      </c>
      <c r="G171" s="1" t="s">
        <v>20</v>
      </c>
      <c r="H171" t="s">
        <v>21</v>
      </c>
      <c r="I171" s="1" t="s">
        <v>26</v>
      </c>
      <c r="J171" s="2">
        <v>43526.55945601852</v>
      </c>
      <c r="K171" s="2">
        <v>43528.55945601852</v>
      </c>
      <c r="L171" s="2">
        <v>43532.55945601852</v>
      </c>
      <c r="M171" s="1">
        <f>_xlfn.DAYS(Table1[[#This Row],[actual_delivery_date]],Table1[[#This Row],[dispatch_date]])</f>
        <v>2</v>
      </c>
      <c r="N171">
        <v>70</v>
      </c>
      <c r="O171">
        <f>Table1[[#This Row],[transit_storage_cost]] * (1-'What -if Analysis'!$D$26)</f>
        <v>70</v>
      </c>
      <c r="P171">
        <v>95</v>
      </c>
      <c r="Q171">
        <v>2826.98</v>
      </c>
    </row>
    <row r="172" spans="1:17" x14ac:dyDescent="0.3">
      <c r="A172">
        <v>13342</v>
      </c>
      <c r="B172" s="1" t="s">
        <v>40</v>
      </c>
      <c r="C172" s="1" t="s">
        <v>23</v>
      </c>
      <c r="D172" s="1" t="s">
        <v>16</v>
      </c>
      <c r="E172" s="1" t="s">
        <v>27</v>
      </c>
      <c r="F172" s="1" t="s">
        <v>19</v>
      </c>
      <c r="G172" s="1" t="s">
        <v>20</v>
      </c>
      <c r="H172" t="s">
        <v>21</v>
      </c>
      <c r="I172" s="1" t="s">
        <v>22</v>
      </c>
      <c r="J172" s="2">
        <v>43526.564270833333</v>
      </c>
      <c r="K172" s="2">
        <v>43528.564270833333</v>
      </c>
      <c r="L172" s="2">
        <v>43529.564270833333</v>
      </c>
      <c r="M172" s="1">
        <f>_xlfn.DAYS(Table1[[#This Row],[actual_delivery_date]],Table1[[#This Row],[dispatch_date]])</f>
        <v>2</v>
      </c>
      <c r="N172">
        <v>67</v>
      </c>
      <c r="O172">
        <f>Table1[[#This Row],[transit_storage_cost]] * (1-'What -if Analysis'!$D$26)</f>
        <v>67</v>
      </c>
      <c r="P172">
        <v>106</v>
      </c>
      <c r="Q172">
        <v>3656.1545526116697</v>
      </c>
    </row>
    <row r="173" spans="1:17" x14ac:dyDescent="0.3">
      <c r="A173">
        <v>319442</v>
      </c>
      <c r="B173" s="1" t="s">
        <v>38</v>
      </c>
      <c r="C173" s="1" t="s">
        <v>23</v>
      </c>
      <c r="D173" s="1" t="s">
        <v>24</v>
      </c>
      <c r="E173" s="1" t="s">
        <v>25</v>
      </c>
      <c r="F173" s="1" t="s">
        <v>31</v>
      </c>
      <c r="G173" s="1" t="s">
        <v>36</v>
      </c>
      <c r="H173" t="s">
        <v>21</v>
      </c>
      <c r="I173" s="1" t="s">
        <v>22</v>
      </c>
      <c r="J173" s="2">
        <v>43526.602581018517</v>
      </c>
      <c r="K173" s="2">
        <v>43528.602581018517</v>
      </c>
      <c r="L173" s="2">
        <v>43532.602581018517</v>
      </c>
      <c r="M173" s="1">
        <f>_xlfn.DAYS(Table1[[#This Row],[actual_delivery_date]],Table1[[#This Row],[dispatch_date]])</f>
        <v>2</v>
      </c>
      <c r="N173">
        <v>31</v>
      </c>
      <c r="O173">
        <f>Table1[[#This Row],[transit_storage_cost]] * (1-'What -if Analysis'!$D$26)</f>
        <v>31</v>
      </c>
      <c r="P173">
        <v>128</v>
      </c>
      <c r="Q173">
        <v>3456.4382424839296</v>
      </c>
    </row>
    <row r="174" spans="1:17" x14ac:dyDescent="0.3">
      <c r="A174">
        <v>519269</v>
      </c>
      <c r="B174" s="1" t="s">
        <v>41</v>
      </c>
      <c r="C174" s="1" t="s">
        <v>16</v>
      </c>
      <c r="D174" s="1" t="s">
        <v>16</v>
      </c>
      <c r="E174" s="1" t="s">
        <v>27</v>
      </c>
      <c r="F174" s="1" t="s">
        <v>29</v>
      </c>
      <c r="G174" s="1" t="s">
        <v>20</v>
      </c>
      <c r="H174" t="s">
        <v>30</v>
      </c>
      <c r="I174" s="1" t="s">
        <v>22</v>
      </c>
      <c r="J174" s="2">
        <v>43525.617847222224</v>
      </c>
      <c r="K174" s="2">
        <v>43528.617847222224</v>
      </c>
      <c r="L174" s="2">
        <v>43530.617847222224</v>
      </c>
      <c r="M174" s="1">
        <f>_xlfn.DAYS(Table1[[#This Row],[actual_delivery_date]],Table1[[#This Row],[dispatch_date]])</f>
        <v>3</v>
      </c>
      <c r="N174">
        <v>0</v>
      </c>
      <c r="O174">
        <f>Table1[[#This Row],[transit_storage_cost]] * (1-'What -if Analysis'!$D$26)</f>
        <v>0</v>
      </c>
      <c r="P174">
        <v>126</v>
      </c>
      <c r="Q174">
        <v>417.20076021204034</v>
      </c>
    </row>
    <row r="175" spans="1:17" x14ac:dyDescent="0.3">
      <c r="A175">
        <v>41268</v>
      </c>
      <c r="B175" s="1" t="s">
        <v>39</v>
      </c>
      <c r="C175" s="1" t="s">
        <v>16</v>
      </c>
      <c r="D175" s="1" t="s">
        <v>17</v>
      </c>
      <c r="E175" s="1" t="s">
        <v>18</v>
      </c>
      <c r="F175" s="1" t="s">
        <v>19</v>
      </c>
      <c r="G175" s="1" t="s">
        <v>20</v>
      </c>
      <c r="H175" t="s">
        <v>21</v>
      </c>
      <c r="I175" s="1" t="s">
        <v>26</v>
      </c>
      <c r="J175" s="2">
        <v>43526.619791666664</v>
      </c>
      <c r="K175" s="2">
        <v>43528.619791666664</v>
      </c>
      <c r="L175" s="2">
        <v>43533.619791666664</v>
      </c>
      <c r="M175" s="1">
        <f>_xlfn.DAYS(Table1[[#This Row],[actual_delivery_date]],Table1[[#This Row],[dispatch_date]])</f>
        <v>2</v>
      </c>
      <c r="N175">
        <v>67</v>
      </c>
      <c r="O175">
        <f>Table1[[#This Row],[transit_storage_cost]] * (1-'What -if Analysis'!$D$26)</f>
        <v>67</v>
      </c>
      <c r="P175">
        <v>92</v>
      </c>
      <c r="Q175">
        <v>2212.4699999999998</v>
      </c>
    </row>
    <row r="176" spans="1:17" x14ac:dyDescent="0.3">
      <c r="A176">
        <v>487995</v>
      </c>
      <c r="B176" s="1" t="s">
        <v>38</v>
      </c>
      <c r="C176" s="1" t="s">
        <v>23</v>
      </c>
      <c r="D176" s="1" t="s">
        <v>23</v>
      </c>
      <c r="E176" s="1" t="s">
        <v>28</v>
      </c>
      <c r="F176" s="1" t="s">
        <v>19</v>
      </c>
      <c r="G176" s="1" t="s">
        <v>20</v>
      </c>
      <c r="H176" t="s">
        <v>30</v>
      </c>
      <c r="I176" s="1" t="s">
        <v>26</v>
      </c>
      <c r="J176" s="2">
        <v>43526.626435185186</v>
      </c>
      <c r="K176" s="2">
        <v>43528.626435185186</v>
      </c>
      <c r="L176" s="2">
        <v>43532.626435185186</v>
      </c>
      <c r="M176" s="1">
        <f>_xlfn.DAYS(Table1[[#This Row],[actual_delivery_date]],Table1[[#This Row],[dispatch_date]])</f>
        <v>2</v>
      </c>
      <c r="N176">
        <v>0</v>
      </c>
      <c r="O176">
        <f>Table1[[#This Row],[transit_storage_cost]] * (1-'What -if Analysis'!$D$26)</f>
        <v>0</v>
      </c>
      <c r="P176">
        <v>108</v>
      </c>
      <c r="Q176">
        <v>1533.74</v>
      </c>
    </row>
    <row r="177" spans="1:17" x14ac:dyDescent="0.3">
      <c r="A177">
        <v>288876</v>
      </c>
      <c r="B177" s="1" t="s">
        <v>38</v>
      </c>
      <c r="C177" s="1" t="s">
        <v>23</v>
      </c>
      <c r="D177" s="1" t="s">
        <v>17</v>
      </c>
      <c r="E177" s="1" t="s">
        <v>18</v>
      </c>
      <c r="F177" s="1" t="s">
        <v>19</v>
      </c>
      <c r="G177" s="1" t="s">
        <v>20</v>
      </c>
      <c r="H177" t="s">
        <v>21</v>
      </c>
      <c r="I177" s="1" t="s">
        <v>26</v>
      </c>
      <c r="J177" s="2">
        <v>43526.632384259261</v>
      </c>
      <c r="K177" s="2">
        <v>43528.632384259261</v>
      </c>
      <c r="L177" s="2">
        <v>43533.632384259261</v>
      </c>
      <c r="M177" s="1">
        <f>_xlfn.DAYS(Table1[[#This Row],[actual_delivery_date]],Table1[[#This Row],[dispatch_date]])</f>
        <v>2</v>
      </c>
      <c r="N177">
        <v>32</v>
      </c>
      <c r="O177">
        <f>Table1[[#This Row],[transit_storage_cost]] * (1-'What -if Analysis'!$D$26)</f>
        <v>32</v>
      </c>
      <c r="P177">
        <v>111</v>
      </c>
      <c r="Q177">
        <v>2111.84</v>
      </c>
    </row>
    <row r="178" spans="1:17" x14ac:dyDescent="0.3">
      <c r="A178">
        <v>708330</v>
      </c>
      <c r="B178" s="1" t="s">
        <v>39</v>
      </c>
      <c r="C178" s="1" t="s">
        <v>23</v>
      </c>
      <c r="D178" s="1" t="s">
        <v>32</v>
      </c>
      <c r="E178" s="1" t="s">
        <v>33</v>
      </c>
      <c r="F178" s="1" t="s">
        <v>31</v>
      </c>
      <c r="G178" s="1" t="s">
        <v>20</v>
      </c>
      <c r="H178" t="s">
        <v>21</v>
      </c>
      <c r="I178" s="1" t="s">
        <v>26</v>
      </c>
      <c r="J178" s="2">
        <v>43526.632476851853</v>
      </c>
      <c r="K178" s="2">
        <v>43528.632476851853</v>
      </c>
      <c r="L178" s="2">
        <v>43533.632476851853</v>
      </c>
      <c r="M178" s="1">
        <f>_xlfn.DAYS(Table1[[#This Row],[actual_delivery_date]],Table1[[#This Row],[dispatch_date]])</f>
        <v>2</v>
      </c>
      <c r="N178">
        <v>50</v>
      </c>
      <c r="O178">
        <f>Table1[[#This Row],[transit_storage_cost]] * (1-'What -if Analysis'!$D$26)</f>
        <v>50</v>
      </c>
      <c r="P178">
        <v>113</v>
      </c>
      <c r="Q178">
        <v>1626.53</v>
      </c>
    </row>
    <row r="179" spans="1:17" x14ac:dyDescent="0.3">
      <c r="A179">
        <v>463211</v>
      </c>
      <c r="B179" s="1" t="s">
        <v>41</v>
      </c>
      <c r="C179" s="1" t="s">
        <v>16</v>
      </c>
      <c r="D179" s="1" t="s">
        <v>16</v>
      </c>
      <c r="E179" s="1" t="s">
        <v>27</v>
      </c>
      <c r="F179" s="1" t="s">
        <v>29</v>
      </c>
      <c r="G179" s="1" t="s">
        <v>20</v>
      </c>
      <c r="H179" t="s">
        <v>34</v>
      </c>
      <c r="I179" s="1" t="s">
        <v>22</v>
      </c>
      <c r="J179" s="2">
        <v>43526.638981481483</v>
      </c>
      <c r="K179" s="2">
        <v>43528.638981481483</v>
      </c>
      <c r="L179" s="2">
        <v>43533.638981481483</v>
      </c>
      <c r="M179" s="1">
        <f>_xlfn.DAYS(Table1[[#This Row],[actual_delivery_date]],Table1[[#This Row],[dispatch_date]])</f>
        <v>2</v>
      </c>
      <c r="N179">
        <v>0</v>
      </c>
      <c r="O179">
        <f>Table1[[#This Row],[transit_storage_cost]] * (1-'What -if Analysis'!$D$26)</f>
        <v>0</v>
      </c>
      <c r="P179">
        <v>122</v>
      </c>
      <c r="Q179">
        <v>2552.3719230297634</v>
      </c>
    </row>
    <row r="180" spans="1:17" x14ac:dyDescent="0.3">
      <c r="A180">
        <v>331284</v>
      </c>
      <c r="B180" s="1" t="s">
        <v>40</v>
      </c>
      <c r="C180" s="1" t="s">
        <v>16</v>
      </c>
      <c r="D180" s="1" t="s">
        <v>16</v>
      </c>
      <c r="E180" s="1" t="s">
        <v>27</v>
      </c>
      <c r="F180" s="1" t="s">
        <v>19</v>
      </c>
      <c r="G180" s="1" t="s">
        <v>20</v>
      </c>
      <c r="H180" t="s">
        <v>21</v>
      </c>
      <c r="I180" s="1" t="s">
        <v>26</v>
      </c>
      <c r="J180" s="2">
        <v>43528.639618055553</v>
      </c>
      <c r="K180" s="2">
        <v>43528.639618055553</v>
      </c>
      <c r="L180" s="2">
        <v>43532.639618055553</v>
      </c>
      <c r="M180" s="1">
        <f>_xlfn.DAYS(Table1[[#This Row],[actual_delivery_date]],Table1[[#This Row],[dispatch_date]])</f>
        <v>0</v>
      </c>
      <c r="N180">
        <v>0</v>
      </c>
      <c r="O180">
        <f>Table1[[#This Row],[transit_storage_cost]] * (1-'What -if Analysis'!$D$26)</f>
        <v>0</v>
      </c>
      <c r="P180">
        <v>120</v>
      </c>
      <c r="Q180">
        <v>3565.81</v>
      </c>
    </row>
    <row r="181" spans="1:17" x14ac:dyDescent="0.3">
      <c r="A181">
        <v>397427</v>
      </c>
      <c r="B181" s="1" t="s">
        <v>38</v>
      </c>
      <c r="C181" s="1" t="s">
        <v>16</v>
      </c>
      <c r="D181" s="1" t="s">
        <v>17</v>
      </c>
      <c r="E181" s="1" t="s">
        <v>18</v>
      </c>
      <c r="F181" s="1" t="s">
        <v>19</v>
      </c>
      <c r="G181" s="1" t="s">
        <v>36</v>
      </c>
      <c r="H181" t="s">
        <v>30</v>
      </c>
      <c r="I181" s="1" t="s">
        <v>22</v>
      </c>
      <c r="J181" s="2">
        <v>43526.647407407407</v>
      </c>
      <c r="K181" s="2">
        <v>43528.647407407407</v>
      </c>
      <c r="L181" s="2">
        <v>43532.647407407407</v>
      </c>
      <c r="M181" s="1">
        <f>_xlfn.DAYS(Table1[[#This Row],[actual_delivery_date]],Table1[[#This Row],[dispatch_date]])</f>
        <v>2</v>
      </c>
      <c r="N181">
        <v>72</v>
      </c>
      <c r="O181">
        <f>Table1[[#This Row],[transit_storage_cost]] * (1-'What -if Analysis'!$D$26)</f>
        <v>72</v>
      </c>
      <c r="P181">
        <v>87</v>
      </c>
      <c r="Q181">
        <v>2521.6187957178608</v>
      </c>
    </row>
    <row r="182" spans="1:17" x14ac:dyDescent="0.3">
      <c r="A182">
        <v>440803</v>
      </c>
      <c r="B182" s="1" t="s">
        <v>41</v>
      </c>
      <c r="C182" s="1" t="s">
        <v>16</v>
      </c>
      <c r="D182" s="1" t="s">
        <v>16</v>
      </c>
      <c r="E182" s="1" t="s">
        <v>27</v>
      </c>
      <c r="F182" s="1" t="s">
        <v>19</v>
      </c>
      <c r="G182" s="1" t="s">
        <v>20</v>
      </c>
      <c r="H182" t="s">
        <v>30</v>
      </c>
      <c r="I182" s="1" t="s">
        <v>22</v>
      </c>
      <c r="J182" s="2">
        <v>43526.653101851851</v>
      </c>
      <c r="K182" s="2">
        <v>43528.653101851851</v>
      </c>
      <c r="L182" s="2">
        <v>43529.653101851851</v>
      </c>
      <c r="M182" s="1">
        <f>_xlfn.DAYS(Table1[[#This Row],[actual_delivery_date]],Table1[[#This Row],[dispatch_date]])</f>
        <v>2</v>
      </c>
      <c r="N182">
        <v>0</v>
      </c>
      <c r="O182">
        <f>Table1[[#This Row],[transit_storage_cost]] * (1-'What -if Analysis'!$D$26)</f>
        <v>0</v>
      </c>
      <c r="P182">
        <v>102</v>
      </c>
      <c r="Q182">
        <v>1832.5351495536904</v>
      </c>
    </row>
    <row r="183" spans="1:17" x14ac:dyDescent="0.3">
      <c r="A183">
        <v>903205</v>
      </c>
      <c r="B183" s="1" t="s">
        <v>39</v>
      </c>
      <c r="C183" s="1" t="s">
        <v>16</v>
      </c>
      <c r="D183" s="1" t="s">
        <v>16</v>
      </c>
      <c r="E183" s="1" t="s">
        <v>27</v>
      </c>
      <c r="F183" s="1" t="s">
        <v>29</v>
      </c>
      <c r="G183" s="1" t="s">
        <v>36</v>
      </c>
      <c r="H183" t="s">
        <v>30</v>
      </c>
      <c r="I183" s="1" t="s">
        <v>22</v>
      </c>
      <c r="J183" s="2">
        <v>43526.663993055554</v>
      </c>
      <c r="K183" s="2">
        <v>43528.663993055554</v>
      </c>
      <c r="L183" s="2">
        <v>43532.663993055554</v>
      </c>
      <c r="M183" s="1">
        <f>_xlfn.DAYS(Table1[[#This Row],[actual_delivery_date]],Table1[[#This Row],[dispatch_date]])</f>
        <v>2</v>
      </c>
      <c r="N183">
        <v>0</v>
      </c>
      <c r="O183">
        <f>Table1[[#This Row],[transit_storage_cost]] * (1-'What -if Analysis'!$D$26)</f>
        <v>0</v>
      </c>
      <c r="P183">
        <v>127</v>
      </c>
      <c r="Q183">
        <v>3288.8149739395467</v>
      </c>
    </row>
    <row r="184" spans="1:17" x14ac:dyDescent="0.3">
      <c r="A184">
        <v>346579</v>
      </c>
      <c r="B184" s="1" t="s">
        <v>39</v>
      </c>
      <c r="C184" s="1" t="s">
        <v>23</v>
      </c>
      <c r="D184" s="1" t="s">
        <v>24</v>
      </c>
      <c r="E184" s="1" t="s">
        <v>25</v>
      </c>
      <c r="F184" s="1" t="s">
        <v>29</v>
      </c>
      <c r="G184" s="1" t="s">
        <v>20</v>
      </c>
      <c r="H184" t="s">
        <v>30</v>
      </c>
      <c r="I184" s="1" t="s">
        <v>22</v>
      </c>
      <c r="J184" s="2">
        <v>43526.670497685183</v>
      </c>
      <c r="K184" s="2">
        <v>43528.670497685183</v>
      </c>
      <c r="L184" s="2">
        <v>43531.670497685183</v>
      </c>
      <c r="M184" s="1">
        <f>_xlfn.DAYS(Table1[[#This Row],[actual_delivery_date]],Table1[[#This Row],[dispatch_date]])</f>
        <v>2</v>
      </c>
      <c r="N184">
        <v>45</v>
      </c>
      <c r="O184">
        <f>Table1[[#This Row],[transit_storage_cost]] * (1-'What -if Analysis'!$D$26)</f>
        <v>45</v>
      </c>
      <c r="P184">
        <v>125</v>
      </c>
      <c r="Q184">
        <v>792.27980199191757</v>
      </c>
    </row>
    <row r="185" spans="1:17" x14ac:dyDescent="0.3">
      <c r="A185">
        <v>437147</v>
      </c>
      <c r="B185" s="1" t="s">
        <v>37</v>
      </c>
      <c r="C185" s="1" t="s">
        <v>16</v>
      </c>
      <c r="D185" s="1" t="s">
        <v>17</v>
      </c>
      <c r="E185" s="1" t="s">
        <v>18</v>
      </c>
      <c r="F185" s="1" t="s">
        <v>19</v>
      </c>
      <c r="G185" s="1" t="s">
        <v>20</v>
      </c>
      <c r="H185" t="s">
        <v>30</v>
      </c>
      <c r="I185" s="1" t="s">
        <v>22</v>
      </c>
      <c r="J185" s="2">
        <v>43525.672280092593</v>
      </c>
      <c r="K185" s="2">
        <v>43528.672280092593</v>
      </c>
      <c r="L185" s="2">
        <v>43532.672280092593</v>
      </c>
      <c r="M185" s="1">
        <f>_xlfn.DAYS(Table1[[#This Row],[actual_delivery_date]],Table1[[#This Row],[dispatch_date]])</f>
        <v>3</v>
      </c>
      <c r="N185">
        <v>66</v>
      </c>
      <c r="O185">
        <f>Table1[[#This Row],[transit_storage_cost]] * (1-'What -if Analysis'!$D$26)</f>
        <v>66</v>
      </c>
      <c r="P185">
        <v>93</v>
      </c>
      <c r="Q185">
        <v>3814.708381030779</v>
      </c>
    </row>
    <row r="186" spans="1:17" x14ac:dyDescent="0.3">
      <c r="A186">
        <v>983757</v>
      </c>
      <c r="B186" s="1" t="s">
        <v>39</v>
      </c>
      <c r="C186" s="1" t="s">
        <v>16</v>
      </c>
      <c r="D186" s="1" t="s">
        <v>17</v>
      </c>
      <c r="E186" s="1" t="s">
        <v>18</v>
      </c>
      <c r="F186" s="1" t="s">
        <v>19</v>
      </c>
      <c r="G186" s="1" t="s">
        <v>20</v>
      </c>
      <c r="H186" t="s">
        <v>30</v>
      </c>
      <c r="I186" s="1" t="s">
        <v>26</v>
      </c>
      <c r="J186" s="2">
        <v>43526.678298611114</v>
      </c>
      <c r="K186" s="2">
        <v>43528.678298611114</v>
      </c>
      <c r="L186" s="2">
        <v>43530.678298611114</v>
      </c>
      <c r="M186" s="1">
        <f>_xlfn.DAYS(Table1[[#This Row],[actual_delivery_date]],Table1[[#This Row],[dispatch_date]])</f>
        <v>2</v>
      </c>
      <c r="N186">
        <v>68</v>
      </c>
      <c r="O186">
        <f>Table1[[#This Row],[transit_storage_cost]] * (1-'What -if Analysis'!$D$26)</f>
        <v>68</v>
      </c>
      <c r="P186">
        <v>90</v>
      </c>
      <c r="Q186">
        <v>859.69</v>
      </c>
    </row>
    <row r="187" spans="1:17" x14ac:dyDescent="0.3">
      <c r="A187">
        <v>818818</v>
      </c>
      <c r="B187" s="1" t="s">
        <v>38</v>
      </c>
      <c r="C187" s="1" t="s">
        <v>23</v>
      </c>
      <c r="D187" s="1" t="s">
        <v>16</v>
      </c>
      <c r="E187" s="1" t="s">
        <v>27</v>
      </c>
      <c r="F187" s="1" t="s">
        <v>19</v>
      </c>
      <c r="G187" s="1" t="s">
        <v>20</v>
      </c>
      <c r="H187" t="s">
        <v>21</v>
      </c>
      <c r="I187" s="1" t="s">
        <v>22</v>
      </c>
      <c r="J187" s="2">
        <v>43526.680706018517</v>
      </c>
      <c r="K187" s="2">
        <v>43528.680706018517</v>
      </c>
      <c r="L187" s="2">
        <v>43529.680706018517</v>
      </c>
      <c r="M187" s="1">
        <f>_xlfn.DAYS(Table1[[#This Row],[actual_delivery_date]],Table1[[#This Row],[dispatch_date]])</f>
        <v>2</v>
      </c>
      <c r="N187">
        <v>65</v>
      </c>
      <c r="O187">
        <f>Table1[[#This Row],[transit_storage_cost]] * (1-'What -if Analysis'!$D$26)</f>
        <v>65</v>
      </c>
      <c r="P187">
        <v>102</v>
      </c>
      <c r="Q187">
        <v>1072.9912356629411</v>
      </c>
    </row>
    <row r="188" spans="1:17" x14ac:dyDescent="0.3">
      <c r="A188">
        <v>330250</v>
      </c>
      <c r="B188" s="1" t="s">
        <v>38</v>
      </c>
      <c r="C188" s="1" t="s">
        <v>16</v>
      </c>
      <c r="D188" s="1" t="s">
        <v>23</v>
      </c>
      <c r="E188" s="1" t="s">
        <v>28</v>
      </c>
      <c r="F188" s="1" t="s">
        <v>19</v>
      </c>
      <c r="G188" s="1" t="s">
        <v>20</v>
      </c>
      <c r="H188" t="s">
        <v>21</v>
      </c>
      <c r="I188" s="1" t="s">
        <v>22</v>
      </c>
      <c r="J188" s="2">
        <v>43526.68141203704</v>
      </c>
      <c r="K188" s="2">
        <v>43528.68141203704</v>
      </c>
      <c r="L188" s="2">
        <v>43531.68141203704</v>
      </c>
      <c r="M188" s="1">
        <f>_xlfn.DAYS(Table1[[#This Row],[actual_delivery_date]],Table1[[#This Row],[dispatch_date]])</f>
        <v>2</v>
      </c>
      <c r="N188">
        <v>85</v>
      </c>
      <c r="O188">
        <f>Table1[[#This Row],[transit_storage_cost]] * (1-'What -if Analysis'!$D$26)</f>
        <v>85</v>
      </c>
      <c r="P188">
        <v>107</v>
      </c>
      <c r="Q188">
        <v>1047.9164813763273</v>
      </c>
    </row>
    <row r="189" spans="1:17" x14ac:dyDescent="0.3">
      <c r="A189">
        <v>86516</v>
      </c>
      <c r="B189" s="1" t="s">
        <v>40</v>
      </c>
      <c r="C189" s="1" t="s">
        <v>23</v>
      </c>
      <c r="D189" s="1" t="s">
        <v>17</v>
      </c>
      <c r="E189" s="1" t="s">
        <v>18</v>
      </c>
      <c r="F189" s="1" t="s">
        <v>19</v>
      </c>
      <c r="G189" s="1" t="s">
        <v>20</v>
      </c>
      <c r="H189" t="s">
        <v>21</v>
      </c>
      <c r="I189" s="1" t="s">
        <v>22</v>
      </c>
      <c r="J189" s="2">
        <v>43526.705474537041</v>
      </c>
      <c r="K189" s="2">
        <v>43528.705474537041</v>
      </c>
      <c r="L189" s="2">
        <v>43529.705474537041</v>
      </c>
      <c r="M189" s="1">
        <f>_xlfn.DAYS(Table1[[#This Row],[actual_delivery_date]],Table1[[#This Row],[dispatch_date]])</f>
        <v>2</v>
      </c>
      <c r="N189">
        <v>26</v>
      </c>
      <c r="O189">
        <f>Table1[[#This Row],[transit_storage_cost]] * (1-'What -if Analysis'!$D$26)</f>
        <v>26</v>
      </c>
      <c r="P189">
        <v>114</v>
      </c>
      <c r="Q189">
        <v>1741.3733453353641</v>
      </c>
    </row>
    <row r="190" spans="1:17" x14ac:dyDescent="0.3">
      <c r="A190">
        <v>836208</v>
      </c>
      <c r="B190" s="1" t="s">
        <v>38</v>
      </c>
      <c r="C190" s="1" t="s">
        <v>16</v>
      </c>
      <c r="D190" s="1" t="s">
        <v>23</v>
      </c>
      <c r="E190" s="1" t="s">
        <v>28</v>
      </c>
      <c r="F190" s="1" t="s">
        <v>19</v>
      </c>
      <c r="G190" s="1" t="s">
        <v>20</v>
      </c>
      <c r="H190" t="s">
        <v>21</v>
      </c>
      <c r="I190" s="1" t="s">
        <v>26</v>
      </c>
      <c r="J190" s="2">
        <v>43525.707719907405</v>
      </c>
      <c r="K190" s="2">
        <v>43528.707719907405</v>
      </c>
      <c r="L190" s="2">
        <v>43532.707719907405</v>
      </c>
      <c r="M190" s="1">
        <f>_xlfn.DAYS(Table1[[#This Row],[actual_delivery_date]],Table1[[#This Row],[dispatch_date]])</f>
        <v>3</v>
      </c>
      <c r="N190">
        <v>35</v>
      </c>
      <c r="O190">
        <f>Table1[[#This Row],[transit_storage_cost]] * (1-'What -if Analysis'!$D$26)</f>
        <v>35</v>
      </c>
      <c r="P190">
        <v>129</v>
      </c>
      <c r="Q190">
        <v>2520.21</v>
      </c>
    </row>
    <row r="191" spans="1:17" x14ac:dyDescent="0.3">
      <c r="A191">
        <v>144660</v>
      </c>
      <c r="B191" s="1" t="s">
        <v>37</v>
      </c>
      <c r="C191" s="1" t="s">
        <v>23</v>
      </c>
      <c r="D191" s="1" t="s">
        <v>17</v>
      </c>
      <c r="E191" s="1" t="s">
        <v>18</v>
      </c>
      <c r="F191" s="1" t="s">
        <v>19</v>
      </c>
      <c r="G191" s="1" t="s">
        <v>20</v>
      </c>
      <c r="H191" t="s">
        <v>21</v>
      </c>
      <c r="I191" s="1" t="s">
        <v>26</v>
      </c>
      <c r="J191" s="2">
        <v>43526.717199074075</v>
      </c>
      <c r="K191" s="2">
        <v>43528.717199074075</v>
      </c>
      <c r="L191" s="2">
        <v>43530.717199074075</v>
      </c>
      <c r="M191" s="1">
        <f>_xlfn.DAYS(Table1[[#This Row],[actual_delivery_date]],Table1[[#This Row],[dispatch_date]])</f>
        <v>2</v>
      </c>
      <c r="N191">
        <v>34</v>
      </c>
      <c r="O191">
        <f>Table1[[#This Row],[transit_storage_cost]] * (1-'What -if Analysis'!$D$26)</f>
        <v>34</v>
      </c>
      <c r="P191">
        <v>111</v>
      </c>
      <c r="Q191">
        <v>740.7</v>
      </c>
    </row>
    <row r="192" spans="1:17" x14ac:dyDescent="0.3">
      <c r="A192">
        <v>629579</v>
      </c>
      <c r="B192" s="1" t="s">
        <v>39</v>
      </c>
      <c r="C192" s="1" t="s">
        <v>16</v>
      </c>
      <c r="D192" s="1" t="s">
        <v>17</v>
      </c>
      <c r="E192" s="1" t="s">
        <v>18</v>
      </c>
      <c r="F192" s="1" t="s">
        <v>19</v>
      </c>
      <c r="G192" s="1" t="s">
        <v>20</v>
      </c>
      <c r="H192" t="s">
        <v>30</v>
      </c>
      <c r="I192" s="1" t="s">
        <v>22</v>
      </c>
      <c r="J192" s="2">
        <v>43526.721365740741</v>
      </c>
      <c r="K192" s="2">
        <v>43528.721365740741</v>
      </c>
      <c r="L192" s="2">
        <v>43529.721365740741</v>
      </c>
      <c r="M192" s="1">
        <f>_xlfn.DAYS(Table1[[#This Row],[actual_delivery_date]],Table1[[#This Row],[dispatch_date]])</f>
        <v>2</v>
      </c>
      <c r="N192">
        <v>77</v>
      </c>
      <c r="O192">
        <f>Table1[[#This Row],[transit_storage_cost]] * (1-'What -if Analysis'!$D$26)</f>
        <v>77</v>
      </c>
      <c r="P192">
        <v>92</v>
      </c>
      <c r="Q192">
        <v>3106.5910602771978</v>
      </c>
    </row>
    <row r="193" spans="1:17" x14ac:dyDescent="0.3">
      <c r="A193">
        <v>560973</v>
      </c>
      <c r="B193" s="1" t="s">
        <v>37</v>
      </c>
      <c r="C193" s="1" t="s">
        <v>23</v>
      </c>
      <c r="D193" s="1" t="s">
        <v>23</v>
      </c>
      <c r="E193" s="1" t="s">
        <v>28</v>
      </c>
      <c r="F193" s="1" t="s">
        <v>29</v>
      </c>
      <c r="G193" s="1" t="s">
        <v>20</v>
      </c>
      <c r="H193" t="s">
        <v>34</v>
      </c>
      <c r="I193" s="1" t="s">
        <v>26</v>
      </c>
      <c r="J193" s="2">
        <v>43528.72855324074</v>
      </c>
      <c r="K193" s="2">
        <v>43528.72855324074</v>
      </c>
      <c r="L193" s="2">
        <v>43533.72855324074</v>
      </c>
      <c r="M193" s="1">
        <f>_xlfn.DAYS(Table1[[#This Row],[actual_delivery_date]],Table1[[#This Row],[dispatch_date]])</f>
        <v>0</v>
      </c>
      <c r="N193">
        <v>0</v>
      </c>
      <c r="O193">
        <f>Table1[[#This Row],[transit_storage_cost]] * (1-'What -if Analysis'!$D$26)</f>
        <v>0</v>
      </c>
      <c r="P193">
        <v>125</v>
      </c>
      <c r="Q193">
        <v>1341.14</v>
      </c>
    </row>
    <row r="194" spans="1:17" x14ac:dyDescent="0.3">
      <c r="A194">
        <v>523386</v>
      </c>
      <c r="B194" s="1" t="s">
        <v>38</v>
      </c>
      <c r="C194" s="1" t="s">
        <v>16</v>
      </c>
      <c r="D194" s="1" t="s">
        <v>32</v>
      </c>
      <c r="E194" s="1" t="s">
        <v>33</v>
      </c>
      <c r="F194" s="1" t="s">
        <v>31</v>
      </c>
      <c r="G194" s="1" t="s">
        <v>20</v>
      </c>
      <c r="H194" t="s">
        <v>21</v>
      </c>
      <c r="I194" s="1" t="s">
        <v>26</v>
      </c>
      <c r="J194" s="2">
        <v>43526.729594907411</v>
      </c>
      <c r="K194" s="2">
        <v>43528.729594907411</v>
      </c>
      <c r="L194" s="2">
        <v>43532.729594907411</v>
      </c>
      <c r="M194" s="1">
        <f>_xlfn.DAYS(Table1[[#This Row],[actual_delivery_date]],Table1[[#This Row],[dispatch_date]])</f>
        <v>2</v>
      </c>
      <c r="N194">
        <v>50</v>
      </c>
      <c r="O194">
        <f>Table1[[#This Row],[transit_storage_cost]] * (1-'What -if Analysis'!$D$26)</f>
        <v>50</v>
      </c>
      <c r="P194">
        <v>107</v>
      </c>
      <c r="Q194">
        <v>645.16</v>
      </c>
    </row>
    <row r="195" spans="1:17" x14ac:dyDescent="0.3">
      <c r="A195">
        <v>158778</v>
      </c>
      <c r="B195" s="1" t="s">
        <v>37</v>
      </c>
      <c r="C195" s="1" t="s">
        <v>16</v>
      </c>
      <c r="D195" s="1" t="s">
        <v>23</v>
      </c>
      <c r="E195" s="1" t="s">
        <v>28</v>
      </c>
      <c r="F195" s="1" t="s">
        <v>19</v>
      </c>
      <c r="G195" s="1" t="s">
        <v>20</v>
      </c>
      <c r="H195" t="s">
        <v>21</v>
      </c>
      <c r="I195" s="1" t="s">
        <v>26</v>
      </c>
      <c r="J195" s="2">
        <v>43526.734861111108</v>
      </c>
      <c r="K195" s="2">
        <v>43528.734861111108</v>
      </c>
      <c r="L195" s="2">
        <v>43532.734861111108</v>
      </c>
      <c r="M195" s="1">
        <f>_xlfn.DAYS(Table1[[#This Row],[actual_delivery_date]],Table1[[#This Row],[dispatch_date]])</f>
        <v>2</v>
      </c>
      <c r="N195">
        <v>65</v>
      </c>
      <c r="O195">
        <f>Table1[[#This Row],[transit_storage_cost]] * (1-'What -if Analysis'!$D$26)</f>
        <v>65</v>
      </c>
      <c r="P195">
        <v>107</v>
      </c>
      <c r="Q195">
        <v>3512.44</v>
      </c>
    </row>
    <row r="196" spans="1:17" x14ac:dyDescent="0.3">
      <c r="A196">
        <v>474748</v>
      </c>
      <c r="B196" s="1" t="s">
        <v>38</v>
      </c>
      <c r="C196" s="1" t="s">
        <v>16</v>
      </c>
      <c r="D196" s="1" t="s">
        <v>16</v>
      </c>
      <c r="E196" s="1" t="s">
        <v>27</v>
      </c>
      <c r="F196" s="1" t="s">
        <v>19</v>
      </c>
      <c r="G196" s="1" t="s">
        <v>20</v>
      </c>
      <c r="H196" t="s">
        <v>21</v>
      </c>
      <c r="I196" s="1" t="s">
        <v>22</v>
      </c>
      <c r="J196" s="2">
        <v>43526.745300925926</v>
      </c>
      <c r="K196" s="2">
        <v>43528.745300925926</v>
      </c>
      <c r="L196" s="2">
        <v>43531.745300925926</v>
      </c>
      <c r="M196" s="1">
        <f>_xlfn.DAYS(Table1[[#This Row],[actual_delivery_date]],Table1[[#This Row],[dispatch_date]])</f>
        <v>2</v>
      </c>
      <c r="N196">
        <v>0</v>
      </c>
      <c r="O196">
        <f>Table1[[#This Row],[transit_storage_cost]] * (1-'What -if Analysis'!$D$26)</f>
        <v>0</v>
      </c>
      <c r="P196">
        <v>127</v>
      </c>
      <c r="Q196">
        <v>3681.1109601109606</v>
      </c>
    </row>
    <row r="197" spans="1:17" x14ac:dyDescent="0.3">
      <c r="A197">
        <v>80721</v>
      </c>
      <c r="B197" s="1" t="s">
        <v>38</v>
      </c>
      <c r="C197" s="1" t="s">
        <v>16</v>
      </c>
      <c r="D197" s="1" t="s">
        <v>32</v>
      </c>
      <c r="E197" s="1" t="s">
        <v>33</v>
      </c>
      <c r="F197" s="1" t="s">
        <v>29</v>
      </c>
      <c r="G197" s="1" t="s">
        <v>20</v>
      </c>
      <c r="H197" t="s">
        <v>30</v>
      </c>
      <c r="I197" s="1" t="s">
        <v>26</v>
      </c>
      <c r="J197" s="2">
        <v>43526.747083333335</v>
      </c>
      <c r="K197" s="2">
        <v>43528.747083333335</v>
      </c>
      <c r="L197" s="2">
        <v>43533.747083333335</v>
      </c>
      <c r="M197" s="1">
        <f>_xlfn.DAYS(Table1[[#This Row],[actual_delivery_date]],Table1[[#This Row],[dispatch_date]])</f>
        <v>2</v>
      </c>
      <c r="N197">
        <v>35</v>
      </c>
      <c r="O197">
        <f>Table1[[#This Row],[transit_storage_cost]] * (1-'What -if Analysis'!$D$26)</f>
        <v>35</v>
      </c>
      <c r="P197">
        <v>114</v>
      </c>
      <c r="Q197">
        <v>3295.88</v>
      </c>
    </row>
    <row r="198" spans="1:17" x14ac:dyDescent="0.3">
      <c r="A198">
        <v>125824</v>
      </c>
      <c r="B198" s="1" t="s">
        <v>39</v>
      </c>
      <c r="C198" s="1" t="s">
        <v>23</v>
      </c>
      <c r="D198" s="1" t="s">
        <v>32</v>
      </c>
      <c r="E198" s="1" t="s">
        <v>33</v>
      </c>
      <c r="F198" s="1" t="s">
        <v>19</v>
      </c>
      <c r="G198" s="1" t="s">
        <v>20</v>
      </c>
      <c r="H198" t="s">
        <v>21</v>
      </c>
      <c r="I198" s="1" t="s">
        <v>22</v>
      </c>
      <c r="J198" s="2">
        <v>43525.748101851852</v>
      </c>
      <c r="K198" s="2">
        <v>43528.748101851852</v>
      </c>
      <c r="L198" s="2">
        <v>43531.748101851852</v>
      </c>
      <c r="M198" s="1">
        <f>_xlfn.DAYS(Table1[[#This Row],[actual_delivery_date]],Table1[[#This Row],[dispatch_date]])</f>
        <v>3</v>
      </c>
      <c r="N198">
        <v>30</v>
      </c>
      <c r="O198">
        <f>Table1[[#This Row],[transit_storage_cost]] * (1-'What -if Analysis'!$D$26)</f>
        <v>30</v>
      </c>
      <c r="P198">
        <v>109</v>
      </c>
      <c r="Q198">
        <v>3432.0203322587649</v>
      </c>
    </row>
    <row r="199" spans="1:17" x14ac:dyDescent="0.3">
      <c r="A199">
        <v>168759</v>
      </c>
      <c r="B199" s="1" t="s">
        <v>37</v>
      </c>
      <c r="C199" s="1" t="s">
        <v>23</v>
      </c>
      <c r="D199" s="1" t="s">
        <v>16</v>
      </c>
      <c r="E199" s="1" t="s">
        <v>27</v>
      </c>
      <c r="F199" s="1" t="s">
        <v>19</v>
      </c>
      <c r="G199" s="1" t="s">
        <v>20</v>
      </c>
      <c r="H199" t="s">
        <v>30</v>
      </c>
      <c r="I199" s="1" t="s">
        <v>26</v>
      </c>
      <c r="J199" s="2">
        <v>43526.751863425925</v>
      </c>
      <c r="K199" s="2">
        <v>43528.751863425925</v>
      </c>
      <c r="L199" s="2">
        <v>43531.751863425925</v>
      </c>
      <c r="M199" s="1">
        <f>_xlfn.DAYS(Table1[[#This Row],[actual_delivery_date]],Table1[[#This Row],[dispatch_date]])</f>
        <v>2</v>
      </c>
      <c r="N199">
        <v>67</v>
      </c>
      <c r="O199">
        <f>Table1[[#This Row],[transit_storage_cost]] * (1-'What -if Analysis'!$D$26)</f>
        <v>67</v>
      </c>
      <c r="P199">
        <v>108</v>
      </c>
      <c r="Q199">
        <v>3315.21</v>
      </c>
    </row>
    <row r="200" spans="1:17" x14ac:dyDescent="0.3">
      <c r="A200">
        <v>92328</v>
      </c>
      <c r="B200" s="1" t="s">
        <v>15</v>
      </c>
      <c r="C200" s="1" t="s">
        <v>16</v>
      </c>
      <c r="D200" s="1" t="s">
        <v>23</v>
      </c>
      <c r="E200" s="1" t="s">
        <v>28</v>
      </c>
      <c r="F200" s="1" t="s">
        <v>19</v>
      </c>
      <c r="G200" s="1" t="s">
        <v>20</v>
      </c>
      <c r="H200" t="s">
        <v>21</v>
      </c>
      <c r="I200" s="1" t="s">
        <v>26</v>
      </c>
      <c r="J200" s="2">
        <v>43526.762800925928</v>
      </c>
      <c r="K200" s="2">
        <v>43528.762800925928</v>
      </c>
      <c r="L200" s="2">
        <v>43529.762800925928</v>
      </c>
      <c r="M200" s="1">
        <f>_xlfn.DAYS(Table1[[#This Row],[actual_delivery_date]],Table1[[#This Row],[dispatch_date]])</f>
        <v>2</v>
      </c>
      <c r="N200">
        <v>30</v>
      </c>
      <c r="O200">
        <f>Table1[[#This Row],[transit_storage_cost]] * (1-'What -if Analysis'!$D$26)</f>
        <v>30</v>
      </c>
      <c r="P200">
        <v>127</v>
      </c>
      <c r="Q200">
        <v>3236.9</v>
      </c>
    </row>
    <row r="201" spans="1:17" x14ac:dyDescent="0.3">
      <c r="A201">
        <v>608591</v>
      </c>
      <c r="B201" s="1" t="s">
        <v>15</v>
      </c>
      <c r="C201" s="1" t="s">
        <v>23</v>
      </c>
      <c r="D201" s="1" t="s">
        <v>23</v>
      </c>
      <c r="E201" s="1" t="s">
        <v>28</v>
      </c>
      <c r="F201" s="1" t="s">
        <v>29</v>
      </c>
      <c r="G201" s="1" t="s">
        <v>20</v>
      </c>
      <c r="H201" t="s">
        <v>30</v>
      </c>
      <c r="I201" s="1" t="s">
        <v>22</v>
      </c>
      <c r="J201" s="2">
        <v>43526.780370370368</v>
      </c>
      <c r="K201" s="2">
        <v>43528.780370370368</v>
      </c>
      <c r="L201" s="2">
        <v>43529.780370370368</v>
      </c>
      <c r="M201" s="1">
        <f>_xlfn.DAYS(Table1[[#This Row],[actual_delivery_date]],Table1[[#This Row],[dispatch_date]])</f>
        <v>2</v>
      </c>
      <c r="N201">
        <v>0</v>
      </c>
      <c r="O201">
        <f>Table1[[#This Row],[transit_storage_cost]] * (1-'What -if Analysis'!$D$26)</f>
        <v>0</v>
      </c>
      <c r="P201">
        <v>126</v>
      </c>
      <c r="Q201">
        <v>2773.3424284699963</v>
      </c>
    </row>
    <row r="202" spans="1:17" x14ac:dyDescent="0.3">
      <c r="A202">
        <v>889018</v>
      </c>
      <c r="B202" s="1" t="s">
        <v>15</v>
      </c>
      <c r="C202" s="1" t="s">
        <v>23</v>
      </c>
      <c r="D202" s="1" t="s">
        <v>16</v>
      </c>
      <c r="E202" s="1" t="s">
        <v>27</v>
      </c>
      <c r="F202" s="1" t="s">
        <v>31</v>
      </c>
      <c r="G202" s="1" t="s">
        <v>20</v>
      </c>
      <c r="H202" t="s">
        <v>21</v>
      </c>
      <c r="I202" s="1" t="s">
        <v>22</v>
      </c>
      <c r="J202" s="2">
        <v>43525.787951388891</v>
      </c>
      <c r="K202" s="2">
        <v>43528.787951388891</v>
      </c>
      <c r="L202" s="2">
        <v>43528.787951388891</v>
      </c>
      <c r="M202" s="1">
        <f>_xlfn.DAYS(Table1[[#This Row],[actual_delivery_date]],Table1[[#This Row],[dispatch_date]])</f>
        <v>3</v>
      </c>
      <c r="N202">
        <v>27</v>
      </c>
      <c r="O202">
        <f>Table1[[#This Row],[transit_storage_cost]] * (1-'What -if Analysis'!$D$26)</f>
        <v>27</v>
      </c>
      <c r="P202">
        <v>125</v>
      </c>
      <c r="Q202">
        <v>3669.1274253879737</v>
      </c>
    </row>
    <row r="203" spans="1:17" x14ac:dyDescent="0.3">
      <c r="A203">
        <v>311678</v>
      </c>
      <c r="B203" s="1" t="s">
        <v>38</v>
      </c>
      <c r="C203" s="1" t="s">
        <v>16</v>
      </c>
      <c r="D203" s="1" t="s">
        <v>16</v>
      </c>
      <c r="E203" s="1" t="s">
        <v>27</v>
      </c>
      <c r="F203" s="1" t="s">
        <v>31</v>
      </c>
      <c r="G203" s="1" t="s">
        <v>20</v>
      </c>
      <c r="H203" t="s">
        <v>21</v>
      </c>
      <c r="I203" s="1" t="s">
        <v>22</v>
      </c>
      <c r="J203" s="2">
        <v>43525.788634259261</v>
      </c>
      <c r="K203" s="2">
        <v>43528.788634259261</v>
      </c>
      <c r="L203" s="2">
        <v>43528.788634259261</v>
      </c>
      <c r="M203" s="1">
        <f>_xlfn.DAYS(Table1[[#This Row],[actual_delivery_date]],Table1[[#This Row],[dispatch_date]])</f>
        <v>3</v>
      </c>
      <c r="N203">
        <v>0</v>
      </c>
      <c r="O203">
        <f>Table1[[#This Row],[transit_storage_cost]] * (1-'What -if Analysis'!$D$26)</f>
        <v>0</v>
      </c>
      <c r="P203">
        <v>122</v>
      </c>
      <c r="Q203">
        <v>2117.9318878788099</v>
      </c>
    </row>
    <row r="204" spans="1:17" x14ac:dyDescent="0.3">
      <c r="A204">
        <v>880733</v>
      </c>
      <c r="B204" s="1" t="s">
        <v>38</v>
      </c>
      <c r="C204" s="1" t="s">
        <v>23</v>
      </c>
      <c r="D204" s="1" t="s">
        <v>23</v>
      </c>
      <c r="E204" s="1" t="s">
        <v>28</v>
      </c>
      <c r="F204" s="1" t="s">
        <v>29</v>
      </c>
      <c r="G204" s="1" t="s">
        <v>20</v>
      </c>
      <c r="H204" t="s">
        <v>34</v>
      </c>
      <c r="I204" s="1" t="s">
        <v>22</v>
      </c>
      <c r="J204" s="2">
        <v>43527.795624999999</v>
      </c>
      <c r="K204" s="2">
        <v>43528.795624999999</v>
      </c>
      <c r="L204" s="2">
        <v>43532.795624999999</v>
      </c>
      <c r="M204" s="1">
        <f>_xlfn.DAYS(Table1[[#This Row],[actual_delivery_date]],Table1[[#This Row],[dispatch_date]])</f>
        <v>1</v>
      </c>
      <c r="N204">
        <v>0</v>
      </c>
      <c r="O204">
        <f>Table1[[#This Row],[transit_storage_cost]] * (1-'What -if Analysis'!$D$26)</f>
        <v>0</v>
      </c>
      <c r="P204">
        <v>129</v>
      </c>
      <c r="Q204">
        <v>1762.0651489845657</v>
      </c>
    </row>
    <row r="205" spans="1:17" x14ac:dyDescent="0.3">
      <c r="A205">
        <v>108212</v>
      </c>
      <c r="B205" s="1" t="s">
        <v>41</v>
      </c>
      <c r="C205" s="1" t="s">
        <v>16</v>
      </c>
      <c r="D205" s="1" t="s">
        <v>17</v>
      </c>
      <c r="E205" s="1" t="s">
        <v>18</v>
      </c>
      <c r="F205" s="1" t="s">
        <v>19</v>
      </c>
      <c r="G205" s="1" t="s">
        <v>20</v>
      </c>
      <c r="H205" t="s">
        <v>21</v>
      </c>
      <c r="I205" s="1" t="s">
        <v>22</v>
      </c>
      <c r="J205" s="2">
        <v>43526.796400462961</v>
      </c>
      <c r="K205" s="2">
        <v>43528.796400462961</v>
      </c>
      <c r="L205" s="2">
        <v>43529.796400462961</v>
      </c>
      <c r="M205" s="1">
        <f>_xlfn.DAYS(Table1[[#This Row],[actual_delivery_date]],Table1[[#This Row],[dispatch_date]])</f>
        <v>2</v>
      </c>
      <c r="N205">
        <v>65</v>
      </c>
      <c r="O205">
        <f>Table1[[#This Row],[transit_storage_cost]] * (1-'What -if Analysis'!$D$26)</f>
        <v>65</v>
      </c>
      <c r="P205">
        <v>86</v>
      </c>
      <c r="Q205">
        <v>366.3072070438788</v>
      </c>
    </row>
    <row r="206" spans="1:17" x14ac:dyDescent="0.3">
      <c r="A206">
        <v>157043</v>
      </c>
      <c r="B206" s="1" t="s">
        <v>38</v>
      </c>
      <c r="C206" s="1" t="s">
        <v>23</v>
      </c>
      <c r="D206" s="1" t="s">
        <v>23</v>
      </c>
      <c r="E206" s="1" t="s">
        <v>28</v>
      </c>
      <c r="F206" s="1" t="s">
        <v>19</v>
      </c>
      <c r="G206" s="1" t="s">
        <v>20</v>
      </c>
      <c r="H206" t="s">
        <v>30</v>
      </c>
      <c r="I206" s="1" t="s">
        <v>22</v>
      </c>
      <c r="J206" s="2">
        <v>43528.806597222225</v>
      </c>
      <c r="K206" s="2">
        <v>43528.806597222225</v>
      </c>
      <c r="L206" s="2">
        <v>43531.806597222225</v>
      </c>
      <c r="M206" s="1">
        <f>_xlfn.DAYS(Table1[[#This Row],[actual_delivery_date]],Table1[[#This Row],[dispatch_date]])</f>
        <v>0</v>
      </c>
      <c r="N206">
        <v>0</v>
      </c>
      <c r="O206">
        <f>Table1[[#This Row],[transit_storage_cost]] * (1-'What -if Analysis'!$D$26)</f>
        <v>0</v>
      </c>
      <c r="P206">
        <v>109</v>
      </c>
      <c r="Q206">
        <v>3235.081458102597</v>
      </c>
    </row>
    <row r="207" spans="1:17" x14ac:dyDescent="0.3">
      <c r="A207">
        <v>634534</v>
      </c>
      <c r="B207" s="1" t="s">
        <v>37</v>
      </c>
      <c r="C207" s="1" t="s">
        <v>23</v>
      </c>
      <c r="D207" s="1" t="s">
        <v>23</v>
      </c>
      <c r="E207" s="1" t="s">
        <v>28</v>
      </c>
      <c r="F207" s="1" t="s">
        <v>31</v>
      </c>
      <c r="G207" s="1" t="s">
        <v>20</v>
      </c>
      <c r="H207" t="s">
        <v>21</v>
      </c>
      <c r="I207" s="1" t="s">
        <v>22</v>
      </c>
      <c r="J207" s="2">
        <v>43528.815196759257</v>
      </c>
      <c r="K207" s="2">
        <v>43528.815196759257</v>
      </c>
      <c r="L207" s="2">
        <v>43532.815196759257</v>
      </c>
      <c r="M207" s="1">
        <f>_xlfn.DAYS(Table1[[#This Row],[actual_delivery_date]],Table1[[#This Row],[dispatch_date]])</f>
        <v>0</v>
      </c>
      <c r="N207">
        <v>0</v>
      </c>
      <c r="O207">
        <f>Table1[[#This Row],[transit_storage_cost]] * (1-'What -if Analysis'!$D$26)</f>
        <v>0</v>
      </c>
      <c r="P207">
        <v>124</v>
      </c>
      <c r="Q207">
        <v>2807.4195048380684</v>
      </c>
    </row>
    <row r="208" spans="1:17" x14ac:dyDescent="0.3">
      <c r="A208">
        <v>493532</v>
      </c>
      <c r="B208" s="1" t="s">
        <v>38</v>
      </c>
      <c r="C208" s="1" t="s">
        <v>16</v>
      </c>
      <c r="D208" s="1" t="s">
        <v>23</v>
      </c>
      <c r="E208" s="1" t="s">
        <v>28</v>
      </c>
      <c r="F208" s="1" t="s">
        <v>19</v>
      </c>
      <c r="G208" s="1" t="s">
        <v>20</v>
      </c>
      <c r="H208" t="s">
        <v>21</v>
      </c>
      <c r="I208" s="1" t="s">
        <v>22</v>
      </c>
      <c r="J208" s="2">
        <v>43526.820300925923</v>
      </c>
      <c r="K208" s="2">
        <v>43528.820300925923</v>
      </c>
      <c r="L208" s="2">
        <v>43530.820300925923</v>
      </c>
      <c r="M208" s="1">
        <f>_xlfn.DAYS(Table1[[#This Row],[actual_delivery_date]],Table1[[#This Row],[dispatch_date]])</f>
        <v>2</v>
      </c>
      <c r="N208">
        <v>31</v>
      </c>
      <c r="O208">
        <f>Table1[[#This Row],[transit_storage_cost]] * (1-'What -if Analysis'!$D$26)</f>
        <v>31</v>
      </c>
      <c r="P208">
        <v>125</v>
      </c>
      <c r="Q208">
        <v>3041.514353213885</v>
      </c>
    </row>
    <row r="209" spans="1:17" x14ac:dyDescent="0.3">
      <c r="A209">
        <v>746847</v>
      </c>
      <c r="B209" s="1" t="s">
        <v>40</v>
      </c>
      <c r="C209" s="1" t="s">
        <v>23</v>
      </c>
      <c r="D209" s="1" t="s">
        <v>16</v>
      </c>
      <c r="E209" s="1" t="s">
        <v>27</v>
      </c>
      <c r="F209" s="1" t="s">
        <v>19</v>
      </c>
      <c r="G209" s="1" t="s">
        <v>20</v>
      </c>
      <c r="H209" t="s">
        <v>30</v>
      </c>
      <c r="I209" s="1" t="s">
        <v>26</v>
      </c>
      <c r="J209" s="2">
        <v>43526.838159722225</v>
      </c>
      <c r="K209" s="2">
        <v>43528.838159722225</v>
      </c>
      <c r="L209" s="2">
        <v>43530.838159722225</v>
      </c>
      <c r="M209" s="1">
        <f>_xlfn.DAYS(Table1[[#This Row],[actual_delivery_date]],Table1[[#This Row],[dispatch_date]])</f>
        <v>2</v>
      </c>
      <c r="N209">
        <v>75</v>
      </c>
      <c r="O209">
        <f>Table1[[#This Row],[transit_storage_cost]] * (1-'What -if Analysis'!$D$26)</f>
        <v>75</v>
      </c>
      <c r="P209">
        <v>105</v>
      </c>
      <c r="Q209">
        <v>902.06</v>
      </c>
    </row>
    <row r="210" spans="1:17" x14ac:dyDescent="0.3">
      <c r="A210">
        <v>965162</v>
      </c>
      <c r="B210" s="1" t="s">
        <v>39</v>
      </c>
      <c r="C210" s="1" t="s">
        <v>16</v>
      </c>
      <c r="D210" s="1" t="s">
        <v>24</v>
      </c>
      <c r="E210" s="1" t="s">
        <v>25</v>
      </c>
      <c r="F210" s="1" t="s">
        <v>31</v>
      </c>
      <c r="G210" s="1" t="s">
        <v>20</v>
      </c>
      <c r="H210" t="s">
        <v>21</v>
      </c>
      <c r="I210" s="1" t="s">
        <v>22</v>
      </c>
      <c r="J210" s="2">
        <v>43525.839629629627</v>
      </c>
      <c r="K210" s="2">
        <v>43528.839629629627</v>
      </c>
      <c r="L210" s="2">
        <v>43531.839629629627</v>
      </c>
      <c r="M210" s="1">
        <f>_xlfn.DAYS(Table1[[#This Row],[actual_delivery_date]],Table1[[#This Row],[dispatch_date]])</f>
        <v>3</v>
      </c>
      <c r="N210">
        <v>48</v>
      </c>
      <c r="O210">
        <f>Table1[[#This Row],[transit_storage_cost]] * (1-'What -if Analysis'!$D$26)</f>
        <v>48</v>
      </c>
      <c r="P210">
        <v>127</v>
      </c>
      <c r="Q210">
        <v>2045.0847387383037</v>
      </c>
    </row>
    <row r="211" spans="1:17" x14ac:dyDescent="0.3">
      <c r="A211">
        <v>62622</v>
      </c>
      <c r="B211" s="1" t="s">
        <v>37</v>
      </c>
      <c r="C211" s="1" t="s">
        <v>16</v>
      </c>
      <c r="D211" s="1" t="s">
        <v>16</v>
      </c>
      <c r="E211" s="1" t="s">
        <v>27</v>
      </c>
      <c r="F211" s="1" t="s">
        <v>31</v>
      </c>
      <c r="G211" s="1" t="s">
        <v>20</v>
      </c>
      <c r="H211" t="s">
        <v>21</v>
      </c>
      <c r="I211" s="1" t="s">
        <v>26</v>
      </c>
      <c r="J211" s="2">
        <v>43525.850289351853</v>
      </c>
      <c r="K211" s="2">
        <v>43528.850289351853</v>
      </c>
      <c r="L211" s="2">
        <v>43530.850289351853</v>
      </c>
      <c r="M211" s="1">
        <f>_xlfn.DAYS(Table1[[#This Row],[actual_delivery_date]],Table1[[#This Row],[dispatch_date]])</f>
        <v>3</v>
      </c>
      <c r="N211">
        <v>0</v>
      </c>
      <c r="O211">
        <f>Table1[[#This Row],[transit_storage_cost]] * (1-'What -if Analysis'!$D$26)</f>
        <v>0</v>
      </c>
      <c r="P211">
        <v>130</v>
      </c>
      <c r="Q211">
        <v>1106.5999999999999</v>
      </c>
    </row>
    <row r="212" spans="1:17" x14ac:dyDescent="0.3">
      <c r="A212">
        <v>153613</v>
      </c>
      <c r="B212" s="1" t="s">
        <v>38</v>
      </c>
      <c r="C212" s="1" t="s">
        <v>16</v>
      </c>
      <c r="D212" s="1" t="s">
        <v>17</v>
      </c>
      <c r="E212" s="1" t="s">
        <v>18</v>
      </c>
      <c r="F212" s="1" t="s">
        <v>19</v>
      </c>
      <c r="G212" s="1" t="s">
        <v>20</v>
      </c>
      <c r="H212" t="s">
        <v>30</v>
      </c>
      <c r="I212" s="1" t="s">
        <v>22</v>
      </c>
      <c r="J212" s="2">
        <v>43525.854537037034</v>
      </c>
      <c r="K212" s="2">
        <v>43528.854537037034</v>
      </c>
      <c r="L212" s="2">
        <v>43530.854537037034</v>
      </c>
      <c r="M212" s="1">
        <f>_xlfn.DAYS(Table1[[#This Row],[actual_delivery_date]],Table1[[#This Row],[dispatch_date]])</f>
        <v>3</v>
      </c>
      <c r="N212">
        <v>87</v>
      </c>
      <c r="O212">
        <f>Table1[[#This Row],[transit_storage_cost]] * (1-'What -if Analysis'!$D$26)</f>
        <v>87</v>
      </c>
      <c r="P212">
        <v>94</v>
      </c>
      <c r="Q212">
        <v>1778.6387091650568</v>
      </c>
    </row>
    <row r="213" spans="1:17" x14ac:dyDescent="0.3">
      <c r="A213">
        <v>65841</v>
      </c>
      <c r="B213" s="1" t="s">
        <v>39</v>
      </c>
      <c r="C213" s="1" t="s">
        <v>23</v>
      </c>
      <c r="D213" s="1" t="s">
        <v>17</v>
      </c>
      <c r="E213" s="1" t="s">
        <v>18</v>
      </c>
      <c r="F213" s="1" t="s">
        <v>19</v>
      </c>
      <c r="G213" s="1" t="s">
        <v>20</v>
      </c>
      <c r="H213" t="s">
        <v>30</v>
      </c>
      <c r="I213" s="1" t="s">
        <v>26</v>
      </c>
      <c r="J213" s="2">
        <v>43525.857187499998</v>
      </c>
      <c r="K213" s="2">
        <v>43528.857187499998</v>
      </c>
      <c r="L213" s="2">
        <v>43532.857187499998</v>
      </c>
      <c r="M213" s="1">
        <f>_xlfn.DAYS(Table1[[#This Row],[actual_delivery_date]],Table1[[#This Row],[dispatch_date]])</f>
        <v>3</v>
      </c>
      <c r="N213">
        <v>59</v>
      </c>
      <c r="O213">
        <f>Table1[[#This Row],[transit_storage_cost]] * (1-'What -if Analysis'!$D$26)</f>
        <v>59</v>
      </c>
      <c r="P213">
        <v>91</v>
      </c>
      <c r="Q213">
        <v>2535.89</v>
      </c>
    </row>
    <row r="214" spans="1:17" x14ac:dyDescent="0.3">
      <c r="A214">
        <v>678169</v>
      </c>
      <c r="B214" s="1" t="s">
        <v>37</v>
      </c>
      <c r="C214" s="1" t="s">
        <v>23</v>
      </c>
      <c r="D214" s="1" t="s">
        <v>16</v>
      </c>
      <c r="E214" s="1" t="s">
        <v>27</v>
      </c>
      <c r="F214" s="1" t="s">
        <v>19</v>
      </c>
      <c r="G214" s="1" t="s">
        <v>20</v>
      </c>
      <c r="H214" t="s">
        <v>30</v>
      </c>
      <c r="I214" s="1" t="s">
        <v>22</v>
      </c>
      <c r="J214" s="2">
        <v>43526.875115740739</v>
      </c>
      <c r="K214" s="2">
        <v>43528.875115740739</v>
      </c>
      <c r="L214" s="2">
        <v>43530.875115740739</v>
      </c>
      <c r="M214" s="1">
        <f>_xlfn.DAYS(Table1[[#This Row],[actual_delivery_date]],Table1[[#This Row],[dispatch_date]])</f>
        <v>2</v>
      </c>
      <c r="N214">
        <v>74</v>
      </c>
      <c r="O214">
        <f>Table1[[#This Row],[transit_storage_cost]] * (1-'What -if Analysis'!$D$26)</f>
        <v>74</v>
      </c>
      <c r="P214">
        <v>103</v>
      </c>
      <c r="Q214">
        <v>2378.3503031632299</v>
      </c>
    </row>
    <row r="215" spans="1:17" x14ac:dyDescent="0.3">
      <c r="A215">
        <v>479236</v>
      </c>
      <c r="B215" s="1" t="s">
        <v>38</v>
      </c>
      <c r="C215" s="1" t="s">
        <v>23</v>
      </c>
      <c r="D215" s="1" t="s">
        <v>16</v>
      </c>
      <c r="E215" s="1" t="s">
        <v>27</v>
      </c>
      <c r="F215" s="1" t="s">
        <v>19</v>
      </c>
      <c r="G215" s="1" t="s">
        <v>20</v>
      </c>
      <c r="H215" t="s">
        <v>21</v>
      </c>
      <c r="I215" s="1" t="s">
        <v>22</v>
      </c>
      <c r="J215" s="2">
        <v>43525.884733796294</v>
      </c>
      <c r="K215" s="2">
        <v>43528.884733796294</v>
      </c>
      <c r="L215" s="2">
        <v>43530.884733796294</v>
      </c>
      <c r="M215" s="1">
        <f>_xlfn.DAYS(Table1[[#This Row],[actual_delivery_date]],Table1[[#This Row],[dispatch_date]])</f>
        <v>3</v>
      </c>
      <c r="N215">
        <v>34</v>
      </c>
      <c r="O215">
        <f>Table1[[#This Row],[transit_storage_cost]] * (1-'What -if Analysis'!$D$26)</f>
        <v>34</v>
      </c>
      <c r="P215">
        <v>127</v>
      </c>
      <c r="Q215">
        <v>2789.2556630080094</v>
      </c>
    </row>
    <row r="216" spans="1:17" x14ac:dyDescent="0.3">
      <c r="A216">
        <v>995697</v>
      </c>
      <c r="B216" s="1" t="s">
        <v>41</v>
      </c>
      <c r="C216" s="1" t="s">
        <v>16</v>
      </c>
      <c r="D216" s="1" t="s">
        <v>16</v>
      </c>
      <c r="E216" s="1" t="s">
        <v>27</v>
      </c>
      <c r="F216" s="1" t="s">
        <v>29</v>
      </c>
      <c r="G216" s="1" t="s">
        <v>20</v>
      </c>
      <c r="H216" t="s">
        <v>30</v>
      </c>
      <c r="I216" s="1" t="s">
        <v>26</v>
      </c>
      <c r="J216" s="2">
        <v>43526.88795138889</v>
      </c>
      <c r="K216" s="2">
        <v>43528.88795138889</v>
      </c>
      <c r="L216" s="2">
        <v>43530.88795138889</v>
      </c>
      <c r="M216" s="1">
        <f>_xlfn.DAYS(Table1[[#This Row],[actual_delivery_date]],Table1[[#This Row],[dispatch_date]])</f>
        <v>2</v>
      </c>
      <c r="N216">
        <v>0</v>
      </c>
      <c r="O216">
        <f>Table1[[#This Row],[transit_storage_cost]] * (1-'What -if Analysis'!$D$26)</f>
        <v>0</v>
      </c>
      <c r="P216">
        <v>126</v>
      </c>
      <c r="Q216">
        <v>990.92</v>
      </c>
    </row>
    <row r="217" spans="1:17" x14ac:dyDescent="0.3">
      <c r="A217">
        <v>134007</v>
      </c>
      <c r="B217" s="1" t="s">
        <v>38</v>
      </c>
      <c r="C217" s="1" t="s">
        <v>23</v>
      </c>
      <c r="D217" s="1" t="s">
        <v>23</v>
      </c>
      <c r="E217" s="1" t="s">
        <v>28</v>
      </c>
      <c r="F217" s="1" t="s">
        <v>29</v>
      </c>
      <c r="G217" s="1" t="s">
        <v>20</v>
      </c>
      <c r="H217" t="s">
        <v>30</v>
      </c>
      <c r="I217" s="1" t="s">
        <v>26</v>
      </c>
      <c r="J217" s="2">
        <v>43528.913344907407</v>
      </c>
      <c r="K217" s="2">
        <v>43528.913344907407</v>
      </c>
      <c r="L217" s="2">
        <v>43534.913344907407</v>
      </c>
      <c r="M217" s="1">
        <f>_xlfn.DAYS(Table1[[#This Row],[actual_delivery_date]],Table1[[#This Row],[dispatch_date]])</f>
        <v>0</v>
      </c>
      <c r="N217">
        <v>0</v>
      </c>
      <c r="O217">
        <f>Table1[[#This Row],[transit_storage_cost]] * (1-'What -if Analysis'!$D$26)</f>
        <v>0</v>
      </c>
      <c r="P217">
        <v>127</v>
      </c>
      <c r="Q217">
        <v>2668.89</v>
      </c>
    </row>
    <row r="218" spans="1:17" x14ac:dyDescent="0.3">
      <c r="A218">
        <v>767785</v>
      </c>
      <c r="B218" s="1" t="s">
        <v>38</v>
      </c>
      <c r="C218" s="1" t="s">
        <v>23</v>
      </c>
      <c r="D218" s="1" t="s">
        <v>23</v>
      </c>
      <c r="E218" s="1" t="s">
        <v>28</v>
      </c>
      <c r="F218" s="1" t="s">
        <v>29</v>
      </c>
      <c r="G218" s="1" t="s">
        <v>20</v>
      </c>
      <c r="H218" t="s">
        <v>30</v>
      </c>
      <c r="I218" s="1" t="s">
        <v>22</v>
      </c>
      <c r="J218" s="2">
        <v>43527.921319444446</v>
      </c>
      <c r="K218" s="2">
        <v>43528.921319444446</v>
      </c>
      <c r="L218" s="2">
        <v>43530.921319444446</v>
      </c>
      <c r="M218" s="1">
        <f>_xlfn.DAYS(Table1[[#This Row],[actual_delivery_date]],Table1[[#This Row],[dispatch_date]])</f>
        <v>1</v>
      </c>
      <c r="N218">
        <v>0</v>
      </c>
      <c r="O218">
        <f>Table1[[#This Row],[transit_storage_cost]] * (1-'What -if Analysis'!$D$26)</f>
        <v>0</v>
      </c>
      <c r="P218">
        <v>127</v>
      </c>
      <c r="Q218">
        <v>2178.1952151225823</v>
      </c>
    </row>
    <row r="219" spans="1:17" x14ac:dyDescent="0.3">
      <c r="A219">
        <v>362032</v>
      </c>
      <c r="B219" s="1" t="s">
        <v>37</v>
      </c>
      <c r="C219" s="1" t="s">
        <v>23</v>
      </c>
      <c r="D219" s="1" t="s">
        <v>16</v>
      </c>
      <c r="E219" s="1" t="s">
        <v>27</v>
      </c>
      <c r="F219" s="1" t="s">
        <v>19</v>
      </c>
      <c r="G219" s="1" t="s">
        <v>20</v>
      </c>
      <c r="H219" t="s">
        <v>21</v>
      </c>
      <c r="I219" s="1" t="s">
        <v>22</v>
      </c>
      <c r="J219" s="2">
        <v>43525.927187499998</v>
      </c>
      <c r="K219" s="2">
        <v>43528.927187499998</v>
      </c>
      <c r="L219" s="2">
        <v>43529.927187499998</v>
      </c>
      <c r="M219" s="1">
        <f>_xlfn.DAYS(Table1[[#This Row],[actual_delivery_date]],Table1[[#This Row],[dispatch_date]])</f>
        <v>3</v>
      </c>
      <c r="N219">
        <v>45</v>
      </c>
      <c r="O219">
        <f>Table1[[#This Row],[transit_storage_cost]] * (1-'What -if Analysis'!$D$26)</f>
        <v>45</v>
      </c>
      <c r="P219">
        <v>126</v>
      </c>
      <c r="Q219">
        <v>2306.0110129432837</v>
      </c>
    </row>
    <row r="220" spans="1:17" x14ac:dyDescent="0.3">
      <c r="A220">
        <v>669445</v>
      </c>
      <c r="B220" s="1" t="s">
        <v>37</v>
      </c>
      <c r="C220" s="1" t="s">
        <v>16</v>
      </c>
      <c r="D220" s="1" t="s">
        <v>17</v>
      </c>
      <c r="E220" s="1" t="s">
        <v>18</v>
      </c>
      <c r="F220" s="1" t="s">
        <v>19</v>
      </c>
      <c r="G220" s="1" t="s">
        <v>20</v>
      </c>
      <c r="H220" t="s">
        <v>34</v>
      </c>
      <c r="I220" s="1" t="s">
        <v>22</v>
      </c>
      <c r="J220" s="2">
        <v>43526.943715277775</v>
      </c>
      <c r="K220" s="2">
        <v>43528.943715277775</v>
      </c>
      <c r="L220" s="2">
        <v>43533.943715277775</v>
      </c>
      <c r="M220" s="1">
        <f>_xlfn.DAYS(Table1[[#This Row],[actual_delivery_date]],Table1[[#This Row],[dispatch_date]])</f>
        <v>2</v>
      </c>
      <c r="N220">
        <v>83</v>
      </c>
      <c r="O220">
        <f>Table1[[#This Row],[transit_storage_cost]] * (1-'What -if Analysis'!$D$26)</f>
        <v>83</v>
      </c>
      <c r="P220">
        <v>88</v>
      </c>
      <c r="Q220">
        <v>3354.8452249604302</v>
      </c>
    </row>
    <row r="221" spans="1:17" x14ac:dyDescent="0.3">
      <c r="A221">
        <v>496791</v>
      </c>
      <c r="B221" s="1" t="s">
        <v>37</v>
      </c>
      <c r="C221" s="1" t="s">
        <v>23</v>
      </c>
      <c r="D221" s="1" t="s">
        <v>23</v>
      </c>
      <c r="E221" s="1" t="s">
        <v>28</v>
      </c>
      <c r="F221" s="1" t="s">
        <v>29</v>
      </c>
      <c r="G221" s="1" t="s">
        <v>20</v>
      </c>
      <c r="H221" t="s">
        <v>30</v>
      </c>
      <c r="I221" s="1" t="s">
        <v>26</v>
      </c>
      <c r="J221" s="2">
        <v>43526.959050925929</v>
      </c>
      <c r="K221" s="2">
        <v>43528.959050925929</v>
      </c>
      <c r="L221" s="2">
        <v>43533.959050925929</v>
      </c>
      <c r="M221" s="1">
        <f>_xlfn.DAYS(Table1[[#This Row],[actual_delivery_date]],Table1[[#This Row],[dispatch_date]])</f>
        <v>2</v>
      </c>
      <c r="N221">
        <v>0</v>
      </c>
      <c r="O221">
        <f>Table1[[#This Row],[transit_storage_cost]] * (1-'What -if Analysis'!$D$26)</f>
        <v>0</v>
      </c>
      <c r="P221">
        <v>122</v>
      </c>
      <c r="Q221">
        <v>1388.8</v>
      </c>
    </row>
    <row r="222" spans="1:17" x14ac:dyDescent="0.3">
      <c r="A222">
        <v>745538</v>
      </c>
      <c r="B222" s="1" t="s">
        <v>15</v>
      </c>
      <c r="C222" s="1" t="s">
        <v>23</v>
      </c>
      <c r="D222" s="1" t="s">
        <v>24</v>
      </c>
      <c r="E222" s="1" t="s">
        <v>25</v>
      </c>
      <c r="F222" s="1" t="s">
        <v>31</v>
      </c>
      <c r="G222" s="1" t="s">
        <v>20</v>
      </c>
      <c r="H222" t="s">
        <v>21</v>
      </c>
      <c r="I222" s="1" t="s">
        <v>22</v>
      </c>
      <c r="J222" s="2">
        <v>43526.960381944446</v>
      </c>
      <c r="K222" s="2">
        <v>43528.960381944446</v>
      </c>
      <c r="L222" s="2">
        <v>43533.960381944446</v>
      </c>
      <c r="M222" s="1">
        <f>_xlfn.DAYS(Table1[[#This Row],[actual_delivery_date]],Table1[[#This Row],[dispatch_date]])</f>
        <v>2</v>
      </c>
      <c r="N222">
        <v>50</v>
      </c>
      <c r="O222">
        <f>Table1[[#This Row],[transit_storage_cost]] * (1-'What -if Analysis'!$D$26)</f>
        <v>50</v>
      </c>
      <c r="P222">
        <v>129</v>
      </c>
      <c r="Q222">
        <v>957.31064776589199</v>
      </c>
    </row>
    <row r="223" spans="1:17" x14ac:dyDescent="0.3">
      <c r="A223">
        <v>91517</v>
      </c>
      <c r="B223" s="1" t="s">
        <v>38</v>
      </c>
      <c r="C223" s="1" t="s">
        <v>16</v>
      </c>
      <c r="D223" s="1" t="s">
        <v>32</v>
      </c>
      <c r="E223" s="1" t="s">
        <v>33</v>
      </c>
      <c r="F223" s="1" t="s">
        <v>29</v>
      </c>
      <c r="G223" s="1" t="s">
        <v>20</v>
      </c>
      <c r="H223" t="s">
        <v>30</v>
      </c>
      <c r="I223" s="1" t="s">
        <v>22</v>
      </c>
      <c r="J223" s="2">
        <v>43525.963287037041</v>
      </c>
      <c r="K223" s="2">
        <v>43528.963287037041</v>
      </c>
      <c r="L223" s="2">
        <v>43532.963287037041</v>
      </c>
      <c r="M223" s="1">
        <f>_xlfn.DAYS(Table1[[#This Row],[actual_delivery_date]],Table1[[#This Row],[dispatch_date]])</f>
        <v>3</v>
      </c>
      <c r="N223">
        <v>29</v>
      </c>
      <c r="O223">
        <f>Table1[[#This Row],[transit_storage_cost]] * (1-'What -if Analysis'!$D$26)</f>
        <v>29</v>
      </c>
      <c r="P223">
        <v>114</v>
      </c>
      <c r="Q223">
        <v>2617.2367662417828</v>
      </c>
    </row>
    <row r="224" spans="1:17" x14ac:dyDescent="0.3">
      <c r="A224">
        <v>422808</v>
      </c>
      <c r="B224" s="1" t="s">
        <v>41</v>
      </c>
      <c r="C224" s="1" t="s">
        <v>23</v>
      </c>
      <c r="D224" s="1" t="s">
        <v>17</v>
      </c>
      <c r="E224" s="1" t="s">
        <v>18</v>
      </c>
      <c r="F224" s="1" t="s">
        <v>19</v>
      </c>
      <c r="G224" s="1" t="s">
        <v>20</v>
      </c>
      <c r="H224" t="s">
        <v>21</v>
      </c>
      <c r="I224" s="1" t="s">
        <v>26</v>
      </c>
      <c r="J224" s="2">
        <v>43526.976620370369</v>
      </c>
      <c r="K224" s="2">
        <v>43528.976620370369</v>
      </c>
      <c r="L224" s="2">
        <v>43530.976620370369</v>
      </c>
      <c r="M224" s="1">
        <f>_xlfn.DAYS(Table1[[#This Row],[actual_delivery_date]],Table1[[#This Row],[dispatch_date]])</f>
        <v>2</v>
      </c>
      <c r="N224">
        <v>48</v>
      </c>
      <c r="O224">
        <f>Table1[[#This Row],[transit_storage_cost]] * (1-'What -if Analysis'!$D$26)</f>
        <v>48</v>
      </c>
      <c r="P224">
        <v>114</v>
      </c>
      <c r="Q224">
        <v>341.47</v>
      </c>
    </row>
    <row r="225" spans="1:17" x14ac:dyDescent="0.3">
      <c r="A225">
        <v>149485</v>
      </c>
      <c r="B225" s="1" t="s">
        <v>40</v>
      </c>
      <c r="C225" s="1" t="s">
        <v>16</v>
      </c>
      <c r="D225" s="1" t="s">
        <v>23</v>
      </c>
      <c r="E225" s="1" t="s">
        <v>28</v>
      </c>
      <c r="F225" s="1" t="s">
        <v>19</v>
      </c>
      <c r="G225" s="1" t="s">
        <v>20</v>
      </c>
      <c r="H225" t="s">
        <v>34</v>
      </c>
      <c r="I225" s="1" t="s">
        <v>22</v>
      </c>
      <c r="J225" s="2">
        <v>43526.982916666668</v>
      </c>
      <c r="K225" s="2">
        <v>43528.982916666668</v>
      </c>
      <c r="L225" s="2">
        <v>43533.982916666668</v>
      </c>
      <c r="M225" s="1">
        <f>_xlfn.DAYS(Table1[[#This Row],[actual_delivery_date]],Table1[[#This Row],[dispatch_date]])</f>
        <v>2</v>
      </c>
      <c r="N225">
        <v>64</v>
      </c>
      <c r="O225">
        <f>Table1[[#This Row],[transit_storage_cost]] * (1-'What -if Analysis'!$D$26)</f>
        <v>64</v>
      </c>
      <c r="P225">
        <v>109</v>
      </c>
      <c r="Q225">
        <v>681.59510435097434</v>
      </c>
    </row>
    <row r="226" spans="1:17" x14ac:dyDescent="0.3">
      <c r="A226">
        <v>557964</v>
      </c>
      <c r="B226" s="1" t="s">
        <v>37</v>
      </c>
      <c r="C226" s="1" t="s">
        <v>23</v>
      </c>
      <c r="D226" s="1" t="s">
        <v>23</v>
      </c>
      <c r="E226" s="1" t="s">
        <v>28</v>
      </c>
      <c r="F226" s="1" t="s">
        <v>19</v>
      </c>
      <c r="G226" s="1" t="s">
        <v>20</v>
      </c>
      <c r="H226" t="s">
        <v>21</v>
      </c>
      <c r="I226" s="1" t="s">
        <v>26</v>
      </c>
      <c r="J226" s="2">
        <v>43526.006006944444</v>
      </c>
      <c r="K226" s="2">
        <v>43529.006006944444</v>
      </c>
      <c r="L226" s="2">
        <v>43531.006006944444</v>
      </c>
      <c r="M226" s="1">
        <f>_xlfn.DAYS(Table1[[#This Row],[actual_delivery_date]],Table1[[#This Row],[dispatch_date]])</f>
        <v>3</v>
      </c>
      <c r="N226">
        <v>0</v>
      </c>
      <c r="O226">
        <f>Table1[[#This Row],[transit_storage_cost]] * (1-'What -if Analysis'!$D$26)</f>
        <v>0</v>
      </c>
      <c r="P226">
        <v>129</v>
      </c>
      <c r="Q226">
        <v>3396.6</v>
      </c>
    </row>
    <row r="227" spans="1:17" x14ac:dyDescent="0.3">
      <c r="A227">
        <v>671075</v>
      </c>
      <c r="B227" s="1" t="s">
        <v>38</v>
      </c>
      <c r="C227" s="1" t="s">
        <v>16</v>
      </c>
      <c r="D227" s="1" t="s">
        <v>24</v>
      </c>
      <c r="E227" s="1" t="s">
        <v>25</v>
      </c>
      <c r="F227" s="1" t="s">
        <v>29</v>
      </c>
      <c r="G227" s="1" t="s">
        <v>20</v>
      </c>
      <c r="H227" t="s">
        <v>30</v>
      </c>
      <c r="I227" s="1" t="s">
        <v>22</v>
      </c>
      <c r="J227" s="2">
        <v>43527.006180555552</v>
      </c>
      <c r="K227" s="2">
        <v>43529.006180555552</v>
      </c>
      <c r="L227" s="2">
        <v>43531.006180555552</v>
      </c>
      <c r="M227" s="1">
        <f>_xlfn.DAYS(Table1[[#This Row],[actual_delivery_date]],Table1[[#This Row],[dispatch_date]])</f>
        <v>2</v>
      </c>
      <c r="N227">
        <v>29</v>
      </c>
      <c r="O227">
        <f>Table1[[#This Row],[transit_storage_cost]] * (1-'What -if Analysis'!$D$26)</f>
        <v>29</v>
      </c>
      <c r="P227">
        <v>123</v>
      </c>
      <c r="Q227">
        <v>2497.9659455171932</v>
      </c>
    </row>
    <row r="228" spans="1:17" x14ac:dyDescent="0.3">
      <c r="A228">
        <v>482982</v>
      </c>
      <c r="B228" s="1" t="s">
        <v>38</v>
      </c>
      <c r="C228" s="1" t="s">
        <v>16</v>
      </c>
      <c r="D228" s="1" t="s">
        <v>16</v>
      </c>
      <c r="E228" s="1" t="s">
        <v>27</v>
      </c>
      <c r="F228" s="1" t="s">
        <v>31</v>
      </c>
      <c r="G228" s="1" t="s">
        <v>20</v>
      </c>
      <c r="H228" t="s">
        <v>21</v>
      </c>
      <c r="I228" s="1" t="s">
        <v>26</v>
      </c>
      <c r="J228" s="2">
        <v>43525.010092592594</v>
      </c>
      <c r="K228" s="2">
        <v>43529.010092592594</v>
      </c>
      <c r="L228" s="2">
        <v>43530.010092592594</v>
      </c>
      <c r="M228" s="1">
        <f>_xlfn.DAYS(Table1[[#This Row],[actual_delivery_date]],Table1[[#This Row],[dispatch_date]])</f>
        <v>4</v>
      </c>
      <c r="N228">
        <v>0</v>
      </c>
      <c r="O228">
        <f>Table1[[#This Row],[transit_storage_cost]] * (1-'What -if Analysis'!$D$26)</f>
        <v>0</v>
      </c>
      <c r="P228">
        <v>129</v>
      </c>
      <c r="Q228">
        <v>1646.06</v>
      </c>
    </row>
    <row r="229" spans="1:17" x14ac:dyDescent="0.3">
      <c r="A229">
        <v>526571</v>
      </c>
      <c r="B229" s="1" t="s">
        <v>40</v>
      </c>
      <c r="C229" s="1" t="s">
        <v>23</v>
      </c>
      <c r="D229" s="1" t="s">
        <v>32</v>
      </c>
      <c r="E229" s="1" t="s">
        <v>33</v>
      </c>
      <c r="F229" s="1" t="s">
        <v>29</v>
      </c>
      <c r="G229" s="1" t="s">
        <v>20</v>
      </c>
      <c r="H229" t="s">
        <v>30</v>
      </c>
      <c r="I229" s="1" t="s">
        <v>22</v>
      </c>
      <c r="J229" s="2">
        <v>43526.012766203705</v>
      </c>
      <c r="K229" s="2">
        <v>43529.012766203705</v>
      </c>
      <c r="L229" s="2">
        <v>43530.012766203705</v>
      </c>
      <c r="M229" s="1">
        <f>_xlfn.DAYS(Table1[[#This Row],[actual_delivery_date]],Table1[[#This Row],[dispatch_date]])</f>
        <v>3</v>
      </c>
      <c r="N229">
        <v>26</v>
      </c>
      <c r="O229">
        <f>Table1[[#This Row],[transit_storage_cost]] * (1-'What -if Analysis'!$D$26)</f>
        <v>26</v>
      </c>
      <c r="P229">
        <v>106</v>
      </c>
      <c r="Q229">
        <v>1328.7937659203462</v>
      </c>
    </row>
    <row r="230" spans="1:17" x14ac:dyDescent="0.3">
      <c r="A230">
        <v>371869</v>
      </c>
      <c r="B230" s="1" t="s">
        <v>41</v>
      </c>
      <c r="C230" s="1" t="s">
        <v>16</v>
      </c>
      <c r="D230" s="1" t="s">
        <v>16</v>
      </c>
      <c r="E230" s="1" t="s">
        <v>27</v>
      </c>
      <c r="F230" s="1" t="s">
        <v>29</v>
      </c>
      <c r="G230" s="1" t="s">
        <v>20</v>
      </c>
      <c r="H230" t="s">
        <v>30</v>
      </c>
      <c r="I230" s="1" t="s">
        <v>22</v>
      </c>
      <c r="J230" s="2">
        <v>43526.028749999998</v>
      </c>
      <c r="K230" s="2">
        <v>43529.028749999998</v>
      </c>
      <c r="L230" s="2">
        <v>43529.028749999998</v>
      </c>
      <c r="M230" s="1">
        <f>_xlfn.DAYS(Table1[[#This Row],[actual_delivery_date]],Table1[[#This Row],[dispatch_date]])</f>
        <v>3</v>
      </c>
      <c r="N230">
        <v>0</v>
      </c>
      <c r="O230">
        <f>Table1[[#This Row],[transit_storage_cost]] * (1-'What -if Analysis'!$D$26)</f>
        <v>0</v>
      </c>
      <c r="P230">
        <v>128</v>
      </c>
      <c r="Q230">
        <v>2111.8417670809908</v>
      </c>
    </row>
    <row r="231" spans="1:17" x14ac:dyDescent="0.3">
      <c r="A231">
        <v>810603</v>
      </c>
      <c r="B231" s="1" t="s">
        <v>41</v>
      </c>
      <c r="C231" s="1" t="s">
        <v>23</v>
      </c>
      <c r="D231" s="1" t="s">
        <v>24</v>
      </c>
      <c r="E231" s="1" t="s">
        <v>25</v>
      </c>
      <c r="F231" s="1" t="s">
        <v>29</v>
      </c>
      <c r="G231" s="1" t="s">
        <v>20</v>
      </c>
      <c r="H231" t="s">
        <v>30</v>
      </c>
      <c r="I231" s="1" t="s">
        <v>26</v>
      </c>
      <c r="J231" s="2">
        <v>43527.042048611111</v>
      </c>
      <c r="K231" s="2">
        <v>43529.042048611111</v>
      </c>
      <c r="L231" s="2">
        <v>43532.042048611111</v>
      </c>
      <c r="M231" s="1">
        <f>_xlfn.DAYS(Table1[[#This Row],[actual_delivery_date]],Table1[[#This Row],[dispatch_date]])</f>
        <v>2</v>
      </c>
      <c r="N231">
        <v>50</v>
      </c>
      <c r="O231">
        <f>Table1[[#This Row],[transit_storage_cost]] * (1-'What -if Analysis'!$D$26)</f>
        <v>50</v>
      </c>
      <c r="P231">
        <v>129</v>
      </c>
      <c r="Q231">
        <v>1833.6</v>
      </c>
    </row>
    <row r="232" spans="1:17" x14ac:dyDescent="0.3">
      <c r="A232">
        <v>177835</v>
      </c>
      <c r="B232" s="1" t="s">
        <v>37</v>
      </c>
      <c r="C232" s="1" t="s">
        <v>16</v>
      </c>
      <c r="D232" s="1" t="s">
        <v>32</v>
      </c>
      <c r="E232" s="1" t="s">
        <v>33</v>
      </c>
      <c r="F232" s="1" t="s">
        <v>29</v>
      </c>
      <c r="G232" s="1" t="s">
        <v>20</v>
      </c>
      <c r="H232" t="s">
        <v>34</v>
      </c>
      <c r="I232" s="1" t="s">
        <v>22</v>
      </c>
      <c r="J232" s="2">
        <v>43527.042453703703</v>
      </c>
      <c r="K232" s="2">
        <v>43529.042453703703</v>
      </c>
      <c r="L232" s="2">
        <v>43531.042453703703</v>
      </c>
      <c r="M232" s="1">
        <f>_xlfn.DAYS(Table1[[#This Row],[actual_delivery_date]],Table1[[#This Row],[dispatch_date]])</f>
        <v>2</v>
      </c>
      <c r="N232">
        <v>40</v>
      </c>
      <c r="O232">
        <f>Table1[[#This Row],[transit_storage_cost]] * (1-'What -if Analysis'!$D$26)</f>
        <v>40</v>
      </c>
      <c r="P232">
        <v>112</v>
      </c>
      <c r="Q232">
        <v>1119.5493626930047</v>
      </c>
    </row>
    <row r="233" spans="1:17" x14ac:dyDescent="0.3">
      <c r="A233">
        <v>736361</v>
      </c>
      <c r="B233" s="1" t="s">
        <v>38</v>
      </c>
      <c r="C233" s="1" t="s">
        <v>23</v>
      </c>
      <c r="D233" s="1" t="s">
        <v>17</v>
      </c>
      <c r="E233" s="1" t="s">
        <v>18</v>
      </c>
      <c r="F233" s="1" t="s">
        <v>29</v>
      </c>
      <c r="G233" s="1" t="s">
        <v>20</v>
      </c>
      <c r="H233" t="s">
        <v>30</v>
      </c>
      <c r="I233" s="1" t="s">
        <v>22</v>
      </c>
      <c r="J233" s="2">
        <v>43525.070787037039</v>
      </c>
      <c r="K233" s="2">
        <v>43529.070787037039</v>
      </c>
      <c r="L233" s="2">
        <v>43531.070787037039</v>
      </c>
      <c r="M233" s="1">
        <f>_xlfn.DAYS(Table1[[#This Row],[actual_delivery_date]],Table1[[#This Row],[dispatch_date]])</f>
        <v>4</v>
      </c>
      <c r="N233">
        <v>48</v>
      </c>
      <c r="O233">
        <f>Table1[[#This Row],[transit_storage_cost]] * (1-'What -if Analysis'!$D$26)</f>
        <v>48</v>
      </c>
      <c r="P233">
        <v>110</v>
      </c>
      <c r="Q233">
        <v>1096.3860892159437</v>
      </c>
    </row>
    <row r="234" spans="1:17" x14ac:dyDescent="0.3">
      <c r="A234">
        <v>424689</v>
      </c>
      <c r="B234" s="1" t="s">
        <v>37</v>
      </c>
      <c r="C234" s="1" t="s">
        <v>16</v>
      </c>
      <c r="D234" s="1" t="s">
        <v>24</v>
      </c>
      <c r="E234" s="1" t="s">
        <v>25</v>
      </c>
      <c r="F234" s="1" t="s">
        <v>29</v>
      </c>
      <c r="G234" s="1" t="s">
        <v>20</v>
      </c>
      <c r="H234" t="s">
        <v>30</v>
      </c>
      <c r="I234" s="1" t="s">
        <v>26</v>
      </c>
      <c r="J234" s="2">
        <v>43527.07545138889</v>
      </c>
      <c r="K234" s="2">
        <v>43529.07545138889</v>
      </c>
      <c r="L234" s="2">
        <v>43530.07545138889</v>
      </c>
      <c r="M234" s="1">
        <f>_xlfn.DAYS(Table1[[#This Row],[actual_delivery_date]],Table1[[#This Row],[dispatch_date]])</f>
        <v>2</v>
      </c>
      <c r="N234">
        <v>33</v>
      </c>
      <c r="O234">
        <f>Table1[[#This Row],[transit_storage_cost]] * (1-'What -if Analysis'!$D$26)</f>
        <v>33</v>
      </c>
      <c r="P234">
        <v>124</v>
      </c>
      <c r="Q234">
        <v>1703.32</v>
      </c>
    </row>
    <row r="235" spans="1:17" x14ac:dyDescent="0.3">
      <c r="A235">
        <v>665747</v>
      </c>
      <c r="B235" s="1" t="s">
        <v>38</v>
      </c>
      <c r="C235" s="1" t="s">
        <v>16</v>
      </c>
      <c r="D235" s="1" t="s">
        <v>17</v>
      </c>
      <c r="E235" s="1" t="s">
        <v>18</v>
      </c>
      <c r="F235" s="1" t="s">
        <v>29</v>
      </c>
      <c r="G235" s="1" t="s">
        <v>20</v>
      </c>
      <c r="H235" t="s">
        <v>30</v>
      </c>
      <c r="I235" s="1" t="s">
        <v>22</v>
      </c>
      <c r="J235" s="2">
        <v>43526.078969907408</v>
      </c>
      <c r="K235" s="2">
        <v>43529.078969907408</v>
      </c>
      <c r="L235" s="2">
        <v>43531.078969907408</v>
      </c>
      <c r="M235" s="1">
        <f>_xlfn.DAYS(Table1[[#This Row],[actual_delivery_date]],Table1[[#This Row],[dispatch_date]])</f>
        <v>3</v>
      </c>
      <c r="N235">
        <v>46</v>
      </c>
      <c r="O235">
        <f>Table1[[#This Row],[transit_storage_cost]] * (1-'What -if Analysis'!$D$26)</f>
        <v>46</v>
      </c>
      <c r="P235">
        <v>113</v>
      </c>
      <c r="Q235">
        <v>1145.1373437022214</v>
      </c>
    </row>
    <row r="236" spans="1:17" x14ac:dyDescent="0.3">
      <c r="A236">
        <v>359449</v>
      </c>
      <c r="B236" s="1" t="s">
        <v>40</v>
      </c>
      <c r="C236" s="1" t="s">
        <v>16</v>
      </c>
      <c r="D236" s="1" t="s">
        <v>17</v>
      </c>
      <c r="E236" s="1" t="s">
        <v>18</v>
      </c>
      <c r="F236" s="1" t="s">
        <v>29</v>
      </c>
      <c r="G236" s="1" t="s">
        <v>20</v>
      </c>
      <c r="H236" t="s">
        <v>30</v>
      </c>
      <c r="I236" s="1" t="s">
        <v>22</v>
      </c>
      <c r="J236" s="2">
        <v>43525.080868055556</v>
      </c>
      <c r="K236" s="2">
        <v>43529.080868055556</v>
      </c>
      <c r="L236" s="2">
        <v>43531.080868055556</v>
      </c>
      <c r="M236" s="1">
        <f>_xlfn.DAYS(Table1[[#This Row],[actual_delivery_date]],Table1[[#This Row],[dispatch_date]])</f>
        <v>4</v>
      </c>
      <c r="N236">
        <v>25</v>
      </c>
      <c r="O236">
        <f>Table1[[#This Row],[transit_storage_cost]] * (1-'What -if Analysis'!$D$26)</f>
        <v>25</v>
      </c>
      <c r="P236">
        <v>110</v>
      </c>
      <c r="Q236">
        <v>292.3955970887929</v>
      </c>
    </row>
    <row r="237" spans="1:17" x14ac:dyDescent="0.3">
      <c r="A237">
        <v>224056</v>
      </c>
      <c r="B237" s="1" t="s">
        <v>41</v>
      </c>
      <c r="C237" s="1" t="s">
        <v>16</v>
      </c>
      <c r="D237" s="1" t="s">
        <v>16</v>
      </c>
      <c r="E237" s="1" t="s">
        <v>27</v>
      </c>
      <c r="F237" s="1" t="s">
        <v>19</v>
      </c>
      <c r="G237" s="1" t="s">
        <v>20</v>
      </c>
      <c r="H237" t="s">
        <v>21</v>
      </c>
      <c r="I237" s="1" t="s">
        <v>22</v>
      </c>
      <c r="J237" s="2">
        <v>43529.081261574072</v>
      </c>
      <c r="K237" s="2">
        <v>43529.081261574072</v>
      </c>
      <c r="L237" s="2">
        <v>43533.081261574072</v>
      </c>
      <c r="M237" s="1">
        <f>_xlfn.DAYS(Table1[[#This Row],[actual_delivery_date]],Table1[[#This Row],[dispatch_date]])</f>
        <v>0</v>
      </c>
      <c r="N237">
        <v>0</v>
      </c>
      <c r="O237">
        <f>Table1[[#This Row],[transit_storage_cost]] * (1-'What -if Analysis'!$D$26)</f>
        <v>0</v>
      </c>
      <c r="P237">
        <v>126</v>
      </c>
      <c r="Q237">
        <v>3111.7703353190509</v>
      </c>
    </row>
    <row r="238" spans="1:17" x14ac:dyDescent="0.3">
      <c r="A238">
        <v>958908</v>
      </c>
      <c r="B238" s="1" t="s">
        <v>38</v>
      </c>
      <c r="C238" s="1" t="s">
        <v>23</v>
      </c>
      <c r="D238" s="1" t="s">
        <v>17</v>
      </c>
      <c r="E238" s="1" t="s">
        <v>18</v>
      </c>
      <c r="F238" s="1" t="s">
        <v>19</v>
      </c>
      <c r="G238" s="1" t="s">
        <v>20</v>
      </c>
      <c r="H238" t="s">
        <v>21</v>
      </c>
      <c r="I238" s="1" t="s">
        <v>26</v>
      </c>
      <c r="J238" s="2">
        <v>43527.091273148151</v>
      </c>
      <c r="K238" s="2">
        <v>43529.091273148151</v>
      </c>
      <c r="L238" s="2">
        <v>43534.091273148151</v>
      </c>
      <c r="M238" s="1">
        <f>_xlfn.DAYS(Table1[[#This Row],[actual_delivery_date]],Table1[[#This Row],[dispatch_date]])</f>
        <v>2</v>
      </c>
      <c r="N238">
        <v>46</v>
      </c>
      <c r="O238">
        <f>Table1[[#This Row],[transit_storage_cost]] * (1-'What -if Analysis'!$D$26)</f>
        <v>46</v>
      </c>
      <c r="P238">
        <v>112</v>
      </c>
      <c r="Q238">
        <v>1752.34</v>
      </c>
    </row>
    <row r="239" spans="1:17" x14ac:dyDescent="0.3">
      <c r="A239">
        <v>132102</v>
      </c>
      <c r="B239" s="1" t="s">
        <v>38</v>
      </c>
      <c r="C239" s="1" t="s">
        <v>23</v>
      </c>
      <c r="D239" s="1" t="s">
        <v>16</v>
      </c>
      <c r="E239" s="1" t="s">
        <v>27</v>
      </c>
      <c r="F239" s="1" t="s">
        <v>31</v>
      </c>
      <c r="G239" s="1" t="s">
        <v>36</v>
      </c>
      <c r="H239" t="s">
        <v>21</v>
      </c>
      <c r="I239" s="1" t="s">
        <v>26</v>
      </c>
      <c r="J239" s="2">
        <v>43525.097002314818</v>
      </c>
      <c r="K239" s="2">
        <v>43529.097002314818</v>
      </c>
      <c r="L239" s="2">
        <v>43532.097002314818</v>
      </c>
      <c r="M239" s="1">
        <f>_xlfn.DAYS(Table1[[#This Row],[actual_delivery_date]],Table1[[#This Row],[dispatch_date]])</f>
        <v>4</v>
      </c>
      <c r="N239">
        <v>42</v>
      </c>
      <c r="O239">
        <f>Table1[[#This Row],[transit_storage_cost]] * (1-'What -if Analysis'!$D$26)</f>
        <v>42</v>
      </c>
      <c r="P239">
        <v>124</v>
      </c>
      <c r="Q239">
        <v>2896.9604156176952</v>
      </c>
    </row>
    <row r="240" spans="1:17" x14ac:dyDescent="0.3">
      <c r="A240">
        <v>168953</v>
      </c>
      <c r="B240" s="1" t="s">
        <v>38</v>
      </c>
      <c r="C240" s="1" t="s">
        <v>16</v>
      </c>
      <c r="D240" s="1" t="s">
        <v>17</v>
      </c>
      <c r="E240" s="1" t="s">
        <v>18</v>
      </c>
      <c r="F240" s="1" t="s">
        <v>29</v>
      </c>
      <c r="G240" s="1" t="s">
        <v>20</v>
      </c>
      <c r="H240" t="s">
        <v>30</v>
      </c>
      <c r="I240" s="1" t="s">
        <v>22</v>
      </c>
      <c r="J240" s="2">
        <v>43525.102835648147</v>
      </c>
      <c r="K240" s="2">
        <v>43529.102835648147</v>
      </c>
      <c r="L240" s="2">
        <v>43531.102835648147</v>
      </c>
      <c r="M240" s="1">
        <f>_xlfn.DAYS(Table1[[#This Row],[actual_delivery_date]],Table1[[#This Row],[dispatch_date]])</f>
        <v>4</v>
      </c>
      <c r="N240">
        <v>40</v>
      </c>
      <c r="O240">
        <f>Table1[[#This Row],[transit_storage_cost]] * (1-'What -if Analysis'!$D$26)</f>
        <v>40</v>
      </c>
      <c r="P240">
        <v>108</v>
      </c>
      <c r="Q240">
        <v>1567.892727702671</v>
      </c>
    </row>
    <row r="241" spans="1:17" x14ac:dyDescent="0.3">
      <c r="A241">
        <v>213474</v>
      </c>
      <c r="B241" s="1" t="s">
        <v>38</v>
      </c>
      <c r="C241" s="1" t="s">
        <v>23</v>
      </c>
      <c r="D241" s="1" t="s">
        <v>16</v>
      </c>
      <c r="E241" s="1" t="s">
        <v>27</v>
      </c>
      <c r="F241" s="1" t="s">
        <v>19</v>
      </c>
      <c r="G241" s="1" t="s">
        <v>20</v>
      </c>
      <c r="H241" t="s">
        <v>21</v>
      </c>
      <c r="I241" s="1" t="s">
        <v>26</v>
      </c>
      <c r="J241" s="2">
        <v>43526.103495370371</v>
      </c>
      <c r="K241" s="2">
        <v>43529.103495370371</v>
      </c>
      <c r="L241" s="2">
        <v>43530.103495370371</v>
      </c>
      <c r="M241" s="1">
        <f>_xlfn.DAYS(Table1[[#This Row],[actual_delivery_date]],Table1[[#This Row],[dispatch_date]])</f>
        <v>3</v>
      </c>
      <c r="N241">
        <v>64</v>
      </c>
      <c r="O241">
        <f>Table1[[#This Row],[transit_storage_cost]] * (1-'What -if Analysis'!$D$26)</f>
        <v>64</v>
      </c>
      <c r="P241">
        <v>107</v>
      </c>
      <c r="Q241">
        <v>357.61</v>
      </c>
    </row>
    <row r="242" spans="1:17" x14ac:dyDescent="0.3">
      <c r="A242">
        <v>88560</v>
      </c>
      <c r="B242" s="1" t="s">
        <v>37</v>
      </c>
      <c r="C242" s="1" t="s">
        <v>16</v>
      </c>
      <c r="D242" s="1" t="s">
        <v>16</v>
      </c>
      <c r="E242" s="1" t="s">
        <v>27</v>
      </c>
      <c r="F242" s="1" t="s">
        <v>19</v>
      </c>
      <c r="G242" s="1" t="s">
        <v>20</v>
      </c>
      <c r="H242" t="s">
        <v>21</v>
      </c>
      <c r="I242" s="1" t="s">
        <v>26</v>
      </c>
      <c r="J242" s="2">
        <v>43529.112233796295</v>
      </c>
      <c r="K242" s="2">
        <v>43529.112233796295</v>
      </c>
      <c r="L242" s="2">
        <v>43535.112233796295</v>
      </c>
      <c r="M242" s="1">
        <f>_xlfn.DAYS(Table1[[#This Row],[actual_delivery_date]],Table1[[#This Row],[dispatch_date]])</f>
        <v>0</v>
      </c>
      <c r="N242">
        <v>0</v>
      </c>
      <c r="O242">
        <f>Table1[[#This Row],[transit_storage_cost]] * (1-'What -if Analysis'!$D$26)</f>
        <v>0</v>
      </c>
      <c r="P242">
        <v>109</v>
      </c>
      <c r="Q242">
        <v>3193.81</v>
      </c>
    </row>
    <row r="243" spans="1:17" x14ac:dyDescent="0.3">
      <c r="A243">
        <v>562814</v>
      </c>
      <c r="B243" s="1" t="s">
        <v>37</v>
      </c>
      <c r="C243" s="1" t="s">
        <v>16</v>
      </c>
      <c r="D243" s="1" t="s">
        <v>32</v>
      </c>
      <c r="E243" s="1" t="s">
        <v>33</v>
      </c>
      <c r="F243" s="1" t="s">
        <v>31</v>
      </c>
      <c r="G243" s="1" t="s">
        <v>20</v>
      </c>
      <c r="H243" t="s">
        <v>21</v>
      </c>
      <c r="I243" s="1" t="s">
        <v>22</v>
      </c>
      <c r="J243" s="2">
        <v>43525.122407407405</v>
      </c>
      <c r="K243" s="2">
        <v>43529.122407407405</v>
      </c>
      <c r="L243" s="2">
        <v>43531.122407407405</v>
      </c>
      <c r="M243" s="1">
        <f>_xlfn.DAYS(Table1[[#This Row],[actual_delivery_date]],Table1[[#This Row],[dispatch_date]])</f>
        <v>4</v>
      </c>
      <c r="N243">
        <v>47</v>
      </c>
      <c r="O243">
        <f>Table1[[#This Row],[transit_storage_cost]] * (1-'What -if Analysis'!$D$26)</f>
        <v>47</v>
      </c>
      <c r="P243">
        <v>112</v>
      </c>
      <c r="Q243">
        <v>3811.0362976357474</v>
      </c>
    </row>
    <row r="244" spans="1:17" x14ac:dyDescent="0.3">
      <c r="A244">
        <v>234385</v>
      </c>
      <c r="B244" s="1" t="s">
        <v>40</v>
      </c>
      <c r="C244" s="1" t="s">
        <v>16</v>
      </c>
      <c r="D244" s="1" t="s">
        <v>16</v>
      </c>
      <c r="E244" s="1" t="s">
        <v>27</v>
      </c>
      <c r="F244" s="1" t="s">
        <v>29</v>
      </c>
      <c r="G244" s="1" t="s">
        <v>20</v>
      </c>
      <c r="H244" t="s">
        <v>30</v>
      </c>
      <c r="I244" s="1" t="s">
        <v>22</v>
      </c>
      <c r="J244" s="2">
        <v>43527.125821759262</v>
      </c>
      <c r="K244" s="2">
        <v>43529.125821759262</v>
      </c>
      <c r="L244" s="2">
        <v>43532.125821759262</v>
      </c>
      <c r="M244" s="1">
        <f>_xlfn.DAYS(Table1[[#This Row],[actual_delivery_date]],Table1[[#This Row],[dispatch_date]])</f>
        <v>2</v>
      </c>
      <c r="N244">
        <v>0</v>
      </c>
      <c r="O244">
        <f>Table1[[#This Row],[transit_storage_cost]] * (1-'What -if Analysis'!$D$26)</f>
        <v>0</v>
      </c>
      <c r="P244">
        <v>125</v>
      </c>
      <c r="Q244">
        <v>2191.7805839141524</v>
      </c>
    </row>
    <row r="245" spans="1:17" x14ac:dyDescent="0.3">
      <c r="A245">
        <v>587937</v>
      </c>
      <c r="B245" s="1" t="s">
        <v>39</v>
      </c>
      <c r="C245" s="1" t="s">
        <v>16</v>
      </c>
      <c r="D245" s="1" t="s">
        <v>17</v>
      </c>
      <c r="E245" s="1" t="s">
        <v>18</v>
      </c>
      <c r="F245" s="1" t="s">
        <v>19</v>
      </c>
      <c r="G245" s="1" t="s">
        <v>20</v>
      </c>
      <c r="H245" t="s">
        <v>34</v>
      </c>
      <c r="I245" s="1" t="s">
        <v>26</v>
      </c>
      <c r="J245" s="2">
        <v>43527.139305555553</v>
      </c>
      <c r="K245" s="2">
        <v>43529.139305555553</v>
      </c>
      <c r="L245" s="2">
        <v>43532.139305555553</v>
      </c>
      <c r="M245" s="1">
        <f>_xlfn.DAYS(Table1[[#This Row],[actual_delivery_date]],Table1[[#This Row],[dispatch_date]])</f>
        <v>2</v>
      </c>
      <c r="N245">
        <v>71</v>
      </c>
      <c r="O245">
        <f>Table1[[#This Row],[transit_storage_cost]] * (1-'What -if Analysis'!$D$26)</f>
        <v>71</v>
      </c>
      <c r="P245">
        <v>87</v>
      </c>
      <c r="Q245">
        <v>758.8</v>
      </c>
    </row>
    <row r="246" spans="1:17" x14ac:dyDescent="0.3">
      <c r="A246">
        <v>906024</v>
      </c>
      <c r="B246" s="1" t="s">
        <v>37</v>
      </c>
      <c r="C246" s="1" t="s">
        <v>23</v>
      </c>
      <c r="D246" s="1" t="s">
        <v>17</v>
      </c>
      <c r="E246" s="1" t="s">
        <v>18</v>
      </c>
      <c r="F246" s="1" t="s">
        <v>19</v>
      </c>
      <c r="G246" s="1" t="s">
        <v>20</v>
      </c>
      <c r="H246" t="s">
        <v>21</v>
      </c>
      <c r="I246" s="1" t="s">
        <v>26</v>
      </c>
      <c r="J246" s="2">
        <v>43526.139594907407</v>
      </c>
      <c r="K246" s="2">
        <v>43529.139594907407</v>
      </c>
      <c r="L246" s="2">
        <v>43530.139594907407</v>
      </c>
      <c r="M246" s="1">
        <f>_xlfn.DAYS(Table1[[#This Row],[actual_delivery_date]],Table1[[#This Row],[dispatch_date]])</f>
        <v>3</v>
      </c>
      <c r="N246">
        <v>65</v>
      </c>
      <c r="O246">
        <f>Table1[[#This Row],[transit_storage_cost]] * (1-'What -if Analysis'!$D$26)</f>
        <v>65</v>
      </c>
      <c r="P246">
        <v>87</v>
      </c>
      <c r="Q246">
        <v>742.41</v>
      </c>
    </row>
    <row r="247" spans="1:17" x14ac:dyDescent="0.3">
      <c r="A247">
        <v>43859</v>
      </c>
      <c r="B247" s="1" t="s">
        <v>38</v>
      </c>
      <c r="C247" s="1" t="s">
        <v>16</v>
      </c>
      <c r="D247" s="1" t="s">
        <v>24</v>
      </c>
      <c r="E247" s="1" t="s">
        <v>25</v>
      </c>
      <c r="F247" s="1" t="s">
        <v>29</v>
      </c>
      <c r="G247" s="1" t="s">
        <v>20</v>
      </c>
      <c r="H247" t="s">
        <v>30</v>
      </c>
      <c r="I247" s="1" t="s">
        <v>22</v>
      </c>
      <c r="J247" s="2">
        <v>43526.142395833333</v>
      </c>
      <c r="K247" s="2">
        <v>43529.142395833333</v>
      </c>
      <c r="L247" s="2">
        <v>43531.142395833333</v>
      </c>
      <c r="M247" s="1">
        <f>_xlfn.DAYS(Table1[[#This Row],[actual_delivery_date]],Table1[[#This Row],[dispatch_date]])</f>
        <v>3</v>
      </c>
      <c r="N247">
        <v>29</v>
      </c>
      <c r="O247">
        <f>Table1[[#This Row],[transit_storage_cost]] * (1-'What -if Analysis'!$D$26)</f>
        <v>29</v>
      </c>
      <c r="P247">
        <v>126</v>
      </c>
      <c r="Q247">
        <v>1342.8817445164673</v>
      </c>
    </row>
    <row r="248" spans="1:17" x14ac:dyDescent="0.3">
      <c r="A248">
        <v>49247</v>
      </c>
      <c r="B248" s="1" t="s">
        <v>39</v>
      </c>
      <c r="C248" s="1" t="s">
        <v>16</v>
      </c>
      <c r="D248" s="1" t="s">
        <v>16</v>
      </c>
      <c r="E248" s="1" t="s">
        <v>27</v>
      </c>
      <c r="F248" s="1" t="s">
        <v>29</v>
      </c>
      <c r="G248" s="1" t="s">
        <v>20</v>
      </c>
      <c r="H248" t="s">
        <v>30</v>
      </c>
      <c r="I248" s="1" t="s">
        <v>22</v>
      </c>
      <c r="J248" s="2">
        <v>43527.147928240738</v>
      </c>
      <c r="K248" s="2">
        <v>43529.147928240738</v>
      </c>
      <c r="L248" s="2">
        <v>43533.147928240738</v>
      </c>
      <c r="M248" s="1">
        <f>_xlfn.DAYS(Table1[[#This Row],[actual_delivery_date]],Table1[[#This Row],[dispatch_date]])</f>
        <v>2</v>
      </c>
      <c r="N248">
        <v>0</v>
      </c>
      <c r="O248">
        <f>Table1[[#This Row],[transit_storage_cost]] * (1-'What -if Analysis'!$D$26)</f>
        <v>0</v>
      </c>
      <c r="P248">
        <v>126</v>
      </c>
      <c r="Q248">
        <v>1973.8288995764597</v>
      </c>
    </row>
    <row r="249" spans="1:17" x14ac:dyDescent="0.3">
      <c r="A249">
        <v>902673</v>
      </c>
      <c r="B249" s="1" t="s">
        <v>37</v>
      </c>
      <c r="C249" s="1" t="s">
        <v>23</v>
      </c>
      <c r="D249" s="1" t="s">
        <v>23</v>
      </c>
      <c r="E249" s="1" t="s">
        <v>28</v>
      </c>
      <c r="F249" s="1" t="s">
        <v>29</v>
      </c>
      <c r="G249" s="1" t="s">
        <v>20</v>
      </c>
      <c r="H249" t="s">
        <v>30</v>
      </c>
      <c r="I249" s="1" t="s">
        <v>26</v>
      </c>
      <c r="J249" s="2">
        <v>43527.159699074073</v>
      </c>
      <c r="K249" s="2">
        <v>43529.159699074073</v>
      </c>
      <c r="L249" s="2">
        <v>43531.159699074073</v>
      </c>
      <c r="M249" s="1">
        <f>_xlfn.DAYS(Table1[[#This Row],[actual_delivery_date]],Table1[[#This Row],[dispatch_date]])</f>
        <v>2</v>
      </c>
      <c r="N249">
        <v>0</v>
      </c>
      <c r="O249">
        <f>Table1[[#This Row],[transit_storage_cost]] * (1-'What -if Analysis'!$D$26)</f>
        <v>0</v>
      </c>
      <c r="P249">
        <v>122</v>
      </c>
      <c r="Q249">
        <v>2313.9</v>
      </c>
    </row>
    <row r="250" spans="1:17" x14ac:dyDescent="0.3">
      <c r="A250">
        <v>860857</v>
      </c>
      <c r="B250" s="1" t="s">
        <v>41</v>
      </c>
      <c r="C250" s="1" t="s">
        <v>23</v>
      </c>
      <c r="D250" s="1" t="s">
        <v>23</v>
      </c>
      <c r="E250" s="1" t="s">
        <v>28</v>
      </c>
      <c r="F250" s="1" t="s">
        <v>29</v>
      </c>
      <c r="G250" s="1" t="s">
        <v>20</v>
      </c>
      <c r="H250" t="s">
        <v>30</v>
      </c>
      <c r="I250" s="1" t="s">
        <v>22</v>
      </c>
      <c r="J250" s="2">
        <v>43529.168391203704</v>
      </c>
      <c r="K250" s="2">
        <v>43529.168391203704</v>
      </c>
      <c r="L250" s="2">
        <v>43534.168391203704</v>
      </c>
      <c r="M250" s="1">
        <f>_xlfn.DAYS(Table1[[#This Row],[actual_delivery_date]],Table1[[#This Row],[dispatch_date]])</f>
        <v>0</v>
      </c>
      <c r="N250">
        <v>0</v>
      </c>
      <c r="O250">
        <f>Table1[[#This Row],[transit_storage_cost]] * (1-'What -if Analysis'!$D$26)</f>
        <v>0</v>
      </c>
      <c r="P250">
        <v>126</v>
      </c>
      <c r="Q250">
        <v>2431.8156688049862</v>
      </c>
    </row>
    <row r="251" spans="1:17" x14ac:dyDescent="0.3">
      <c r="A251">
        <v>506060</v>
      </c>
      <c r="B251" s="1" t="s">
        <v>38</v>
      </c>
      <c r="C251" s="1" t="s">
        <v>16</v>
      </c>
      <c r="D251" s="1" t="s">
        <v>23</v>
      </c>
      <c r="E251" s="1" t="s">
        <v>28</v>
      </c>
      <c r="F251" s="1" t="s">
        <v>19</v>
      </c>
      <c r="G251" s="1" t="s">
        <v>20</v>
      </c>
      <c r="H251" t="s">
        <v>21</v>
      </c>
      <c r="I251" s="1" t="s">
        <v>22</v>
      </c>
      <c r="J251" s="2">
        <v>43527.186863425923</v>
      </c>
      <c r="K251" s="2">
        <v>43529.186863425923</v>
      </c>
      <c r="L251" s="2">
        <v>43533.186863425923</v>
      </c>
      <c r="M251" s="1">
        <f>_xlfn.DAYS(Table1[[#This Row],[actual_delivery_date]],Table1[[#This Row],[dispatch_date]])</f>
        <v>2</v>
      </c>
      <c r="N251">
        <v>31</v>
      </c>
      <c r="O251">
        <f>Table1[[#This Row],[transit_storage_cost]] * (1-'What -if Analysis'!$D$26)</f>
        <v>31</v>
      </c>
      <c r="P251">
        <v>121</v>
      </c>
      <c r="Q251">
        <v>3482.7547003251016</v>
      </c>
    </row>
    <row r="252" spans="1:17" x14ac:dyDescent="0.3">
      <c r="A252">
        <v>787440</v>
      </c>
      <c r="B252" s="1" t="s">
        <v>39</v>
      </c>
      <c r="C252" s="1" t="s">
        <v>23</v>
      </c>
      <c r="D252" s="1" t="s">
        <v>16</v>
      </c>
      <c r="E252" s="1" t="s">
        <v>27</v>
      </c>
      <c r="F252" s="1" t="s">
        <v>19</v>
      </c>
      <c r="G252" s="1" t="s">
        <v>20</v>
      </c>
      <c r="H252" t="s">
        <v>21</v>
      </c>
      <c r="I252" s="1" t="s">
        <v>26</v>
      </c>
      <c r="J252" s="2">
        <v>43527.187361111108</v>
      </c>
      <c r="K252" s="2">
        <v>43529.187361111108</v>
      </c>
      <c r="L252" s="2">
        <v>43530.187361111108</v>
      </c>
      <c r="M252" s="1">
        <f>_xlfn.DAYS(Table1[[#This Row],[actual_delivery_date]],Table1[[#This Row],[dispatch_date]])</f>
        <v>2</v>
      </c>
      <c r="N252">
        <v>28</v>
      </c>
      <c r="O252">
        <f>Table1[[#This Row],[transit_storage_cost]] * (1-'What -if Analysis'!$D$26)</f>
        <v>28</v>
      </c>
      <c r="P252">
        <v>125</v>
      </c>
      <c r="Q252">
        <v>2797.73</v>
      </c>
    </row>
    <row r="253" spans="1:17" x14ac:dyDescent="0.3">
      <c r="A253">
        <v>466929</v>
      </c>
      <c r="B253" s="1" t="s">
        <v>39</v>
      </c>
      <c r="C253" s="1" t="s">
        <v>16</v>
      </c>
      <c r="D253" s="1" t="s">
        <v>17</v>
      </c>
      <c r="E253" s="1" t="s">
        <v>18</v>
      </c>
      <c r="F253" s="1" t="s">
        <v>29</v>
      </c>
      <c r="G253" s="1" t="s">
        <v>20</v>
      </c>
      <c r="H253" t="s">
        <v>30</v>
      </c>
      <c r="I253" s="1" t="s">
        <v>26</v>
      </c>
      <c r="J253" s="2">
        <v>43525.214583333334</v>
      </c>
      <c r="K253" s="2">
        <v>43529.214583333334</v>
      </c>
      <c r="L253" s="2">
        <v>43531.214583333334</v>
      </c>
      <c r="M253" s="1">
        <f>_xlfn.DAYS(Table1[[#This Row],[actual_delivery_date]],Table1[[#This Row],[dispatch_date]])</f>
        <v>4</v>
      </c>
      <c r="N253">
        <v>31</v>
      </c>
      <c r="O253">
        <f>Table1[[#This Row],[transit_storage_cost]] * (1-'What -if Analysis'!$D$26)</f>
        <v>31</v>
      </c>
      <c r="P253">
        <v>112</v>
      </c>
      <c r="Q253">
        <v>417.7</v>
      </c>
    </row>
    <row r="254" spans="1:17" x14ac:dyDescent="0.3">
      <c r="A254">
        <v>809959</v>
      </c>
      <c r="B254" s="1" t="s">
        <v>38</v>
      </c>
      <c r="C254" s="1" t="s">
        <v>23</v>
      </c>
      <c r="D254" s="1" t="s">
        <v>16</v>
      </c>
      <c r="E254" s="1" t="s">
        <v>27</v>
      </c>
      <c r="F254" s="1" t="s">
        <v>19</v>
      </c>
      <c r="G254" s="1" t="s">
        <v>20</v>
      </c>
      <c r="H254" t="s">
        <v>30</v>
      </c>
      <c r="I254" s="1" t="s">
        <v>22</v>
      </c>
      <c r="J254" s="2">
        <v>43525.21670138889</v>
      </c>
      <c r="K254" s="2">
        <v>43529.21670138889</v>
      </c>
      <c r="L254" s="2">
        <v>43532.21670138889</v>
      </c>
      <c r="M254" s="1">
        <f>_xlfn.DAYS(Table1[[#This Row],[actual_delivery_date]],Table1[[#This Row],[dispatch_date]])</f>
        <v>4</v>
      </c>
      <c r="N254">
        <v>64</v>
      </c>
      <c r="O254">
        <f>Table1[[#This Row],[transit_storage_cost]] * (1-'What -if Analysis'!$D$26)</f>
        <v>64</v>
      </c>
      <c r="P254">
        <v>107</v>
      </c>
      <c r="Q254">
        <v>2487.6386767337835</v>
      </c>
    </row>
    <row r="255" spans="1:17" x14ac:dyDescent="0.3">
      <c r="A255">
        <v>907102</v>
      </c>
      <c r="B255" s="1" t="s">
        <v>39</v>
      </c>
      <c r="C255" s="1" t="s">
        <v>23</v>
      </c>
      <c r="D255" s="1" t="s">
        <v>23</v>
      </c>
      <c r="E255" s="1" t="s">
        <v>28</v>
      </c>
      <c r="F255" s="1" t="s">
        <v>31</v>
      </c>
      <c r="G255" s="1" t="s">
        <v>20</v>
      </c>
      <c r="H255" t="s">
        <v>21</v>
      </c>
      <c r="I255" s="1" t="s">
        <v>22</v>
      </c>
      <c r="J255" s="2">
        <v>43527.216932870368</v>
      </c>
      <c r="K255" s="2">
        <v>43529.216932870368</v>
      </c>
      <c r="L255" s="2">
        <v>43531.216932870368</v>
      </c>
      <c r="M255" s="1">
        <f>_xlfn.DAYS(Table1[[#This Row],[actual_delivery_date]],Table1[[#This Row],[dispatch_date]])</f>
        <v>2</v>
      </c>
      <c r="N255">
        <v>0</v>
      </c>
      <c r="O255">
        <f>Table1[[#This Row],[transit_storage_cost]] * (1-'What -if Analysis'!$D$26)</f>
        <v>0</v>
      </c>
      <c r="P255">
        <v>129</v>
      </c>
      <c r="Q255">
        <v>2175.3802343191933</v>
      </c>
    </row>
    <row r="256" spans="1:17" x14ac:dyDescent="0.3">
      <c r="A256">
        <v>974368</v>
      </c>
      <c r="B256" s="1" t="s">
        <v>37</v>
      </c>
      <c r="C256" s="1" t="s">
        <v>16</v>
      </c>
      <c r="D256" s="1" t="s">
        <v>23</v>
      </c>
      <c r="E256" s="1" t="s">
        <v>28</v>
      </c>
      <c r="F256" s="1" t="s">
        <v>19</v>
      </c>
      <c r="G256" s="1" t="s">
        <v>20</v>
      </c>
      <c r="H256" t="s">
        <v>21</v>
      </c>
      <c r="I256" s="1" t="s">
        <v>22</v>
      </c>
      <c r="J256" s="2">
        <v>43525.218958333331</v>
      </c>
      <c r="K256" s="2">
        <v>43529.218958333331</v>
      </c>
      <c r="L256" s="2">
        <v>43529.218958333331</v>
      </c>
      <c r="M256" s="1">
        <f>_xlfn.DAYS(Table1[[#This Row],[actual_delivery_date]],Table1[[#This Row],[dispatch_date]])</f>
        <v>4</v>
      </c>
      <c r="N256">
        <v>59</v>
      </c>
      <c r="O256">
        <f>Table1[[#This Row],[transit_storage_cost]] * (1-'What -if Analysis'!$D$26)</f>
        <v>59</v>
      </c>
      <c r="P256">
        <v>109</v>
      </c>
      <c r="Q256">
        <v>2038.3446778344255</v>
      </c>
    </row>
    <row r="257" spans="1:17" x14ac:dyDescent="0.3">
      <c r="A257">
        <v>102882</v>
      </c>
      <c r="B257" s="1" t="s">
        <v>37</v>
      </c>
      <c r="C257" s="1" t="s">
        <v>16</v>
      </c>
      <c r="D257" s="1" t="s">
        <v>23</v>
      </c>
      <c r="E257" s="1" t="s">
        <v>28</v>
      </c>
      <c r="F257" s="1" t="s">
        <v>19</v>
      </c>
      <c r="G257" s="1" t="s">
        <v>20</v>
      </c>
      <c r="H257" t="s">
        <v>21</v>
      </c>
      <c r="I257" s="1" t="s">
        <v>26</v>
      </c>
      <c r="J257" s="2">
        <v>43527.235555555555</v>
      </c>
      <c r="K257" s="2">
        <v>43529.235555555555</v>
      </c>
      <c r="L257" s="2">
        <v>43534.235555555555</v>
      </c>
      <c r="M257" s="1">
        <f>_xlfn.DAYS(Table1[[#This Row],[actual_delivery_date]],Table1[[#This Row],[dispatch_date]])</f>
        <v>2</v>
      </c>
      <c r="N257">
        <v>79</v>
      </c>
      <c r="O257">
        <f>Table1[[#This Row],[transit_storage_cost]] * (1-'What -if Analysis'!$D$26)</f>
        <v>79</v>
      </c>
      <c r="P257">
        <v>105</v>
      </c>
      <c r="Q257">
        <v>3599.72</v>
      </c>
    </row>
    <row r="258" spans="1:17" x14ac:dyDescent="0.3">
      <c r="A258">
        <v>579090</v>
      </c>
      <c r="B258" s="1" t="s">
        <v>38</v>
      </c>
      <c r="C258" s="1" t="s">
        <v>23</v>
      </c>
      <c r="D258" s="1" t="s">
        <v>24</v>
      </c>
      <c r="E258" s="1" t="s">
        <v>25</v>
      </c>
      <c r="F258" s="1" t="s">
        <v>31</v>
      </c>
      <c r="G258" s="1" t="s">
        <v>20</v>
      </c>
      <c r="H258" t="s">
        <v>21</v>
      </c>
      <c r="I258" s="1" t="s">
        <v>26</v>
      </c>
      <c r="J258" s="2">
        <v>43525.239664351851</v>
      </c>
      <c r="K258" s="2">
        <v>43529.239664351851</v>
      </c>
      <c r="L258" s="2">
        <v>43528.239664351851</v>
      </c>
      <c r="M258" s="1">
        <f>_xlfn.DAYS(Table1[[#This Row],[actual_delivery_date]],Table1[[#This Row],[dispatch_date]])</f>
        <v>4</v>
      </c>
      <c r="N258">
        <v>25</v>
      </c>
      <c r="O258">
        <f>Table1[[#This Row],[transit_storage_cost]] * (1-'What -if Analysis'!$D$26)</f>
        <v>25</v>
      </c>
      <c r="P258">
        <v>127</v>
      </c>
      <c r="Q258">
        <v>2244.2399999999998</v>
      </c>
    </row>
    <row r="259" spans="1:17" x14ac:dyDescent="0.3">
      <c r="A259">
        <v>765659</v>
      </c>
      <c r="B259" s="1" t="s">
        <v>38</v>
      </c>
      <c r="C259" s="1" t="s">
        <v>23</v>
      </c>
      <c r="D259" s="1" t="s">
        <v>24</v>
      </c>
      <c r="E259" s="1" t="s">
        <v>25</v>
      </c>
      <c r="F259" s="1" t="s">
        <v>29</v>
      </c>
      <c r="G259" s="1" t="s">
        <v>20</v>
      </c>
      <c r="H259" t="s">
        <v>30</v>
      </c>
      <c r="I259" s="1" t="s">
        <v>22</v>
      </c>
      <c r="J259" s="2">
        <v>43527.248900462961</v>
      </c>
      <c r="K259" s="2">
        <v>43529.248900462961</v>
      </c>
      <c r="L259" s="2">
        <v>43533.248900462961</v>
      </c>
      <c r="M259" s="1">
        <f>_xlfn.DAYS(Table1[[#This Row],[actual_delivery_date]],Table1[[#This Row],[dispatch_date]])</f>
        <v>2</v>
      </c>
      <c r="N259">
        <v>29</v>
      </c>
      <c r="O259">
        <f>Table1[[#This Row],[transit_storage_cost]] * (1-'What -if Analysis'!$D$26)</f>
        <v>29</v>
      </c>
      <c r="P259">
        <v>130</v>
      </c>
      <c r="Q259">
        <v>2656.7148278564105</v>
      </c>
    </row>
    <row r="260" spans="1:17" x14ac:dyDescent="0.3">
      <c r="A260">
        <v>41595</v>
      </c>
      <c r="B260" s="1" t="s">
        <v>40</v>
      </c>
      <c r="C260" s="1" t="s">
        <v>16</v>
      </c>
      <c r="D260" s="1" t="s">
        <v>17</v>
      </c>
      <c r="E260" s="1" t="s">
        <v>18</v>
      </c>
      <c r="F260" s="1" t="s">
        <v>19</v>
      </c>
      <c r="G260" s="1" t="s">
        <v>20</v>
      </c>
      <c r="H260" t="s">
        <v>30</v>
      </c>
      <c r="I260" s="1" t="s">
        <v>26</v>
      </c>
      <c r="J260" s="2">
        <v>43526.252951388888</v>
      </c>
      <c r="K260" s="2">
        <v>43529.252951388888</v>
      </c>
      <c r="L260" s="2">
        <v>43533.252951388888</v>
      </c>
      <c r="M260" s="1">
        <f>_xlfn.DAYS(Table1[[#This Row],[actual_delivery_date]],Table1[[#This Row],[dispatch_date]])</f>
        <v>3</v>
      </c>
      <c r="N260">
        <v>73</v>
      </c>
      <c r="O260">
        <f>Table1[[#This Row],[transit_storage_cost]] * (1-'What -if Analysis'!$D$26)</f>
        <v>73</v>
      </c>
      <c r="P260">
        <v>92</v>
      </c>
      <c r="Q260">
        <v>545.04</v>
      </c>
    </row>
    <row r="261" spans="1:17" x14ac:dyDescent="0.3">
      <c r="A261">
        <v>197993</v>
      </c>
      <c r="B261" s="1" t="s">
        <v>37</v>
      </c>
      <c r="C261" s="1" t="s">
        <v>16</v>
      </c>
      <c r="D261" s="1" t="s">
        <v>16</v>
      </c>
      <c r="E261" s="1" t="s">
        <v>27</v>
      </c>
      <c r="F261" s="1" t="s">
        <v>29</v>
      </c>
      <c r="G261" s="1" t="s">
        <v>20</v>
      </c>
      <c r="H261" t="s">
        <v>30</v>
      </c>
      <c r="I261" s="1" t="s">
        <v>22</v>
      </c>
      <c r="J261" s="2">
        <v>43527.258449074077</v>
      </c>
      <c r="K261" s="2">
        <v>43529.258449074077</v>
      </c>
      <c r="L261" s="2">
        <v>43532.258449074077</v>
      </c>
      <c r="M261" s="1">
        <f>_xlfn.DAYS(Table1[[#This Row],[actual_delivery_date]],Table1[[#This Row],[dispatch_date]])</f>
        <v>2</v>
      </c>
      <c r="N261">
        <v>0</v>
      </c>
      <c r="O261">
        <f>Table1[[#This Row],[transit_storage_cost]] * (1-'What -if Analysis'!$D$26)</f>
        <v>0</v>
      </c>
      <c r="P261">
        <v>128</v>
      </c>
      <c r="Q261">
        <v>3242.9801822067516</v>
      </c>
    </row>
    <row r="262" spans="1:17" x14ac:dyDescent="0.3">
      <c r="A262">
        <v>667569</v>
      </c>
      <c r="B262" s="1" t="s">
        <v>40</v>
      </c>
      <c r="C262" s="1" t="s">
        <v>23</v>
      </c>
      <c r="D262" s="1" t="s">
        <v>16</v>
      </c>
      <c r="E262" s="1" t="s">
        <v>27</v>
      </c>
      <c r="F262" s="1" t="s">
        <v>29</v>
      </c>
      <c r="G262" s="1" t="s">
        <v>20</v>
      </c>
      <c r="H262" t="s">
        <v>34</v>
      </c>
      <c r="I262" s="1" t="s">
        <v>26</v>
      </c>
      <c r="J262" s="2">
        <v>43526.260879629626</v>
      </c>
      <c r="K262" s="2">
        <v>43529.260879629626</v>
      </c>
      <c r="L262" s="2">
        <v>43532.260879629626</v>
      </c>
      <c r="M262" s="1">
        <f>_xlfn.DAYS(Table1[[#This Row],[actual_delivery_date]],Table1[[#This Row],[dispatch_date]])</f>
        <v>3</v>
      </c>
      <c r="N262">
        <v>49</v>
      </c>
      <c r="O262">
        <f>Table1[[#This Row],[transit_storage_cost]] * (1-'What -if Analysis'!$D$26)</f>
        <v>49</v>
      </c>
      <c r="P262">
        <v>123</v>
      </c>
      <c r="Q262">
        <v>1979.41</v>
      </c>
    </row>
    <row r="263" spans="1:17" x14ac:dyDescent="0.3">
      <c r="A263">
        <v>898248</v>
      </c>
      <c r="B263" s="1" t="s">
        <v>37</v>
      </c>
      <c r="C263" s="1" t="s">
        <v>23</v>
      </c>
      <c r="D263" s="1" t="s">
        <v>23</v>
      </c>
      <c r="E263" s="1" t="s">
        <v>28</v>
      </c>
      <c r="F263" s="1" t="s">
        <v>19</v>
      </c>
      <c r="G263" s="1" t="s">
        <v>20</v>
      </c>
      <c r="H263" t="s">
        <v>21</v>
      </c>
      <c r="I263" s="1" t="s">
        <v>26</v>
      </c>
      <c r="J263" s="2">
        <v>43529.270127314812</v>
      </c>
      <c r="K263" s="2">
        <v>43529.270127314812</v>
      </c>
      <c r="L263" s="2">
        <v>43536.270127314812</v>
      </c>
      <c r="M263" s="1">
        <f>_xlfn.DAYS(Table1[[#This Row],[actual_delivery_date]],Table1[[#This Row],[dispatch_date]])</f>
        <v>0</v>
      </c>
      <c r="N263">
        <v>0</v>
      </c>
      <c r="O263">
        <f>Table1[[#This Row],[transit_storage_cost]] * (1-'What -if Analysis'!$D$26)</f>
        <v>0</v>
      </c>
      <c r="P263">
        <v>126</v>
      </c>
      <c r="Q263">
        <v>854.47</v>
      </c>
    </row>
    <row r="264" spans="1:17" x14ac:dyDescent="0.3">
      <c r="A264">
        <v>277883</v>
      </c>
      <c r="B264" s="1" t="s">
        <v>40</v>
      </c>
      <c r="C264" s="1" t="s">
        <v>23</v>
      </c>
      <c r="D264" s="1" t="s">
        <v>32</v>
      </c>
      <c r="E264" s="1" t="s">
        <v>33</v>
      </c>
      <c r="F264" s="1" t="s">
        <v>29</v>
      </c>
      <c r="G264" s="1" t="s">
        <v>20</v>
      </c>
      <c r="H264" t="s">
        <v>30</v>
      </c>
      <c r="I264" s="1" t="s">
        <v>22</v>
      </c>
      <c r="J264" s="2">
        <v>43526.271006944444</v>
      </c>
      <c r="K264" s="2">
        <v>43529.271006944444</v>
      </c>
      <c r="L264" s="2">
        <v>43531.271006944444</v>
      </c>
      <c r="M264" s="1">
        <f>_xlfn.DAYS(Table1[[#This Row],[actual_delivery_date]],Table1[[#This Row],[dispatch_date]])</f>
        <v>3</v>
      </c>
      <c r="N264">
        <v>38</v>
      </c>
      <c r="O264">
        <f>Table1[[#This Row],[transit_storage_cost]] * (1-'What -if Analysis'!$D$26)</f>
        <v>38</v>
      </c>
      <c r="P264">
        <v>111</v>
      </c>
      <c r="Q264">
        <v>1970.5939232993776</v>
      </c>
    </row>
    <row r="265" spans="1:17" x14ac:dyDescent="0.3">
      <c r="A265">
        <v>675742</v>
      </c>
      <c r="B265" s="1" t="s">
        <v>41</v>
      </c>
      <c r="C265" s="1" t="s">
        <v>16</v>
      </c>
      <c r="D265" s="1" t="s">
        <v>17</v>
      </c>
      <c r="E265" s="1" t="s">
        <v>18</v>
      </c>
      <c r="F265" s="1" t="s">
        <v>19</v>
      </c>
      <c r="G265" s="1" t="s">
        <v>20</v>
      </c>
      <c r="H265" t="s">
        <v>21</v>
      </c>
      <c r="I265" s="1" t="s">
        <v>22</v>
      </c>
      <c r="J265" s="2">
        <v>43527.272650462961</v>
      </c>
      <c r="K265" s="2">
        <v>43529.272650462961</v>
      </c>
      <c r="L265" s="2">
        <v>43533.272650462961</v>
      </c>
      <c r="M265" s="1">
        <f>_xlfn.DAYS(Table1[[#This Row],[actual_delivery_date]],Table1[[#This Row],[dispatch_date]])</f>
        <v>2</v>
      </c>
      <c r="N265">
        <v>61</v>
      </c>
      <c r="O265">
        <f>Table1[[#This Row],[transit_storage_cost]] * (1-'What -if Analysis'!$D$26)</f>
        <v>61</v>
      </c>
      <c r="P265">
        <v>88</v>
      </c>
      <c r="Q265">
        <v>623.1959748114366</v>
      </c>
    </row>
    <row r="266" spans="1:17" x14ac:dyDescent="0.3">
      <c r="A266">
        <v>790030</v>
      </c>
      <c r="B266" s="1" t="s">
        <v>41</v>
      </c>
      <c r="C266" s="1" t="s">
        <v>23</v>
      </c>
      <c r="D266" s="1" t="s">
        <v>23</v>
      </c>
      <c r="E266" s="1" t="s">
        <v>28</v>
      </c>
      <c r="F266" s="1" t="s">
        <v>31</v>
      </c>
      <c r="G266" s="1" t="s">
        <v>20</v>
      </c>
      <c r="H266" t="s">
        <v>21</v>
      </c>
      <c r="I266" s="1" t="s">
        <v>22</v>
      </c>
      <c r="J266" s="2">
        <v>43525.27480324074</v>
      </c>
      <c r="K266" s="2">
        <v>43529.27480324074</v>
      </c>
      <c r="L266" s="2">
        <v>43531.27480324074</v>
      </c>
      <c r="M266" s="1">
        <f>_xlfn.DAYS(Table1[[#This Row],[actual_delivery_date]],Table1[[#This Row],[dispatch_date]])</f>
        <v>4</v>
      </c>
      <c r="N266">
        <v>0</v>
      </c>
      <c r="O266">
        <f>Table1[[#This Row],[transit_storage_cost]] * (1-'What -if Analysis'!$D$26)</f>
        <v>0</v>
      </c>
      <c r="P266">
        <v>126</v>
      </c>
      <c r="Q266">
        <v>3463.5495617683132</v>
      </c>
    </row>
    <row r="267" spans="1:17" x14ac:dyDescent="0.3">
      <c r="A267">
        <v>202739</v>
      </c>
      <c r="B267" s="1" t="s">
        <v>37</v>
      </c>
      <c r="C267" s="1" t="s">
        <v>16</v>
      </c>
      <c r="D267" s="1" t="s">
        <v>23</v>
      </c>
      <c r="E267" s="1" t="s">
        <v>28</v>
      </c>
      <c r="F267" s="1" t="s">
        <v>19</v>
      </c>
      <c r="G267" s="1" t="s">
        <v>20</v>
      </c>
      <c r="H267" t="s">
        <v>30</v>
      </c>
      <c r="I267" s="1" t="s">
        <v>22</v>
      </c>
      <c r="J267" s="2">
        <v>43527.276423611111</v>
      </c>
      <c r="K267" s="2">
        <v>43529.276423611111</v>
      </c>
      <c r="L267" s="2">
        <v>43533.276423611111</v>
      </c>
      <c r="M267" s="1">
        <f>_xlfn.DAYS(Table1[[#This Row],[actual_delivery_date]],Table1[[#This Row],[dispatch_date]])</f>
        <v>2</v>
      </c>
      <c r="N267">
        <v>87</v>
      </c>
      <c r="O267">
        <f>Table1[[#This Row],[transit_storage_cost]] * (1-'What -if Analysis'!$D$26)</f>
        <v>87</v>
      </c>
      <c r="P267">
        <v>104</v>
      </c>
      <c r="Q267">
        <v>2049.007019106481</v>
      </c>
    </row>
    <row r="268" spans="1:17" x14ac:dyDescent="0.3">
      <c r="A268">
        <v>110148</v>
      </c>
      <c r="B268" s="1" t="s">
        <v>41</v>
      </c>
      <c r="C268" s="1" t="s">
        <v>23</v>
      </c>
      <c r="D268" s="1" t="s">
        <v>32</v>
      </c>
      <c r="E268" s="1" t="s">
        <v>33</v>
      </c>
      <c r="F268" s="1" t="s">
        <v>19</v>
      </c>
      <c r="G268" s="1" t="s">
        <v>20</v>
      </c>
      <c r="H268" t="s">
        <v>21</v>
      </c>
      <c r="I268" s="1" t="s">
        <v>26</v>
      </c>
      <c r="J268" s="2">
        <v>43525.276967592596</v>
      </c>
      <c r="K268" s="2">
        <v>43529.276967592596</v>
      </c>
      <c r="L268" s="2">
        <v>43528.276967592596</v>
      </c>
      <c r="M268" s="1">
        <f>_xlfn.DAYS(Table1[[#This Row],[actual_delivery_date]],Table1[[#This Row],[dispatch_date]])</f>
        <v>4</v>
      </c>
      <c r="N268">
        <v>0</v>
      </c>
      <c r="O268">
        <f>Table1[[#This Row],[transit_storage_cost]] * (1-'What -if Analysis'!$D$26)</f>
        <v>0</v>
      </c>
      <c r="P268">
        <v>106</v>
      </c>
      <c r="Q268">
        <v>2607.64</v>
      </c>
    </row>
    <row r="269" spans="1:17" x14ac:dyDescent="0.3">
      <c r="A269">
        <v>77227</v>
      </c>
      <c r="B269" s="1" t="s">
        <v>38</v>
      </c>
      <c r="C269" s="1" t="s">
        <v>23</v>
      </c>
      <c r="D269" s="1" t="s">
        <v>23</v>
      </c>
      <c r="E269" s="1" t="s">
        <v>28</v>
      </c>
      <c r="F269" s="1" t="s">
        <v>29</v>
      </c>
      <c r="G269" s="1" t="s">
        <v>20</v>
      </c>
      <c r="H269" t="s">
        <v>30</v>
      </c>
      <c r="I269" s="1" t="s">
        <v>22</v>
      </c>
      <c r="J269" s="2">
        <v>43526.288472222222</v>
      </c>
      <c r="K269" s="2">
        <v>43529.288472222222</v>
      </c>
      <c r="L269" s="2">
        <v>43531.288472222222</v>
      </c>
      <c r="M269" s="1">
        <f>_xlfn.DAYS(Table1[[#This Row],[actual_delivery_date]],Table1[[#This Row],[dispatch_date]])</f>
        <v>3</v>
      </c>
      <c r="N269">
        <v>0</v>
      </c>
      <c r="O269">
        <f>Table1[[#This Row],[transit_storage_cost]] * (1-'What -if Analysis'!$D$26)</f>
        <v>0</v>
      </c>
      <c r="P269">
        <v>130</v>
      </c>
      <c r="Q269">
        <v>1645.612297046443</v>
      </c>
    </row>
    <row r="270" spans="1:17" x14ac:dyDescent="0.3">
      <c r="A270">
        <v>761581</v>
      </c>
      <c r="B270" s="1" t="s">
        <v>39</v>
      </c>
      <c r="C270" s="1" t="s">
        <v>16</v>
      </c>
      <c r="D270" s="1" t="s">
        <v>17</v>
      </c>
      <c r="E270" s="1" t="s">
        <v>18</v>
      </c>
      <c r="F270" s="1" t="s">
        <v>29</v>
      </c>
      <c r="G270" s="1" t="s">
        <v>20</v>
      </c>
      <c r="H270" t="s">
        <v>30</v>
      </c>
      <c r="I270" s="1" t="s">
        <v>22</v>
      </c>
      <c r="J270" s="2">
        <v>43526.307534722226</v>
      </c>
      <c r="K270" s="2">
        <v>43529.307534722226</v>
      </c>
      <c r="L270" s="2">
        <v>43530.307534722226</v>
      </c>
      <c r="M270" s="1">
        <f>_xlfn.DAYS(Table1[[#This Row],[actual_delivery_date]],Table1[[#This Row],[dispatch_date]])</f>
        <v>3</v>
      </c>
      <c r="N270">
        <v>31</v>
      </c>
      <c r="O270">
        <f>Table1[[#This Row],[transit_storage_cost]] * (1-'What -if Analysis'!$D$26)</f>
        <v>31</v>
      </c>
      <c r="P270">
        <v>112</v>
      </c>
      <c r="Q270">
        <v>3236.773300299079</v>
      </c>
    </row>
    <row r="271" spans="1:17" x14ac:dyDescent="0.3">
      <c r="A271">
        <v>565130</v>
      </c>
      <c r="B271" s="1" t="s">
        <v>38</v>
      </c>
      <c r="C271" s="1" t="s">
        <v>23</v>
      </c>
      <c r="D271" s="1" t="s">
        <v>32</v>
      </c>
      <c r="E271" s="1" t="s">
        <v>33</v>
      </c>
      <c r="F271" s="1" t="s">
        <v>31</v>
      </c>
      <c r="G271" s="1" t="s">
        <v>20</v>
      </c>
      <c r="H271" t="s">
        <v>21</v>
      </c>
      <c r="I271" s="1" t="s">
        <v>22</v>
      </c>
      <c r="J271" s="2">
        <v>43525.308171296296</v>
      </c>
      <c r="K271" s="2">
        <v>43529.308171296296</v>
      </c>
      <c r="L271" s="2">
        <v>43528.308171296296</v>
      </c>
      <c r="M271" s="1">
        <f>_xlfn.DAYS(Table1[[#This Row],[actual_delivery_date]],Table1[[#This Row],[dispatch_date]])</f>
        <v>4</v>
      </c>
      <c r="N271">
        <v>46</v>
      </c>
      <c r="O271">
        <f>Table1[[#This Row],[transit_storage_cost]] * (1-'What -if Analysis'!$D$26)</f>
        <v>46</v>
      </c>
      <c r="P271">
        <v>107</v>
      </c>
      <c r="Q271">
        <v>1268.5838834113767</v>
      </c>
    </row>
    <row r="272" spans="1:17" x14ac:dyDescent="0.3">
      <c r="A272">
        <v>134092</v>
      </c>
      <c r="B272" s="1" t="s">
        <v>39</v>
      </c>
      <c r="C272" s="1" t="s">
        <v>23</v>
      </c>
      <c r="D272" s="1" t="s">
        <v>23</v>
      </c>
      <c r="E272" s="1" t="s">
        <v>28</v>
      </c>
      <c r="F272" s="1" t="s">
        <v>19</v>
      </c>
      <c r="G272" s="1" t="s">
        <v>20</v>
      </c>
      <c r="H272" t="s">
        <v>21</v>
      </c>
      <c r="I272" s="1" t="s">
        <v>22</v>
      </c>
      <c r="J272" s="2">
        <v>43526.312858796293</v>
      </c>
      <c r="K272" s="2">
        <v>43529.312858796293</v>
      </c>
      <c r="L272" s="2">
        <v>43533.312858796293</v>
      </c>
      <c r="M272" s="1">
        <f>_xlfn.DAYS(Table1[[#This Row],[actual_delivery_date]],Table1[[#This Row],[dispatch_date]])</f>
        <v>3</v>
      </c>
      <c r="N272">
        <v>0</v>
      </c>
      <c r="O272">
        <f>Table1[[#This Row],[transit_storage_cost]] * (1-'What -if Analysis'!$D$26)</f>
        <v>0</v>
      </c>
      <c r="P272">
        <v>109</v>
      </c>
      <c r="Q272">
        <v>2146.1341641533791</v>
      </c>
    </row>
    <row r="273" spans="1:17" x14ac:dyDescent="0.3">
      <c r="A273">
        <v>291640</v>
      </c>
      <c r="B273" s="1" t="s">
        <v>40</v>
      </c>
      <c r="C273" s="1" t="s">
        <v>23</v>
      </c>
      <c r="D273" s="1" t="s">
        <v>17</v>
      </c>
      <c r="E273" s="1" t="s">
        <v>18</v>
      </c>
      <c r="F273" s="1" t="s">
        <v>19</v>
      </c>
      <c r="G273" s="1" t="s">
        <v>20</v>
      </c>
      <c r="H273" t="s">
        <v>21</v>
      </c>
      <c r="I273" s="1" t="s">
        <v>22</v>
      </c>
      <c r="J273" s="2">
        <v>43527.331562500003</v>
      </c>
      <c r="K273" s="2">
        <v>43529.331562500003</v>
      </c>
      <c r="L273" s="2">
        <v>43530.331562500003</v>
      </c>
      <c r="M273" s="1">
        <f>_xlfn.DAYS(Table1[[#This Row],[actual_delivery_date]],Table1[[#This Row],[dispatch_date]])</f>
        <v>2</v>
      </c>
      <c r="N273">
        <v>37</v>
      </c>
      <c r="O273">
        <f>Table1[[#This Row],[transit_storage_cost]] * (1-'What -if Analysis'!$D$26)</f>
        <v>37</v>
      </c>
      <c r="P273">
        <v>113</v>
      </c>
      <c r="Q273">
        <v>1977.413282588016</v>
      </c>
    </row>
    <row r="274" spans="1:17" x14ac:dyDescent="0.3">
      <c r="A274">
        <v>2121</v>
      </c>
      <c r="B274" s="1" t="s">
        <v>37</v>
      </c>
      <c r="C274" s="1" t="s">
        <v>16</v>
      </c>
      <c r="D274" s="1" t="s">
        <v>16</v>
      </c>
      <c r="E274" s="1" t="s">
        <v>27</v>
      </c>
      <c r="F274" s="1" t="s">
        <v>29</v>
      </c>
      <c r="G274" s="1" t="s">
        <v>20</v>
      </c>
      <c r="H274" t="s">
        <v>34</v>
      </c>
      <c r="I274" s="1" t="s">
        <v>26</v>
      </c>
      <c r="J274" s="2">
        <v>43526.334502314814</v>
      </c>
      <c r="K274" s="2">
        <v>43529.334502314814</v>
      </c>
      <c r="L274" s="2">
        <v>43530.334502314814</v>
      </c>
      <c r="M274" s="1">
        <f>_xlfn.DAYS(Table1[[#This Row],[actual_delivery_date]],Table1[[#This Row],[dispatch_date]])</f>
        <v>3</v>
      </c>
      <c r="N274">
        <v>0</v>
      </c>
      <c r="O274">
        <f>Table1[[#This Row],[transit_storage_cost]] * (1-'What -if Analysis'!$D$26)</f>
        <v>0</v>
      </c>
      <c r="P274">
        <v>127</v>
      </c>
      <c r="Q274">
        <v>1018.96</v>
      </c>
    </row>
    <row r="275" spans="1:17" x14ac:dyDescent="0.3">
      <c r="A275">
        <v>621572</v>
      </c>
      <c r="B275" s="1" t="s">
        <v>39</v>
      </c>
      <c r="C275" s="1" t="s">
        <v>23</v>
      </c>
      <c r="D275" s="1" t="s">
        <v>16</v>
      </c>
      <c r="E275" s="1" t="s">
        <v>27</v>
      </c>
      <c r="F275" s="1" t="s">
        <v>19</v>
      </c>
      <c r="G275" s="1" t="s">
        <v>20</v>
      </c>
      <c r="H275" t="s">
        <v>21</v>
      </c>
      <c r="I275" s="1" t="s">
        <v>22</v>
      </c>
      <c r="J275" s="2">
        <v>43525.339837962965</v>
      </c>
      <c r="K275" s="2">
        <v>43529.339837962965</v>
      </c>
      <c r="L275" s="2">
        <v>43531.339837962965</v>
      </c>
      <c r="M275" s="1">
        <f>_xlfn.DAYS(Table1[[#This Row],[actual_delivery_date]],Table1[[#This Row],[dispatch_date]])</f>
        <v>4</v>
      </c>
      <c r="N275">
        <v>77</v>
      </c>
      <c r="O275">
        <f>Table1[[#This Row],[transit_storage_cost]] * (1-'What -if Analysis'!$D$26)</f>
        <v>77</v>
      </c>
      <c r="P275">
        <v>102</v>
      </c>
      <c r="Q275">
        <v>972.35696961655333</v>
      </c>
    </row>
    <row r="276" spans="1:17" x14ac:dyDescent="0.3">
      <c r="A276">
        <v>391460</v>
      </c>
      <c r="B276" s="1" t="s">
        <v>39</v>
      </c>
      <c r="C276" s="1" t="s">
        <v>23</v>
      </c>
      <c r="D276" s="1" t="s">
        <v>23</v>
      </c>
      <c r="E276" s="1" t="s">
        <v>28</v>
      </c>
      <c r="F276" s="1" t="s">
        <v>19</v>
      </c>
      <c r="G276" s="1" t="s">
        <v>20</v>
      </c>
      <c r="H276" t="s">
        <v>21</v>
      </c>
      <c r="I276" s="1" t="s">
        <v>22</v>
      </c>
      <c r="J276" s="2">
        <v>43529.346076388887</v>
      </c>
      <c r="K276" s="2">
        <v>43529.346076388887</v>
      </c>
      <c r="L276" s="2">
        <v>43532.346076388887</v>
      </c>
      <c r="M276" s="1">
        <f>_xlfn.DAYS(Table1[[#This Row],[actual_delivery_date]],Table1[[#This Row],[dispatch_date]])</f>
        <v>0</v>
      </c>
      <c r="N276">
        <v>0</v>
      </c>
      <c r="O276">
        <f>Table1[[#This Row],[transit_storage_cost]] * (1-'What -if Analysis'!$D$26)</f>
        <v>0</v>
      </c>
      <c r="P276">
        <v>123</v>
      </c>
      <c r="Q276">
        <v>2978.1358337894712</v>
      </c>
    </row>
    <row r="277" spans="1:17" x14ac:dyDescent="0.3">
      <c r="A277">
        <v>552124</v>
      </c>
      <c r="B277" s="1" t="s">
        <v>39</v>
      </c>
      <c r="C277" s="1" t="s">
        <v>16</v>
      </c>
      <c r="D277" s="1" t="s">
        <v>16</v>
      </c>
      <c r="E277" s="1" t="s">
        <v>27</v>
      </c>
      <c r="F277" s="1" t="s">
        <v>19</v>
      </c>
      <c r="G277" s="1" t="s">
        <v>20</v>
      </c>
      <c r="H277" t="s">
        <v>21</v>
      </c>
      <c r="I277" s="1" t="s">
        <v>22</v>
      </c>
      <c r="J277" s="2">
        <v>43529.348530092589</v>
      </c>
      <c r="K277" s="2">
        <v>43529.348530092589</v>
      </c>
      <c r="L277" s="2">
        <v>43536.348530092589</v>
      </c>
      <c r="M277" s="1">
        <f>_xlfn.DAYS(Table1[[#This Row],[actual_delivery_date]],Table1[[#This Row],[dispatch_date]])</f>
        <v>0</v>
      </c>
      <c r="N277">
        <v>0</v>
      </c>
      <c r="O277">
        <f>Table1[[#This Row],[transit_storage_cost]] * (1-'What -if Analysis'!$D$26)</f>
        <v>0</v>
      </c>
      <c r="P277">
        <v>103</v>
      </c>
      <c r="Q277">
        <v>2995.6540795525357</v>
      </c>
    </row>
    <row r="278" spans="1:17" x14ac:dyDescent="0.3">
      <c r="A278">
        <v>320236</v>
      </c>
      <c r="B278" s="1" t="s">
        <v>37</v>
      </c>
      <c r="C278" s="1" t="s">
        <v>23</v>
      </c>
      <c r="D278" s="1" t="s">
        <v>17</v>
      </c>
      <c r="E278" s="1" t="s">
        <v>18</v>
      </c>
      <c r="F278" s="1" t="s">
        <v>19</v>
      </c>
      <c r="G278" s="1" t="s">
        <v>36</v>
      </c>
      <c r="H278" t="s">
        <v>21</v>
      </c>
      <c r="I278" s="1" t="s">
        <v>22</v>
      </c>
      <c r="J278" s="2">
        <v>43525.353310185186</v>
      </c>
      <c r="K278" s="2">
        <v>43529.353310185186</v>
      </c>
      <c r="L278" s="2">
        <v>43531.353310185186</v>
      </c>
      <c r="M278" s="1">
        <f>_xlfn.DAYS(Table1[[#This Row],[actual_delivery_date]],Table1[[#This Row],[dispatch_date]])</f>
        <v>4</v>
      </c>
      <c r="N278">
        <v>38</v>
      </c>
      <c r="O278">
        <f>Table1[[#This Row],[transit_storage_cost]] * (1-'What -if Analysis'!$D$26)</f>
        <v>38</v>
      </c>
      <c r="P278">
        <v>115</v>
      </c>
      <c r="Q278">
        <v>632.45500378117595</v>
      </c>
    </row>
    <row r="279" spans="1:17" x14ac:dyDescent="0.3">
      <c r="A279">
        <v>763166</v>
      </c>
      <c r="B279" s="1" t="s">
        <v>39</v>
      </c>
      <c r="C279" s="1" t="s">
        <v>16</v>
      </c>
      <c r="D279" s="1" t="s">
        <v>16</v>
      </c>
      <c r="E279" s="1" t="s">
        <v>27</v>
      </c>
      <c r="F279" s="1" t="s">
        <v>19</v>
      </c>
      <c r="G279" s="1" t="s">
        <v>20</v>
      </c>
      <c r="H279" t="s">
        <v>21</v>
      </c>
      <c r="I279" s="1" t="s">
        <v>22</v>
      </c>
      <c r="J279" s="2">
        <v>43526.356423611112</v>
      </c>
      <c r="K279" s="2">
        <v>43529.356423611112</v>
      </c>
      <c r="L279" s="2">
        <v>43530.356423611112</v>
      </c>
      <c r="M279" s="1">
        <f>_xlfn.DAYS(Table1[[#This Row],[actual_delivery_date]],Table1[[#This Row],[dispatch_date]])</f>
        <v>3</v>
      </c>
      <c r="N279">
        <v>0</v>
      </c>
      <c r="O279">
        <f>Table1[[#This Row],[transit_storage_cost]] * (1-'What -if Analysis'!$D$26)</f>
        <v>0</v>
      </c>
      <c r="P279">
        <v>108</v>
      </c>
      <c r="Q279">
        <v>2392.5031148964999</v>
      </c>
    </row>
    <row r="280" spans="1:17" x14ac:dyDescent="0.3">
      <c r="A280">
        <v>344360</v>
      </c>
      <c r="B280" s="1" t="s">
        <v>39</v>
      </c>
      <c r="C280" s="1" t="s">
        <v>23</v>
      </c>
      <c r="D280" s="1" t="s">
        <v>17</v>
      </c>
      <c r="E280" s="1" t="s">
        <v>18</v>
      </c>
      <c r="F280" s="1" t="s">
        <v>19</v>
      </c>
      <c r="G280" s="1" t="s">
        <v>20</v>
      </c>
      <c r="H280" t="s">
        <v>21</v>
      </c>
      <c r="I280" s="1" t="s">
        <v>22</v>
      </c>
      <c r="J280" s="2">
        <v>43527.366157407407</v>
      </c>
      <c r="K280" s="2">
        <v>43529.366157407407</v>
      </c>
      <c r="L280" s="2">
        <v>43532.366157407407</v>
      </c>
      <c r="M280" s="1">
        <f>_xlfn.DAYS(Table1[[#This Row],[actual_delivery_date]],Table1[[#This Row],[dispatch_date]])</f>
        <v>2</v>
      </c>
      <c r="N280">
        <v>27</v>
      </c>
      <c r="O280">
        <f>Table1[[#This Row],[transit_storage_cost]] * (1-'What -if Analysis'!$D$26)</f>
        <v>27</v>
      </c>
      <c r="P280">
        <v>113</v>
      </c>
      <c r="Q280">
        <v>2244.0835111683209</v>
      </c>
    </row>
    <row r="281" spans="1:17" x14ac:dyDescent="0.3">
      <c r="A281">
        <v>277207</v>
      </c>
      <c r="B281" s="1" t="s">
        <v>37</v>
      </c>
      <c r="C281" s="1" t="s">
        <v>23</v>
      </c>
      <c r="D281" s="1" t="s">
        <v>17</v>
      </c>
      <c r="E281" s="1" t="s">
        <v>18</v>
      </c>
      <c r="F281" s="1" t="s">
        <v>19</v>
      </c>
      <c r="G281" s="1" t="s">
        <v>36</v>
      </c>
      <c r="H281" t="s">
        <v>34</v>
      </c>
      <c r="I281" s="1" t="s">
        <v>22</v>
      </c>
      <c r="J281" s="2">
        <v>43527.370567129627</v>
      </c>
      <c r="K281" s="2">
        <v>43529.370567129627</v>
      </c>
      <c r="L281" s="2">
        <v>43530.370567129627</v>
      </c>
      <c r="M281" s="1">
        <f>_xlfn.DAYS(Table1[[#This Row],[actual_delivery_date]],Table1[[#This Row],[dispatch_date]])</f>
        <v>2</v>
      </c>
      <c r="N281">
        <v>62</v>
      </c>
      <c r="O281">
        <f>Table1[[#This Row],[transit_storage_cost]] * (1-'What -if Analysis'!$D$26)</f>
        <v>62</v>
      </c>
      <c r="P281">
        <v>86</v>
      </c>
      <c r="Q281">
        <v>1615.7257537661317</v>
      </c>
    </row>
    <row r="282" spans="1:17" x14ac:dyDescent="0.3">
      <c r="A282">
        <v>142882</v>
      </c>
      <c r="B282" s="1" t="s">
        <v>40</v>
      </c>
      <c r="C282" s="1" t="s">
        <v>23</v>
      </c>
      <c r="D282" s="1" t="s">
        <v>16</v>
      </c>
      <c r="E282" s="1" t="s">
        <v>27</v>
      </c>
      <c r="F282" s="1" t="s">
        <v>19</v>
      </c>
      <c r="G282" s="1" t="s">
        <v>20</v>
      </c>
      <c r="H282" t="s">
        <v>21</v>
      </c>
      <c r="I282" s="1" t="s">
        <v>22</v>
      </c>
      <c r="J282" s="2">
        <v>43526.389965277776</v>
      </c>
      <c r="K282" s="2">
        <v>43529.389965277776</v>
      </c>
      <c r="L282" s="2">
        <v>43531.389965277776</v>
      </c>
      <c r="M282" s="1">
        <f>_xlfn.DAYS(Table1[[#This Row],[actual_delivery_date]],Table1[[#This Row],[dispatch_date]])</f>
        <v>3</v>
      </c>
      <c r="N282">
        <v>88</v>
      </c>
      <c r="O282">
        <f>Table1[[#This Row],[transit_storage_cost]] * (1-'What -if Analysis'!$D$26)</f>
        <v>88</v>
      </c>
      <c r="P282">
        <v>109</v>
      </c>
      <c r="Q282">
        <v>2093.5761220626828</v>
      </c>
    </row>
    <row r="283" spans="1:17" x14ac:dyDescent="0.3">
      <c r="A283">
        <v>150033</v>
      </c>
      <c r="B283" s="1" t="s">
        <v>37</v>
      </c>
      <c r="C283" s="1" t="s">
        <v>16</v>
      </c>
      <c r="D283" s="1" t="s">
        <v>23</v>
      </c>
      <c r="E283" s="1" t="s">
        <v>28</v>
      </c>
      <c r="F283" s="1" t="s">
        <v>19</v>
      </c>
      <c r="G283" s="1" t="s">
        <v>20</v>
      </c>
      <c r="H283" t="s">
        <v>30</v>
      </c>
      <c r="I283" s="1" t="s">
        <v>26</v>
      </c>
      <c r="J283" s="2">
        <v>43527.399861111109</v>
      </c>
      <c r="K283" s="2">
        <v>43529.399861111109</v>
      </c>
      <c r="L283" s="2">
        <v>43534.399861111109</v>
      </c>
      <c r="M283" s="1">
        <f>_xlfn.DAYS(Table1[[#This Row],[actual_delivery_date]],Table1[[#This Row],[dispatch_date]])</f>
        <v>2</v>
      </c>
      <c r="N283">
        <v>64</v>
      </c>
      <c r="O283">
        <f>Table1[[#This Row],[transit_storage_cost]] * (1-'What -if Analysis'!$D$26)</f>
        <v>64</v>
      </c>
      <c r="P283">
        <v>109</v>
      </c>
      <c r="Q283">
        <v>3477.52</v>
      </c>
    </row>
    <row r="284" spans="1:17" x14ac:dyDescent="0.3">
      <c r="A284">
        <v>56123</v>
      </c>
      <c r="B284" s="1" t="s">
        <v>38</v>
      </c>
      <c r="C284" s="1" t="s">
        <v>23</v>
      </c>
      <c r="D284" s="1" t="s">
        <v>24</v>
      </c>
      <c r="E284" s="1" t="s">
        <v>25</v>
      </c>
      <c r="F284" s="1" t="s">
        <v>29</v>
      </c>
      <c r="G284" s="1" t="s">
        <v>20</v>
      </c>
      <c r="H284" t="s">
        <v>30</v>
      </c>
      <c r="I284" s="1" t="s">
        <v>22</v>
      </c>
      <c r="J284" s="2">
        <v>43527.401076388887</v>
      </c>
      <c r="K284" s="2">
        <v>43529.401076388887</v>
      </c>
      <c r="L284" s="2">
        <v>43532.401076388887</v>
      </c>
      <c r="M284" s="1">
        <f>_xlfn.DAYS(Table1[[#This Row],[actual_delivery_date]],Table1[[#This Row],[dispatch_date]])</f>
        <v>2</v>
      </c>
      <c r="N284">
        <v>27</v>
      </c>
      <c r="O284">
        <f>Table1[[#This Row],[transit_storage_cost]] * (1-'What -if Analysis'!$D$26)</f>
        <v>27</v>
      </c>
      <c r="P284">
        <v>129</v>
      </c>
      <c r="Q284">
        <v>1276.9656147546607</v>
      </c>
    </row>
    <row r="285" spans="1:17" x14ac:dyDescent="0.3">
      <c r="A285">
        <v>997988</v>
      </c>
      <c r="B285" s="1" t="s">
        <v>37</v>
      </c>
      <c r="C285" s="1" t="s">
        <v>23</v>
      </c>
      <c r="D285" s="1" t="s">
        <v>16</v>
      </c>
      <c r="E285" s="1" t="s">
        <v>27</v>
      </c>
      <c r="F285" s="1" t="s">
        <v>19</v>
      </c>
      <c r="G285" s="1" t="s">
        <v>20</v>
      </c>
      <c r="H285" t="s">
        <v>21</v>
      </c>
      <c r="I285" s="1" t="s">
        <v>22</v>
      </c>
      <c r="J285" s="2">
        <v>43527.411736111113</v>
      </c>
      <c r="K285" s="2">
        <v>43529.411736111113</v>
      </c>
      <c r="L285" s="2">
        <v>43534.411736111113</v>
      </c>
      <c r="M285" s="1">
        <f>_xlfn.DAYS(Table1[[#This Row],[actual_delivery_date]],Table1[[#This Row],[dispatch_date]])</f>
        <v>2</v>
      </c>
      <c r="N285">
        <v>25</v>
      </c>
      <c r="O285">
        <f>Table1[[#This Row],[transit_storage_cost]] * (1-'What -if Analysis'!$D$26)</f>
        <v>25</v>
      </c>
      <c r="P285">
        <v>123</v>
      </c>
      <c r="Q285">
        <v>298.18591054020544</v>
      </c>
    </row>
    <row r="286" spans="1:17" x14ac:dyDescent="0.3">
      <c r="A286">
        <v>655038</v>
      </c>
      <c r="B286" s="1" t="s">
        <v>15</v>
      </c>
      <c r="C286" s="1" t="s">
        <v>23</v>
      </c>
      <c r="D286" s="1" t="s">
        <v>16</v>
      </c>
      <c r="E286" s="1" t="s">
        <v>27</v>
      </c>
      <c r="F286" s="1" t="s">
        <v>19</v>
      </c>
      <c r="G286" s="1" t="s">
        <v>20</v>
      </c>
      <c r="H286" t="s">
        <v>21</v>
      </c>
      <c r="I286" s="1" t="s">
        <v>26</v>
      </c>
      <c r="J286" s="2">
        <v>43527.420057870368</v>
      </c>
      <c r="K286" s="2">
        <v>43529.420057870368</v>
      </c>
      <c r="L286" s="2">
        <v>43534.420057870368</v>
      </c>
      <c r="M286" s="1">
        <f>_xlfn.DAYS(Table1[[#This Row],[actual_delivery_date]],Table1[[#This Row],[dispatch_date]])</f>
        <v>2</v>
      </c>
      <c r="N286">
        <v>75</v>
      </c>
      <c r="O286">
        <f>Table1[[#This Row],[transit_storage_cost]] * (1-'What -if Analysis'!$D$26)</f>
        <v>75</v>
      </c>
      <c r="P286">
        <v>101</v>
      </c>
      <c r="Q286">
        <v>261.06</v>
      </c>
    </row>
    <row r="287" spans="1:17" x14ac:dyDescent="0.3">
      <c r="A287">
        <v>912076</v>
      </c>
      <c r="B287" s="1" t="s">
        <v>38</v>
      </c>
      <c r="C287" s="1" t="s">
        <v>16</v>
      </c>
      <c r="D287" s="1" t="s">
        <v>16</v>
      </c>
      <c r="E287" s="1" t="s">
        <v>27</v>
      </c>
      <c r="F287" s="1" t="s">
        <v>19</v>
      </c>
      <c r="G287" s="1" t="s">
        <v>20</v>
      </c>
      <c r="H287" t="s">
        <v>21</v>
      </c>
      <c r="I287" s="1" t="s">
        <v>22</v>
      </c>
      <c r="J287" s="2">
        <v>43527.427118055559</v>
      </c>
      <c r="K287" s="2">
        <v>43529.427118055559</v>
      </c>
      <c r="L287" s="2">
        <v>43532.427118055559</v>
      </c>
      <c r="M287" s="1">
        <f>_xlfn.DAYS(Table1[[#This Row],[actual_delivery_date]],Table1[[#This Row],[dispatch_date]])</f>
        <v>2</v>
      </c>
      <c r="N287">
        <v>0</v>
      </c>
      <c r="O287">
        <f>Table1[[#This Row],[transit_storage_cost]] * (1-'What -if Analysis'!$D$26)</f>
        <v>0</v>
      </c>
      <c r="P287">
        <v>103</v>
      </c>
      <c r="Q287">
        <v>1299.7918380296628</v>
      </c>
    </row>
    <row r="288" spans="1:17" x14ac:dyDescent="0.3">
      <c r="A288">
        <v>199382</v>
      </c>
      <c r="B288" s="1" t="s">
        <v>37</v>
      </c>
      <c r="C288" s="1" t="s">
        <v>16</v>
      </c>
      <c r="D288" s="1" t="s">
        <v>16</v>
      </c>
      <c r="E288" s="1" t="s">
        <v>27</v>
      </c>
      <c r="F288" s="1" t="s">
        <v>31</v>
      </c>
      <c r="G288" s="1" t="s">
        <v>20</v>
      </c>
      <c r="H288" t="s">
        <v>21</v>
      </c>
      <c r="I288" s="1" t="s">
        <v>22</v>
      </c>
      <c r="J288" s="2">
        <v>43528.432719907411</v>
      </c>
      <c r="K288" s="2">
        <v>43529.432719907411</v>
      </c>
      <c r="L288" s="2">
        <v>43532.432719907411</v>
      </c>
      <c r="M288" s="1">
        <f>_xlfn.DAYS(Table1[[#This Row],[actual_delivery_date]],Table1[[#This Row],[dispatch_date]])</f>
        <v>1</v>
      </c>
      <c r="N288">
        <v>0</v>
      </c>
      <c r="O288">
        <f>Table1[[#This Row],[transit_storage_cost]] * (1-'What -if Analysis'!$D$26)</f>
        <v>0</v>
      </c>
      <c r="P288">
        <v>129</v>
      </c>
      <c r="Q288">
        <v>3199.52441790285</v>
      </c>
    </row>
    <row r="289" spans="1:17" x14ac:dyDescent="0.3">
      <c r="A289">
        <v>446698</v>
      </c>
      <c r="B289" s="1" t="s">
        <v>37</v>
      </c>
      <c r="C289" s="1" t="s">
        <v>16</v>
      </c>
      <c r="D289" s="1" t="s">
        <v>23</v>
      </c>
      <c r="E289" s="1" t="s">
        <v>28</v>
      </c>
      <c r="F289" s="1" t="s">
        <v>19</v>
      </c>
      <c r="G289" s="1" t="s">
        <v>20</v>
      </c>
      <c r="H289" t="s">
        <v>21</v>
      </c>
      <c r="I289" s="1" t="s">
        <v>22</v>
      </c>
      <c r="J289" s="2">
        <v>43527.451331018521</v>
      </c>
      <c r="K289" s="2">
        <v>43529.451331018521</v>
      </c>
      <c r="L289" s="2">
        <v>43534.451331018521</v>
      </c>
      <c r="M289" s="1">
        <f>_xlfn.DAYS(Table1[[#This Row],[actual_delivery_date]],Table1[[#This Row],[dispatch_date]])</f>
        <v>2</v>
      </c>
      <c r="N289">
        <v>75</v>
      </c>
      <c r="O289">
        <f>Table1[[#This Row],[transit_storage_cost]] * (1-'What -if Analysis'!$D$26)</f>
        <v>75</v>
      </c>
      <c r="P289">
        <v>106</v>
      </c>
      <c r="Q289">
        <v>3280.4026341947379</v>
      </c>
    </row>
    <row r="290" spans="1:17" x14ac:dyDescent="0.3">
      <c r="A290">
        <v>883618</v>
      </c>
      <c r="B290" s="1" t="s">
        <v>15</v>
      </c>
      <c r="C290" s="1" t="s">
        <v>16</v>
      </c>
      <c r="D290" s="1" t="s">
        <v>24</v>
      </c>
      <c r="E290" s="1" t="s">
        <v>25</v>
      </c>
      <c r="F290" s="1" t="s">
        <v>31</v>
      </c>
      <c r="G290" s="1" t="s">
        <v>20</v>
      </c>
      <c r="H290" t="s">
        <v>21</v>
      </c>
      <c r="I290" s="1" t="s">
        <v>22</v>
      </c>
      <c r="J290" s="2">
        <v>43525.463495370372</v>
      </c>
      <c r="K290" s="2">
        <v>43529.463495370372</v>
      </c>
      <c r="L290" s="2">
        <v>43530.463495370372</v>
      </c>
      <c r="M290" s="1">
        <f>_xlfn.DAYS(Table1[[#This Row],[actual_delivery_date]],Table1[[#This Row],[dispatch_date]])</f>
        <v>4</v>
      </c>
      <c r="N290">
        <v>28</v>
      </c>
      <c r="O290">
        <f>Table1[[#This Row],[transit_storage_cost]] * (1-'What -if Analysis'!$D$26)</f>
        <v>28</v>
      </c>
      <c r="P290">
        <v>120</v>
      </c>
      <c r="Q290">
        <v>3427.7021306992319</v>
      </c>
    </row>
    <row r="291" spans="1:17" x14ac:dyDescent="0.3">
      <c r="A291">
        <v>294420</v>
      </c>
      <c r="B291" s="1" t="s">
        <v>39</v>
      </c>
      <c r="C291" s="1" t="s">
        <v>16</v>
      </c>
      <c r="D291" s="1" t="s">
        <v>17</v>
      </c>
      <c r="E291" s="1" t="s">
        <v>18</v>
      </c>
      <c r="F291" s="1" t="s">
        <v>19</v>
      </c>
      <c r="G291" s="1" t="s">
        <v>20</v>
      </c>
      <c r="H291" t="s">
        <v>21</v>
      </c>
      <c r="I291" s="1" t="s">
        <v>26</v>
      </c>
      <c r="J291" s="2">
        <v>43527.464178240742</v>
      </c>
      <c r="K291" s="2">
        <v>43529.464178240742</v>
      </c>
      <c r="L291" s="2">
        <v>43530.464178240742</v>
      </c>
      <c r="M291" s="1">
        <f>_xlfn.DAYS(Table1[[#This Row],[actual_delivery_date]],Table1[[#This Row],[dispatch_date]])</f>
        <v>2</v>
      </c>
      <c r="N291">
        <v>43</v>
      </c>
      <c r="O291">
        <f>Table1[[#This Row],[transit_storage_cost]] * (1-'What -if Analysis'!$D$26)</f>
        <v>43</v>
      </c>
      <c r="P291">
        <v>113</v>
      </c>
      <c r="Q291">
        <v>3113.45</v>
      </c>
    </row>
    <row r="292" spans="1:17" x14ac:dyDescent="0.3">
      <c r="A292">
        <v>6005</v>
      </c>
      <c r="B292" s="1" t="s">
        <v>39</v>
      </c>
      <c r="C292" s="1" t="s">
        <v>16</v>
      </c>
      <c r="D292" s="1" t="s">
        <v>23</v>
      </c>
      <c r="E292" s="1" t="s">
        <v>28</v>
      </c>
      <c r="F292" s="1" t="s">
        <v>29</v>
      </c>
      <c r="G292" s="1" t="s">
        <v>20</v>
      </c>
      <c r="H292" t="s">
        <v>30</v>
      </c>
      <c r="I292" s="1" t="s">
        <v>22</v>
      </c>
      <c r="J292" s="2">
        <v>43525.47252314815</v>
      </c>
      <c r="K292" s="2">
        <v>43529.47252314815</v>
      </c>
      <c r="L292" s="2">
        <v>43530.47252314815</v>
      </c>
      <c r="M292" s="1">
        <f>_xlfn.DAYS(Table1[[#This Row],[actual_delivery_date]],Table1[[#This Row],[dispatch_date]])</f>
        <v>4</v>
      </c>
      <c r="N292">
        <v>43</v>
      </c>
      <c r="O292">
        <f>Table1[[#This Row],[transit_storage_cost]] * (1-'What -if Analysis'!$D$26)</f>
        <v>43</v>
      </c>
      <c r="P292">
        <v>122</v>
      </c>
      <c r="Q292">
        <v>2144.9767498592059</v>
      </c>
    </row>
    <row r="293" spans="1:17" x14ac:dyDescent="0.3">
      <c r="A293">
        <v>563054</v>
      </c>
      <c r="B293" s="1" t="s">
        <v>15</v>
      </c>
      <c r="C293" s="1" t="s">
        <v>16</v>
      </c>
      <c r="D293" s="1" t="s">
        <v>16</v>
      </c>
      <c r="E293" s="1" t="s">
        <v>27</v>
      </c>
      <c r="F293" s="1" t="s">
        <v>19</v>
      </c>
      <c r="G293" s="1" t="s">
        <v>20</v>
      </c>
      <c r="H293" t="s">
        <v>21</v>
      </c>
      <c r="I293" s="1" t="s">
        <v>22</v>
      </c>
      <c r="J293" s="2">
        <v>43526.474606481483</v>
      </c>
      <c r="K293" s="2">
        <v>43529.474606481483</v>
      </c>
      <c r="L293" s="2">
        <v>43529.474606481483</v>
      </c>
      <c r="M293" s="1">
        <f>_xlfn.DAYS(Table1[[#This Row],[actual_delivery_date]],Table1[[#This Row],[dispatch_date]])</f>
        <v>3</v>
      </c>
      <c r="N293">
        <v>0</v>
      </c>
      <c r="O293">
        <f>Table1[[#This Row],[transit_storage_cost]] * (1-'What -if Analysis'!$D$26)</f>
        <v>0</v>
      </c>
      <c r="P293">
        <v>101</v>
      </c>
      <c r="Q293">
        <v>1847.045741634372</v>
      </c>
    </row>
    <row r="294" spans="1:17" x14ac:dyDescent="0.3">
      <c r="A294">
        <v>973993</v>
      </c>
      <c r="B294" s="1" t="s">
        <v>40</v>
      </c>
      <c r="C294" s="1" t="s">
        <v>16</v>
      </c>
      <c r="D294" s="1" t="s">
        <v>23</v>
      </c>
      <c r="E294" s="1" t="s">
        <v>28</v>
      </c>
      <c r="F294" s="1" t="s">
        <v>29</v>
      </c>
      <c r="G294" s="1" t="s">
        <v>20</v>
      </c>
      <c r="H294" t="s">
        <v>30</v>
      </c>
      <c r="I294" s="1" t="s">
        <v>22</v>
      </c>
      <c r="J294" s="2">
        <v>43525.476145833331</v>
      </c>
      <c r="K294" s="2">
        <v>43529.476145833331</v>
      </c>
      <c r="L294" s="2">
        <v>43528.476145833331</v>
      </c>
      <c r="M294" s="1">
        <f>_xlfn.DAYS(Table1[[#This Row],[actual_delivery_date]],Table1[[#This Row],[dispatch_date]])</f>
        <v>4</v>
      </c>
      <c r="N294">
        <v>31</v>
      </c>
      <c r="O294">
        <f>Table1[[#This Row],[transit_storage_cost]] * (1-'What -if Analysis'!$D$26)</f>
        <v>31</v>
      </c>
      <c r="P294">
        <v>128</v>
      </c>
      <c r="Q294">
        <v>3117.9029305297145</v>
      </c>
    </row>
    <row r="295" spans="1:17" x14ac:dyDescent="0.3">
      <c r="A295">
        <v>681634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31</v>
      </c>
      <c r="G295" s="1" t="s">
        <v>20</v>
      </c>
      <c r="H295" t="s">
        <v>21</v>
      </c>
      <c r="I295" s="1" t="s">
        <v>22</v>
      </c>
      <c r="J295" s="2">
        <v>43525.476469907408</v>
      </c>
      <c r="K295" s="2">
        <v>43529.476469907408</v>
      </c>
      <c r="L295" s="2">
        <v>43529.476469907408</v>
      </c>
      <c r="M295" s="1">
        <f>_xlfn.DAYS(Table1[[#This Row],[actual_delivery_date]],Table1[[#This Row],[dispatch_date]])</f>
        <v>4</v>
      </c>
      <c r="N295">
        <v>43</v>
      </c>
      <c r="O295">
        <f>Table1[[#This Row],[transit_storage_cost]] * (1-'What -if Analysis'!$D$26)</f>
        <v>43</v>
      </c>
      <c r="P295">
        <v>110</v>
      </c>
      <c r="Q295">
        <v>1261.063167628286</v>
      </c>
    </row>
    <row r="296" spans="1:17" x14ac:dyDescent="0.3">
      <c r="A296">
        <v>167284</v>
      </c>
      <c r="B296" s="1" t="s">
        <v>38</v>
      </c>
      <c r="C296" s="1" t="s">
        <v>23</v>
      </c>
      <c r="D296" s="1" t="s">
        <v>23</v>
      </c>
      <c r="E296" s="1" t="s">
        <v>28</v>
      </c>
      <c r="F296" s="1" t="s">
        <v>19</v>
      </c>
      <c r="G296" s="1" t="s">
        <v>20</v>
      </c>
      <c r="H296" t="s">
        <v>21</v>
      </c>
      <c r="I296" s="1" t="s">
        <v>22</v>
      </c>
      <c r="J296" s="2">
        <v>43525.483032407406</v>
      </c>
      <c r="K296" s="2">
        <v>43529.483032407406</v>
      </c>
      <c r="L296" s="2">
        <v>43530.483032407406</v>
      </c>
      <c r="M296" s="1">
        <f>_xlfn.DAYS(Table1[[#This Row],[actual_delivery_date]],Table1[[#This Row],[dispatch_date]])</f>
        <v>4</v>
      </c>
      <c r="N296">
        <v>0</v>
      </c>
      <c r="O296">
        <f>Table1[[#This Row],[transit_storage_cost]] * (1-'What -if Analysis'!$D$26)</f>
        <v>0</v>
      </c>
      <c r="P296">
        <v>127</v>
      </c>
      <c r="Q296">
        <v>2706.0239055729785</v>
      </c>
    </row>
    <row r="297" spans="1:17" x14ac:dyDescent="0.3">
      <c r="A297">
        <v>892168</v>
      </c>
      <c r="B297" s="1" t="s">
        <v>38</v>
      </c>
      <c r="C297" s="1" t="s">
        <v>23</v>
      </c>
      <c r="D297" s="1" t="s">
        <v>16</v>
      </c>
      <c r="E297" s="1" t="s">
        <v>27</v>
      </c>
      <c r="F297" s="1" t="s">
        <v>19</v>
      </c>
      <c r="G297" s="1" t="s">
        <v>20</v>
      </c>
      <c r="H297" t="s">
        <v>21</v>
      </c>
      <c r="I297" s="1" t="s">
        <v>22</v>
      </c>
      <c r="J297" s="2">
        <v>43525.515613425923</v>
      </c>
      <c r="K297" s="2">
        <v>43529.515613425923</v>
      </c>
      <c r="L297" s="2">
        <v>43532.515613425923</v>
      </c>
      <c r="M297" s="1">
        <f>_xlfn.DAYS(Table1[[#This Row],[actual_delivery_date]],Table1[[#This Row],[dispatch_date]])</f>
        <v>4</v>
      </c>
      <c r="N297">
        <v>57</v>
      </c>
      <c r="O297">
        <f>Table1[[#This Row],[transit_storage_cost]] * (1-'What -if Analysis'!$D$26)</f>
        <v>57</v>
      </c>
      <c r="P297">
        <v>102</v>
      </c>
      <c r="Q297">
        <v>1539.7660558628886</v>
      </c>
    </row>
    <row r="298" spans="1:17" x14ac:dyDescent="0.3">
      <c r="A298">
        <v>43998</v>
      </c>
      <c r="B298" s="1" t="s">
        <v>37</v>
      </c>
      <c r="C298" s="1" t="s">
        <v>16</v>
      </c>
      <c r="D298" s="1" t="s">
        <v>23</v>
      </c>
      <c r="E298" s="1" t="s">
        <v>28</v>
      </c>
      <c r="F298" s="1" t="s">
        <v>19</v>
      </c>
      <c r="G298" s="1" t="s">
        <v>20</v>
      </c>
      <c r="H298" t="s">
        <v>21</v>
      </c>
      <c r="I298" s="1" t="s">
        <v>26</v>
      </c>
      <c r="J298" s="2">
        <v>43527.534398148149</v>
      </c>
      <c r="K298" s="2">
        <v>43529.534398148149</v>
      </c>
      <c r="L298" s="2">
        <v>43533.534398148149</v>
      </c>
      <c r="M298" s="1">
        <f>_xlfn.DAYS(Table1[[#This Row],[actual_delivery_date]],Table1[[#This Row],[dispatch_date]])</f>
        <v>2</v>
      </c>
      <c r="N298">
        <v>63</v>
      </c>
      <c r="O298">
        <f>Table1[[#This Row],[transit_storage_cost]] * (1-'What -if Analysis'!$D$26)</f>
        <v>63</v>
      </c>
      <c r="P298">
        <v>106</v>
      </c>
      <c r="Q298">
        <v>845.95</v>
      </c>
    </row>
    <row r="299" spans="1:17" x14ac:dyDescent="0.3">
      <c r="A299">
        <v>695883</v>
      </c>
      <c r="B299" s="1" t="s">
        <v>37</v>
      </c>
      <c r="C299" s="1" t="s">
        <v>23</v>
      </c>
      <c r="D299" s="1" t="s">
        <v>17</v>
      </c>
      <c r="E299" s="1" t="s">
        <v>18</v>
      </c>
      <c r="F299" s="1" t="s">
        <v>19</v>
      </c>
      <c r="G299" s="1" t="s">
        <v>20</v>
      </c>
      <c r="H299" t="s">
        <v>30</v>
      </c>
      <c r="I299" s="1" t="s">
        <v>26</v>
      </c>
      <c r="J299" s="2">
        <v>43527.537222222221</v>
      </c>
      <c r="K299" s="2">
        <v>43529.537222222221</v>
      </c>
      <c r="L299" s="2">
        <v>43532.537222222221</v>
      </c>
      <c r="M299" s="1">
        <f>_xlfn.DAYS(Table1[[#This Row],[actual_delivery_date]],Table1[[#This Row],[dispatch_date]])</f>
        <v>2</v>
      </c>
      <c r="N299">
        <v>69</v>
      </c>
      <c r="O299">
        <f>Table1[[#This Row],[transit_storage_cost]] * (1-'What -if Analysis'!$D$26)</f>
        <v>69</v>
      </c>
      <c r="P299">
        <v>89</v>
      </c>
      <c r="Q299">
        <v>257</v>
      </c>
    </row>
    <row r="300" spans="1:17" x14ac:dyDescent="0.3">
      <c r="A300">
        <v>30728</v>
      </c>
      <c r="B300" s="1" t="s">
        <v>39</v>
      </c>
      <c r="C300" s="1" t="s">
        <v>23</v>
      </c>
      <c r="D300" s="1" t="s">
        <v>23</v>
      </c>
      <c r="E300" s="1" t="s">
        <v>28</v>
      </c>
      <c r="F300" s="1" t="s">
        <v>19</v>
      </c>
      <c r="G300" s="1" t="s">
        <v>20</v>
      </c>
      <c r="H300" t="s">
        <v>21</v>
      </c>
      <c r="I300" s="1" t="s">
        <v>22</v>
      </c>
      <c r="J300" s="2">
        <v>43527.538252314815</v>
      </c>
      <c r="K300" s="2">
        <v>43529.538252314815</v>
      </c>
      <c r="L300" s="2">
        <v>43533.538252314815</v>
      </c>
      <c r="M300" s="1">
        <f>_xlfn.DAYS(Table1[[#This Row],[actual_delivery_date]],Table1[[#This Row],[dispatch_date]])</f>
        <v>2</v>
      </c>
      <c r="N300">
        <v>0</v>
      </c>
      <c r="O300">
        <f>Table1[[#This Row],[transit_storage_cost]] * (1-'What -if Analysis'!$D$26)</f>
        <v>0</v>
      </c>
      <c r="P300">
        <v>130</v>
      </c>
      <c r="Q300">
        <v>2235.0726238908692</v>
      </c>
    </row>
    <row r="301" spans="1:17" x14ac:dyDescent="0.3">
      <c r="A301">
        <v>441659</v>
      </c>
      <c r="B301" s="1" t="s">
        <v>41</v>
      </c>
      <c r="C301" s="1" t="s">
        <v>16</v>
      </c>
      <c r="D301" s="1" t="s">
        <v>16</v>
      </c>
      <c r="E301" s="1" t="s">
        <v>27</v>
      </c>
      <c r="F301" s="1" t="s">
        <v>19</v>
      </c>
      <c r="G301" s="1" t="s">
        <v>20</v>
      </c>
      <c r="H301" t="s">
        <v>30</v>
      </c>
      <c r="I301" s="1" t="s">
        <v>22</v>
      </c>
      <c r="J301" s="2">
        <v>43528.542349537034</v>
      </c>
      <c r="K301" s="2">
        <v>43529.542349537034</v>
      </c>
      <c r="L301" s="2">
        <v>43533.542349537034</v>
      </c>
      <c r="M301" s="1">
        <f>_xlfn.DAYS(Table1[[#This Row],[actual_delivery_date]],Table1[[#This Row],[dispatch_date]])</f>
        <v>1</v>
      </c>
      <c r="N301">
        <v>0</v>
      </c>
      <c r="O301">
        <f>Table1[[#This Row],[transit_storage_cost]] * (1-'What -if Analysis'!$D$26)</f>
        <v>0</v>
      </c>
      <c r="P301">
        <v>104</v>
      </c>
      <c r="Q301">
        <v>2435.8793428903132</v>
      </c>
    </row>
    <row r="302" spans="1:17" x14ac:dyDescent="0.3">
      <c r="A302">
        <v>828328</v>
      </c>
      <c r="B302" s="1" t="s">
        <v>37</v>
      </c>
      <c r="C302" s="1" t="s">
        <v>16</v>
      </c>
      <c r="D302" s="1" t="s">
        <v>17</v>
      </c>
      <c r="E302" s="1" t="s">
        <v>18</v>
      </c>
      <c r="F302" s="1" t="s">
        <v>19</v>
      </c>
      <c r="G302" s="1" t="s">
        <v>20</v>
      </c>
      <c r="H302" t="s">
        <v>21</v>
      </c>
      <c r="I302" s="1" t="s">
        <v>22</v>
      </c>
      <c r="J302" s="2">
        <v>43527.549826388888</v>
      </c>
      <c r="K302" s="2">
        <v>43529.549826388888</v>
      </c>
      <c r="L302" s="2">
        <v>43532.549826388888</v>
      </c>
      <c r="M302" s="1">
        <f>_xlfn.DAYS(Table1[[#This Row],[actual_delivery_date]],Table1[[#This Row],[dispatch_date]])</f>
        <v>2</v>
      </c>
      <c r="N302">
        <v>33</v>
      </c>
      <c r="O302">
        <f>Table1[[#This Row],[transit_storage_cost]] * (1-'What -if Analysis'!$D$26)</f>
        <v>33</v>
      </c>
      <c r="P302">
        <v>112</v>
      </c>
      <c r="Q302">
        <v>2654.0776646000545</v>
      </c>
    </row>
    <row r="303" spans="1:17" x14ac:dyDescent="0.3">
      <c r="A303">
        <v>145743</v>
      </c>
      <c r="B303" s="1" t="s">
        <v>38</v>
      </c>
      <c r="C303" s="1" t="s">
        <v>16</v>
      </c>
      <c r="D303" s="1" t="s">
        <v>23</v>
      </c>
      <c r="E303" s="1" t="s">
        <v>28</v>
      </c>
      <c r="F303" s="1" t="s">
        <v>29</v>
      </c>
      <c r="G303" s="1" t="s">
        <v>20</v>
      </c>
      <c r="H303" t="s">
        <v>30</v>
      </c>
      <c r="I303" s="1" t="s">
        <v>26</v>
      </c>
      <c r="J303" s="2">
        <v>43526.555601851855</v>
      </c>
      <c r="K303" s="2">
        <v>43529.555601851855</v>
      </c>
      <c r="L303" s="2">
        <v>43533.555601851855</v>
      </c>
      <c r="M303" s="1">
        <f>_xlfn.DAYS(Table1[[#This Row],[actual_delivery_date]],Table1[[#This Row],[dispatch_date]])</f>
        <v>3</v>
      </c>
      <c r="N303">
        <v>27</v>
      </c>
      <c r="O303">
        <f>Table1[[#This Row],[transit_storage_cost]] * (1-'What -if Analysis'!$D$26)</f>
        <v>27</v>
      </c>
      <c r="P303">
        <v>125</v>
      </c>
      <c r="Q303">
        <v>210.73</v>
      </c>
    </row>
    <row r="304" spans="1:17" x14ac:dyDescent="0.3">
      <c r="A304">
        <v>140355</v>
      </c>
      <c r="B304" s="1" t="s">
        <v>37</v>
      </c>
      <c r="C304" s="1" t="s">
        <v>23</v>
      </c>
      <c r="D304" s="1" t="s">
        <v>24</v>
      </c>
      <c r="E304" s="1" t="s">
        <v>25</v>
      </c>
      <c r="F304" s="1" t="s">
        <v>29</v>
      </c>
      <c r="G304" s="1" t="s">
        <v>20</v>
      </c>
      <c r="H304" t="s">
        <v>30</v>
      </c>
      <c r="I304" s="1" t="s">
        <v>26</v>
      </c>
      <c r="J304" s="2">
        <v>43527.561643518522</v>
      </c>
      <c r="K304" s="2">
        <v>43529.561643518522</v>
      </c>
      <c r="L304" s="2">
        <v>43530.561643518522</v>
      </c>
      <c r="M304" s="1">
        <f>_xlfn.DAYS(Table1[[#This Row],[actual_delivery_date]],Table1[[#This Row],[dispatch_date]])</f>
        <v>2</v>
      </c>
      <c r="N304">
        <v>46</v>
      </c>
      <c r="O304">
        <f>Table1[[#This Row],[transit_storage_cost]] * (1-'What -if Analysis'!$D$26)</f>
        <v>46</v>
      </c>
      <c r="P304">
        <v>120</v>
      </c>
      <c r="Q304">
        <v>1274.4100000000001</v>
      </c>
    </row>
    <row r="305" spans="1:17" x14ac:dyDescent="0.3">
      <c r="A305">
        <v>341509</v>
      </c>
      <c r="B305" s="1" t="s">
        <v>41</v>
      </c>
      <c r="C305" s="1" t="s">
        <v>16</v>
      </c>
      <c r="D305" s="1" t="s">
        <v>24</v>
      </c>
      <c r="E305" s="1" t="s">
        <v>25</v>
      </c>
      <c r="F305" s="1" t="s">
        <v>29</v>
      </c>
      <c r="G305" s="1" t="s">
        <v>20</v>
      </c>
      <c r="H305" t="s">
        <v>34</v>
      </c>
      <c r="I305" s="1" t="s">
        <v>22</v>
      </c>
      <c r="J305" s="2">
        <v>43526.567835648151</v>
      </c>
      <c r="K305" s="2">
        <v>43529.567835648151</v>
      </c>
      <c r="L305" s="2">
        <v>43529.567835648151</v>
      </c>
      <c r="M305" s="1">
        <f>_xlfn.DAYS(Table1[[#This Row],[actual_delivery_date]],Table1[[#This Row],[dispatch_date]])</f>
        <v>3</v>
      </c>
      <c r="N305">
        <v>41</v>
      </c>
      <c r="O305">
        <f>Table1[[#This Row],[transit_storage_cost]] * (1-'What -if Analysis'!$D$26)</f>
        <v>41</v>
      </c>
      <c r="P305">
        <v>123</v>
      </c>
      <c r="Q305">
        <v>3744.6695758581714</v>
      </c>
    </row>
    <row r="306" spans="1:17" x14ac:dyDescent="0.3">
      <c r="A306">
        <v>558092</v>
      </c>
      <c r="B306" s="1" t="s">
        <v>39</v>
      </c>
      <c r="C306" s="1" t="s">
        <v>16</v>
      </c>
      <c r="D306" s="1" t="s">
        <v>23</v>
      </c>
      <c r="E306" s="1" t="s">
        <v>28</v>
      </c>
      <c r="F306" s="1" t="s">
        <v>19</v>
      </c>
      <c r="G306" s="1" t="s">
        <v>20</v>
      </c>
      <c r="H306" t="s">
        <v>21</v>
      </c>
      <c r="I306" s="1" t="s">
        <v>22</v>
      </c>
      <c r="J306" s="2">
        <v>43526.574340277781</v>
      </c>
      <c r="K306" s="2">
        <v>43529.574340277781</v>
      </c>
      <c r="L306" s="2">
        <v>43530.574340277781</v>
      </c>
      <c r="M306" s="1">
        <f>_xlfn.DAYS(Table1[[#This Row],[actual_delivery_date]],Table1[[#This Row],[dispatch_date]])</f>
        <v>3</v>
      </c>
      <c r="N306">
        <v>42</v>
      </c>
      <c r="O306">
        <f>Table1[[#This Row],[transit_storage_cost]] * (1-'What -if Analysis'!$D$26)</f>
        <v>42</v>
      </c>
      <c r="P306">
        <v>129</v>
      </c>
      <c r="Q306">
        <v>2033.7477580142629</v>
      </c>
    </row>
    <row r="307" spans="1:17" x14ac:dyDescent="0.3">
      <c r="A307">
        <v>188819</v>
      </c>
      <c r="B307" s="1" t="s">
        <v>15</v>
      </c>
      <c r="C307" s="1" t="s">
        <v>23</v>
      </c>
      <c r="D307" s="1" t="s">
        <v>24</v>
      </c>
      <c r="E307" s="1" t="s">
        <v>25</v>
      </c>
      <c r="F307" s="1" t="s">
        <v>29</v>
      </c>
      <c r="G307" s="1" t="s">
        <v>20</v>
      </c>
      <c r="H307" t="s">
        <v>30</v>
      </c>
      <c r="I307" s="1" t="s">
        <v>22</v>
      </c>
      <c r="J307" s="2">
        <v>43526.580833333333</v>
      </c>
      <c r="K307" s="2">
        <v>43529.580833333333</v>
      </c>
      <c r="L307" s="2">
        <v>43531.580833333333</v>
      </c>
      <c r="M307" s="1">
        <f>_xlfn.DAYS(Table1[[#This Row],[actual_delivery_date]],Table1[[#This Row],[dispatch_date]])</f>
        <v>3</v>
      </c>
      <c r="N307">
        <v>45</v>
      </c>
      <c r="O307">
        <f>Table1[[#This Row],[transit_storage_cost]] * (1-'What -if Analysis'!$D$26)</f>
        <v>45</v>
      </c>
      <c r="P307">
        <v>126</v>
      </c>
      <c r="Q307">
        <v>900.14558103927357</v>
      </c>
    </row>
    <row r="308" spans="1:17" x14ac:dyDescent="0.3">
      <c r="A308">
        <v>450636</v>
      </c>
      <c r="B308" s="1" t="s">
        <v>37</v>
      </c>
      <c r="C308" s="1" t="s">
        <v>23</v>
      </c>
      <c r="D308" s="1" t="s">
        <v>17</v>
      </c>
      <c r="E308" s="1" t="s">
        <v>18</v>
      </c>
      <c r="F308" s="1" t="s">
        <v>19</v>
      </c>
      <c r="G308" s="1" t="s">
        <v>20</v>
      </c>
      <c r="H308" t="s">
        <v>21</v>
      </c>
      <c r="I308" s="1" t="s">
        <v>26</v>
      </c>
      <c r="J308" s="2">
        <v>43527.581701388888</v>
      </c>
      <c r="K308" s="2">
        <v>43529.581701388888</v>
      </c>
      <c r="L308" s="2">
        <v>43533.581701388888</v>
      </c>
      <c r="M308" s="1">
        <f>_xlfn.DAYS(Table1[[#This Row],[actual_delivery_date]],Table1[[#This Row],[dispatch_date]])</f>
        <v>2</v>
      </c>
      <c r="N308">
        <v>67</v>
      </c>
      <c r="O308">
        <f>Table1[[#This Row],[transit_storage_cost]] * (1-'What -if Analysis'!$D$26)</f>
        <v>67</v>
      </c>
      <c r="P308">
        <v>91</v>
      </c>
      <c r="Q308">
        <v>774.98</v>
      </c>
    </row>
    <row r="309" spans="1:17" x14ac:dyDescent="0.3">
      <c r="A309">
        <v>154810</v>
      </c>
      <c r="B309" s="1" t="s">
        <v>38</v>
      </c>
      <c r="C309" s="1" t="s">
        <v>16</v>
      </c>
      <c r="D309" s="1" t="s">
        <v>32</v>
      </c>
      <c r="E309" s="1" t="s">
        <v>33</v>
      </c>
      <c r="F309" s="1" t="s">
        <v>31</v>
      </c>
      <c r="G309" s="1" t="s">
        <v>20</v>
      </c>
      <c r="H309" t="s">
        <v>21</v>
      </c>
      <c r="I309" s="1" t="s">
        <v>22</v>
      </c>
      <c r="J309" s="2">
        <v>43525.589143518519</v>
      </c>
      <c r="K309" s="2">
        <v>43529.589143518519</v>
      </c>
      <c r="L309" s="2">
        <v>43531.589143518519</v>
      </c>
      <c r="M309" s="1">
        <f>_xlfn.DAYS(Table1[[#This Row],[actual_delivery_date]],Table1[[#This Row],[dispatch_date]])</f>
        <v>4</v>
      </c>
      <c r="N309">
        <v>39</v>
      </c>
      <c r="O309">
        <f>Table1[[#This Row],[transit_storage_cost]] * (1-'What -if Analysis'!$D$26)</f>
        <v>39</v>
      </c>
      <c r="P309">
        <v>111</v>
      </c>
      <c r="Q309">
        <v>463.95680545034497</v>
      </c>
    </row>
    <row r="310" spans="1:17" x14ac:dyDescent="0.3">
      <c r="A310">
        <v>587786</v>
      </c>
      <c r="B310" s="1" t="s">
        <v>38</v>
      </c>
      <c r="C310" s="1" t="s">
        <v>16</v>
      </c>
      <c r="D310" s="1" t="s">
        <v>16</v>
      </c>
      <c r="E310" s="1" t="s">
        <v>27</v>
      </c>
      <c r="F310" s="1" t="s">
        <v>19</v>
      </c>
      <c r="G310" s="1" t="s">
        <v>20</v>
      </c>
      <c r="H310" t="s">
        <v>21</v>
      </c>
      <c r="I310" s="1" t="s">
        <v>22</v>
      </c>
      <c r="J310" s="2">
        <v>43529.592199074075</v>
      </c>
      <c r="K310" s="2">
        <v>43529.592199074075</v>
      </c>
      <c r="L310" s="2">
        <v>43534.592199074075</v>
      </c>
      <c r="M310" s="1">
        <f>_xlfn.DAYS(Table1[[#This Row],[actual_delivery_date]],Table1[[#This Row],[dispatch_date]])</f>
        <v>0</v>
      </c>
      <c r="N310">
        <v>0</v>
      </c>
      <c r="O310">
        <f>Table1[[#This Row],[transit_storage_cost]] * (1-'What -if Analysis'!$D$26)</f>
        <v>0</v>
      </c>
      <c r="P310">
        <v>102</v>
      </c>
      <c r="Q310">
        <v>3305.8682224401964</v>
      </c>
    </row>
    <row r="311" spans="1:17" x14ac:dyDescent="0.3">
      <c r="A311">
        <v>734500</v>
      </c>
      <c r="B311" s="1" t="s">
        <v>38</v>
      </c>
      <c r="C311" s="1" t="s">
        <v>23</v>
      </c>
      <c r="D311" s="1" t="s">
        <v>16</v>
      </c>
      <c r="E311" s="1" t="s">
        <v>27</v>
      </c>
      <c r="F311" s="1" t="s">
        <v>19</v>
      </c>
      <c r="G311" s="1" t="s">
        <v>20</v>
      </c>
      <c r="H311" t="s">
        <v>21</v>
      </c>
      <c r="I311" s="1" t="s">
        <v>22</v>
      </c>
      <c r="J311" s="2">
        <v>43526.616770833331</v>
      </c>
      <c r="K311" s="2">
        <v>43529.616770833331</v>
      </c>
      <c r="L311" s="2">
        <v>43531.616770833331</v>
      </c>
      <c r="M311" s="1">
        <f>_xlfn.DAYS(Table1[[#This Row],[actual_delivery_date]],Table1[[#This Row],[dispatch_date]])</f>
        <v>3</v>
      </c>
      <c r="N311">
        <v>34</v>
      </c>
      <c r="O311">
        <f>Table1[[#This Row],[transit_storage_cost]] * (1-'What -if Analysis'!$D$26)</f>
        <v>34</v>
      </c>
      <c r="P311">
        <v>126</v>
      </c>
      <c r="Q311">
        <v>3077.4388119796754</v>
      </c>
    </row>
    <row r="312" spans="1:17" x14ac:dyDescent="0.3">
      <c r="A312">
        <v>2608</v>
      </c>
      <c r="B312" s="1" t="s">
        <v>37</v>
      </c>
      <c r="C312" s="1" t="s">
        <v>23</v>
      </c>
      <c r="D312" s="1" t="s">
        <v>16</v>
      </c>
      <c r="E312" s="1" t="s">
        <v>27</v>
      </c>
      <c r="F312" s="1" t="s">
        <v>19</v>
      </c>
      <c r="G312" s="1" t="s">
        <v>20</v>
      </c>
      <c r="H312" t="s">
        <v>21</v>
      </c>
      <c r="I312" s="1" t="s">
        <v>22</v>
      </c>
      <c r="J312" s="2">
        <v>43527.632118055553</v>
      </c>
      <c r="K312" s="2">
        <v>43529.632118055553</v>
      </c>
      <c r="L312" s="2">
        <v>43534.632118055553</v>
      </c>
      <c r="M312" s="1">
        <f>_xlfn.DAYS(Table1[[#This Row],[actual_delivery_date]],Table1[[#This Row],[dispatch_date]])</f>
        <v>2</v>
      </c>
      <c r="N312">
        <v>39</v>
      </c>
      <c r="O312">
        <f>Table1[[#This Row],[transit_storage_cost]] * (1-'What -if Analysis'!$D$26)</f>
        <v>39</v>
      </c>
      <c r="P312">
        <v>129</v>
      </c>
      <c r="Q312">
        <v>3407.3443589312474</v>
      </c>
    </row>
    <row r="313" spans="1:17" x14ac:dyDescent="0.3">
      <c r="A313">
        <v>228730</v>
      </c>
      <c r="B313" s="1" t="s">
        <v>39</v>
      </c>
      <c r="C313" s="1" t="s">
        <v>23</v>
      </c>
      <c r="D313" s="1" t="s">
        <v>32</v>
      </c>
      <c r="E313" s="1" t="s">
        <v>33</v>
      </c>
      <c r="F313" s="1" t="s">
        <v>31</v>
      </c>
      <c r="G313" s="1" t="s">
        <v>20</v>
      </c>
      <c r="H313" t="s">
        <v>21</v>
      </c>
      <c r="I313" s="1" t="s">
        <v>22</v>
      </c>
      <c r="J313" s="2">
        <v>43526.633229166669</v>
      </c>
      <c r="K313" s="2">
        <v>43529.633229166669</v>
      </c>
      <c r="L313" s="2">
        <v>43533.633229166669</v>
      </c>
      <c r="M313" s="1">
        <f>_xlfn.DAYS(Table1[[#This Row],[actual_delivery_date]],Table1[[#This Row],[dispatch_date]])</f>
        <v>3</v>
      </c>
      <c r="N313">
        <v>39</v>
      </c>
      <c r="O313">
        <f>Table1[[#This Row],[transit_storage_cost]] * (1-'What -if Analysis'!$D$26)</f>
        <v>39</v>
      </c>
      <c r="P313">
        <v>107</v>
      </c>
      <c r="Q313">
        <v>2639.5709497624234</v>
      </c>
    </row>
    <row r="314" spans="1:17" x14ac:dyDescent="0.3">
      <c r="A314">
        <v>976041</v>
      </c>
      <c r="B314" s="1" t="s">
        <v>41</v>
      </c>
      <c r="C314" s="1" t="s">
        <v>23</v>
      </c>
      <c r="D314" s="1" t="s">
        <v>17</v>
      </c>
      <c r="E314" s="1" t="s">
        <v>18</v>
      </c>
      <c r="F314" s="1" t="s">
        <v>19</v>
      </c>
      <c r="G314" s="1" t="s">
        <v>20</v>
      </c>
      <c r="H314" t="s">
        <v>30</v>
      </c>
      <c r="I314" s="1" t="s">
        <v>26</v>
      </c>
      <c r="J314" s="2">
        <v>43527.639594907407</v>
      </c>
      <c r="K314" s="2">
        <v>43529.639594907407</v>
      </c>
      <c r="L314" s="2">
        <v>43530.639594907407</v>
      </c>
      <c r="M314" s="1">
        <f>_xlfn.DAYS(Table1[[#This Row],[actual_delivery_date]],Table1[[#This Row],[dispatch_date]])</f>
        <v>2</v>
      </c>
      <c r="N314">
        <v>72</v>
      </c>
      <c r="O314">
        <f>Table1[[#This Row],[transit_storage_cost]] * (1-'What -if Analysis'!$D$26)</f>
        <v>72</v>
      </c>
      <c r="P314">
        <v>95</v>
      </c>
      <c r="Q314">
        <v>1537.3</v>
      </c>
    </row>
    <row r="315" spans="1:17" x14ac:dyDescent="0.3">
      <c r="A315">
        <v>273623</v>
      </c>
      <c r="B315" s="1" t="s">
        <v>39</v>
      </c>
      <c r="C315" s="1" t="s">
        <v>23</v>
      </c>
      <c r="D315" s="1" t="s">
        <v>24</v>
      </c>
      <c r="E315" s="1" t="s">
        <v>25</v>
      </c>
      <c r="F315" s="1" t="s">
        <v>29</v>
      </c>
      <c r="G315" s="1" t="s">
        <v>20</v>
      </c>
      <c r="H315" t="s">
        <v>34</v>
      </c>
      <c r="I315" s="1" t="s">
        <v>22</v>
      </c>
      <c r="J315" s="2">
        <v>43527.643182870372</v>
      </c>
      <c r="K315" s="2">
        <v>43529.643182870372</v>
      </c>
      <c r="L315" s="2">
        <v>43531.643182870372</v>
      </c>
      <c r="M315" s="1">
        <f>_xlfn.DAYS(Table1[[#This Row],[actual_delivery_date]],Table1[[#This Row],[dispatch_date]])</f>
        <v>2</v>
      </c>
      <c r="N315">
        <v>48</v>
      </c>
      <c r="O315">
        <f>Table1[[#This Row],[transit_storage_cost]] * (1-'What -if Analysis'!$D$26)</f>
        <v>48</v>
      </c>
      <c r="P315">
        <v>123</v>
      </c>
      <c r="Q315">
        <v>1123.8446765590545</v>
      </c>
    </row>
    <row r="316" spans="1:17" x14ac:dyDescent="0.3">
      <c r="A316">
        <v>794165</v>
      </c>
      <c r="B316" s="1" t="s">
        <v>37</v>
      </c>
      <c r="C316" s="1" t="s">
        <v>16</v>
      </c>
      <c r="D316" s="1" t="s">
        <v>16</v>
      </c>
      <c r="E316" s="1" t="s">
        <v>27</v>
      </c>
      <c r="F316" s="1" t="s">
        <v>29</v>
      </c>
      <c r="G316" s="1" t="s">
        <v>20</v>
      </c>
      <c r="H316" t="s">
        <v>30</v>
      </c>
      <c r="I316" s="1" t="s">
        <v>22</v>
      </c>
      <c r="J316" s="2">
        <v>43525.644004629627</v>
      </c>
      <c r="K316" s="2">
        <v>43529.644004629627</v>
      </c>
      <c r="L316" s="2">
        <v>43529.644004629627</v>
      </c>
      <c r="M316" s="1">
        <f>_xlfn.DAYS(Table1[[#This Row],[actual_delivery_date]],Table1[[#This Row],[dispatch_date]])</f>
        <v>4</v>
      </c>
      <c r="N316">
        <v>0</v>
      </c>
      <c r="O316">
        <f>Table1[[#This Row],[transit_storage_cost]] * (1-'What -if Analysis'!$D$26)</f>
        <v>0</v>
      </c>
      <c r="P316">
        <v>127</v>
      </c>
      <c r="Q316">
        <v>2851.1640791271657</v>
      </c>
    </row>
    <row r="317" spans="1:17" x14ac:dyDescent="0.3">
      <c r="A317">
        <v>313940</v>
      </c>
      <c r="B317" s="1" t="s">
        <v>41</v>
      </c>
      <c r="C317" s="1" t="s">
        <v>23</v>
      </c>
      <c r="D317" s="1" t="s">
        <v>17</v>
      </c>
      <c r="E317" s="1" t="s">
        <v>18</v>
      </c>
      <c r="F317" s="1" t="s">
        <v>19</v>
      </c>
      <c r="G317" s="1" t="s">
        <v>20</v>
      </c>
      <c r="H317" t="s">
        <v>21</v>
      </c>
      <c r="I317" s="1" t="s">
        <v>22</v>
      </c>
      <c r="J317" s="2">
        <v>43526.644212962965</v>
      </c>
      <c r="K317" s="2">
        <v>43529.644212962965</v>
      </c>
      <c r="L317" s="2">
        <v>43531.644212962965</v>
      </c>
      <c r="M317" s="1">
        <f>_xlfn.DAYS(Table1[[#This Row],[actual_delivery_date]],Table1[[#This Row],[dispatch_date]])</f>
        <v>3</v>
      </c>
      <c r="N317">
        <v>38</v>
      </c>
      <c r="O317">
        <f>Table1[[#This Row],[transit_storage_cost]] * (1-'What -if Analysis'!$D$26)</f>
        <v>38</v>
      </c>
      <c r="P317">
        <v>112</v>
      </c>
      <c r="Q317">
        <v>2607.2758077231329</v>
      </c>
    </row>
    <row r="318" spans="1:17" x14ac:dyDescent="0.3">
      <c r="A318">
        <v>582824</v>
      </c>
      <c r="B318" s="1" t="s">
        <v>37</v>
      </c>
      <c r="C318" s="1" t="s">
        <v>23</v>
      </c>
      <c r="D318" s="1" t="s">
        <v>24</v>
      </c>
      <c r="E318" s="1" t="s">
        <v>25</v>
      </c>
      <c r="F318" s="1" t="s">
        <v>19</v>
      </c>
      <c r="G318" s="1" t="s">
        <v>20</v>
      </c>
      <c r="H318" t="s">
        <v>21</v>
      </c>
      <c r="I318" s="1" t="s">
        <v>22</v>
      </c>
      <c r="J318" s="2">
        <v>43525.645196759258</v>
      </c>
      <c r="K318" s="2">
        <v>43529.645196759258</v>
      </c>
      <c r="L318" s="2">
        <v>43529.645196759258</v>
      </c>
      <c r="M318" s="1">
        <f>_xlfn.DAYS(Table1[[#This Row],[actual_delivery_date]],Table1[[#This Row],[dispatch_date]])</f>
        <v>4</v>
      </c>
      <c r="N318">
        <v>36</v>
      </c>
      <c r="O318">
        <f>Table1[[#This Row],[transit_storage_cost]] * (1-'What -if Analysis'!$D$26)</f>
        <v>36</v>
      </c>
      <c r="P318">
        <v>121</v>
      </c>
      <c r="Q318">
        <v>3302.719934374109</v>
      </c>
    </row>
    <row r="319" spans="1:17" x14ac:dyDescent="0.3">
      <c r="A319">
        <v>885831</v>
      </c>
      <c r="B319" s="1" t="s">
        <v>38</v>
      </c>
      <c r="C319" s="1" t="s">
        <v>16</v>
      </c>
      <c r="D319" s="1" t="s">
        <v>32</v>
      </c>
      <c r="E319" s="1" t="s">
        <v>33</v>
      </c>
      <c r="F319" s="1" t="s">
        <v>29</v>
      </c>
      <c r="G319" s="1" t="s">
        <v>20</v>
      </c>
      <c r="H319" t="s">
        <v>30</v>
      </c>
      <c r="I319" s="1" t="s">
        <v>26</v>
      </c>
      <c r="J319" s="2">
        <v>43526.645358796297</v>
      </c>
      <c r="K319" s="2">
        <v>43529.645358796297</v>
      </c>
      <c r="L319" s="2">
        <v>43529.645358796297</v>
      </c>
      <c r="M319" s="1">
        <f>_xlfn.DAYS(Table1[[#This Row],[actual_delivery_date]],Table1[[#This Row],[dispatch_date]])</f>
        <v>3</v>
      </c>
      <c r="N319">
        <v>42</v>
      </c>
      <c r="O319">
        <f>Table1[[#This Row],[transit_storage_cost]] * (1-'What -if Analysis'!$D$26)</f>
        <v>42</v>
      </c>
      <c r="P319">
        <v>113</v>
      </c>
      <c r="Q319">
        <v>196.36</v>
      </c>
    </row>
    <row r="320" spans="1:17" x14ac:dyDescent="0.3">
      <c r="A320">
        <v>934112</v>
      </c>
      <c r="B320" s="1" t="s">
        <v>40</v>
      </c>
      <c r="C320" s="1" t="s">
        <v>16</v>
      </c>
      <c r="D320" s="1" t="s">
        <v>32</v>
      </c>
      <c r="E320" s="1" t="s">
        <v>33</v>
      </c>
      <c r="F320" s="1" t="s">
        <v>19</v>
      </c>
      <c r="G320" s="1" t="s">
        <v>20</v>
      </c>
      <c r="H320" t="s">
        <v>21</v>
      </c>
      <c r="I320" s="1" t="s">
        <v>22</v>
      </c>
      <c r="J320" s="2">
        <v>43525.64571759259</v>
      </c>
      <c r="K320" s="2">
        <v>43529.64571759259</v>
      </c>
      <c r="L320" s="2">
        <v>43529.64571759259</v>
      </c>
      <c r="M320" s="1">
        <f>_xlfn.DAYS(Table1[[#This Row],[actual_delivery_date]],Table1[[#This Row],[dispatch_date]])</f>
        <v>4</v>
      </c>
      <c r="N320">
        <v>46</v>
      </c>
      <c r="O320">
        <f>Table1[[#This Row],[transit_storage_cost]] * (1-'What -if Analysis'!$D$26)</f>
        <v>46</v>
      </c>
      <c r="P320">
        <v>111</v>
      </c>
      <c r="Q320">
        <v>2404.8040725982155</v>
      </c>
    </row>
    <row r="321" spans="1:17" x14ac:dyDescent="0.3">
      <c r="A321">
        <v>115173</v>
      </c>
      <c r="B321" s="1" t="s">
        <v>39</v>
      </c>
      <c r="C321" s="1" t="s">
        <v>23</v>
      </c>
      <c r="D321" s="1" t="s">
        <v>23</v>
      </c>
      <c r="E321" s="1" t="s">
        <v>28</v>
      </c>
      <c r="F321" s="1" t="s">
        <v>29</v>
      </c>
      <c r="G321" s="1" t="s">
        <v>20</v>
      </c>
      <c r="H321" t="s">
        <v>30</v>
      </c>
      <c r="I321" s="1" t="s">
        <v>26</v>
      </c>
      <c r="J321" s="2">
        <v>43529.65252314815</v>
      </c>
      <c r="K321" s="2">
        <v>43529.65252314815</v>
      </c>
      <c r="L321" s="2">
        <v>43536.65252314815</v>
      </c>
      <c r="M321" s="1">
        <f>_xlfn.DAYS(Table1[[#This Row],[actual_delivery_date]],Table1[[#This Row],[dispatch_date]])</f>
        <v>0</v>
      </c>
      <c r="N321">
        <v>0</v>
      </c>
      <c r="O321">
        <f>Table1[[#This Row],[transit_storage_cost]] * (1-'What -if Analysis'!$D$26)</f>
        <v>0</v>
      </c>
      <c r="P321">
        <v>126</v>
      </c>
      <c r="Q321">
        <v>2079.86</v>
      </c>
    </row>
    <row r="322" spans="1:17" x14ac:dyDescent="0.3">
      <c r="A322">
        <v>96732</v>
      </c>
      <c r="B322" s="1" t="s">
        <v>38</v>
      </c>
      <c r="C322" s="1" t="s">
        <v>23</v>
      </c>
      <c r="D322" s="1" t="s">
        <v>23</v>
      </c>
      <c r="E322" s="1" t="s">
        <v>28</v>
      </c>
      <c r="F322" s="1" t="s">
        <v>19</v>
      </c>
      <c r="G322" s="1" t="s">
        <v>20</v>
      </c>
      <c r="H322" t="s">
        <v>21</v>
      </c>
      <c r="I322" s="1" t="s">
        <v>26</v>
      </c>
      <c r="J322" s="2">
        <v>43529.665289351855</v>
      </c>
      <c r="K322" s="2">
        <v>43529.665289351855</v>
      </c>
      <c r="L322" s="2">
        <v>43534.665289351855</v>
      </c>
      <c r="M322" s="1">
        <f>_xlfn.DAYS(Table1[[#This Row],[actual_delivery_date]],Table1[[#This Row],[dispatch_date]])</f>
        <v>0</v>
      </c>
      <c r="N322">
        <v>0</v>
      </c>
      <c r="O322">
        <f>Table1[[#This Row],[transit_storage_cost]] * (1-'What -if Analysis'!$D$26)</f>
        <v>0</v>
      </c>
      <c r="P322">
        <v>123</v>
      </c>
      <c r="Q322">
        <v>1711.08</v>
      </c>
    </row>
    <row r="323" spans="1:17" x14ac:dyDescent="0.3">
      <c r="A323">
        <v>18987</v>
      </c>
      <c r="B323" s="1" t="s">
        <v>38</v>
      </c>
      <c r="C323" s="1" t="s">
        <v>23</v>
      </c>
      <c r="D323" s="1" t="s">
        <v>17</v>
      </c>
      <c r="E323" s="1" t="s">
        <v>18</v>
      </c>
      <c r="F323" s="1" t="s">
        <v>29</v>
      </c>
      <c r="G323" s="1" t="s">
        <v>20</v>
      </c>
      <c r="H323" t="s">
        <v>30</v>
      </c>
      <c r="I323" s="1" t="s">
        <v>26</v>
      </c>
      <c r="J323" s="2">
        <v>43525.669409722221</v>
      </c>
      <c r="K323" s="2">
        <v>43529.669409722221</v>
      </c>
      <c r="L323" s="2">
        <v>43531.669409722221</v>
      </c>
      <c r="M323" s="1">
        <f>_xlfn.DAYS(Table1[[#This Row],[actual_delivery_date]],Table1[[#This Row],[dispatch_date]])</f>
        <v>4</v>
      </c>
      <c r="N323">
        <v>37</v>
      </c>
      <c r="O323">
        <f>Table1[[#This Row],[transit_storage_cost]] * (1-'What -if Analysis'!$D$26)</f>
        <v>37</v>
      </c>
      <c r="P323">
        <v>110</v>
      </c>
      <c r="Q323">
        <v>265.76</v>
      </c>
    </row>
    <row r="324" spans="1:17" x14ac:dyDescent="0.3">
      <c r="A324">
        <v>110665</v>
      </c>
      <c r="B324" s="1" t="s">
        <v>15</v>
      </c>
      <c r="C324" s="1" t="s">
        <v>23</v>
      </c>
      <c r="D324" s="1" t="s">
        <v>32</v>
      </c>
      <c r="E324" s="1" t="s">
        <v>33</v>
      </c>
      <c r="F324" s="1" t="s">
        <v>29</v>
      </c>
      <c r="G324" s="1" t="s">
        <v>20</v>
      </c>
      <c r="H324" t="s">
        <v>30</v>
      </c>
      <c r="I324" s="1" t="s">
        <v>22</v>
      </c>
      <c r="J324" s="2">
        <v>43525.671458333331</v>
      </c>
      <c r="K324" s="2">
        <v>43529.671458333331</v>
      </c>
      <c r="L324" s="2">
        <v>43531.671458333331</v>
      </c>
      <c r="M324" s="1">
        <f>_xlfn.DAYS(Table1[[#This Row],[actual_delivery_date]],Table1[[#This Row],[dispatch_date]])</f>
        <v>4</v>
      </c>
      <c r="N324">
        <v>28</v>
      </c>
      <c r="O324">
        <f>Table1[[#This Row],[transit_storage_cost]] * (1-'What -if Analysis'!$D$26)</f>
        <v>28</v>
      </c>
      <c r="P324">
        <v>115</v>
      </c>
      <c r="Q324">
        <v>3537.9008434809543</v>
      </c>
    </row>
    <row r="325" spans="1:17" x14ac:dyDescent="0.3">
      <c r="A325">
        <v>205088</v>
      </c>
      <c r="B325" s="1" t="s">
        <v>39</v>
      </c>
      <c r="C325" s="1" t="s">
        <v>16</v>
      </c>
      <c r="D325" s="1" t="s">
        <v>23</v>
      </c>
      <c r="E325" s="1" t="s">
        <v>28</v>
      </c>
      <c r="F325" s="1" t="s">
        <v>19</v>
      </c>
      <c r="G325" s="1" t="s">
        <v>20</v>
      </c>
      <c r="H325" t="s">
        <v>21</v>
      </c>
      <c r="I325" s="1" t="s">
        <v>22</v>
      </c>
      <c r="J325" s="2">
        <v>43525.673275462963</v>
      </c>
      <c r="K325" s="2">
        <v>43529.673275462963</v>
      </c>
      <c r="L325" s="2">
        <v>43531.673275462963</v>
      </c>
      <c r="M325" s="1">
        <f>_xlfn.DAYS(Table1[[#This Row],[actual_delivery_date]],Table1[[#This Row],[dispatch_date]])</f>
        <v>4</v>
      </c>
      <c r="N325">
        <v>65</v>
      </c>
      <c r="O325">
        <f>Table1[[#This Row],[transit_storage_cost]] * (1-'What -if Analysis'!$D$26)</f>
        <v>65</v>
      </c>
      <c r="P325">
        <v>105</v>
      </c>
      <c r="Q325">
        <v>447.43629893029674</v>
      </c>
    </row>
    <row r="326" spans="1:17" x14ac:dyDescent="0.3">
      <c r="A326">
        <v>942370</v>
      </c>
      <c r="B326" s="1" t="s">
        <v>37</v>
      </c>
      <c r="C326" s="1" t="s">
        <v>23</v>
      </c>
      <c r="D326" s="1" t="s">
        <v>16</v>
      </c>
      <c r="E326" s="1" t="s">
        <v>27</v>
      </c>
      <c r="F326" s="1" t="s">
        <v>19</v>
      </c>
      <c r="G326" s="1" t="s">
        <v>20</v>
      </c>
      <c r="H326" t="s">
        <v>21</v>
      </c>
      <c r="I326" s="1" t="s">
        <v>22</v>
      </c>
      <c r="J326" s="2">
        <v>43525.675023148149</v>
      </c>
      <c r="K326" s="2">
        <v>43529.675023148149</v>
      </c>
      <c r="L326" s="2">
        <v>43532.675023148149</v>
      </c>
      <c r="M326" s="1">
        <f>_xlfn.DAYS(Table1[[#This Row],[actual_delivery_date]],Table1[[#This Row],[dispatch_date]])</f>
        <v>4</v>
      </c>
      <c r="N326">
        <v>63</v>
      </c>
      <c r="O326">
        <f>Table1[[#This Row],[transit_storage_cost]] * (1-'What -if Analysis'!$D$26)</f>
        <v>63</v>
      </c>
      <c r="P326">
        <v>105</v>
      </c>
      <c r="Q326">
        <v>2375.6745245519733</v>
      </c>
    </row>
    <row r="327" spans="1:17" x14ac:dyDescent="0.3">
      <c r="A327">
        <v>352117</v>
      </c>
      <c r="B327" s="1" t="s">
        <v>38</v>
      </c>
      <c r="C327" s="1" t="s">
        <v>23</v>
      </c>
      <c r="D327" s="1" t="s">
        <v>32</v>
      </c>
      <c r="E327" s="1" t="s">
        <v>33</v>
      </c>
      <c r="F327" s="1" t="s">
        <v>29</v>
      </c>
      <c r="G327" s="1" t="s">
        <v>20</v>
      </c>
      <c r="H327" t="s">
        <v>30</v>
      </c>
      <c r="I327" s="1" t="s">
        <v>22</v>
      </c>
      <c r="J327" s="2">
        <v>43527.676111111112</v>
      </c>
      <c r="K327" s="2">
        <v>43529.676111111112</v>
      </c>
      <c r="L327" s="2">
        <v>43533.676111111112</v>
      </c>
      <c r="M327" s="1">
        <f>_xlfn.DAYS(Table1[[#This Row],[actual_delivery_date]],Table1[[#This Row],[dispatch_date]])</f>
        <v>2</v>
      </c>
      <c r="N327">
        <v>38</v>
      </c>
      <c r="O327">
        <f>Table1[[#This Row],[transit_storage_cost]] * (1-'What -if Analysis'!$D$26)</f>
        <v>38</v>
      </c>
      <c r="P327">
        <v>111</v>
      </c>
      <c r="Q327">
        <v>2978.0359196996083</v>
      </c>
    </row>
    <row r="328" spans="1:17" x14ac:dyDescent="0.3">
      <c r="A328">
        <v>102142</v>
      </c>
      <c r="B328" s="1" t="s">
        <v>39</v>
      </c>
      <c r="C328" s="1" t="s">
        <v>23</v>
      </c>
      <c r="D328" s="1" t="s">
        <v>24</v>
      </c>
      <c r="E328" s="1" t="s">
        <v>25</v>
      </c>
      <c r="F328" s="1" t="s">
        <v>31</v>
      </c>
      <c r="G328" s="1" t="s">
        <v>20</v>
      </c>
      <c r="H328" t="s">
        <v>21</v>
      </c>
      <c r="I328" s="1" t="s">
        <v>22</v>
      </c>
      <c r="J328" s="2">
        <v>43526.685081018521</v>
      </c>
      <c r="K328" s="2">
        <v>43529.685081018521</v>
      </c>
      <c r="L328" s="2">
        <v>43532.685081018521</v>
      </c>
      <c r="M328" s="1">
        <f>_xlfn.DAYS(Table1[[#This Row],[actual_delivery_date]],Table1[[#This Row],[dispatch_date]])</f>
        <v>3</v>
      </c>
      <c r="N328">
        <v>36</v>
      </c>
      <c r="O328">
        <f>Table1[[#This Row],[transit_storage_cost]] * (1-'What -if Analysis'!$D$26)</f>
        <v>36</v>
      </c>
      <c r="P328">
        <v>129</v>
      </c>
      <c r="Q328">
        <v>3560.37373316204</v>
      </c>
    </row>
    <row r="329" spans="1:17" x14ac:dyDescent="0.3">
      <c r="A329">
        <v>64104</v>
      </c>
      <c r="B329" s="1" t="s">
        <v>39</v>
      </c>
      <c r="C329" s="1" t="s">
        <v>23</v>
      </c>
      <c r="D329" s="1" t="s">
        <v>16</v>
      </c>
      <c r="E329" s="1" t="s">
        <v>27</v>
      </c>
      <c r="F329" s="1" t="s">
        <v>19</v>
      </c>
      <c r="G329" s="1" t="s">
        <v>20</v>
      </c>
      <c r="H329" t="s">
        <v>21</v>
      </c>
      <c r="I329" s="1" t="s">
        <v>26</v>
      </c>
      <c r="J329" s="2">
        <v>43527.688680555555</v>
      </c>
      <c r="K329" s="2">
        <v>43529.688680555555</v>
      </c>
      <c r="L329" s="2">
        <v>43532.688680555555</v>
      </c>
      <c r="M329" s="1">
        <f>_xlfn.DAYS(Table1[[#This Row],[actual_delivery_date]],Table1[[#This Row],[dispatch_date]])</f>
        <v>2</v>
      </c>
      <c r="N329">
        <v>67</v>
      </c>
      <c r="O329">
        <f>Table1[[#This Row],[transit_storage_cost]] * (1-'What -if Analysis'!$D$26)</f>
        <v>67</v>
      </c>
      <c r="P329">
        <v>103</v>
      </c>
      <c r="Q329">
        <v>618.29</v>
      </c>
    </row>
    <row r="330" spans="1:17" x14ac:dyDescent="0.3">
      <c r="A330">
        <v>62792</v>
      </c>
      <c r="B330" s="1" t="s">
        <v>15</v>
      </c>
      <c r="C330" s="1" t="s">
        <v>16</v>
      </c>
      <c r="D330" s="1" t="s">
        <v>32</v>
      </c>
      <c r="E330" s="1" t="s">
        <v>33</v>
      </c>
      <c r="F330" s="1" t="s">
        <v>19</v>
      </c>
      <c r="G330" s="1" t="s">
        <v>20</v>
      </c>
      <c r="H330" t="s">
        <v>21</v>
      </c>
      <c r="I330" s="1" t="s">
        <v>22</v>
      </c>
      <c r="J330" s="2">
        <v>43525.694849537038</v>
      </c>
      <c r="K330" s="2">
        <v>43529.694849537038</v>
      </c>
      <c r="L330" s="2">
        <v>43532.694849537038</v>
      </c>
      <c r="M330" s="1">
        <f>_xlfn.DAYS(Table1[[#This Row],[actual_delivery_date]],Table1[[#This Row],[dispatch_date]])</f>
        <v>4</v>
      </c>
      <c r="N330">
        <v>31</v>
      </c>
      <c r="O330">
        <f>Table1[[#This Row],[transit_storage_cost]] * (1-'What -if Analysis'!$D$26)</f>
        <v>31</v>
      </c>
      <c r="P330">
        <v>113</v>
      </c>
      <c r="Q330">
        <v>1100.4150216772784</v>
      </c>
    </row>
    <row r="331" spans="1:17" x14ac:dyDescent="0.3">
      <c r="A331">
        <v>211980</v>
      </c>
      <c r="B331" s="1" t="s">
        <v>39</v>
      </c>
      <c r="C331" s="1" t="s">
        <v>16</v>
      </c>
      <c r="D331" s="1" t="s">
        <v>16</v>
      </c>
      <c r="E331" s="1" t="s">
        <v>27</v>
      </c>
      <c r="F331" s="1" t="s">
        <v>19</v>
      </c>
      <c r="G331" s="1" t="s">
        <v>20</v>
      </c>
      <c r="H331" t="s">
        <v>21</v>
      </c>
      <c r="I331" s="1" t="s">
        <v>26</v>
      </c>
      <c r="J331" s="2">
        <v>43528.700208333335</v>
      </c>
      <c r="K331" s="2">
        <v>43529.700208333335</v>
      </c>
      <c r="L331" s="2">
        <v>43534.700208333335</v>
      </c>
      <c r="M331" s="1">
        <f>_xlfn.DAYS(Table1[[#This Row],[actual_delivery_date]],Table1[[#This Row],[dispatch_date]])</f>
        <v>1</v>
      </c>
      <c r="N331">
        <v>0</v>
      </c>
      <c r="O331">
        <f>Table1[[#This Row],[transit_storage_cost]] * (1-'What -if Analysis'!$D$26)</f>
        <v>0</v>
      </c>
      <c r="P331">
        <v>127</v>
      </c>
      <c r="Q331">
        <v>1339.13</v>
      </c>
    </row>
    <row r="332" spans="1:17" x14ac:dyDescent="0.3">
      <c r="A332">
        <v>731432</v>
      </c>
      <c r="B332" s="1" t="s">
        <v>40</v>
      </c>
      <c r="C332" s="1" t="s">
        <v>23</v>
      </c>
      <c r="D332" s="1" t="s">
        <v>17</v>
      </c>
      <c r="E332" s="1" t="s">
        <v>18</v>
      </c>
      <c r="F332" s="1" t="s">
        <v>19</v>
      </c>
      <c r="G332" s="1" t="s">
        <v>36</v>
      </c>
      <c r="H332" t="s">
        <v>21</v>
      </c>
      <c r="I332" s="1" t="s">
        <v>22</v>
      </c>
      <c r="J332" s="2">
        <v>43527.713726851849</v>
      </c>
      <c r="K332" s="2">
        <v>43529.713726851849</v>
      </c>
      <c r="L332" s="2">
        <v>43532.713726851849</v>
      </c>
      <c r="M332" s="1">
        <f>_xlfn.DAYS(Table1[[#This Row],[actual_delivery_date]],Table1[[#This Row],[dispatch_date]])</f>
        <v>2</v>
      </c>
      <c r="N332">
        <v>69</v>
      </c>
      <c r="O332">
        <f>Table1[[#This Row],[transit_storage_cost]] * (1-'What -if Analysis'!$D$26)</f>
        <v>69</v>
      </c>
      <c r="P332">
        <v>89</v>
      </c>
      <c r="Q332">
        <v>1978.221779239115</v>
      </c>
    </row>
    <row r="333" spans="1:17" x14ac:dyDescent="0.3">
      <c r="A333">
        <v>819948</v>
      </c>
      <c r="B333" s="1" t="s">
        <v>38</v>
      </c>
      <c r="C333" s="1" t="s">
        <v>16</v>
      </c>
      <c r="D333" s="1" t="s">
        <v>23</v>
      </c>
      <c r="E333" s="1" t="s">
        <v>28</v>
      </c>
      <c r="F333" s="1" t="s">
        <v>19</v>
      </c>
      <c r="G333" s="1" t="s">
        <v>20</v>
      </c>
      <c r="H333" t="s">
        <v>21</v>
      </c>
      <c r="I333" s="1" t="s">
        <v>26</v>
      </c>
      <c r="J333" s="2">
        <v>43527.724166666667</v>
      </c>
      <c r="K333" s="2">
        <v>43529.724166666667</v>
      </c>
      <c r="L333" s="2">
        <v>43532.724166666667</v>
      </c>
      <c r="M333" s="1">
        <f>_xlfn.DAYS(Table1[[#This Row],[actual_delivery_date]],Table1[[#This Row],[dispatch_date]])</f>
        <v>2</v>
      </c>
      <c r="N333">
        <v>29</v>
      </c>
      <c r="O333">
        <f>Table1[[#This Row],[transit_storage_cost]] * (1-'What -if Analysis'!$D$26)</f>
        <v>29</v>
      </c>
      <c r="P333">
        <v>127</v>
      </c>
      <c r="Q333">
        <v>3356.16</v>
      </c>
    </row>
    <row r="334" spans="1:17" x14ac:dyDescent="0.3">
      <c r="A334">
        <v>131623</v>
      </c>
      <c r="B334" s="1" t="s">
        <v>39</v>
      </c>
      <c r="C334" s="1" t="s">
        <v>23</v>
      </c>
      <c r="D334" s="1" t="s">
        <v>23</v>
      </c>
      <c r="E334" s="1" t="s">
        <v>28</v>
      </c>
      <c r="F334" s="1" t="s">
        <v>29</v>
      </c>
      <c r="G334" s="1" t="s">
        <v>20</v>
      </c>
      <c r="H334" t="s">
        <v>30</v>
      </c>
      <c r="I334" s="1" t="s">
        <v>22</v>
      </c>
      <c r="J334" s="2">
        <v>43529.724965277775</v>
      </c>
      <c r="K334" s="2">
        <v>43529.724965277775</v>
      </c>
      <c r="L334" s="2">
        <v>43535.724965277775</v>
      </c>
      <c r="M334" s="1">
        <f>_xlfn.DAYS(Table1[[#This Row],[actual_delivery_date]],Table1[[#This Row],[dispatch_date]])</f>
        <v>0</v>
      </c>
      <c r="N334">
        <v>0</v>
      </c>
      <c r="O334">
        <f>Table1[[#This Row],[transit_storage_cost]] * (1-'What -if Analysis'!$D$26)</f>
        <v>0</v>
      </c>
      <c r="P334">
        <v>122</v>
      </c>
      <c r="Q334">
        <v>3257.4123798158766</v>
      </c>
    </row>
    <row r="335" spans="1:17" x14ac:dyDescent="0.3">
      <c r="A335">
        <v>166696</v>
      </c>
      <c r="B335" s="1" t="s">
        <v>38</v>
      </c>
      <c r="C335" s="1" t="s">
        <v>23</v>
      </c>
      <c r="D335" s="1" t="s">
        <v>23</v>
      </c>
      <c r="E335" s="1" t="s">
        <v>28</v>
      </c>
      <c r="F335" s="1" t="s">
        <v>19</v>
      </c>
      <c r="G335" s="1" t="s">
        <v>20</v>
      </c>
      <c r="H335" t="s">
        <v>21</v>
      </c>
      <c r="I335" s="1" t="s">
        <v>22</v>
      </c>
      <c r="J335" s="2">
        <v>43528.73746527778</v>
      </c>
      <c r="K335" s="2">
        <v>43529.73746527778</v>
      </c>
      <c r="L335" s="2">
        <v>43531.73746527778</v>
      </c>
      <c r="M335" s="1">
        <f>_xlfn.DAYS(Table1[[#This Row],[actual_delivery_date]],Table1[[#This Row],[dispatch_date]])</f>
        <v>1</v>
      </c>
      <c r="N335">
        <v>0</v>
      </c>
      <c r="O335">
        <f>Table1[[#This Row],[transit_storage_cost]] * (1-'What -if Analysis'!$D$26)</f>
        <v>0</v>
      </c>
      <c r="P335">
        <v>105</v>
      </c>
      <c r="Q335">
        <v>502.44284378988249</v>
      </c>
    </row>
    <row r="336" spans="1:17" x14ac:dyDescent="0.3">
      <c r="A336">
        <v>274524</v>
      </c>
      <c r="B336" s="1" t="s">
        <v>38</v>
      </c>
      <c r="C336" s="1" t="s">
        <v>23</v>
      </c>
      <c r="D336" s="1" t="s">
        <v>17</v>
      </c>
      <c r="E336" s="1" t="s">
        <v>18</v>
      </c>
      <c r="F336" s="1" t="s">
        <v>19</v>
      </c>
      <c r="G336" s="1" t="s">
        <v>20</v>
      </c>
      <c r="H336" t="s">
        <v>21</v>
      </c>
      <c r="I336" s="1" t="s">
        <v>26</v>
      </c>
      <c r="J336" s="2">
        <v>43527.750138888892</v>
      </c>
      <c r="K336" s="2">
        <v>43529.750138888892</v>
      </c>
      <c r="L336" s="2">
        <v>43533.750138888892</v>
      </c>
      <c r="M336" s="1">
        <f>_xlfn.DAYS(Table1[[#This Row],[actual_delivery_date]],Table1[[#This Row],[dispatch_date]])</f>
        <v>2</v>
      </c>
      <c r="N336">
        <v>34</v>
      </c>
      <c r="O336">
        <f>Table1[[#This Row],[transit_storage_cost]] * (1-'What -if Analysis'!$D$26)</f>
        <v>34</v>
      </c>
      <c r="P336">
        <v>108</v>
      </c>
      <c r="Q336">
        <v>939.17</v>
      </c>
    </row>
    <row r="337" spans="1:17" x14ac:dyDescent="0.3">
      <c r="A337">
        <v>740725</v>
      </c>
      <c r="B337" s="1" t="s">
        <v>40</v>
      </c>
      <c r="C337" s="1" t="s">
        <v>16</v>
      </c>
      <c r="D337" s="1" t="s">
        <v>23</v>
      </c>
      <c r="E337" s="1" t="s">
        <v>28</v>
      </c>
      <c r="F337" s="1" t="s">
        <v>19</v>
      </c>
      <c r="G337" s="1" t="s">
        <v>20</v>
      </c>
      <c r="H337" t="s">
        <v>30</v>
      </c>
      <c r="I337" s="1" t="s">
        <v>22</v>
      </c>
      <c r="J337" s="2">
        <v>43525.758449074077</v>
      </c>
      <c r="K337" s="2">
        <v>43529.758449074077</v>
      </c>
      <c r="L337" s="2">
        <v>43529.758449074077</v>
      </c>
      <c r="M337" s="1">
        <f>_xlfn.DAYS(Table1[[#This Row],[actual_delivery_date]],Table1[[#This Row],[dispatch_date]])</f>
        <v>4</v>
      </c>
      <c r="N337">
        <v>65</v>
      </c>
      <c r="O337">
        <f>Table1[[#This Row],[transit_storage_cost]] * (1-'What -if Analysis'!$D$26)</f>
        <v>65</v>
      </c>
      <c r="P337">
        <v>108</v>
      </c>
      <c r="Q337">
        <v>1714.9915410226258</v>
      </c>
    </row>
    <row r="338" spans="1:17" x14ac:dyDescent="0.3">
      <c r="A338">
        <v>404827</v>
      </c>
      <c r="B338" s="1" t="s">
        <v>38</v>
      </c>
      <c r="C338" s="1" t="s">
        <v>16</v>
      </c>
      <c r="D338" s="1" t="s">
        <v>17</v>
      </c>
      <c r="E338" s="1" t="s">
        <v>18</v>
      </c>
      <c r="F338" s="1" t="s">
        <v>19</v>
      </c>
      <c r="G338" s="1" t="s">
        <v>20</v>
      </c>
      <c r="H338" t="s">
        <v>30</v>
      </c>
      <c r="I338" s="1" t="s">
        <v>22</v>
      </c>
      <c r="J338" s="2">
        <v>43526.759884259256</v>
      </c>
      <c r="K338" s="2">
        <v>43529.759884259256</v>
      </c>
      <c r="L338" s="2">
        <v>43529.759884259256</v>
      </c>
      <c r="M338" s="1">
        <f>_xlfn.DAYS(Table1[[#This Row],[actual_delivery_date]],Table1[[#This Row],[dispatch_date]])</f>
        <v>3</v>
      </c>
      <c r="N338">
        <v>78</v>
      </c>
      <c r="O338">
        <f>Table1[[#This Row],[transit_storage_cost]] * (1-'What -if Analysis'!$D$26)</f>
        <v>78</v>
      </c>
      <c r="P338">
        <v>87</v>
      </c>
      <c r="Q338">
        <v>3319.4082704783714</v>
      </c>
    </row>
    <row r="339" spans="1:17" x14ac:dyDescent="0.3">
      <c r="A339">
        <v>695456</v>
      </c>
      <c r="B339" s="1" t="s">
        <v>38</v>
      </c>
      <c r="C339" s="1" t="s">
        <v>16</v>
      </c>
      <c r="D339" s="1" t="s">
        <v>23</v>
      </c>
      <c r="E339" s="1" t="s">
        <v>28</v>
      </c>
      <c r="F339" s="1" t="s">
        <v>19</v>
      </c>
      <c r="G339" s="1" t="s">
        <v>20</v>
      </c>
      <c r="H339" t="s">
        <v>21</v>
      </c>
      <c r="I339" s="1" t="s">
        <v>22</v>
      </c>
      <c r="J339" s="2">
        <v>43525.762939814813</v>
      </c>
      <c r="K339" s="2">
        <v>43529.762939814813</v>
      </c>
      <c r="L339" s="2">
        <v>43528.762939814813</v>
      </c>
      <c r="M339" s="1">
        <f>_xlfn.DAYS(Table1[[#This Row],[actual_delivery_date]],Table1[[#This Row],[dispatch_date]])</f>
        <v>4</v>
      </c>
      <c r="N339">
        <v>29</v>
      </c>
      <c r="O339">
        <f>Table1[[#This Row],[transit_storage_cost]] * (1-'What -if Analysis'!$D$26)</f>
        <v>29</v>
      </c>
      <c r="P339">
        <v>127</v>
      </c>
      <c r="Q339">
        <v>2673.4121325757678</v>
      </c>
    </row>
    <row r="340" spans="1:17" x14ac:dyDescent="0.3">
      <c r="A340">
        <v>702652</v>
      </c>
      <c r="B340" s="1" t="s">
        <v>39</v>
      </c>
      <c r="C340" s="1" t="s">
        <v>16</v>
      </c>
      <c r="D340" s="1" t="s">
        <v>32</v>
      </c>
      <c r="E340" s="1" t="s">
        <v>33</v>
      </c>
      <c r="F340" s="1" t="s">
        <v>19</v>
      </c>
      <c r="G340" s="1" t="s">
        <v>20</v>
      </c>
      <c r="H340" t="s">
        <v>21</v>
      </c>
      <c r="I340" s="1" t="s">
        <v>22</v>
      </c>
      <c r="J340" s="2">
        <v>43526.76295138889</v>
      </c>
      <c r="K340" s="2">
        <v>43529.76295138889</v>
      </c>
      <c r="L340" s="2">
        <v>43529.76295138889</v>
      </c>
      <c r="M340" s="1">
        <f>_xlfn.DAYS(Table1[[#This Row],[actual_delivery_date]],Table1[[#This Row],[dispatch_date]])</f>
        <v>3</v>
      </c>
      <c r="N340">
        <v>35</v>
      </c>
      <c r="O340">
        <f>Table1[[#This Row],[transit_storage_cost]] * (1-'What -if Analysis'!$D$26)</f>
        <v>35</v>
      </c>
      <c r="P340">
        <v>112</v>
      </c>
      <c r="Q340">
        <v>3458.0421437016084</v>
      </c>
    </row>
    <row r="341" spans="1:17" x14ac:dyDescent="0.3">
      <c r="A341">
        <v>526087</v>
      </c>
      <c r="B341" s="1" t="s">
        <v>37</v>
      </c>
      <c r="C341" s="1" t="s">
        <v>16</v>
      </c>
      <c r="D341" s="1" t="s">
        <v>17</v>
      </c>
      <c r="E341" s="1" t="s">
        <v>18</v>
      </c>
      <c r="F341" s="1" t="s">
        <v>19</v>
      </c>
      <c r="G341" s="1" t="s">
        <v>20</v>
      </c>
      <c r="H341" t="s">
        <v>30</v>
      </c>
      <c r="I341" s="1" t="s">
        <v>22</v>
      </c>
      <c r="J341" s="2">
        <v>43525.767002314817</v>
      </c>
      <c r="K341" s="2">
        <v>43529.767002314817</v>
      </c>
      <c r="L341" s="2">
        <v>43530.767002314817</v>
      </c>
      <c r="M341" s="1">
        <f>_xlfn.DAYS(Table1[[#This Row],[actual_delivery_date]],Table1[[#This Row],[dispatch_date]])</f>
        <v>4</v>
      </c>
      <c r="N341">
        <v>80</v>
      </c>
      <c r="O341">
        <f>Table1[[#This Row],[transit_storage_cost]] * (1-'What -if Analysis'!$D$26)</f>
        <v>80</v>
      </c>
      <c r="P341">
        <v>90</v>
      </c>
      <c r="Q341">
        <v>2331.3623138178054</v>
      </c>
    </row>
    <row r="342" spans="1:17" x14ac:dyDescent="0.3">
      <c r="A342">
        <v>959459</v>
      </c>
      <c r="B342" s="1" t="s">
        <v>37</v>
      </c>
      <c r="C342" s="1" t="s">
        <v>16</v>
      </c>
      <c r="D342" s="1" t="s">
        <v>17</v>
      </c>
      <c r="E342" s="1" t="s">
        <v>18</v>
      </c>
      <c r="F342" s="1" t="s">
        <v>19</v>
      </c>
      <c r="G342" s="1" t="s">
        <v>20</v>
      </c>
      <c r="H342" t="s">
        <v>30</v>
      </c>
      <c r="I342" s="1" t="s">
        <v>22</v>
      </c>
      <c r="J342" s="2">
        <v>43527.770821759259</v>
      </c>
      <c r="K342" s="2">
        <v>43529.770821759259</v>
      </c>
      <c r="L342" s="2">
        <v>43533.770821759259</v>
      </c>
      <c r="M342" s="1">
        <f>_xlfn.DAYS(Table1[[#This Row],[actual_delivery_date]],Table1[[#This Row],[dispatch_date]])</f>
        <v>2</v>
      </c>
      <c r="N342">
        <v>77</v>
      </c>
      <c r="O342">
        <f>Table1[[#This Row],[transit_storage_cost]] * (1-'What -if Analysis'!$D$26)</f>
        <v>77</v>
      </c>
      <c r="P342">
        <v>91</v>
      </c>
      <c r="Q342">
        <v>1204.2041531616248</v>
      </c>
    </row>
    <row r="343" spans="1:17" x14ac:dyDescent="0.3">
      <c r="A343">
        <v>61517</v>
      </c>
      <c r="B343" s="1" t="s">
        <v>38</v>
      </c>
      <c r="C343" s="1" t="s">
        <v>23</v>
      </c>
      <c r="D343" s="1" t="s">
        <v>17</v>
      </c>
      <c r="E343" s="1" t="s">
        <v>18</v>
      </c>
      <c r="F343" s="1" t="s">
        <v>19</v>
      </c>
      <c r="G343" s="1" t="s">
        <v>20</v>
      </c>
      <c r="H343" t="s">
        <v>30</v>
      </c>
      <c r="I343" s="1" t="s">
        <v>22</v>
      </c>
      <c r="J343" s="2">
        <v>43527.780046296299</v>
      </c>
      <c r="K343" s="2">
        <v>43529.780046296299</v>
      </c>
      <c r="L343" s="2">
        <v>43531.780046296299</v>
      </c>
      <c r="M343" s="1">
        <f>_xlfn.DAYS(Table1[[#This Row],[actual_delivery_date]],Table1[[#This Row],[dispatch_date]])</f>
        <v>2</v>
      </c>
      <c r="N343">
        <v>76</v>
      </c>
      <c r="O343">
        <f>Table1[[#This Row],[transit_storage_cost]] * (1-'What -if Analysis'!$D$26)</f>
        <v>76</v>
      </c>
      <c r="P343">
        <v>92</v>
      </c>
      <c r="Q343">
        <v>1903.0703028968187</v>
      </c>
    </row>
    <row r="344" spans="1:17" x14ac:dyDescent="0.3">
      <c r="A344">
        <v>522676</v>
      </c>
      <c r="B344" s="1" t="s">
        <v>37</v>
      </c>
      <c r="C344" s="1" t="s">
        <v>16</v>
      </c>
      <c r="D344" s="1" t="s">
        <v>16</v>
      </c>
      <c r="E344" s="1" t="s">
        <v>27</v>
      </c>
      <c r="F344" s="1" t="s">
        <v>19</v>
      </c>
      <c r="G344" s="1" t="s">
        <v>20</v>
      </c>
      <c r="H344" t="s">
        <v>21</v>
      </c>
      <c r="I344" s="1" t="s">
        <v>22</v>
      </c>
      <c r="J344" s="2">
        <v>43529.795266203706</v>
      </c>
      <c r="K344" s="2">
        <v>43529.795266203706</v>
      </c>
      <c r="L344" s="2">
        <v>43536.795266203706</v>
      </c>
      <c r="M344" s="1">
        <f>_xlfn.DAYS(Table1[[#This Row],[actual_delivery_date]],Table1[[#This Row],[dispatch_date]])</f>
        <v>0</v>
      </c>
      <c r="N344">
        <v>0</v>
      </c>
      <c r="O344">
        <f>Table1[[#This Row],[transit_storage_cost]] * (1-'What -if Analysis'!$D$26)</f>
        <v>0</v>
      </c>
      <c r="P344">
        <v>110</v>
      </c>
      <c r="Q344">
        <v>1442.6378252875254</v>
      </c>
    </row>
    <row r="345" spans="1:17" x14ac:dyDescent="0.3">
      <c r="A345">
        <v>800128</v>
      </c>
      <c r="B345" s="1" t="s">
        <v>38</v>
      </c>
      <c r="C345" s="1" t="s">
        <v>23</v>
      </c>
      <c r="D345" s="1" t="s">
        <v>16</v>
      </c>
      <c r="E345" s="1" t="s">
        <v>27</v>
      </c>
      <c r="F345" s="1" t="s">
        <v>19</v>
      </c>
      <c r="G345" s="1" t="s">
        <v>20</v>
      </c>
      <c r="H345" t="s">
        <v>21</v>
      </c>
      <c r="I345" s="1" t="s">
        <v>22</v>
      </c>
      <c r="J345" s="2">
        <v>43525.795659722222</v>
      </c>
      <c r="K345" s="2">
        <v>43529.795659722222</v>
      </c>
      <c r="L345" s="2">
        <v>43531.795659722222</v>
      </c>
      <c r="M345" s="1">
        <f>_xlfn.DAYS(Table1[[#This Row],[actual_delivery_date]],Table1[[#This Row],[dispatch_date]])</f>
        <v>4</v>
      </c>
      <c r="N345">
        <v>60</v>
      </c>
      <c r="O345">
        <f>Table1[[#This Row],[transit_storage_cost]] * (1-'What -if Analysis'!$D$26)</f>
        <v>60</v>
      </c>
      <c r="P345">
        <v>108</v>
      </c>
      <c r="Q345">
        <v>1505.6173423178832</v>
      </c>
    </row>
    <row r="346" spans="1:17" x14ac:dyDescent="0.3">
      <c r="A346">
        <v>348218</v>
      </c>
      <c r="B346" s="1" t="s">
        <v>15</v>
      </c>
      <c r="C346" s="1" t="s">
        <v>16</v>
      </c>
      <c r="D346" s="1" t="s">
        <v>16</v>
      </c>
      <c r="E346" s="1" t="s">
        <v>27</v>
      </c>
      <c r="F346" s="1" t="s">
        <v>31</v>
      </c>
      <c r="G346" s="1" t="s">
        <v>20</v>
      </c>
      <c r="H346" t="s">
        <v>21</v>
      </c>
      <c r="I346" s="1" t="s">
        <v>22</v>
      </c>
      <c r="J346" s="2">
        <v>43526.805219907408</v>
      </c>
      <c r="K346" s="2">
        <v>43529.805219907408</v>
      </c>
      <c r="L346" s="2">
        <v>43529.805219907408</v>
      </c>
      <c r="M346" s="1">
        <f>_xlfn.DAYS(Table1[[#This Row],[actual_delivery_date]],Table1[[#This Row],[dispatch_date]])</f>
        <v>3</v>
      </c>
      <c r="N346">
        <v>0</v>
      </c>
      <c r="O346">
        <f>Table1[[#This Row],[transit_storage_cost]] * (1-'What -if Analysis'!$D$26)</f>
        <v>0</v>
      </c>
      <c r="P346">
        <v>122</v>
      </c>
      <c r="Q346">
        <v>3362.8323164829685</v>
      </c>
    </row>
    <row r="347" spans="1:17" x14ac:dyDescent="0.3">
      <c r="A347">
        <v>421433</v>
      </c>
      <c r="B347" s="1" t="s">
        <v>38</v>
      </c>
      <c r="C347" s="1" t="s">
        <v>23</v>
      </c>
      <c r="D347" s="1" t="s">
        <v>32</v>
      </c>
      <c r="E347" s="1" t="s">
        <v>33</v>
      </c>
      <c r="F347" s="1" t="s">
        <v>19</v>
      </c>
      <c r="G347" s="1" t="s">
        <v>20</v>
      </c>
      <c r="H347" t="s">
        <v>30</v>
      </c>
      <c r="I347" s="1" t="s">
        <v>22</v>
      </c>
      <c r="J347" s="2">
        <v>43526.810960648145</v>
      </c>
      <c r="K347" s="2">
        <v>43529.810960648145</v>
      </c>
      <c r="L347" s="2">
        <v>43529.810960648145</v>
      </c>
      <c r="M347" s="1">
        <f>_xlfn.DAYS(Table1[[#This Row],[actual_delivery_date]],Table1[[#This Row],[dispatch_date]])</f>
        <v>3</v>
      </c>
      <c r="N347">
        <v>77</v>
      </c>
      <c r="O347">
        <f>Table1[[#This Row],[transit_storage_cost]] * (1-'What -if Analysis'!$D$26)</f>
        <v>77</v>
      </c>
      <c r="P347">
        <v>90</v>
      </c>
      <c r="Q347">
        <v>799.88013576243281</v>
      </c>
    </row>
    <row r="348" spans="1:17" x14ac:dyDescent="0.3">
      <c r="A348">
        <v>133505</v>
      </c>
      <c r="B348" s="1" t="s">
        <v>39</v>
      </c>
      <c r="C348" s="1" t="s">
        <v>16</v>
      </c>
      <c r="D348" s="1" t="s">
        <v>32</v>
      </c>
      <c r="E348" s="1" t="s">
        <v>33</v>
      </c>
      <c r="F348" s="1" t="s">
        <v>29</v>
      </c>
      <c r="G348" s="1" t="s">
        <v>20</v>
      </c>
      <c r="H348" t="s">
        <v>30</v>
      </c>
      <c r="I348" s="1" t="s">
        <v>22</v>
      </c>
      <c r="J348" s="2">
        <v>43527.811724537038</v>
      </c>
      <c r="K348" s="2">
        <v>43529.811724537038</v>
      </c>
      <c r="L348" s="2">
        <v>43533.811724537038</v>
      </c>
      <c r="M348" s="1">
        <f>_xlfn.DAYS(Table1[[#This Row],[actual_delivery_date]],Table1[[#This Row],[dispatch_date]])</f>
        <v>2</v>
      </c>
      <c r="N348">
        <v>37</v>
      </c>
      <c r="O348">
        <f>Table1[[#This Row],[transit_storage_cost]] * (1-'What -if Analysis'!$D$26)</f>
        <v>37</v>
      </c>
      <c r="P348">
        <v>110</v>
      </c>
      <c r="Q348">
        <v>2441.9660925419385</v>
      </c>
    </row>
    <row r="349" spans="1:17" x14ac:dyDescent="0.3">
      <c r="A349">
        <v>285023</v>
      </c>
      <c r="B349" s="1" t="s">
        <v>38</v>
      </c>
      <c r="C349" s="1" t="s">
        <v>16</v>
      </c>
      <c r="D349" s="1" t="s">
        <v>16</v>
      </c>
      <c r="E349" s="1" t="s">
        <v>27</v>
      </c>
      <c r="F349" s="1" t="s">
        <v>19</v>
      </c>
      <c r="G349" s="1" t="s">
        <v>20</v>
      </c>
      <c r="H349" t="s">
        <v>30</v>
      </c>
      <c r="I349" s="1" t="s">
        <v>22</v>
      </c>
      <c r="J349" s="2">
        <v>43526.817152777781</v>
      </c>
      <c r="K349" s="2">
        <v>43529.817152777781</v>
      </c>
      <c r="L349" s="2">
        <v>43529.817152777781</v>
      </c>
      <c r="M349" s="1">
        <f>_xlfn.DAYS(Table1[[#This Row],[actual_delivery_date]],Table1[[#This Row],[dispatch_date]])</f>
        <v>3</v>
      </c>
      <c r="N349">
        <v>0</v>
      </c>
      <c r="O349">
        <f>Table1[[#This Row],[transit_storage_cost]] * (1-'What -if Analysis'!$D$26)</f>
        <v>0</v>
      </c>
      <c r="P349">
        <v>105</v>
      </c>
      <c r="Q349">
        <v>1289.6867539968453</v>
      </c>
    </row>
    <row r="350" spans="1:17" x14ac:dyDescent="0.3">
      <c r="A350">
        <v>185595</v>
      </c>
      <c r="B350" s="1" t="s">
        <v>38</v>
      </c>
      <c r="C350" s="1" t="s">
        <v>23</v>
      </c>
      <c r="D350" s="1" t="s">
        <v>23</v>
      </c>
      <c r="E350" s="1" t="s">
        <v>28</v>
      </c>
      <c r="F350" s="1" t="s">
        <v>29</v>
      </c>
      <c r="G350" s="1" t="s">
        <v>20</v>
      </c>
      <c r="H350" t="s">
        <v>30</v>
      </c>
      <c r="I350" s="1" t="s">
        <v>26</v>
      </c>
      <c r="J350" s="2">
        <v>43526.827407407407</v>
      </c>
      <c r="K350" s="2">
        <v>43529.827407407407</v>
      </c>
      <c r="L350" s="2">
        <v>43529.827407407407</v>
      </c>
      <c r="M350" s="1">
        <f>_xlfn.DAYS(Table1[[#This Row],[actual_delivery_date]],Table1[[#This Row],[dispatch_date]])</f>
        <v>3</v>
      </c>
      <c r="N350">
        <v>0</v>
      </c>
      <c r="O350">
        <f>Table1[[#This Row],[transit_storage_cost]] * (1-'What -if Analysis'!$D$26)</f>
        <v>0</v>
      </c>
      <c r="P350">
        <v>129</v>
      </c>
      <c r="Q350">
        <v>2929.1</v>
      </c>
    </row>
    <row r="351" spans="1:17" x14ac:dyDescent="0.3">
      <c r="A351">
        <v>949759</v>
      </c>
      <c r="B351" s="1" t="s">
        <v>39</v>
      </c>
      <c r="C351" s="1" t="s">
        <v>23</v>
      </c>
      <c r="D351" s="1" t="s">
        <v>17</v>
      </c>
      <c r="E351" s="1" t="s">
        <v>18</v>
      </c>
      <c r="F351" s="1" t="s">
        <v>19</v>
      </c>
      <c r="G351" s="1" t="s">
        <v>20</v>
      </c>
      <c r="H351" t="s">
        <v>30</v>
      </c>
      <c r="I351" s="1" t="s">
        <v>22</v>
      </c>
      <c r="J351" s="2">
        <v>43527.831446759257</v>
      </c>
      <c r="K351" s="2">
        <v>43529.831446759257</v>
      </c>
      <c r="L351" s="2">
        <v>43532.831446759257</v>
      </c>
      <c r="M351" s="1">
        <f>_xlfn.DAYS(Table1[[#This Row],[actual_delivery_date]],Table1[[#This Row],[dispatch_date]])</f>
        <v>2</v>
      </c>
      <c r="N351">
        <v>70</v>
      </c>
      <c r="O351">
        <f>Table1[[#This Row],[transit_storage_cost]] * (1-'What -if Analysis'!$D$26)</f>
        <v>70</v>
      </c>
      <c r="P351">
        <v>90</v>
      </c>
      <c r="Q351">
        <v>2587.950282911997</v>
      </c>
    </row>
    <row r="352" spans="1:17" x14ac:dyDescent="0.3">
      <c r="A352">
        <v>386239</v>
      </c>
      <c r="B352" s="1" t="s">
        <v>38</v>
      </c>
      <c r="C352" s="1" t="s">
        <v>16</v>
      </c>
      <c r="D352" s="1" t="s">
        <v>32</v>
      </c>
      <c r="E352" s="1" t="s">
        <v>33</v>
      </c>
      <c r="F352" s="1" t="s">
        <v>29</v>
      </c>
      <c r="G352" s="1" t="s">
        <v>20</v>
      </c>
      <c r="H352" t="s">
        <v>34</v>
      </c>
      <c r="I352" s="1" t="s">
        <v>22</v>
      </c>
      <c r="J352" s="2">
        <v>43526.832719907405</v>
      </c>
      <c r="K352" s="2">
        <v>43529.832719907405</v>
      </c>
      <c r="L352" s="2">
        <v>43531.832719907405</v>
      </c>
      <c r="M352" s="1">
        <f>_xlfn.DAYS(Table1[[#This Row],[actual_delivery_date]],Table1[[#This Row],[dispatch_date]])</f>
        <v>3</v>
      </c>
      <c r="N352">
        <v>25</v>
      </c>
      <c r="O352">
        <f>Table1[[#This Row],[transit_storage_cost]] * (1-'What -if Analysis'!$D$26)</f>
        <v>25</v>
      </c>
      <c r="P352">
        <v>110</v>
      </c>
      <c r="Q352">
        <v>1583.8012623971699</v>
      </c>
    </row>
    <row r="353" spans="1:17" x14ac:dyDescent="0.3">
      <c r="A353">
        <v>569996</v>
      </c>
      <c r="B353" s="1" t="s">
        <v>37</v>
      </c>
      <c r="C353" s="1" t="s">
        <v>23</v>
      </c>
      <c r="D353" s="1" t="s">
        <v>23</v>
      </c>
      <c r="E353" s="1" t="s">
        <v>28</v>
      </c>
      <c r="F353" s="1" t="s">
        <v>19</v>
      </c>
      <c r="G353" s="1" t="s">
        <v>20</v>
      </c>
      <c r="H353" t="s">
        <v>21</v>
      </c>
      <c r="I353" s="1" t="s">
        <v>22</v>
      </c>
      <c r="J353" s="2">
        <v>43529.845717592594</v>
      </c>
      <c r="K353" s="2">
        <v>43529.845717592594</v>
      </c>
      <c r="L353" s="2">
        <v>43532.845717592594</v>
      </c>
      <c r="M353" s="1">
        <f>_xlfn.DAYS(Table1[[#This Row],[actual_delivery_date]],Table1[[#This Row],[dispatch_date]])</f>
        <v>0</v>
      </c>
      <c r="N353">
        <v>0</v>
      </c>
      <c r="O353">
        <f>Table1[[#This Row],[transit_storage_cost]] * (1-'What -if Analysis'!$D$26)</f>
        <v>0</v>
      </c>
      <c r="P353">
        <v>106</v>
      </c>
      <c r="Q353">
        <v>481.43079869830808</v>
      </c>
    </row>
    <row r="354" spans="1:17" x14ac:dyDescent="0.3">
      <c r="A354">
        <v>7967</v>
      </c>
      <c r="B354" s="1" t="s">
        <v>40</v>
      </c>
      <c r="C354" s="1" t="s">
        <v>16</v>
      </c>
      <c r="D354" s="1" t="s">
        <v>16</v>
      </c>
      <c r="E354" s="1" t="s">
        <v>27</v>
      </c>
      <c r="F354" s="1" t="s">
        <v>29</v>
      </c>
      <c r="G354" s="1" t="s">
        <v>20</v>
      </c>
      <c r="H354" t="s">
        <v>30</v>
      </c>
      <c r="I354" s="1" t="s">
        <v>22</v>
      </c>
      <c r="J354" s="2">
        <v>43528.846053240741</v>
      </c>
      <c r="K354" s="2">
        <v>43529.846053240741</v>
      </c>
      <c r="L354" s="2">
        <v>43532.846053240741</v>
      </c>
      <c r="M354" s="1">
        <f>_xlfn.DAYS(Table1[[#This Row],[actual_delivery_date]],Table1[[#This Row],[dispatch_date]])</f>
        <v>1</v>
      </c>
      <c r="N354">
        <v>0</v>
      </c>
      <c r="O354">
        <f>Table1[[#This Row],[transit_storage_cost]] * (1-'What -if Analysis'!$D$26)</f>
        <v>0</v>
      </c>
      <c r="P354">
        <v>124</v>
      </c>
      <c r="Q354">
        <v>2037.623136551091</v>
      </c>
    </row>
    <row r="355" spans="1:17" x14ac:dyDescent="0.3">
      <c r="A355">
        <v>347527</v>
      </c>
      <c r="B355" s="1" t="s">
        <v>37</v>
      </c>
      <c r="C355" s="1" t="s">
        <v>16</v>
      </c>
      <c r="D355" s="1" t="s">
        <v>16</v>
      </c>
      <c r="E355" s="1" t="s">
        <v>27</v>
      </c>
      <c r="F355" s="1" t="s">
        <v>19</v>
      </c>
      <c r="G355" s="1" t="s">
        <v>20</v>
      </c>
      <c r="H355" t="s">
        <v>30</v>
      </c>
      <c r="I355" s="1" t="s">
        <v>22</v>
      </c>
      <c r="J355" s="2">
        <v>43527.846273148149</v>
      </c>
      <c r="K355" s="2">
        <v>43529.846273148149</v>
      </c>
      <c r="L355" s="2">
        <v>43531.846273148149</v>
      </c>
      <c r="M355" s="1">
        <f>_xlfn.DAYS(Table1[[#This Row],[actual_delivery_date]],Table1[[#This Row],[dispatch_date]])</f>
        <v>2</v>
      </c>
      <c r="N355">
        <v>0</v>
      </c>
      <c r="O355">
        <f>Table1[[#This Row],[transit_storage_cost]] * (1-'What -if Analysis'!$D$26)</f>
        <v>0</v>
      </c>
      <c r="P355">
        <v>106</v>
      </c>
      <c r="Q355">
        <v>3836.652163829347</v>
      </c>
    </row>
    <row r="356" spans="1:17" x14ac:dyDescent="0.3">
      <c r="A356">
        <v>898389</v>
      </c>
      <c r="B356" s="1" t="s">
        <v>38</v>
      </c>
      <c r="C356" s="1" t="s">
        <v>23</v>
      </c>
      <c r="D356" s="1" t="s">
        <v>23</v>
      </c>
      <c r="E356" s="1" t="s">
        <v>28</v>
      </c>
      <c r="F356" s="1" t="s">
        <v>19</v>
      </c>
      <c r="G356" s="1" t="s">
        <v>20</v>
      </c>
      <c r="H356" t="s">
        <v>30</v>
      </c>
      <c r="I356" s="1" t="s">
        <v>26</v>
      </c>
      <c r="J356" s="2">
        <v>43528.852986111109</v>
      </c>
      <c r="K356" s="2">
        <v>43529.852986111109</v>
      </c>
      <c r="L356" s="2">
        <v>43535.852986111109</v>
      </c>
      <c r="M356" s="1">
        <f>_xlfn.DAYS(Table1[[#This Row],[actual_delivery_date]],Table1[[#This Row],[dispatch_date]])</f>
        <v>1</v>
      </c>
      <c r="N356">
        <v>0</v>
      </c>
      <c r="O356">
        <f>Table1[[#This Row],[transit_storage_cost]] * (1-'What -if Analysis'!$D$26)</f>
        <v>0</v>
      </c>
      <c r="P356">
        <v>106</v>
      </c>
      <c r="Q356">
        <v>882.53</v>
      </c>
    </row>
    <row r="357" spans="1:17" x14ac:dyDescent="0.3">
      <c r="A357">
        <v>147245</v>
      </c>
      <c r="B357" s="1" t="s">
        <v>37</v>
      </c>
      <c r="C357" s="1" t="s">
        <v>16</v>
      </c>
      <c r="D357" s="1" t="s">
        <v>17</v>
      </c>
      <c r="E357" s="1" t="s">
        <v>18</v>
      </c>
      <c r="F357" s="1" t="s">
        <v>19</v>
      </c>
      <c r="G357" s="1" t="s">
        <v>36</v>
      </c>
      <c r="H357" t="s">
        <v>34</v>
      </c>
      <c r="I357" s="1" t="s">
        <v>22</v>
      </c>
      <c r="J357" s="2">
        <v>43526.854768518519</v>
      </c>
      <c r="K357" s="2">
        <v>43529.854768518519</v>
      </c>
      <c r="L357" s="2">
        <v>43533.854768518519</v>
      </c>
      <c r="M357" s="1">
        <f>_xlfn.DAYS(Table1[[#This Row],[actual_delivery_date]],Table1[[#This Row],[dispatch_date]])</f>
        <v>3</v>
      </c>
      <c r="N357">
        <v>78</v>
      </c>
      <c r="O357">
        <f>Table1[[#This Row],[transit_storage_cost]] * (1-'What -if Analysis'!$D$26)</f>
        <v>78</v>
      </c>
      <c r="P357">
        <v>93</v>
      </c>
      <c r="Q357">
        <v>1800.9702141377368</v>
      </c>
    </row>
    <row r="358" spans="1:17" x14ac:dyDescent="0.3">
      <c r="A358">
        <v>188760</v>
      </c>
      <c r="B358" s="1" t="s">
        <v>37</v>
      </c>
      <c r="C358" s="1" t="s">
        <v>23</v>
      </c>
      <c r="D358" s="1" t="s">
        <v>17</v>
      </c>
      <c r="E358" s="1" t="s">
        <v>18</v>
      </c>
      <c r="F358" s="1" t="s">
        <v>19</v>
      </c>
      <c r="G358" s="1" t="s">
        <v>20</v>
      </c>
      <c r="H358" t="s">
        <v>21</v>
      </c>
      <c r="I358" s="1" t="s">
        <v>26</v>
      </c>
      <c r="J358" s="2">
        <v>43527.862175925926</v>
      </c>
      <c r="K358" s="2">
        <v>43529.862175925926</v>
      </c>
      <c r="L358" s="2">
        <v>43533.862175925926</v>
      </c>
      <c r="M358" s="1">
        <f>_xlfn.DAYS(Table1[[#This Row],[actual_delivery_date]],Table1[[#This Row],[dispatch_date]])</f>
        <v>2</v>
      </c>
      <c r="N358">
        <v>32</v>
      </c>
      <c r="O358">
        <f>Table1[[#This Row],[transit_storage_cost]] * (1-'What -if Analysis'!$D$26)</f>
        <v>32</v>
      </c>
      <c r="P358">
        <v>109</v>
      </c>
      <c r="Q358">
        <v>3133.02</v>
      </c>
    </row>
    <row r="359" spans="1:17" x14ac:dyDescent="0.3">
      <c r="A359">
        <v>877840</v>
      </c>
      <c r="B359" s="1" t="s">
        <v>41</v>
      </c>
      <c r="C359" s="1" t="s">
        <v>16</v>
      </c>
      <c r="D359" s="1" t="s">
        <v>16</v>
      </c>
      <c r="E359" s="1" t="s">
        <v>27</v>
      </c>
      <c r="F359" s="1" t="s">
        <v>19</v>
      </c>
      <c r="G359" s="1" t="s">
        <v>20</v>
      </c>
      <c r="H359" t="s">
        <v>21</v>
      </c>
      <c r="I359" s="1" t="s">
        <v>22</v>
      </c>
      <c r="J359" s="2">
        <v>43525.863240740742</v>
      </c>
      <c r="K359" s="2">
        <v>43529.863240740742</v>
      </c>
      <c r="L359" s="2">
        <v>43532.863240740742</v>
      </c>
      <c r="M359" s="1">
        <f>_xlfn.DAYS(Table1[[#This Row],[actual_delivery_date]],Table1[[#This Row],[dispatch_date]])</f>
        <v>4</v>
      </c>
      <c r="N359">
        <v>0</v>
      </c>
      <c r="O359">
        <f>Table1[[#This Row],[transit_storage_cost]] * (1-'What -if Analysis'!$D$26)</f>
        <v>0</v>
      </c>
      <c r="P359">
        <v>129</v>
      </c>
      <c r="Q359">
        <v>334.15850119763849</v>
      </c>
    </row>
    <row r="360" spans="1:17" x14ac:dyDescent="0.3">
      <c r="A360">
        <v>266510</v>
      </c>
      <c r="B360" s="1" t="s">
        <v>38</v>
      </c>
      <c r="C360" s="1" t="s">
        <v>16</v>
      </c>
      <c r="D360" s="1" t="s">
        <v>32</v>
      </c>
      <c r="E360" s="1" t="s">
        <v>33</v>
      </c>
      <c r="F360" s="1" t="s">
        <v>31</v>
      </c>
      <c r="G360" s="1" t="s">
        <v>20</v>
      </c>
      <c r="H360" t="s">
        <v>21</v>
      </c>
      <c r="I360" s="1" t="s">
        <v>22</v>
      </c>
      <c r="J360" s="2">
        <v>43527.867418981485</v>
      </c>
      <c r="K360" s="2">
        <v>43529.867418981485</v>
      </c>
      <c r="L360" s="2">
        <v>43532.867418981485</v>
      </c>
      <c r="M360" s="1">
        <f>_xlfn.DAYS(Table1[[#This Row],[actual_delivery_date]],Table1[[#This Row],[dispatch_date]])</f>
        <v>2</v>
      </c>
      <c r="N360">
        <v>38</v>
      </c>
      <c r="O360">
        <f>Table1[[#This Row],[transit_storage_cost]] * (1-'What -if Analysis'!$D$26)</f>
        <v>38</v>
      </c>
      <c r="P360">
        <v>106</v>
      </c>
      <c r="Q360">
        <v>675.03036422691093</v>
      </c>
    </row>
    <row r="361" spans="1:17" x14ac:dyDescent="0.3">
      <c r="A361">
        <v>474595</v>
      </c>
      <c r="B361" s="1" t="s">
        <v>41</v>
      </c>
      <c r="C361" s="1" t="s">
        <v>16</v>
      </c>
      <c r="D361" s="1" t="s">
        <v>24</v>
      </c>
      <c r="E361" s="1" t="s">
        <v>25</v>
      </c>
      <c r="F361" s="1" t="s">
        <v>29</v>
      </c>
      <c r="G361" s="1" t="s">
        <v>20</v>
      </c>
      <c r="H361" t="s">
        <v>30</v>
      </c>
      <c r="I361" s="1" t="s">
        <v>22</v>
      </c>
      <c r="J361" s="2">
        <v>43525.885254629633</v>
      </c>
      <c r="K361" s="2">
        <v>43529.885254629633</v>
      </c>
      <c r="L361" s="2">
        <v>43528.885254629633</v>
      </c>
      <c r="M361" s="1">
        <f>_xlfn.DAYS(Table1[[#This Row],[actual_delivery_date]],Table1[[#This Row],[dispatch_date]])</f>
        <v>4</v>
      </c>
      <c r="N361">
        <v>44</v>
      </c>
      <c r="O361">
        <f>Table1[[#This Row],[transit_storage_cost]] * (1-'What -if Analysis'!$D$26)</f>
        <v>44</v>
      </c>
      <c r="P361">
        <v>120</v>
      </c>
      <c r="Q361">
        <v>1429.4324623036889</v>
      </c>
    </row>
    <row r="362" spans="1:17" x14ac:dyDescent="0.3">
      <c r="A362">
        <v>121372</v>
      </c>
      <c r="B362" s="1" t="s">
        <v>39</v>
      </c>
      <c r="C362" s="1" t="s">
        <v>16</v>
      </c>
      <c r="D362" s="1" t="s">
        <v>23</v>
      </c>
      <c r="E362" s="1" t="s">
        <v>28</v>
      </c>
      <c r="F362" s="1" t="s">
        <v>19</v>
      </c>
      <c r="G362" s="1" t="s">
        <v>20</v>
      </c>
      <c r="H362" t="s">
        <v>21</v>
      </c>
      <c r="I362" s="1" t="s">
        <v>22</v>
      </c>
      <c r="J362" s="2">
        <v>43526.888182870367</v>
      </c>
      <c r="K362" s="2">
        <v>43529.888182870367</v>
      </c>
      <c r="L362" s="2">
        <v>43530.888182870367</v>
      </c>
      <c r="M362" s="1">
        <f>_xlfn.DAYS(Table1[[#This Row],[actual_delivery_date]],Table1[[#This Row],[dispatch_date]])</f>
        <v>3</v>
      </c>
      <c r="N362">
        <v>36</v>
      </c>
      <c r="O362">
        <f>Table1[[#This Row],[transit_storage_cost]] * (1-'What -if Analysis'!$D$26)</f>
        <v>36</v>
      </c>
      <c r="P362">
        <v>123</v>
      </c>
      <c r="Q362">
        <v>411.91980010414437</v>
      </c>
    </row>
    <row r="363" spans="1:17" x14ac:dyDescent="0.3">
      <c r="A363">
        <v>738807</v>
      </c>
      <c r="B363" s="1" t="s">
        <v>39</v>
      </c>
      <c r="C363" s="1" t="s">
        <v>23</v>
      </c>
      <c r="D363" s="1" t="s">
        <v>24</v>
      </c>
      <c r="E363" s="1" t="s">
        <v>25</v>
      </c>
      <c r="F363" s="1" t="s">
        <v>29</v>
      </c>
      <c r="G363" s="1" t="s">
        <v>36</v>
      </c>
      <c r="H363" t="s">
        <v>30</v>
      </c>
      <c r="I363" s="1" t="s">
        <v>26</v>
      </c>
      <c r="J363" s="2">
        <v>43527.890150462961</v>
      </c>
      <c r="K363" s="2">
        <v>43529.890150462961</v>
      </c>
      <c r="L363" s="2">
        <v>43534.890150462961</v>
      </c>
      <c r="M363" s="1">
        <f>_xlfn.DAYS(Table1[[#This Row],[actual_delivery_date]],Table1[[#This Row],[dispatch_date]])</f>
        <v>2</v>
      </c>
      <c r="N363">
        <v>40</v>
      </c>
      <c r="O363">
        <f>Table1[[#This Row],[transit_storage_cost]] * (1-'What -if Analysis'!$D$26)</f>
        <v>40</v>
      </c>
      <c r="P363">
        <v>130</v>
      </c>
      <c r="Q363">
        <v>2444.644766819471</v>
      </c>
    </row>
    <row r="364" spans="1:17" x14ac:dyDescent="0.3">
      <c r="A364">
        <v>10790</v>
      </c>
      <c r="B364" s="1" t="s">
        <v>37</v>
      </c>
      <c r="C364" s="1" t="s">
        <v>16</v>
      </c>
      <c r="D364" s="1" t="s">
        <v>16</v>
      </c>
      <c r="E364" s="1" t="s">
        <v>27</v>
      </c>
      <c r="F364" s="1" t="s">
        <v>31</v>
      </c>
      <c r="G364" s="1" t="s">
        <v>20</v>
      </c>
      <c r="H364" t="s">
        <v>21</v>
      </c>
      <c r="I364" s="1" t="s">
        <v>22</v>
      </c>
      <c r="J364" s="2">
        <v>43527.901203703703</v>
      </c>
      <c r="K364" s="2">
        <v>43529.901203703703</v>
      </c>
      <c r="L364" s="2">
        <v>43530.901203703703</v>
      </c>
      <c r="M364" s="1">
        <f>_xlfn.DAYS(Table1[[#This Row],[actual_delivery_date]],Table1[[#This Row],[dispatch_date]])</f>
        <v>2</v>
      </c>
      <c r="N364">
        <v>0</v>
      </c>
      <c r="O364">
        <f>Table1[[#This Row],[transit_storage_cost]] * (1-'What -if Analysis'!$D$26)</f>
        <v>0</v>
      </c>
      <c r="P364">
        <v>126</v>
      </c>
      <c r="Q364">
        <v>508.80694647905102</v>
      </c>
    </row>
    <row r="365" spans="1:17" x14ac:dyDescent="0.3">
      <c r="A365">
        <v>977315</v>
      </c>
      <c r="B365" s="1" t="s">
        <v>39</v>
      </c>
      <c r="C365" s="1" t="s">
        <v>16</v>
      </c>
      <c r="D365" s="1" t="s">
        <v>16</v>
      </c>
      <c r="E365" s="1" t="s">
        <v>27</v>
      </c>
      <c r="F365" s="1" t="s">
        <v>29</v>
      </c>
      <c r="G365" s="1" t="s">
        <v>20</v>
      </c>
      <c r="H365" t="s">
        <v>30</v>
      </c>
      <c r="I365" s="1" t="s">
        <v>22</v>
      </c>
      <c r="J365" s="2">
        <v>43527.902037037034</v>
      </c>
      <c r="K365" s="2">
        <v>43529.902037037034</v>
      </c>
      <c r="L365" s="2">
        <v>43533.902037037034</v>
      </c>
      <c r="M365" s="1">
        <f>_xlfn.DAYS(Table1[[#This Row],[actual_delivery_date]],Table1[[#This Row],[dispatch_date]])</f>
        <v>2</v>
      </c>
      <c r="N365">
        <v>0</v>
      </c>
      <c r="O365">
        <f>Table1[[#This Row],[transit_storage_cost]] * (1-'What -if Analysis'!$D$26)</f>
        <v>0</v>
      </c>
      <c r="P365">
        <v>121</v>
      </c>
      <c r="Q365">
        <v>511.24334252997966</v>
      </c>
    </row>
    <row r="366" spans="1:17" x14ac:dyDescent="0.3">
      <c r="A366">
        <v>222466</v>
      </c>
      <c r="B366" s="1" t="s">
        <v>41</v>
      </c>
      <c r="C366" s="1" t="s">
        <v>23</v>
      </c>
      <c r="D366" s="1" t="s">
        <v>17</v>
      </c>
      <c r="E366" s="1" t="s">
        <v>18</v>
      </c>
      <c r="F366" s="1" t="s">
        <v>19</v>
      </c>
      <c r="G366" s="1" t="s">
        <v>20</v>
      </c>
      <c r="H366" t="s">
        <v>21</v>
      </c>
      <c r="I366" s="1" t="s">
        <v>22</v>
      </c>
      <c r="J366" s="2">
        <v>43527.905763888892</v>
      </c>
      <c r="K366" s="2">
        <v>43529.905763888892</v>
      </c>
      <c r="L366" s="2">
        <v>43531.905763888892</v>
      </c>
      <c r="M366" s="1">
        <f>_xlfn.DAYS(Table1[[#This Row],[actual_delivery_date]],Table1[[#This Row],[dispatch_date]])</f>
        <v>2</v>
      </c>
      <c r="N366">
        <v>68</v>
      </c>
      <c r="O366">
        <f>Table1[[#This Row],[transit_storage_cost]] * (1-'What -if Analysis'!$D$26)</f>
        <v>68</v>
      </c>
      <c r="P366">
        <v>94</v>
      </c>
      <c r="Q366">
        <v>1138.6553273088462</v>
      </c>
    </row>
    <row r="367" spans="1:17" x14ac:dyDescent="0.3">
      <c r="A367">
        <v>479155</v>
      </c>
      <c r="B367" s="1" t="s">
        <v>39</v>
      </c>
      <c r="C367" s="1" t="s">
        <v>16</v>
      </c>
      <c r="D367" s="1" t="s">
        <v>17</v>
      </c>
      <c r="E367" s="1" t="s">
        <v>18</v>
      </c>
      <c r="F367" s="1" t="s">
        <v>29</v>
      </c>
      <c r="G367" s="1" t="s">
        <v>20</v>
      </c>
      <c r="H367" t="s">
        <v>30</v>
      </c>
      <c r="I367" s="1" t="s">
        <v>22</v>
      </c>
      <c r="J367" s="2">
        <v>43526.926145833335</v>
      </c>
      <c r="K367" s="2">
        <v>43529.926145833335</v>
      </c>
      <c r="L367" s="2">
        <v>43529.926145833335</v>
      </c>
      <c r="M367" s="1">
        <f>_xlfn.DAYS(Table1[[#This Row],[actual_delivery_date]],Table1[[#This Row],[dispatch_date]])</f>
        <v>3</v>
      </c>
      <c r="N367">
        <v>41</v>
      </c>
      <c r="O367">
        <f>Table1[[#This Row],[transit_storage_cost]] * (1-'What -if Analysis'!$D$26)</f>
        <v>41</v>
      </c>
      <c r="P367">
        <v>107</v>
      </c>
      <c r="Q367">
        <v>496.8602171198454</v>
      </c>
    </row>
    <row r="368" spans="1:17" x14ac:dyDescent="0.3">
      <c r="A368">
        <v>693914</v>
      </c>
      <c r="B368" s="1" t="s">
        <v>37</v>
      </c>
      <c r="C368" s="1" t="s">
        <v>16</v>
      </c>
      <c r="D368" s="1" t="s">
        <v>32</v>
      </c>
      <c r="E368" s="1" t="s">
        <v>33</v>
      </c>
      <c r="F368" s="1" t="s">
        <v>31</v>
      </c>
      <c r="G368" s="1" t="s">
        <v>20</v>
      </c>
      <c r="H368" t="s">
        <v>21</v>
      </c>
      <c r="I368" s="1" t="s">
        <v>22</v>
      </c>
      <c r="J368" s="2">
        <v>43527.926215277781</v>
      </c>
      <c r="K368" s="2">
        <v>43529.926215277781</v>
      </c>
      <c r="L368" s="2">
        <v>43532.926215277781</v>
      </c>
      <c r="M368" s="1">
        <f>_xlfn.DAYS(Table1[[#This Row],[actual_delivery_date]],Table1[[#This Row],[dispatch_date]])</f>
        <v>2</v>
      </c>
      <c r="N368">
        <v>38</v>
      </c>
      <c r="O368">
        <f>Table1[[#This Row],[transit_storage_cost]] * (1-'What -if Analysis'!$D$26)</f>
        <v>38</v>
      </c>
      <c r="P368">
        <v>114</v>
      </c>
      <c r="Q368">
        <v>1570.6134752495502</v>
      </c>
    </row>
    <row r="369" spans="1:17" x14ac:dyDescent="0.3">
      <c r="A369">
        <v>747728</v>
      </c>
      <c r="B369" s="1" t="s">
        <v>41</v>
      </c>
      <c r="C369" s="1" t="s">
        <v>23</v>
      </c>
      <c r="D369" s="1" t="s">
        <v>16</v>
      </c>
      <c r="E369" s="1" t="s">
        <v>27</v>
      </c>
      <c r="F369" s="1" t="s">
        <v>19</v>
      </c>
      <c r="G369" s="1" t="s">
        <v>36</v>
      </c>
      <c r="H369" t="s">
        <v>21</v>
      </c>
      <c r="I369" s="1" t="s">
        <v>22</v>
      </c>
      <c r="J369" s="2">
        <v>43526.926886574074</v>
      </c>
      <c r="K369" s="2">
        <v>43529.926886574074</v>
      </c>
      <c r="L369" s="2">
        <v>43533.926886574074</v>
      </c>
      <c r="M369" s="1">
        <f>_xlfn.DAYS(Table1[[#This Row],[actual_delivery_date]],Table1[[#This Row],[dispatch_date]])</f>
        <v>3</v>
      </c>
      <c r="N369">
        <v>35</v>
      </c>
      <c r="O369">
        <f>Table1[[#This Row],[transit_storage_cost]] * (1-'What -if Analysis'!$D$26)</f>
        <v>35</v>
      </c>
      <c r="P369">
        <v>128</v>
      </c>
      <c r="Q369">
        <v>835.42286582332736</v>
      </c>
    </row>
    <row r="370" spans="1:17" x14ac:dyDescent="0.3">
      <c r="A370">
        <v>712546</v>
      </c>
      <c r="B370" s="1" t="s">
        <v>37</v>
      </c>
      <c r="C370" s="1" t="s">
        <v>16</v>
      </c>
      <c r="D370" s="1" t="s">
        <v>24</v>
      </c>
      <c r="E370" s="1" t="s">
        <v>25</v>
      </c>
      <c r="F370" s="1" t="s">
        <v>31</v>
      </c>
      <c r="G370" s="1" t="s">
        <v>20</v>
      </c>
      <c r="H370" t="s">
        <v>21</v>
      </c>
      <c r="I370" s="1" t="s">
        <v>22</v>
      </c>
      <c r="J370" s="2">
        <v>43527.941099537034</v>
      </c>
      <c r="K370" s="2">
        <v>43529.941099537034</v>
      </c>
      <c r="L370" s="2">
        <v>43534.941099537034</v>
      </c>
      <c r="M370" s="1">
        <f>_xlfn.DAYS(Table1[[#This Row],[actual_delivery_date]],Table1[[#This Row],[dispatch_date]])</f>
        <v>2</v>
      </c>
      <c r="N370">
        <v>27</v>
      </c>
      <c r="O370">
        <f>Table1[[#This Row],[transit_storage_cost]] * (1-'What -if Analysis'!$D$26)</f>
        <v>27</v>
      </c>
      <c r="P370">
        <v>128</v>
      </c>
      <c r="Q370">
        <v>3405.6378186810593</v>
      </c>
    </row>
    <row r="371" spans="1:17" x14ac:dyDescent="0.3">
      <c r="A371">
        <v>780034</v>
      </c>
      <c r="B371" s="1" t="s">
        <v>37</v>
      </c>
      <c r="C371" s="1" t="s">
        <v>23</v>
      </c>
      <c r="D371" s="1" t="s">
        <v>17</v>
      </c>
      <c r="E371" s="1" t="s">
        <v>18</v>
      </c>
      <c r="F371" s="1" t="s">
        <v>31</v>
      </c>
      <c r="G371" s="1" t="s">
        <v>20</v>
      </c>
      <c r="H371" t="s">
        <v>21</v>
      </c>
      <c r="I371" s="1" t="s">
        <v>22</v>
      </c>
      <c r="J371" s="2">
        <v>43525.949363425927</v>
      </c>
      <c r="K371" s="2">
        <v>43529.949363425927</v>
      </c>
      <c r="L371" s="2">
        <v>43530.949363425927</v>
      </c>
      <c r="M371" s="1">
        <f>_xlfn.DAYS(Table1[[#This Row],[actual_delivery_date]],Table1[[#This Row],[dispatch_date]])</f>
        <v>4</v>
      </c>
      <c r="N371">
        <v>43</v>
      </c>
      <c r="O371">
        <f>Table1[[#This Row],[transit_storage_cost]] * (1-'What -if Analysis'!$D$26)</f>
        <v>43</v>
      </c>
      <c r="P371">
        <v>108</v>
      </c>
      <c r="Q371">
        <v>1925.4606434217976</v>
      </c>
    </row>
    <row r="372" spans="1:17" x14ac:dyDescent="0.3">
      <c r="A372">
        <v>789290</v>
      </c>
      <c r="B372" s="1" t="s">
        <v>38</v>
      </c>
      <c r="C372" s="1" t="s">
        <v>23</v>
      </c>
      <c r="D372" s="1" t="s">
        <v>24</v>
      </c>
      <c r="E372" s="1" t="s">
        <v>25</v>
      </c>
      <c r="F372" s="1" t="s">
        <v>31</v>
      </c>
      <c r="G372" s="1" t="s">
        <v>20</v>
      </c>
      <c r="H372" t="s">
        <v>21</v>
      </c>
      <c r="I372" s="1" t="s">
        <v>22</v>
      </c>
      <c r="J372" s="2">
        <v>43525.952476851853</v>
      </c>
      <c r="K372" s="2">
        <v>43529.952476851853</v>
      </c>
      <c r="L372" s="2">
        <v>43529.952476851853</v>
      </c>
      <c r="M372" s="1">
        <f>_xlfn.DAYS(Table1[[#This Row],[actual_delivery_date]],Table1[[#This Row],[dispatch_date]])</f>
        <v>4</v>
      </c>
      <c r="N372">
        <v>44</v>
      </c>
      <c r="O372">
        <f>Table1[[#This Row],[transit_storage_cost]] * (1-'What -if Analysis'!$D$26)</f>
        <v>44</v>
      </c>
      <c r="P372">
        <v>123</v>
      </c>
      <c r="Q372">
        <v>3280.1773938286183</v>
      </c>
    </row>
    <row r="373" spans="1:17" x14ac:dyDescent="0.3">
      <c r="A373">
        <v>373662</v>
      </c>
      <c r="B373" s="1" t="s">
        <v>41</v>
      </c>
      <c r="C373" s="1" t="s">
        <v>16</v>
      </c>
      <c r="D373" s="1" t="s">
        <v>17</v>
      </c>
      <c r="E373" s="1" t="s">
        <v>18</v>
      </c>
      <c r="F373" s="1" t="s">
        <v>31</v>
      </c>
      <c r="G373" s="1" t="s">
        <v>20</v>
      </c>
      <c r="H373" t="s">
        <v>21</v>
      </c>
      <c r="I373" s="1" t="s">
        <v>26</v>
      </c>
      <c r="J373" s="2">
        <v>43526.963483796295</v>
      </c>
      <c r="K373" s="2">
        <v>43529.963483796295</v>
      </c>
      <c r="L373" s="2">
        <v>43529.963483796295</v>
      </c>
      <c r="M373" s="1">
        <f>_xlfn.DAYS(Table1[[#This Row],[actual_delivery_date]],Table1[[#This Row],[dispatch_date]])</f>
        <v>3</v>
      </c>
      <c r="N373">
        <v>29</v>
      </c>
      <c r="O373">
        <f>Table1[[#This Row],[transit_storage_cost]] * (1-'What -if Analysis'!$D$26)</f>
        <v>29</v>
      </c>
      <c r="P373">
        <v>110</v>
      </c>
      <c r="Q373">
        <v>2577.34</v>
      </c>
    </row>
    <row r="374" spans="1:17" x14ac:dyDescent="0.3">
      <c r="A374">
        <v>124307</v>
      </c>
      <c r="B374" s="1" t="s">
        <v>41</v>
      </c>
      <c r="C374" s="1" t="s">
        <v>16</v>
      </c>
      <c r="D374" s="1" t="s">
        <v>24</v>
      </c>
      <c r="E374" s="1" t="s">
        <v>25</v>
      </c>
      <c r="F374" s="1" t="s">
        <v>29</v>
      </c>
      <c r="G374" s="1" t="s">
        <v>20</v>
      </c>
      <c r="H374" t="s">
        <v>30</v>
      </c>
      <c r="I374" s="1" t="s">
        <v>22</v>
      </c>
      <c r="J374" s="2">
        <v>43527.965613425928</v>
      </c>
      <c r="K374" s="2">
        <v>43529.965613425928</v>
      </c>
      <c r="L374" s="2">
        <v>43530.965613425928</v>
      </c>
      <c r="M374" s="1">
        <f>_xlfn.DAYS(Table1[[#This Row],[actual_delivery_date]],Table1[[#This Row],[dispatch_date]])</f>
        <v>2</v>
      </c>
      <c r="N374">
        <v>38</v>
      </c>
      <c r="O374">
        <f>Table1[[#This Row],[transit_storage_cost]] * (1-'What -if Analysis'!$D$26)</f>
        <v>38</v>
      </c>
      <c r="P374">
        <v>128</v>
      </c>
      <c r="Q374">
        <v>3467.3682504149142</v>
      </c>
    </row>
    <row r="375" spans="1:17" x14ac:dyDescent="0.3">
      <c r="A375">
        <v>937993</v>
      </c>
      <c r="B375" s="1" t="s">
        <v>37</v>
      </c>
      <c r="C375" s="1" t="s">
        <v>23</v>
      </c>
      <c r="D375" s="1" t="s">
        <v>17</v>
      </c>
      <c r="E375" s="1" t="s">
        <v>18</v>
      </c>
      <c r="F375" s="1" t="s">
        <v>19</v>
      </c>
      <c r="G375" s="1" t="s">
        <v>20</v>
      </c>
      <c r="H375" t="s">
        <v>34</v>
      </c>
      <c r="I375" s="1" t="s">
        <v>22</v>
      </c>
      <c r="J375" s="2">
        <v>43527.966446759259</v>
      </c>
      <c r="K375" s="2">
        <v>43529.966446759259</v>
      </c>
      <c r="L375" s="2">
        <v>43531.966446759259</v>
      </c>
      <c r="M375" s="1">
        <f>_xlfn.DAYS(Table1[[#This Row],[actual_delivery_date]],Table1[[#This Row],[dispatch_date]])</f>
        <v>2</v>
      </c>
      <c r="N375">
        <v>75</v>
      </c>
      <c r="O375">
        <f>Table1[[#This Row],[transit_storage_cost]] * (1-'What -if Analysis'!$D$26)</f>
        <v>75</v>
      </c>
      <c r="P375">
        <v>95</v>
      </c>
      <c r="Q375">
        <v>2656.8447184140264</v>
      </c>
    </row>
    <row r="376" spans="1:17" x14ac:dyDescent="0.3">
      <c r="A376">
        <v>551260</v>
      </c>
      <c r="B376" s="1" t="s">
        <v>37</v>
      </c>
      <c r="C376" s="1" t="s">
        <v>23</v>
      </c>
      <c r="D376" s="1" t="s">
        <v>23</v>
      </c>
      <c r="E376" s="1" t="s">
        <v>28</v>
      </c>
      <c r="F376" s="1" t="s">
        <v>19</v>
      </c>
      <c r="G376" s="1" t="s">
        <v>20</v>
      </c>
      <c r="H376" t="s">
        <v>21</v>
      </c>
      <c r="I376" s="1" t="s">
        <v>22</v>
      </c>
      <c r="J376" s="2">
        <v>43527.970613425925</v>
      </c>
      <c r="K376" s="2">
        <v>43529.970613425925</v>
      </c>
      <c r="L376" s="2">
        <v>43533.970613425925</v>
      </c>
      <c r="M376" s="1">
        <f>_xlfn.DAYS(Table1[[#This Row],[actual_delivery_date]],Table1[[#This Row],[dispatch_date]])</f>
        <v>2</v>
      </c>
      <c r="N376">
        <v>0</v>
      </c>
      <c r="O376">
        <f>Table1[[#This Row],[transit_storage_cost]] * (1-'What -if Analysis'!$D$26)</f>
        <v>0</v>
      </c>
      <c r="P376">
        <v>126</v>
      </c>
      <c r="Q376">
        <v>684.68886393804792</v>
      </c>
    </row>
    <row r="377" spans="1:17" x14ac:dyDescent="0.3">
      <c r="A377">
        <v>245704</v>
      </c>
      <c r="B377" s="1" t="s">
        <v>38</v>
      </c>
      <c r="C377" s="1" t="s">
        <v>23</v>
      </c>
      <c r="D377" s="1" t="s">
        <v>16</v>
      </c>
      <c r="E377" s="1" t="s">
        <v>27</v>
      </c>
      <c r="F377" s="1" t="s">
        <v>19</v>
      </c>
      <c r="G377" s="1" t="s">
        <v>20</v>
      </c>
      <c r="H377" t="s">
        <v>21</v>
      </c>
      <c r="I377" s="1" t="s">
        <v>22</v>
      </c>
      <c r="J377" s="2">
        <v>43525.971770833334</v>
      </c>
      <c r="K377" s="2">
        <v>43529.971770833334</v>
      </c>
      <c r="L377" s="2">
        <v>43532.971770833334</v>
      </c>
      <c r="M377" s="1">
        <f>_xlfn.DAYS(Table1[[#This Row],[actual_delivery_date]],Table1[[#This Row],[dispatch_date]])</f>
        <v>4</v>
      </c>
      <c r="N377">
        <v>88</v>
      </c>
      <c r="O377">
        <f>Table1[[#This Row],[transit_storage_cost]] * (1-'What -if Analysis'!$D$26)</f>
        <v>88</v>
      </c>
      <c r="P377">
        <v>102</v>
      </c>
      <c r="Q377">
        <v>859.11180675581852</v>
      </c>
    </row>
    <row r="378" spans="1:17" x14ac:dyDescent="0.3">
      <c r="A378">
        <v>913708</v>
      </c>
      <c r="B378" s="1" t="s">
        <v>41</v>
      </c>
      <c r="C378" s="1" t="s">
        <v>16</v>
      </c>
      <c r="D378" s="1" t="s">
        <v>17</v>
      </c>
      <c r="E378" s="1" t="s">
        <v>18</v>
      </c>
      <c r="F378" s="1" t="s">
        <v>19</v>
      </c>
      <c r="G378" s="1" t="s">
        <v>20</v>
      </c>
      <c r="H378" t="s">
        <v>21</v>
      </c>
      <c r="I378" s="1" t="s">
        <v>22</v>
      </c>
      <c r="J378" s="2">
        <v>43526.977337962962</v>
      </c>
      <c r="K378" s="2">
        <v>43529.977337962962</v>
      </c>
      <c r="L378" s="2">
        <v>43532.977337962962</v>
      </c>
      <c r="M378" s="1">
        <f>_xlfn.DAYS(Table1[[#This Row],[actual_delivery_date]],Table1[[#This Row],[dispatch_date]])</f>
        <v>3</v>
      </c>
      <c r="N378">
        <v>44</v>
      </c>
      <c r="O378">
        <f>Table1[[#This Row],[transit_storage_cost]] * (1-'What -if Analysis'!$D$26)</f>
        <v>44</v>
      </c>
      <c r="P378">
        <v>106</v>
      </c>
      <c r="Q378">
        <v>1864.9626212424123</v>
      </c>
    </row>
    <row r="379" spans="1:17" x14ac:dyDescent="0.3">
      <c r="A379">
        <v>240626</v>
      </c>
      <c r="B379" s="1" t="s">
        <v>38</v>
      </c>
      <c r="C379" s="1" t="s">
        <v>23</v>
      </c>
      <c r="D379" s="1" t="s">
        <v>16</v>
      </c>
      <c r="E379" s="1" t="s">
        <v>27</v>
      </c>
      <c r="F379" s="1" t="s">
        <v>19</v>
      </c>
      <c r="G379" s="1" t="s">
        <v>20</v>
      </c>
      <c r="H379" t="s">
        <v>21</v>
      </c>
      <c r="I379" s="1" t="s">
        <v>22</v>
      </c>
      <c r="J379" s="2">
        <v>43527.980266203704</v>
      </c>
      <c r="K379" s="2">
        <v>43529.980266203704</v>
      </c>
      <c r="L379" s="2">
        <v>43532.980266203704</v>
      </c>
      <c r="M379" s="1">
        <f>_xlfn.DAYS(Table1[[#This Row],[actual_delivery_date]],Table1[[#This Row],[dispatch_date]])</f>
        <v>2</v>
      </c>
      <c r="N379">
        <v>60</v>
      </c>
      <c r="O379">
        <f>Table1[[#This Row],[transit_storage_cost]] * (1-'What -if Analysis'!$D$26)</f>
        <v>60</v>
      </c>
      <c r="P379">
        <v>102</v>
      </c>
      <c r="Q379">
        <v>1181.2929336766526</v>
      </c>
    </row>
    <row r="380" spans="1:17" x14ac:dyDescent="0.3">
      <c r="A380">
        <v>837223</v>
      </c>
      <c r="B380" s="1" t="s">
        <v>39</v>
      </c>
      <c r="C380" s="1" t="s">
        <v>16</v>
      </c>
      <c r="D380" s="1" t="s">
        <v>16</v>
      </c>
      <c r="E380" s="1" t="s">
        <v>27</v>
      </c>
      <c r="F380" s="1" t="s">
        <v>19</v>
      </c>
      <c r="G380" s="1" t="s">
        <v>20</v>
      </c>
      <c r="H380" t="s">
        <v>30</v>
      </c>
      <c r="I380" s="1" t="s">
        <v>22</v>
      </c>
      <c r="J380" s="2">
        <v>43526.983668981484</v>
      </c>
      <c r="K380" s="2">
        <v>43529.983668981484</v>
      </c>
      <c r="L380" s="2">
        <v>43533.983668981484</v>
      </c>
      <c r="M380" s="1">
        <f>_xlfn.DAYS(Table1[[#This Row],[actual_delivery_date]],Table1[[#This Row],[dispatch_date]])</f>
        <v>3</v>
      </c>
      <c r="N380">
        <v>0</v>
      </c>
      <c r="O380">
        <f>Table1[[#This Row],[transit_storage_cost]] * (1-'What -if Analysis'!$D$26)</f>
        <v>0</v>
      </c>
      <c r="P380">
        <v>101</v>
      </c>
      <c r="Q380">
        <v>2310.4804407243314</v>
      </c>
    </row>
    <row r="381" spans="1:17" x14ac:dyDescent="0.3">
      <c r="A381">
        <v>303359</v>
      </c>
      <c r="B381" s="1" t="s">
        <v>39</v>
      </c>
      <c r="C381" s="1" t="s">
        <v>23</v>
      </c>
      <c r="D381" s="1" t="s">
        <v>24</v>
      </c>
      <c r="E381" s="1" t="s">
        <v>25</v>
      </c>
      <c r="F381" s="1" t="s">
        <v>29</v>
      </c>
      <c r="G381" s="1" t="s">
        <v>20</v>
      </c>
      <c r="H381" t="s">
        <v>34</v>
      </c>
      <c r="I381" s="1" t="s">
        <v>22</v>
      </c>
      <c r="J381" s="2">
        <v>43525.988622685189</v>
      </c>
      <c r="K381" s="2">
        <v>43529.988622685189</v>
      </c>
      <c r="L381" s="2">
        <v>43528.988622685189</v>
      </c>
      <c r="M381" s="1">
        <f>_xlfn.DAYS(Table1[[#This Row],[actual_delivery_date]],Table1[[#This Row],[dispatch_date]])</f>
        <v>4</v>
      </c>
      <c r="N381">
        <v>41</v>
      </c>
      <c r="O381">
        <f>Table1[[#This Row],[transit_storage_cost]] * (1-'What -if Analysis'!$D$26)</f>
        <v>41</v>
      </c>
      <c r="P381">
        <v>124</v>
      </c>
      <c r="Q381">
        <v>3557.8818993874324</v>
      </c>
    </row>
    <row r="382" spans="1:17" x14ac:dyDescent="0.3">
      <c r="A382">
        <v>118101</v>
      </c>
      <c r="B382" s="1" t="s">
        <v>39</v>
      </c>
      <c r="C382" s="1" t="s">
        <v>23</v>
      </c>
      <c r="D382" s="1" t="s">
        <v>23</v>
      </c>
      <c r="E382" s="1" t="s">
        <v>28</v>
      </c>
      <c r="F382" s="1" t="s">
        <v>29</v>
      </c>
      <c r="G382" s="1" t="s">
        <v>20</v>
      </c>
      <c r="H382" t="s">
        <v>30</v>
      </c>
      <c r="I382" s="1" t="s">
        <v>26</v>
      </c>
      <c r="J382" s="2">
        <v>43527.995567129627</v>
      </c>
      <c r="K382" s="2">
        <v>43529.995567129627</v>
      </c>
      <c r="L382" s="2">
        <v>43531.995567129627</v>
      </c>
      <c r="M382" s="1">
        <f>_xlfn.DAYS(Table1[[#This Row],[actual_delivery_date]],Table1[[#This Row],[dispatch_date]])</f>
        <v>2</v>
      </c>
      <c r="N382">
        <v>0</v>
      </c>
      <c r="O382">
        <f>Table1[[#This Row],[transit_storage_cost]] * (1-'What -if Analysis'!$D$26)</f>
        <v>0</v>
      </c>
      <c r="P382">
        <v>122</v>
      </c>
      <c r="Q382">
        <v>251.07</v>
      </c>
    </row>
    <row r="383" spans="1:17" x14ac:dyDescent="0.3">
      <c r="A383">
        <v>674982</v>
      </c>
      <c r="B383" s="1" t="s">
        <v>41</v>
      </c>
      <c r="C383" s="1" t="s">
        <v>23</v>
      </c>
      <c r="D383" s="1" t="s">
        <v>17</v>
      </c>
      <c r="E383" s="1" t="s">
        <v>18</v>
      </c>
      <c r="F383" s="1" t="s">
        <v>31</v>
      </c>
      <c r="G383" s="1" t="s">
        <v>20</v>
      </c>
      <c r="H383" t="s">
        <v>21</v>
      </c>
      <c r="I383" s="1" t="s">
        <v>26</v>
      </c>
      <c r="J383" s="2">
        <v>43525.999432870369</v>
      </c>
      <c r="K383" s="2">
        <v>43529.999432870369</v>
      </c>
      <c r="L383" s="2">
        <v>43528.999432870369</v>
      </c>
      <c r="M383" s="1">
        <f>_xlfn.DAYS(Table1[[#This Row],[actual_delivery_date]],Table1[[#This Row],[dispatch_date]])</f>
        <v>4</v>
      </c>
      <c r="N383">
        <v>39</v>
      </c>
      <c r="O383">
        <f>Table1[[#This Row],[transit_storage_cost]] * (1-'What -if Analysis'!$D$26)</f>
        <v>39</v>
      </c>
      <c r="P383">
        <v>113</v>
      </c>
      <c r="Q383">
        <v>1369.14</v>
      </c>
    </row>
    <row r="384" spans="1:17" x14ac:dyDescent="0.3">
      <c r="A384">
        <v>184818</v>
      </c>
      <c r="B384" s="1" t="s">
        <v>38</v>
      </c>
      <c r="C384" s="1" t="s">
        <v>16</v>
      </c>
      <c r="D384" s="1" t="s">
        <v>16</v>
      </c>
      <c r="E384" s="1" t="s">
        <v>27</v>
      </c>
      <c r="F384" s="1" t="s">
        <v>19</v>
      </c>
      <c r="G384" s="1" t="s">
        <v>20</v>
      </c>
      <c r="H384" t="s">
        <v>21</v>
      </c>
      <c r="I384" s="1" t="s">
        <v>26</v>
      </c>
      <c r="J384" s="2">
        <v>43530.014236111114</v>
      </c>
      <c r="K384" s="2">
        <v>43530.014236111114</v>
      </c>
      <c r="L384" s="2">
        <v>43534.014236111114</v>
      </c>
      <c r="M384" s="1">
        <f>_xlfn.DAYS(Table1[[#This Row],[actual_delivery_date]],Table1[[#This Row],[dispatch_date]])</f>
        <v>0</v>
      </c>
      <c r="N384">
        <v>0</v>
      </c>
      <c r="O384">
        <f>Table1[[#This Row],[transit_storage_cost]] * (1-'What -if Analysis'!$D$26)</f>
        <v>0</v>
      </c>
      <c r="P384">
        <v>102</v>
      </c>
      <c r="Q384">
        <v>2512.5300000000002</v>
      </c>
    </row>
    <row r="385" spans="1:17" x14ac:dyDescent="0.3">
      <c r="A385">
        <v>625400</v>
      </c>
      <c r="B385" s="1" t="s">
        <v>41</v>
      </c>
      <c r="C385" s="1" t="s">
        <v>16</v>
      </c>
      <c r="D385" s="1" t="s">
        <v>23</v>
      </c>
      <c r="E385" s="1" t="s">
        <v>28</v>
      </c>
      <c r="F385" s="1" t="s">
        <v>19</v>
      </c>
      <c r="G385" s="1" t="s">
        <v>20</v>
      </c>
      <c r="H385" t="s">
        <v>21</v>
      </c>
      <c r="I385" s="1" t="s">
        <v>22</v>
      </c>
      <c r="J385" s="2">
        <v>43525.017395833333</v>
      </c>
      <c r="K385" s="2">
        <v>43530.017395833333</v>
      </c>
      <c r="L385" s="2">
        <v>43532.017395833333</v>
      </c>
      <c r="M385" s="1">
        <f>_xlfn.DAYS(Table1[[#This Row],[actual_delivery_date]],Table1[[#This Row],[dispatch_date]])</f>
        <v>5</v>
      </c>
      <c r="N385">
        <v>39</v>
      </c>
      <c r="O385">
        <f>Table1[[#This Row],[transit_storage_cost]] * (1-'What -if Analysis'!$D$26)</f>
        <v>39</v>
      </c>
      <c r="P385">
        <v>126</v>
      </c>
      <c r="Q385">
        <v>1076.1915060940887</v>
      </c>
    </row>
    <row r="386" spans="1:17" x14ac:dyDescent="0.3">
      <c r="A386">
        <v>746025</v>
      </c>
      <c r="B386" s="1" t="s">
        <v>40</v>
      </c>
      <c r="C386" s="1" t="s">
        <v>16</v>
      </c>
      <c r="D386" s="1" t="s">
        <v>23</v>
      </c>
      <c r="E386" s="1" t="s">
        <v>28</v>
      </c>
      <c r="F386" s="1" t="s">
        <v>19</v>
      </c>
      <c r="G386" s="1" t="s">
        <v>20</v>
      </c>
      <c r="H386" t="s">
        <v>34</v>
      </c>
      <c r="I386" s="1" t="s">
        <v>26</v>
      </c>
      <c r="J386" s="2">
        <v>43528.029618055552</v>
      </c>
      <c r="K386" s="2">
        <v>43530.029618055552</v>
      </c>
      <c r="L386" s="2">
        <v>43535.029618055552</v>
      </c>
      <c r="M386" s="1">
        <f>_xlfn.DAYS(Table1[[#This Row],[actual_delivery_date]],Table1[[#This Row],[dispatch_date]])</f>
        <v>2</v>
      </c>
      <c r="N386">
        <v>67</v>
      </c>
      <c r="O386">
        <f>Table1[[#This Row],[transit_storage_cost]] * (1-'What -if Analysis'!$D$26)</f>
        <v>67</v>
      </c>
      <c r="P386">
        <v>103</v>
      </c>
      <c r="Q386">
        <v>1718.88</v>
      </c>
    </row>
    <row r="387" spans="1:17" x14ac:dyDescent="0.3">
      <c r="A387">
        <v>914254</v>
      </c>
      <c r="B387" s="1" t="s">
        <v>41</v>
      </c>
      <c r="C387" s="1" t="s">
        <v>16</v>
      </c>
      <c r="D387" s="1" t="s">
        <v>16</v>
      </c>
      <c r="E387" s="1" t="s">
        <v>27</v>
      </c>
      <c r="F387" s="1" t="s">
        <v>19</v>
      </c>
      <c r="G387" s="1" t="s">
        <v>20</v>
      </c>
      <c r="H387" t="s">
        <v>21</v>
      </c>
      <c r="I387" s="1" t="s">
        <v>22</v>
      </c>
      <c r="J387" s="2">
        <v>43529.030023148145</v>
      </c>
      <c r="K387" s="2">
        <v>43530.030023148145</v>
      </c>
      <c r="L387" s="2">
        <v>43534.030023148145</v>
      </c>
      <c r="M387" s="1">
        <f>_xlfn.DAYS(Table1[[#This Row],[actual_delivery_date]],Table1[[#This Row],[dispatch_date]])</f>
        <v>1</v>
      </c>
      <c r="N387">
        <v>0</v>
      </c>
      <c r="O387">
        <f>Table1[[#This Row],[transit_storage_cost]] * (1-'What -if Analysis'!$D$26)</f>
        <v>0</v>
      </c>
      <c r="P387">
        <v>107</v>
      </c>
      <c r="Q387">
        <v>1270.8052652375272</v>
      </c>
    </row>
    <row r="388" spans="1:17" x14ac:dyDescent="0.3">
      <c r="A388">
        <v>111750</v>
      </c>
      <c r="B388" s="1" t="s">
        <v>38</v>
      </c>
      <c r="C388" s="1" t="s">
        <v>16</v>
      </c>
      <c r="D388" s="1" t="s">
        <v>32</v>
      </c>
      <c r="E388" s="1" t="s">
        <v>33</v>
      </c>
      <c r="F388" s="1" t="s">
        <v>31</v>
      </c>
      <c r="G388" s="1" t="s">
        <v>20</v>
      </c>
      <c r="H388" t="s">
        <v>21</v>
      </c>
      <c r="I388" s="1" t="s">
        <v>26</v>
      </c>
      <c r="J388" s="2">
        <v>43526.038645833331</v>
      </c>
      <c r="K388" s="2">
        <v>43530.038645833331</v>
      </c>
      <c r="L388" s="2">
        <v>43531.038645833331</v>
      </c>
      <c r="M388" s="1">
        <f>_xlfn.DAYS(Table1[[#This Row],[actual_delivery_date]],Table1[[#This Row],[dispatch_date]])</f>
        <v>4</v>
      </c>
      <c r="N388">
        <v>38</v>
      </c>
      <c r="O388">
        <f>Table1[[#This Row],[transit_storage_cost]] * (1-'What -if Analysis'!$D$26)</f>
        <v>38</v>
      </c>
      <c r="P388">
        <v>112</v>
      </c>
      <c r="Q388">
        <v>3594.08</v>
      </c>
    </row>
    <row r="389" spans="1:17" x14ac:dyDescent="0.3">
      <c r="A389">
        <v>166730</v>
      </c>
      <c r="B389" s="1" t="s">
        <v>38</v>
      </c>
      <c r="C389" s="1" t="s">
        <v>23</v>
      </c>
      <c r="D389" s="1" t="s">
        <v>17</v>
      </c>
      <c r="E389" s="1" t="s">
        <v>18</v>
      </c>
      <c r="F389" s="1" t="s">
        <v>19</v>
      </c>
      <c r="G389" s="1" t="s">
        <v>20</v>
      </c>
      <c r="H389" t="s">
        <v>21</v>
      </c>
      <c r="I389" s="1" t="s">
        <v>22</v>
      </c>
      <c r="J389" s="2">
        <v>43525.042974537035</v>
      </c>
      <c r="K389" s="2">
        <v>43530.042974537035</v>
      </c>
      <c r="L389" s="2">
        <v>43530.042974537035</v>
      </c>
      <c r="M389" s="1">
        <f>_xlfn.DAYS(Table1[[#This Row],[actual_delivery_date]],Table1[[#This Row],[dispatch_date]])</f>
        <v>5</v>
      </c>
      <c r="N389">
        <v>60</v>
      </c>
      <c r="O389">
        <f>Table1[[#This Row],[transit_storage_cost]] * (1-'What -if Analysis'!$D$26)</f>
        <v>60</v>
      </c>
      <c r="P389">
        <v>91</v>
      </c>
      <c r="Q389">
        <v>542.37293098796238</v>
      </c>
    </row>
    <row r="390" spans="1:17" x14ac:dyDescent="0.3">
      <c r="A390">
        <v>601258</v>
      </c>
      <c r="B390" s="1" t="s">
        <v>38</v>
      </c>
      <c r="C390" s="1" t="s">
        <v>23</v>
      </c>
      <c r="D390" s="1" t="s">
        <v>24</v>
      </c>
      <c r="E390" s="1" t="s">
        <v>25</v>
      </c>
      <c r="F390" s="1" t="s">
        <v>19</v>
      </c>
      <c r="G390" s="1" t="s">
        <v>20</v>
      </c>
      <c r="H390" t="s">
        <v>21</v>
      </c>
      <c r="I390" s="1" t="s">
        <v>22</v>
      </c>
      <c r="J390" s="2">
        <v>43525.043344907404</v>
      </c>
      <c r="K390" s="2">
        <v>43530.043344907404</v>
      </c>
      <c r="L390" s="2">
        <v>43530.043344907404</v>
      </c>
      <c r="M390" s="1">
        <f>_xlfn.DAYS(Table1[[#This Row],[actual_delivery_date]],Table1[[#This Row],[dispatch_date]])</f>
        <v>5</v>
      </c>
      <c r="N390">
        <v>64</v>
      </c>
      <c r="O390">
        <f>Table1[[#This Row],[transit_storage_cost]] * (1-'What -if Analysis'!$D$26)</f>
        <v>64</v>
      </c>
      <c r="P390">
        <v>105</v>
      </c>
      <c r="Q390">
        <v>928.60105605262015</v>
      </c>
    </row>
    <row r="391" spans="1:17" x14ac:dyDescent="0.3">
      <c r="A391">
        <v>322565</v>
      </c>
      <c r="B391" s="1" t="s">
        <v>38</v>
      </c>
      <c r="C391" s="1" t="s">
        <v>23</v>
      </c>
      <c r="D391" s="1" t="s">
        <v>24</v>
      </c>
      <c r="E391" s="1" t="s">
        <v>25</v>
      </c>
      <c r="F391" s="1" t="s">
        <v>29</v>
      </c>
      <c r="G391" s="1" t="s">
        <v>20</v>
      </c>
      <c r="H391" t="s">
        <v>30</v>
      </c>
      <c r="I391" s="1" t="s">
        <v>22</v>
      </c>
      <c r="J391" s="2">
        <v>43527.048842592594</v>
      </c>
      <c r="K391" s="2">
        <v>43530.048842592594</v>
      </c>
      <c r="L391" s="2">
        <v>43533.048842592594</v>
      </c>
      <c r="M391" s="1">
        <f>_xlfn.DAYS(Table1[[#This Row],[actual_delivery_date]],Table1[[#This Row],[dispatch_date]])</f>
        <v>3</v>
      </c>
      <c r="N391">
        <v>42</v>
      </c>
      <c r="O391">
        <f>Table1[[#This Row],[transit_storage_cost]] * (1-'What -if Analysis'!$D$26)</f>
        <v>42</v>
      </c>
      <c r="P391">
        <v>121</v>
      </c>
      <c r="Q391">
        <v>962.22086640407281</v>
      </c>
    </row>
    <row r="392" spans="1:17" x14ac:dyDescent="0.3">
      <c r="A392">
        <v>464813</v>
      </c>
      <c r="B392" s="1" t="s">
        <v>38</v>
      </c>
      <c r="C392" s="1" t="s">
        <v>16</v>
      </c>
      <c r="D392" s="1" t="s">
        <v>17</v>
      </c>
      <c r="E392" s="1" t="s">
        <v>18</v>
      </c>
      <c r="F392" s="1" t="s">
        <v>29</v>
      </c>
      <c r="G392" s="1" t="s">
        <v>20</v>
      </c>
      <c r="H392" t="s">
        <v>30</v>
      </c>
      <c r="I392" s="1" t="s">
        <v>22</v>
      </c>
      <c r="J392" s="2">
        <v>43526.050578703704</v>
      </c>
      <c r="K392" s="2">
        <v>43530.050578703704</v>
      </c>
      <c r="L392" s="2">
        <v>43533.050578703704</v>
      </c>
      <c r="M392" s="1">
        <f>_xlfn.DAYS(Table1[[#This Row],[actual_delivery_date]],Table1[[#This Row],[dispatch_date]])</f>
        <v>4</v>
      </c>
      <c r="N392">
        <v>47</v>
      </c>
      <c r="O392">
        <f>Table1[[#This Row],[transit_storage_cost]] * (1-'What -if Analysis'!$D$26)</f>
        <v>47</v>
      </c>
      <c r="P392">
        <v>113</v>
      </c>
      <c r="Q392">
        <v>2535.082187254834</v>
      </c>
    </row>
    <row r="393" spans="1:17" x14ac:dyDescent="0.3">
      <c r="A393">
        <v>251056</v>
      </c>
      <c r="B393" s="1" t="s">
        <v>38</v>
      </c>
      <c r="C393" s="1" t="s">
        <v>16</v>
      </c>
      <c r="D393" s="1" t="s">
        <v>17</v>
      </c>
      <c r="E393" s="1" t="s">
        <v>18</v>
      </c>
      <c r="F393" s="1" t="s">
        <v>19</v>
      </c>
      <c r="G393" s="1" t="s">
        <v>20</v>
      </c>
      <c r="H393" t="s">
        <v>21</v>
      </c>
      <c r="I393" s="1" t="s">
        <v>22</v>
      </c>
      <c r="J393" s="2">
        <v>43528.052442129629</v>
      </c>
      <c r="K393" s="2">
        <v>43530.052442129629</v>
      </c>
      <c r="L393" s="2">
        <v>43531.052442129629</v>
      </c>
      <c r="M393" s="1">
        <f>_xlfn.DAYS(Table1[[#This Row],[actual_delivery_date]],Table1[[#This Row],[dispatch_date]])</f>
        <v>2</v>
      </c>
      <c r="N393">
        <v>71</v>
      </c>
      <c r="O393">
        <f>Table1[[#This Row],[transit_storage_cost]] * (1-'What -if Analysis'!$D$26)</f>
        <v>71</v>
      </c>
      <c r="P393">
        <v>89</v>
      </c>
      <c r="Q393">
        <v>1882.5243709057183</v>
      </c>
    </row>
    <row r="394" spans="1:17" x14ac:dyDescent="0.3">
      <c r="A394">
        <v>880884</v>
      </c>
      <c r="B394" s="1" t="s">
        <v>39</v>
      </c>
      <c r="C394" s="1" t="s">
        <v>16</v>
      </c>
      <c r="D394" s="1" t="s">
        <v>23</v>
      </c>
      <c r="E394" s="1" t="s">
        <v>28</v>
      </c>
      <c r="F394" s="1" t="s">
        <v>19</v>
      </c>
      <c r="G394" s="1" t="s">
        <v>20</v>
      </c>
      <c r="H394" t="s">
        <v>21</v>
      </c>
      <c r="I394" s="1" t="s">
        <v>26</v>
      </c>
      <c r="J394" s="2">
        <v>43528.05327546296</v>
      </c>
      <c r="K394" s="2">
        <v>43530.05327546296</v>
      </c>
      <c r="L394" s="2">
        <v>43532.05327546296</v>
      </c>
      <c r="M394" s="1">
        <f>_xlfn.DAYS(Table1[[#This Row],[actual_delivery_date]],Table1[[#This Row],[dispatch_date]])</f>
        <v>2</v>
      </c>
      <c r="N394">
        <v>32</v>
      </c>
      <c r="O394">
        <f>Table1[[#This Row],[transit_storage_cost]] * (1-'What -if Analysis'!$D$26)</f>
        <v>32</v>
      </c>
      <c r="P394">
        <v>128</v>
      </c>
      <c r="Q394">
        <v>3426.86</v>
      </c>
    </row>
    <row r="395" spans="1:17" x14ac:dyDescent="0.3">
      <c r="A395">
        <v>175756</v>
      </c>
      <c r="B395" s="1" t="s">
        <v>40</v>
      </c>
      <c r="C395" s="1" t="s">
        <v>23</v>
      </c>
      <c r="D395" s="1" t="s">
        <v>17</v>
      </c>
      <c r="E395" s="1" t="s">
        <v>18</v>
      </c>
      <c r="F395" s="1" t="s">
        <v>19</v>
      </c>
      <c r="G395" s="1" t="s">
        <v>20</v>
      </c>
      <c r="H395" t="s">
        <v>21</v>
      </c>
      <c r="I395" s="1" t="s">
        <v>22</v>
      </c>
      <c r="J395" s="2">
        <v>43528.059525462966</v>
      </c>
      <c r="K395" s="2">
        <v>43530.059525462966</v>
      </c>
      <c r="L395" s="2">
        <v>43531.059525462966</v>
      </c>
      <c r="M395" s="1">
        <f>_xlfn.DAYS(Table1[[#This Row],[actual_delivery_date]],Table1[[#This Row],[dispatch_date]])</f>
        <v>2</v>
      </c>
      <c r="N395">
        <v>40</v>
      </c>
      <c r="O395">
        <f>Table1[[#This Row],[transit_storage_cost]] * (1-'What -if Analysis'!$D$26)</f>
        <v>40</v>
      </c>
      <c r="P395">
        <v>112</v>
      </c>
      <c r="Q395">
        <v>2425.8858461645045</v>
      </c>
    </row>
    <row r="396" spans="1:17" x14ac:dyDescent="0.3">
      <c r="A396">
        <v>645636</v>
      </c>
      <c r="B396" s="1" t="s">
        <v>37</v>
      </c>
      <c r="C396" s="1" t="s">
        <v>16</v>
      </c>
      <c r="D396" s="1" t="s">
        <v>17</v>
      </c>
      <c r="E396" s="1" t="s">
        <v>18</v>
      </c>
      <c r="F396" s="1" t="s">
        <v>19</v>
      </c>
      <c r="G396" s="1" t="s">
        <v>20</v>
      </c>
      <c r="H396" t="s">
        <v>21</v>
      </c>
      <c r="I396" s="1" t="s">
        <v>26</v>
      </c>
      <c r="J396" s="2">
        <v>43528.060543981483</v>
      </c>
      <c r="K396" s="2">
        <v>43530.060543981483</v>
      </c>
      <c r="L396" s="2">
        <v>43532.060543981483</v>
      </c>
      <c r="M396" s="1">
        <f>_xlfn.DAYS(Table1[[#This Row],[actual_delivery_date]],Table1[[#This Row],[dispatch_date]])</f>
        <v>2</v>
      </c>
      <c r="N396">
        <v>37</v>
      </c>
      <c r="O396">
        <f>Table1[[#This Row],[transit_storage_cost]] * (1-'What -if Analysis'!$D$26)</f>
        <v>37</v>
      </c>
      <c r="P396">
        <v>111</v>
      </c>
      <c r="Q396">
        <v>985.72</v>
      </c>
    </row>
    <row r="397" spans="1:17" x14ac:dyDescent="0.3">
      <c r="A397">
        <v>853792</v>
      </c>
      <c r="B397" s="1" t="s">
        <v>37</v>
      </c>
      <c r="C397" s="1" t="s">
        <v>23</v>
      </c>
      <c r="D397" s="1" t="s">
        <v>16</v>
      </c>
      <c r="E397" s="1" t="s">
        <v>27</v>
      </c>
      <c r="F397" s="1" t="s">
        <v>19</v>
      </c>
      <c r="G397" s="1" t="s">
        <v>20</v>
      </c>
      <c r="H397" t="s">
        <v>21</v>
      </c>
      <c r="I397" s="1" t="s">
        <v>22</v>
      </c>
      <c r="J397" s="2">
        <v>43526.061238425929</v>
      </c>
      <c r="K397" s="2">
        <v>43530.061238425929</v>
      </c>
      <c r="L397" s="2">
        <v>43531.061238425929</v>
      </c>
      <c r="M397" s="1">
        <f>_xlfn.DAYS(Table1[[#This Row],[actual_delivery_date]],Table1[[#This Row],[dispatch_date]])</f>
        <v>4</v>
      </c>
      <c r="N397">
        <v>71</v>
      </c>
      <c r="O397">
        <f>Table1[[#This Row],[transit_storage_cost]] * (1-'What -if Analysis'!$D$26)</f>
        <v>71</v>
      </c>
      <c r="P397">
        <v>105</v>
      </c>
      <c r="Q397">
        <v>1099.8731301967523</v>
      </c>
    </row>
    <row r="398" spans="1:17" x14ac:dyDescent="0.3">
      <c r="A398">
        <v>805662</v>
      </c>
      <c r="B398" s="1" t="s">
        <v>39</v>
      </c>
      <c r="C398" s="1" t="s">
        <v>23</v>
      </c>
      <c r="D398" s="1" t="s">
        <v>16</v>
      </c>
      <c r="E398" s="1" t="s">
        <v>27</v>
      </c>
      <c r="F398" s="1" t="s">
        <v>19</v>
      </c>
      <c r="G398" s="1" t="s">
        <v>20</v>
      </c>
      <c r="H398" t="s">
        <v>21</v>
      </c>
      <c r="I398" s="1" t="s">
        <v>26</v>
      </c>
      <c r="J398" s="2">
        <v>43526.067256944443</v>
      </c>
      <c r="K398" s="2">
        <v>43530.067256944443</v>
      </c>
      <c r="L398" s="2">
        <v>43533.067256944443</v>
      </c>
      <c r="M398" s="1">
        <f>_xlfn.DAYS(Table1[[#This Row],[actual_delivery_date]],Table1[[#This Row],[dispatch_date]])</f>
        <v>4</v>
      </c>
      <c r="N398">
        <v>60</v>
      </c>
      <c r="O398">
        <f>Table1[[#This Row],[transit_storage_cost]] * (1-'What -if Analysis'!$D$26)</f>
        <v>60</v>
      </c>
      <c r="P398">
        <v>100</v>
      </c>
      <c r="Q398">
        <v>2549.85</v>
      </c>
    </row>
    <row r="399" spans="1:17" x14ac:dyDescent="0.3">
      <c r="A399">
        <v>420969</v>
      </c>
      <c r="B399" s="1" t="s">
        <v>37</v>
      </c>
      <c r="C399" s="1" t="s">
        <v>16</v>
      </c>
      <c r="D399" s="1" t="s">
        <v>17</v>
      </c>
      <c r="E399" s="1" t="s">
        <v>18</v>
      </c>
      <c r="F399" s="1" t="s">
        <v>19</v>
      </c>
      <c r="G399" s="1" t="s">
        <v>20</v>
      </c>
      <c r="H399" t="s">
        <v>30</v>
      </c>
      <c r="I399" s="1" t="s">
        <v>26</v>
      </c>
      <c r="J399" s="2">
        <v>43527.071712962963</v>
      </c>
      <c r="K399" s="2">
        <v>43530.071712962963</v>
      </c>
      <c r="L399" s="2">
        <v>43532.071712962963</v>
      </c>
      <c r="M399" s="1">
        <f>_xlfn.DAYS(Table1[[#This Row],[actual_delivery_date]],Table1[[#This Row],[dispatch_date]])</f>
        <v>3</v>
      </c>
      <c r="N399">
        <v>76</v>
      </c>
      <c r="O399">
        <f>Table1[[#This Row],[transit_storage_cost]] * (1-'What -if Analysis'!$D$26)</f>
        <v>76</v>
      </c>
      <c r="P399">
        <v>91</v>
      </c>
      <c r="Q399">
        <v>501.11</v>
      </c>
    </row>
    <row r="400" spans="1:17" x14ac:dyDescent="0.3">
      <c r="A400">
        <v>100137</v>
      </c>
      <c r="B400" s="1" t="s">
        <v>40</v>
      </c>
      <c r="C400" s="1" t="s">
        <v>16</v>
      </c>
      <c r="D400" s="1" t="s">
        <v>16</v>
      </c>
      <c r="E400" s="1" t="s">
        <v>27</v>
      </c>
      <c r="F400" s="1" t="s">
        <v>29</v>
      </c>
      <c r="G400" s="1" t="s">
        <v>20</v>
      </c>
      <c r="H400" t="s">
        <v>30</v>
      </c>
      <c r="I400" s="1" t="s">
        <v>26</v>
      </c>
      <c r="J400" s="2">
        <v>43526.074930555558</v>
      </c>
      <c r="K400" s="2">
        <v>43530.074930555558</v>
      </c>
      <c r="L400" s="2">
        <v>43530.074930555558</v>
      </c>
      <c r="M400" s="1">
        <f>_xlfn.DAYS(Table1[[#This Row],[actual_delivery_date]],Table1[[#This Row],[dispatch_date]])</f>
        <v>4</v>
      </c>
      <c r="N400">
        <v>0</v>
      </c>
      <c r="O400">
        <f>Table1[[#This Row],[transit_storage_cost]] * (1-'What -if Analysis'!$D$26)</f>
        <v>0</v>
      </c>
      <c r="P400">
        <v>123</v>
      </c>
      <c r="Q400">
        <v>2800.66</v>
      </c>
    </row>
    <row r="401" spans="1:17" x14ac:dyDescent="0.3">
      <c r="A401">
        <v>32864</v>
      </c>
      <c r="B401" s="1" t="s">
        <v>38</v>
      </c>
      <c r="C401" s="1" t="s">
        <v>16</v>
      </c>
      <c r="D401" s="1" t="s">
        <v>16</v>
      </c>
      <c r="E401" s="1" t="s">
        <v>27</v>
      </c>
      <c r="F401" s="1" t="s">
        <v>19</v>
      </c>
      <c r="G401" s="1" t="s">
        <v>20</v>
      </c>
      <c r="H401" t="s">
        <v>21</v>
      </c>
      <c r="I401" s="1" t="s">
        <v>22</v>
      </c>
      <c r="J401" s="2">
        <v>43530.080243055556</v>
      </c>
      <c r="K401" s="2">
        <v>43530.080243055556</v>
      </c>
      <c r="L401" s="2">
        <v>43534.080243055556</v>
      </c>
      <c r="M401" s="1">
        <f>_xlfn.DAYS(Table1[[#This Row],[actual_delivery_date]],Table1[[#This Row],[dispatch_date]])</f>
        <v>0</v>
      </c>
      <c r="N401">
        <v>0</v>
      </c>
      <c r="O401">
        <f>Table1[[#This Row],[transit_storage_cost]] * (1-'What -if Analysis'!$D$26)</f>
        <v>0</v>
      </c>
      <c r="P401">
        <v>124</v>
      </c>
      <c r="Q401">
        <v>3335.6618433390431</v>
      </c>
    </row>
    <row r="402" spans="1:17" x14ac:dyDescent="0.3">
      <c r="A402">
        <v>417466</v>
      </c>
      <c r="B402" s="1" t="s">
        <v>38</v>
      </c>
      <c r="C402" s="1" t="s">
        <v>23</v>
      </c>
      <c r="D402" s="1" t="s">
        <v>23</v>
      </c>
      <c r="E402" s="1" t="s">
        <v>28</v>
      </c>
      <c r="F402" s="1" t="s">
        <v>31</v>
      </c>
      <c r="G402" s="1" t="s">
        <v>20</v>
      </c>
      <c r="H402" t="s">
        <v>21</v>
      </c>
      <c r="I402" s="1" t="s">
        <v>22</v>
      </c>
      <c r="J402" s="2">
        <v>43526.080497685187</v>
      </c>
      <c r="K402" s="2">
        <v>43530.080497685187</v>
      </c>
      <c r="L402" s="2">
        <v>43533.080497685187</v>
      </c>
      <c r="M402" s="1">
        <f>_xlfn.DAYS(Table1[[#This Row],[actual_delivery_date]],Table1[[#This Row],[dispatch_date]])</f>
        <v>4</v>
      </c>
      <c r="N402">
        <v>0</v>
      </c>
      <c r="O402">
        <f>Table1[[#This Row],[transit_storage_cost]] * (1-'What -if Analysis'!$D$26)</f>
        <v>0</v>
      </c>
      <c r="P402">
        <v>121</v>
      </c>
      <c r="Q402">
        <v>925.65716178761284</v>
      </c>
    </row>
    <row r="403" spans="1:17" x14ac:dyDescent="0.3">
      <c r="A403">
        <v>720231</v>
      </c>
      <c r="B403" s="1" t="s">
        <v>37</v>
      </c>
      <c r="C403" s="1" t="s">
        <v>23</v>
      </c>
      <c r="D403" s="1" t="s">
        <v>16</v>
      </c>
      <c r="E403" s="1" t="s">
        <v>27</v>
      </c>
      <c r="F403" s="1" t="s">
        <v>29</v>
      </c>
      <c r="G403" s="1" t="s">
        <v>20</v>
      </c>
      <c r="H403" t="s">
        <v>30</v>
      </c>
      <c r="I403" s="1" t="s">
        <v>26</v>
      </c>
      <c r="J403" s="2">
        <v>43525.084976851853</v>
      </c>
      <c r="K403" s="2">
        <v>43530.084976851853</v>
      </c>
      <c r="L403" s="2">
        <v>43531.084976851853</v>
      </c>
      <c r="M403" s="1">
        <f>_xlfn.DAYS(Table1[[#This Row],[actual_delivery_date]],Table1[[#This Row],[dispatch_date]])</f>
        <v>5</v>
      </c>
      <c r="N403">
        <v>27</v>
      </c>
      <c r="O403">
        <f>Table1[[#This Row],[transit_storage_cost]] * (1-'What -if Analysis'!$D$26)</f>
        <v>27</v>
      </c>
      <c r="P403">
        <v>121</v>
      </c>
      <c r="Q403">
        <v>1910.62</v>
      </c>
    </row>
    <row r="404" spans="1:17" x14ac:dyDescent="0.3">
      <c r="A404">
        <v>557507</v>
      </c>
      <c r="B404" s="1" t="s">
        <v>39</v>
      </c>
      <c r="C404" s="1" t="s">
        <v>23</v>
      </c>
      <c r="D404" s="1" t="s">
        <v>24</v>
      </c>
      <c r="E404" s="1" t="s">
        <v>25</v>
      </c>
      <c r="F404" s="1" t="s">
        <v>29</v>
      </c>
      <c r="G404" s="1" t="s">
        <v>20</v>
      </c>
      <c r="H404" t="s">
        <v>30</v>
      </c>
      <c r="I404" s="1" t="s">
        <v>22</v>
      </c>
      <c r="J404" s="2">
        <v>43528.088206018518</v>
      </c>
      <c r="K404" s="2">
        <v>43530.088206018518</v>
      </c>
      <c r="L404" s="2">
        <v>43533.088206018518</v>
      </c>
      <c r="M404" s="1">
        <f>_xlfn.DAYS(Table1[[#This Row],[actual_delivery_date]],Table1[[#This Row],[dispatch_date]])</f>
        <v>2</v>
      </c>
      <c r="N404">
        <v>32</v>
      </c>
      <c r="O404">
        <f>Table1[[#This Row],[transit_storage_cost]] * (1-'What -if Analysis'!$D$26)</f>
        <v>32</v>
      </c>
      <c r="P404">
        <v>128</v>
      </c>
      <c r="Q404">
        <v>3725.8777176126282</v>
      </c>
    </row>
    <row r="405" spans="1:17" x14ac:dyDescent="0.3">
      <c r="A405">
        <v>864214</v>
      </c>
      <c r="B405" s="1" t="s">
        <v>37</v>
      </c>
      <c r="C405" s="1" t="s">
        <v>23</v>
      </c>
      <c r="D405" s="1" t="s">
        <v>16</v>
      </c>
      <c r="E405" s="1" t="s">
        <v>27</v>
      </c>
      <c r="F405" s="1" t="s">
        <v>19</v>
      </c>
      <c r="G405" s="1" t="s">
        <v>20</v>
      </c>
      <c r="H405" t="s">
        <v>21</v>
      </c>
      <c r="I405" s="1" t="s">
        <v>22</v>
      </c>
      <c r="J405" s="2">
        <v>43528.090752314813</v>
      </c>
      <c r="K405" s="2">
        <v>43530.090752314813</v>
      </c>
      <c r="L405" s="2">
        <v>43532.090752314813</v>
      </c>
      <c r="M405" s="1">
        <f>_xlfn.DAYS(Table1[[#This Row],[actual_delivery_date]],Table1[[#This Row],[dispatch_date]])</f>
        <v>2</v>
      </c>
      <c r="N405">
        <v>79</v>
      </c>
      <c r="O405">
        <f>Table1[[#This Row],[transit_storage_cost]] * (1-'What -if Analysis'!$D$26)</f>
        <v>79</v>
      </c>
      <c r="P405">
        <v>107</v>
      </c>
      <c r="Q405">
        <v>2757.2951308796301</v>
      </c>
    </row>
    <row r="406" spans="1:17" x14ac:dyDescent="0.3">
      <c r="A406">
        <v>112726</v>
      </c>
      <c r="B406" s="1" t="s">
        <v>41</v>
      </c>
      <c r="C406" s="1" t="s">
        <v>16</v>
      </c>
      <c r="D406" s="1" t="s">
        <v>16</v>
      </c>
      <c r="E406" s="1" t="s">
        <v>27</v>
      </c>
      <c r="F406" s="1" t="s">
        <v>31</v>
      </c>
      <c r="G406" s="1" t="s">
        <v>20</v>
      </c>
      <c r="H406" t="s">
        <v>21</v>
      </c>
      <c r="I406" s="1" t="s">
        <v>22</v>
      </c>
      <c r="J406" s="2">
        <v>43528.094050925924</v>
      </c>
      <c r="K406" s="2">
        <v>43530.094050925924</v>
      </c>
      <c r="L406" s="2">
        <v>43535.094050925924</v>
      </c>
      <c r="M406" s="1">
        <f>_xlfn.DAYS(Table1[[#This Row],[actual_delivery_date]],Table1[[#This Row],[dispatch_date]])</f>
        <v>2</v>
      </c>
      <c r="N406">
        <v>0</v>
      </c>
      <c r="O406">
        <f>Table1[[#This Row],[transit_storage_cost]] * (1-'What -if Analysis'!$D$26)</f>
        <v>0</v>
      </c>
      <c r="P406">
        <v>124</v>
      </c>
      <c r="Q406">
        <v>2734.5695439427191</v>
      </c>
    </row>
    <row r="407" spans="1:17" x14ac:dyDescent="0.3">
      <c r="A407">
        <v>708251</v>
      </c>
      <c r="B407" s="1" t="s">
        <v>37</v>
      </c>
      <c r="C407" s="1" t="s">
        <v>16</v>
      </c>
      <c r="D407" s="1" t="s">
        <v>23</v>
      </c>
      <c r="E407" s="1" t="s">
        <v>28</v>
      </c>
      <c r="F407" s="1" t="s">
        <v>29</v>
      </c>
      <c r="G407" s="1" t="s">
        <v>20</v>
      </c>
      <c r="H407" t="s">
        <v>30</v>
      </c>
      <c r="I407" s="1" t="s">
        <v>22</v>
      </c>
      <c r="J407" s="2">
        <v>43525.094259259262</v>
      </c>
      <c r="K407" s="2">
        <v>43530.094259259262</v>
      </c>
      <c r="L407" s="2">
        <v>43530.094259259262</v>
      </c>
      <c r="M407" s="1">
        <f>_xlfn.DAYS(Table1[[#This Row],[actual_delivery_date]],Table1[[#This Row],[dispatch_date]])</f>
        <v>5</v>
      </c>
      <c r="N407">
        <v>27</v>
      </c>
      <c r="O407">
        <f>Table1[[#This Row],[transit_storage_cost]] * (1-'What -if Analysis'!$D$26)</f>
        <v>27</v>
      </c>
      <c r="P407">
        <v>125</v>
      </c>
      <c r="Q407">
        <v>1656.69599583279</v>
      </c>
    </row>
    <row r="408" spans="1:17" x14ac:dyDescent="0.3">
      <c r="A408">
        <v>39130</v>
      </c>
      <c r="B408" s="1" t="s">
        <v>37</v>
      </c>
      <c r="C408" s="1" t="s">
        <v>23</v>
      </c>
      <c r="D408" s="1" t="s">
        <v>24</v>
      </c>
      <c r="E408" s="1" t="s">
        <v>25</v>
      </c>
      <c r="F408" s="1" t="s">
        <v>31</v>
      </c>
      <c r="G408" s="1" t="s">
        <v>20</v>
      </c>
      <c r="H408" t="s">
        <v>21</v>
      </c>
      <c r="I408" s="1" t="s">
        <v>22</v>
      </c>
      <c r="J408" s="2">
        <v>43527.09516203704</v>
      </c>
      <c r="K408" s="2">
        <v>43530.09516203704</v>
      </c>
      <c r="L408" s="2">
        <v>43534.09516203704</v>
      </c>
      <c r="M408" s="1">
        <f>_xlfn.DAYS(Table1[[#This Row],[actual_delivery_date]],Table1[[#This Row],[dispatch_date]])</f>
        <v>3</v>
      </c>
      <c r="N408">
        <v>9999</v>
      </c>
      <c r="O408">
        <f>Table1[[#This Row],[transit_storage_cost]] * (1-'What -if Analysis'!$D$26)</f>
        <v>9999</v>
      </c>
      <c r="P408">
        <v>128</v>
      </c>
      <c r="Q408">
        <v>3272.8225989268772</v>
      </c>
    </row>
    <row r="409" spans="1:17" x14ac:dyDescent="0.3">
      <c r="A409">
        <v>661516</v>
      </c>
      <c r="B409" s="1" t="s">
        <v>38</v>
      </c>
      <c r="C409" s="1" t="s">
        <v>16</v>
      </c>
      <c r="D409" s="1" t="s">
        <v>23</v>
      </c>
      <c r="E409" s="1" t="s">
        <v>28</v>
      </c>
      <c r="F409" s="1" t="s">
        <v>19</v>
      </c>
      <c r="G409" s="1" t="s">
        <v>20</v>
      </c>
      <c r="H409" t="s">
        <v>21</v>
      </c>
      <c r="I409" s="1" t="s">
        <v>22</v>
      </c>
      <c r="J409" s="2">
        <v>43525.095509259256</v>
      </c>
      <c r="K409" s="2">
        <v>43530.095509259256</v>
      </c>
      <c r="L409" s="2">
        <v>43528.095509259256</v>
      </c>
      <c r="M409" s="1">
        <f>_xlfn.DAYS(Table1[[#This Row],[actual_delivery_date]],Table1[[#This Row],[dispatch_date]])</f>
        <v>5</v>
      </c>
      <c r="N409">
        <v>31</v>
      </c>
      <c r="O409">
        <f>Table1[[#This Row],[transit_storage_cost]] * (1-'What -if Analysis'!$D$26)</f>
        <v>31</v>
      </c>
      <c r="P409">
        <v>130</v>
      </c>
      <c r="Q409">
        <v>198.55768274982287</v>
      </c>
    </row>
    <row r="410" spans="1:17" x14ac:dyDescent="0.3">
      <c r="A410">
        <v>981072</v>
      </c>
      <c r="B410" s="1" t="s">
        <v>37</v>
      </c>
      <c r="C410" s="1" t="s">
        <v>16</v>
      </c>
      <c r="D410" s="1" t="s">
        <v>16</v>
      </c>
      <c r="E410" s="1" t="s">
        <v>27</v>
      </c>
      <c r="F410" s="1" t="s">
        <v>19</v>
      </c>
      <c r="G410" s="1" t="s">
        <v>20</v>
      </c>
      <c r="H410" t="s">
        <v>21</v>
      </c>
      <c r="I410" s="1" t="s">
        <v>26</v>
      </c>
      <c r="J410" s="2">
        <v>43529.096817129626</v>
      </c>
      <c r="K410" s="2">
        <v>43530.096817129626</v>
      </c>
      <c r="L410" s="2">
        <v>43534.096817129626</v>
      </c>
      <c r="M410" s="1">
        <f>_xlfn.DAYS(Table1[[#This Row],[actual_delivery_date]],Table1[[#This Row],[dispatch_date]])</f>
        <v>1</v>
      </c>
      <c r="N410">
        <v>0</v>
      </c>
      <c r="O410">
        <f>Table1[[#This Row],[transit_storage_cost]] * (1-'What -if Analysis'!$D$26)</f>
        <v>0</v>
      </c>
      <c r="P410">
        <v>128</v>
      </c>
      <c r="Q410">
        <v>725.87</v>
      </c>
    </row>
    <row r="411" spans="1:17" x14ac:dyDescent="0.3">
      <c r="A411">
        <v>302775</v>
      </c>
      <c r="B411" s="1" t="s">
        <v>41</v>
      </c>
      <c r="C411" s="1" t="s">
        <v>23</v>
      </c>
      <c r="D411" s="1" t="s">
        <v>23</v>
      </c>
      <c r="E411" s="1" t="s">
        <v>28</v>
      </c>
      <c r="F411" s="1" t="s">
        <v>19</v>
      </c>
      <c r="G411" s="1" t="s">
        <v>20</v>
      </c>
      <c r="H411" t="s">
        <v>30</v>
      </c>
      <c r="I411" s="1" t="s">
        <v>26</v>
      </c>
      <c r="J411" s="2">
        <v>43525.102349537039</v>
      </c>
      <c r="K411" s="2">
        <v>43530.102349537039</v>
      </c>
      <c r="L411" s="2">
        <v>43528.102349537039</v>
      </c>
      <c r="M411" s="1">
        <f>_xlfn.DAYS(Table1[[#This Row],[actual_delivery_date]],Table1[[#This Row],[dispatch_date]])</f>
        <v>5</v>
      </c>
      <c r="N411">
        <v>0</v>
      </c>
      <c r="O411">
        <f>Table1[[#This Row],[transit_storage_cost]] * (1-'What -if Analysis'!$D$26)</f>
        <v>0</v>
      </c>
      <c r="P411">
        <v>105</v>
      </c>
      <c r="Q411">
        <v>2814.72</v>
      </c>
    </row>
    <row r="412" spans="1:17" x14ac:dyDescent="0.3">
      <c r="A412">
        <v>605473</v>
      </c>
      <c r="B412" s="1" t="s">
        <v>15</v>
      </c>
      <c r="C412" s="1" t="s">
        <v>16</v>
      </c>
      <c r="D412" s="1" t="s">
        <v>24</v>
      </c>
      <c r="E412" s="1" t="s">
        <v>25</v>
      </c>
      <c r="F412" s="1" t="s">
        <v>29</v>
      </c>
      <c r="G412" s="1" t="s">
        <v>20</v>
      </c>
      <c r="H412" t="s">
        <v>30</v>
      </c>
      <c r="I412" s="1" t="s">
        <v>22</v>
      </c>
      <c r="J412" s="2">
        <v>43528.104467592595</v>
      </c>
      <c r="K412" s="2">
        <v>43530.104467592595</v>
      </c>
      <c r="L412" s="2">
        <v>43534.104467592595</v>
      </c>
      <c r="M412" s="1">
        <f>_xlfn.DAYS(Table1[[#This Row],[actual_delivery_date]],Table1[[#This Row],[dispatch_date]])</f>
        <v>2</v>
      </c>
      <c r="N412">
        <v>35</v>
      </c>
      <c r="O412">
        <f>Table1[[#This Row],[transit_storage_cost]] * (1-'What -if Analysis'!$D$26)</f>
        <v>35</v>
      </c>
      <c r="P412">
        <v>128</v>
      </c>
      <c r="Q412">
        <v>2344.9694522010896</v>
      </c>
    </row>
    <row r="413" spans="1:17" x14ac:dyDescent="0.3">
      <c r="A413">
        <v>299443</v>
      </c>
      <c r="B413" s="1" t="s">
        <v>38</v>
      </c>
      <c r="C413" s="1" t="s">
        <v>16</v>
      </c>
      <c r="D413" s="1" t="s">
        <v>32</v>
      </c>
      <c r="E413" s="1" t="s">
        <v>33</v>
      </c>
      <c r="F413" s="1" t="s">
        <v>29</v>
      </c>
      <c r="G413" s="1" t="s">
        <v>20</v>
      </c>
      <c r="H413" t="s">
        <v>30</v>
      </c>
      <c r="I413" s="1" t="s">
        <v>22</v>
      </c>
      <c r="J413" s="2">
        <v>43528.106354166666</v>
      </c>
      <c r="K413" s="2">
        <v>43530.106354166666</v>
      </c>
      <c r="L413" s="2">
        <v>43531.106354166666</v>
      </c>
      <c r="M413" s="1">
        <f>_xlfn.DAYS(Table1[[#This Row],[actual_delivery_date]],Table1[[#This Row],[dispatch_date]])</f>
        <v>2</v>
      </c>
      <c r="N413">
        <v>32</v>
      </c>
      <c r="O413">
        <f>Table1[[#This Row],[transit_storage_cost]] * (1-'What -if Analysis'!$D$26)</f>
        <v>32</v>
      </c>
      <c r="P413">
        <v>110</v>
      </c>
      <c r="Q413">
        <v>2527.4323594468115</v>
      </c>
    </row>
    <row r="414" spans="1:17" x14ac:dyDescent="0.3">
      <c r="A414">
        <v>573062</v>
      </c>
      <c r="B414" s="1" t="s">
        <v>37</v>
      </c>
      <c r="C414" s="1" t="s">
        <v>16</v>
      </c>
      <c r="D414" s="1" t="s">
        <v>16</v>
      </c>
      <c r="E414" s="1" t="s">
        <v>27</v>
      </c>
      <c r="F414" s="1" t="s">
        <v>19</v>
      </c>
      <c r="G414" s="1" t="s">
        <v>20</v>
      </c>
      <c r="H414" t="s">
        <v>21</v>
      </c>
      <c r="I414" s="1" t="s">
        <v>22</v>
      </c>
      <c r="J414" s="2">
        <v>43527.10732638889</v>
      </c>
      <c r="K414" s="2">
        <v>43530.10732638889</v>
      </c>
      <c r="L414" s="2">
        <v>43533.10732638889</v>
      </c>
      <c r="M414" s="1">
        <f>_xlfn.DAYS(Table1[[#This Row],[actual_delivery_date]],Table1[[#This Row],[dispatch_date]])</f>
        <v>3</v>
      </c>
      <c r="N414">
        <v>0</v>
      </c>
      <c r="O414">
        <f>Table1[[#This Row],[transit_storage_cost]] * (1-'What -if Analysis'!$D$26)</f>
        <v>0</v>
      </c>
      <c r="P414">
        <v>102</v>
      </c>
      <c r="Q414">
        <v>1756.697501191172</v>
      </c>
    </row>
    <row r="415" spans="1:17" x14ac:dyDescent="0.3">
      <c r="A415">
        <v>134777</v>
      </c>
      <c r="B415" s="1" t="s">
        <v>37</v>
      </c>
      <c r="C415" s="1" t="s">
        <v>23</v>
      </c>
      <c r="D415" s="1" t="s">
        <v>16</v>
      </c>
      <c r="E415" s="1" t="s">
        <v>27</v>
      </c>
      <c r="F415" s="1" t="s">
        <v>19</v>
      </c>
      <c r="G415" s="1" t="s">
        <v>20</v>
      </c>
      <c r="H415" t="s">
        <v>30</v>
      </c>
      <c r="I415" s="1" t="s">
        <v>22</v>
      </c>
      <c r="J415" s="2">
        <v>43528.108807870369</v>
      </c>
      <c r="K415" s="2">
        <v>43530.108807870369</v>
      </c>
      <c r="L415" s="2">
        <v>43533.108807870369</v>
      </c>
      <c r="M415" s="1">
        <f>_xlfn.DAYS(Table1[[#This Row],[actual_delivery_date]],Table1[[#This Row],[dispatch_date]])</f>
        <v>2</v>
      </c>
      <c r="N415">
        <v>84</v>
      </c>
      <c r="O415">
        <f>Table1[[#This Row],[transit_storage_cost]] * (1-'What -if Analysis'!$D$26)</f>
        <v>84</v>
      </c>
      <c r="P415">
        <v>110</v>
      </c>
      <c r="Q415">
        <v>786.599039546261</v>
      </c>
    </row>
    <row r="416" spans="1:17" x14ac:dyDescent="0.3">
      <c r="A416">
        <v>297920</v>
      </c>
      <c r="B416" s="1" t="s">
        <v>41</v>
      </c>
      <c r="C416" s="1" t="s">
        <v>23</v>
      </c>
      <c r="D416" s="1" t="s">
        <v>17</v>
      </c>
      <c r="E416" s="1" t="s">
        <v>18</v>
      </c>
      <c r="F416" s="1" t="s">
        <v>19</v>
      </c>
      <c r="G416" s="1" t="s">
        <v>20</v>
      </c>
      <c r="H416" t="s">
        <v>21</v>
      </c>
      <c r="I416" s="1" t="s">
        <v>22</v>
      </c>
      <c r="J416" s="2">
        <v>43528.112314814818</v>
      </c>
      <c r="K416" s="2">
        <v>43530.112314814818</v>
      </c>
      <c r="L416" s="2">
        <v>43534.112314814818</v>
      </c>
      <c r="M416" s="1">
        <f>_xlfn.DAYS(Table1[[#This Row],[actual_delivery_date]],Table1[[#This Row],[dispatch_date]])</f>
        <v>2</v>
      </c>
      <c r="N416">
        <v>36</v>
      </c>
      <c r="O416">
        <f>Table1[[#This Row],[transit_storage_cost]] * (1-'What -if Analysis'!$D$26)</f>
        <v>36</v>
      </c>
      <c r="P416">
        <v>106</v>
      </c>
      <c r="Q416">
        <v>2253.6238823149661</v>
      </c>
    </row>
    <row r="417" spans="1:17" x14ac:dyDescent="0.3">
      <c r="A417">
        <v>263741</v>
      </c>
      <c r="B417" s="1" t="s">
        <v>41</v>
      </c>
      <c r="C417" s="1" t="s">
        <v>16</v>
      </c>
      <c r="D417" s="1" t="s">
        <v>16</v>
      </c>
      <c r="E417" s="1" t="s">
        <v>27</v>
      </c>
      <c r="F417" s="1" t="s">
        <v>29</v>
      </c>
      <c r="G417" s="1" t="s">
        <v>20</v>
      </c>
      <c r="H417" t="s">
        <v>30</v>
      </c>
      <c r="I417" s="1" t="s">
        <v>22</v>
      </c>
      <c r="J417" s="2">
        <v>43525.117071759261</v>
      </c>
      <c r="K417" s="2">
        <v>43530.117071759261</v>
      </c>
      <c r="L417" s="2">
        <v>43530.117071759261</v>
      </c>
      <c r="M417" s="1">
        <f>_xlfn.DAYS(Table1[[#This Row],[actual_delivery_date]],Table1[[#This Row],[dispatch_date]])</f>
        <v>5</v>
      </c>
      <c r="N417">
        <v>0</v>
      </c>
      <c r="O417">
        <f>Table1[[#This Row],[transit_storage_cost]] * (1-'What -if Analysis'!$D$26)</f>
        <v>0</v>
      </c>
      <c r="P417">
        <v>129</v>
      </c>
      <c r="Q417">
        <v>1232.9814577583743</v>
      </c>
    </row>
    <row r="418" spans="1:17" x14ac:dyDescent="0.3">
      <c r="A418">
        <v>205752</v>
      </c>
      <c r="B418" s="1" t="s">
        <v>38</v>
      </c>
      <c r="C418" s="1" t="s">
        <v>16</v>
      </c>
      <c r="D418" s="1" t="s">
        <v>16</v>
      </c>
      <c r="E418" s="1" t="s">
        <v>27</v>
      </c>
      <c r="F418" s="1" t="s">
        <v>19</v>
      </c>
      <c r="G418" s="1" t="s">
        <v>20</v>
      </c>
      <c r="H418" t="s">
        <v>21</v>
      </c>
      <c r="I418" s="1" t="s">
        <v>26</v>
      </c>
      <c r="J418" s="2">
        <v>43526.124050925922</v>
      </c>
      <c r="K418" s="2">
        <v>43530.124050925922</v>
      </c>
      <c r="L418" s="2">
        <v>43532.124050925922</v>
      </c>
      <c r="M418" s="1">
        <f>_xlfn.DAYS(Table1[[#This Row],[actual_delivery_date]],Table1[[#This Row],[dispatch_date]])</f>
        <v>4</v>
      </c>
      <c r="N418">
        <v>0</v>
      </c>
      <c r="O418">
        <f>Table1[[#This Row],[transit_storage_cost]] * (1-'What -if Analysis'!$D$26)</f>
        <v>0</v>
      </c>
      <c r="P418">
        <v>125</v>
      </c>
      <c r="Q418">
        <v>1187.21</v>
      </c>
    </row>
    <row r="419" spans="1:17" x14ac:dyDescent="0.3">
      <c r="A419">
        <v>626813</v>
      </c>
      <c r="B419" s="1" t="s">
        <v>40</v>
      </c>
      <c r="C419" s="1" t="s">
        <v>23</v>
      </c>
      <c r="D419" s="1" t="s">
        <v>16</v>
      </c>
      <c r="E419" s="1" t="s">
        <v>27</v>
      </c>
      <c r="F419" s="1" t="s">
        <v>29</v>
      </c>
      <c r="G419" s="1" t="s">
        <v>20</v>
      </c>
      <c r="H419" t="s">
        <v>30</v>
      </c>
      <c r="I419" s="1" t="s">
        <v>22</v>
      </c>
      <c r="J419" s="2">
        <v>43526.129305555558</v>
      </c>
      <c r="K419" s="2">
        <v>43530.129305555558</v>
      </c>
      <c r="L419" s="2">
        <v>43531.129305555558</v>
      </c>
      <c r="M419" s="1">
        <f>_xlfn.DAYS(Table1[[#This Row],[actual_delivery_date]],Table1[[#This Row],[dispatch_date]])</f>
        <v>4</v>
      </c>
      <c r="N419">
        <v>50</v>
      </c>
      <c r="O419">
        <f>Table1[[#This Row],[transit_storage_cost]] * (1-'What -if Analysis'!$D$26)</f>
        <v>50</v>
      </c>
      <c r="P419">
        <v>125</v>
      </c>
      <c r="Q419">
        <v>606.417404027673</v>
      </c>
    </row>
    <row r="420" spans="1:17" x14ac:dyDescent="0.3">
      <c r="A420">
        <v>465353</v>
      </c>
      <c r="B420" s="1" t="s">
        <v>39</v>
      </c>
      <c r="C420" s="1" t="s">
        <v>16</v>
      </c>
      <c r="D420" s="1" t="s">
        <v>16</v>
      </c>
      <c r="E420" s="1" t="s">
        <v>27</v>
      </c>
      <c r="F420" s="1" t="s">
        <v>29</v>
      </c>
      <c r="G420" s="1" t="s">
        <v>20</v>
      </c>
      <c r="H420" t="s">
        <v>34</v>
      </c>
      <c r="I420" s="1" t="s">
        <v>22</v>
      </c>
      <c r="J420" s="2">
        <v>43529.136921296296</v>
      </c>
      <c r="K420" s="2">
        <v>43530.136921296296</v>
      </c>
      <c r="L420" s="2">
        <v>43532.136921296296</v>
      </c>
      <c r="M420" s="1">
        <f>_xlfn.DAYS(Table1[[#This Row],[actual_delivery_date]],Table1[[#This Row],[dispatch_date]])</f>
        <v>1</v>
      </c>
      <c r="N420">
        <v>0</v>
      </c>
      <c r="O420">
        <f>Table1[[#This Row],[transit_storage_cost]] * (1-'What -if Analysis'!$D$26)</f>
        <v>0</v>
      </c>
      <c r="P420">
        <v>121</v>
      </c>
      <c r="Q420">
        <v>2292.2087161547211</v>
      </c>
    </row>
    <row r="421" spans="1:17" x14ac:dyDescent="0.3">
      <c r="A421">
        <v>444863</v>
      </c>
      <c r="B421" s="1" t="s">
        <v>38</v>
      </c>
      <c r="C421" s="1" t="s">
        <v>23</v>
      </c>
      <c r="D421" s="1" t="s">
        <v>23</v>
      </c>
      <c r="E421" s="1" t="s">
        <v>28</v>
      </c>
      <c r="F421" s="1" t="s">
        <v>19</v>
      </c>
      <c r="G421" s="1" t="s">
        <v>20</v>
      </c>
      <c r="H421" t="s">
        <v>30</v>
      </c>
      <c r="I421" s="1" t="s">
        <v>22</v>
      </c>
      <c r="J421" s="2">
        <v>43530.138043981482</v>
      </c>
      <c r="K421" s="2">
        <v>43530.138043981482</v>
      </c>
      <c r="L421" s="2">
        <v>43536.138043981482</v>
      </c>
      <c r="M421" s="1">
        <f>_xlfn.DAYS(Table1[[#This Row],[actual_delivery_date]],Table1[[#This Row],[dispatch_date]])</f>
        <v>0</v>
      </c>
      <c r="N421">
        <v>0</v>
      </c>
      <c r="O421">
        <f>Table1[[#This Row],[transit_storage_cost]] * (1-'What -if Analysis'!$D$26)</f>
        <v>0</v>
      </c>
      <c r="P421">
        <v>108</v>
      </c>
      <c r="Q421">
        <v>3128.3802479946162</v>
      </c>
    </row>
    <row r="422" spans="1:17" x14ac:dyDescent="0.3">
      <c r="A422">
        <v>89640</v>
      </c>
      <c r="B422" s="1" t="s">
        <v>38</v>
      </c>
      <c r="C422" s="1" t="s">
        <v>23</v>
      </c>
      <c r="D422" s="1" t="s">
        <v>17</v>
      </c>
      <c r="E422" s="1" t="s">
        <v>18</v>
      </c>
      <c r="F422" s="1" t="s">
        <v>19</v>
      </c>
      <c r="G422" s="1" t="s">
        <v>20</v>
      </c>
      <c r="H422" t="s">
        <v>21</v>
      </c>
      <c r="I422" s="1" t="s">
        <v>26</v>
      </c>
      <c r="J422" s="2">
        <v>43528.138159722221</v>
      </c>
      <c r="K422" s="2">
        <v>43530.138159722221</v>
      </c>
      <c r="L422" s="2">
        <v>43532.138159722221</v>
      </c>
      <c r="M422" s="1">
        <f>_xlfn.DAYS(Table1[[#This Row],[actual_delivery_date]],Table1[[#This Row],[dispatch_date]])</f>
        <v>2</v>
      </c>
      <c r="N422">
        <v>46</v>
      </c>
      <c r="O422">
        <f>Table1[[#This Row],[transit_storage_cost]] * (1-'What -if Analysis'!$D$26)</f>
        <v>46</v>
      </c>
      <c r="P422">
        <v>109</v>
      </c>
      <c r="Q422">
        <v>422.57</v>
      </c>
    </row>
    <row r="423" spans="1:17" x14ac:dyDescent="0.3">
      <c r="A423">
        <v>409223</v>
      </c>
      <c r="B423" s="1" t="s">
        <v>39</v>
      </c>
      <c r="C423" s="1" t="s">
        <v>23</v>
      </c>
      <c r="D423" s="1" t="s">
        <v>16</v>
      </c>
      <c r="E423" s="1" t="s">
        <v>27</v>
      </c>
      <c r="F423" s="1" t="s">
        <v>29</v>
      </c>
      <c r="G423" s="1" t="s">
        <v>20</v>
      </c>
      <c r="H423" t="s">
        <v>30</v>
      </c>
      <c r="I423" s="1" t="s">
        <v>22</v>
      </c>
      <c r="J423" s="2">
        <v>43525.141828703701</v>
      </c>
      <c r="K423" s="2">
        <v>43530.141828703701</v>
      </c>
      <c r="L423" s="2">
        <v>43530.141828703701</v>
      </c>
      <c r="M423" s="1">
        <f>_xlfn.DAYS(Table1[[#This Row],[actual_delivery_date]],Table1[[#This Row],[dispatch_date]])</f>
        <v>5</v>
      </c>
      <c r="N423">
        <v>38</v>
      </c>
      <c r="O423">
        <f>Table1[[#This Row],[transit_storage_cost]] * (1-'What -if Analysis'!$D$26)</f>
        <v>38</v>
      </c>
      <c r="P423">
        <v>129</v>
      </c>
      <c r="Q423">
        <v>606.08294842620569</v>
      </c>
    </row>
    <row r="424" spans="1:17" x14ac:dyDescent="0.3">
      <c r="A424">
        <v>750050</v>
      </c>
      <c r="B424" s="1" t="s">
        <v>37</v>
      </c>
      <c r="C424" s="1" t="s">
        <v>16</v>
      </c>
      <c r="D424" s="1" t="s">
        <v>16</v>
      </c>
      <c r="E424" s="1" t="s">
        <v>27</v>
      </c>
      <c r="F424" s="1" t="s">
        <v>19</v>
      </c>
      <c r="G424" s="1" t="s">
        <v>20</v>
      </c>
      <c r="H424" t="s">
        <v>21</v>
      </c>
      <c r="I424" s="1" t="s">
        <v>22</v>
      </c>
      <c r="J424" s="2">
        <v>43527.147094907406</v>
      </c>
      <c r="K424" s="2">
        <v>43530.147094907406</v>
      </c>
      <c r="L424" s="2">
        <v>43530.147094907406</v>
      </c>
      <c r="M424" s="1">
        <f>_xlfn.DAYS(Table1[[#This Row],[actual_delivery_date]],Table1[[#This Row],[dispatch_date]])</f>
        <v>3</v>
      </c>
      <c r="N424">
        <v>0</v>
      </c>
      <c r="O424">
        <f>Table1[[#This Row],[transit_storage_cost]] * (1-'What -if Analysis'!$D$26)</f>
        <v>0</v>
      </c>
      <c r="P424">
        <v>104</v>
      </c>
      <c r="Q424">
        <v>3772.0850390338383</v>
      </c>
    </row>
    <row r="425" spans="1:17" x14ac:dyDescent="0.3">
      <c r="A425">
        <v>732532</v>
      </c>
      <c r="B425" s="1" t="s">
        <v>40</v>
      </c>
      <c r="C425" s="1" t="s">
        <v>23</v>
      </c>
      <c r="D425" s="1" t="s">
        <v>16</v>
      </c>
      <c r="E425" s="1" t="s">
        <v>27</v>
      </c>
      <c r="F425" s="1" t="s">
        <v>19</v>
      </c>
      <c r="G425" s="1" t="s">
        <v>20</v>
      </c>
      <c r="H425" t="s">
        <v>21</v>
      </c>
      <c r="I425" s="1" t="s">
        <v>22</v>
      </c>
      <c r="J425" s="2">
        <v>43528.157430555555</v>
      </c>
      <c r="K425" s="2">
        <v>43530.157430555555</v>
      </c>
      <c r="L425" s="2">
        <v>43535.157430555555</v>
      </c>
      <c r="M425" s="1">
        <f>_xlfn.DAYS(Table1[[#This Row],[actual_delivery_date]],Table1[[#This Row],[dispatch_date]])</f>
        <v>2</v>
      </c>
      <c r="N425">
        <v>35</v>
      </c>
      <c r="O425">
        <f>Table1[[#This Row],[transit_storage_cost]] * (1-'What -if Analysis'!$D$26)</f>
        <v>35</v>
      </c>
      <c r="P425">
        <v>125</v>
      </c>
      <c r="Q425">
        <v>784.06847945557956</v>
      </c>
    </row>
    <row r="426" spans="1:17" x14ac:dyDescent="0.3">
      <c r="A426">
        <v>108375</v>
      </c>
      <c r="B426" s="1" t="s">
        <v>40</v>
      </c>
      <c r="C426" s="1" t="s">
        <v>16</v>
      </c>
      <c r="D426" s="1" t="s">
        <v>16</v>
      </c>
      <c r="E426" s="1" t="s">
        <v>27</v>
      </c>
      <c r="F426" s="1" t="s">
        <v>19</v>
      </c>
      <c r="G426" s="1" t="s">
        <v>20</v>
      </c>
      <c r="H426" t="s">
        <v>30</v>
      </c>
      <c r="I426" s="1" t="s">
        <v>26</v>
      </c>
      <c r="J426" s="2">
        <v>43529.167708333334</v>
      </c>
      <c r="K426" s="2">
        <v>43530.167708333334</v>
      </c>
      <c r="L426" s="2">
        <v>43533.167708333334</v>
      </c>
      <c r="M426" s="1">
        <f>_xlfn.DAYS(Table1[[#This Row],[actual_delivery_date]],Table1[[#This Row],[dispatch_date]])</f>
        <v>1</v>
      </c>
      <c r="N426">
        <v>0</v>
      </c>
      <c r="O426">
        <f>Table1[[#This Row],[transit_storage_cost]] * (1-'What -if Analysis'!$D$26)</f>
        <v>0</v>
      </c>
      <c r="P426">
        <v>104</v>
      </c>
      <c r="Q426">
        <v>2276.81</v>
      </c>
    </row>
    <row r="427" spans="1:17" x14ac:dyDescent="0.3">
      <c r="A427">
        <v>897125</v>
      </c>
      <c r="B427" s="1" t="s">
        <v>15</v>
      </c>
      <c r="C427" s="1" t="s">
        <v>23</v>
      </c>
      <c r="D427" s="1" t="s">
        <v>17</v>
      </c>
      <c r="E427" s="1" t="s">
        <v>18</v>
      </c>
      <c r="F427" s="1" t="s">
        <v>19</v>
      </c>
      <c r="G427" s="1" t="s">
        <v>20</v>
      </c>
      <c r="H427" t="s">
        <v>30</v>
      </c>
      <c r="I427" s="1" t="s">
        <v>22</v>
      </c>
      <c r="J427" s="2">
        <v>43527.169675925928</v>
      </c>
      <c r="K427" s="2">
        <v>43530.169675925928</v>
      </c>
      <c r="L427" s="2">
        <v>43532.169675925928</v>
      </c>
      <c r="M427" s="1">
        <f>_xlfn.DAYS(Table1[[#This Row],[actual_delivery_date]],Table1[[#This Row],[dispatch_date]])</f>
        <v>3</v>
      </c>
      <c r="N427">
        <v>65</v>
      </c>
      <c r="O427">
        <f>Table1[[#This Row],[transit_storage_cost]] * (1-'What -if Analysis'!$D$26)</f>
        <v>65</v>
      </c>
      <c r="P427">
        <v>87</v>
      </c>
      <c r="Q427">
        <v>621.47254602370799</v>
      </c>
    </row>
    <row r="428" spans="1:17" x14ac:dyDescent="0.3">
      <c r="A428">
        <v>101828</v>
      </c>
      <c r="B428" s="1" t="s">
        <v>40</v>
      </c>
      <c r="C428" s="1" t="s">
        <v>23</v>
      </c>
      <c r="D428" s="1" t="s">
        <v>23</v>
      </c>
      <c r="E428" s="1" t="s">
        <v>28</v>
      </c>
      <c r="F428" s="1" t="s">
        <v>19</v>
      </c>
      <c r="G428" s="1" t="s">
        <v>20</v>
      </c>
      <c r="H428" t="s">
        <v>21</v>
      </c>
      <c r="I428" s="1" t="s">
        <v>22</v>
      </c>
      <c r="J428" s="2">
        <v>43527.179363425923</v>
      </c>
      <c r="K428" s="2">
        <v>43530.179363425923</v>
      </c>
      <c r="L428" s="2">
        <v>43531.179363425923</v>
      </c>
      <c r="M428" s="1">
        <f>_xlfn.DAYS(Table1[[#This Row],[actual_delivery_date]],Table1[[#This Row],[dispatch_date]])</f>
        <v>3</v>
      </c>
      <c r="N428">
        <v>0</v>
      </c>
      <c r="O428">
        <f>Table1[[#This Row],[transit_storage_cost]] * (1-'What -if Analysis'!$D$26)</f>
        <v>0</v>
      </c>
      <c r="P428">
        <v>121</v>
      </c>
      <c r="Q428">
        <v>1585.7826876342533</v>
      </c>
    </row>
    <row r="429" spans="1:17" x14ac:dyDescent="0.3">
      <c r="A429">
        <v>250834</v>
      </c>
      <c r="B429" s="1" t="s">
        <v>15</v>
      </c>
      <c r="C429" s="1" t="s">
        <v>23</v>
      </c>
      <c r="D429" s="1" t="s">
        <v>16</v>
      </c>
      <c r="E429" s="1" t="s">
        <v>27</v>
      </c>
      <c r="F429" s="1" t="s">
        <v>31</v>
      </c>
      <c r="G429" s="1" t="s">
        <v>20</v>
      </c>
      <c r="H429" t="s">
        <v>21</v>
      </c>
      <c r="I429" s="1" t="s">
        <v>22</v>
      </c>
      <c r="J429" s="2">
        <v>43526.18478009259</v>
      </c>
      <c r="K429" s="2">
        <v>43530.18478009259</v>
      </c>
      <c r="L429" s="2">
        <v>43531.18478009259</v>
      </c>
      <c r="M429" s="1">
        <f>_xlfn.DAYS(Table1[[#This Row],[actual_delivery_date]],Table1[[#This Row],[dispatch_date]])</f>
        <v>4</v>
      </c>
      <c r="N429">
        <v>35</v>
      </c>
      <c r="O429">
        <f>Table1[[#This Row],[transit_storage_cost]] * (1-'What -if Analysis'!$D$26)</f>
        <v>35</v>
      </c>
      <c r="P429">
        <v>121</v>
      </c>
      <c r="Q429">
        <v>2963.8320714332226</v>
      </c>
    </row>
    <row r="430" spans="1:17" x14ac:dyDescent="0.3">
      <c r="A430">
        <v>718203</v>
      </c>
      <c r="B430" s="1" t="s">
        <v>41</v>
      </c>
      <c r="C430" s="1" t="s">
        <v>23</v>
      </c>
      <c r="D430" s="1" t="s">
        <v>16</v>
      </c>
      <c r="E430" s="1" t="s">
        <v>27</v>
      </c>
      <c r="F430" s="1" t="s">
        <v>29</v>
      </c>
      <c r="G430" s="1" t="s">
        <v>20</v>
      </c>
      <c r="H430" t="s">
        <v>30</v>
      </c>
      <c r="I430" s="1" t="s">
        <v>26</v>
      </c>
      <c r="J430" s="2">
        <v>43527.200555555559</v>
      </c>
      <c r="K430" s="2">
        <v>43530.200555555559</v>
      </c>
      <c r="L430" s="2">
        <v>43531.200555555559</v>
      </c>
      <c r="M430" s="1">
        <f>_xlfn.DAYS(Table1[[#This Row],[actual_delivery_date]],Table1[[#This Row],[dispatch_date]])</f>
        <v>3</v>
      </c>
      <c r="N430">
        <v>36</v>
      </c>
      <c r="O430">
        <f>Table1[[#This Row],[transit_storage_cost]] * (1-'What -if Analysis'!$D$26)</f>
        <v>36</v>
      </c>
      <c r="P430">
        <v>120</v>
      </c>
      <c r="Q430">
        <v>723.96</v>
      </c>
    </row>
    <row r="431" spans="1:17" x14ac:dyDescent="0.3">
      <c r="A431">
        <v>43628</v>
      </c>
      <c r="B431" s="1" t="s">
        <v>40</v>
      </c>
      <c r="C431" s="1" t="s">
        <v>16</v>
      </c>
      <c r="D431" s="1" t="s">
        <v>16</v>
      </c>
      <c r="E431" s="1" t="s">
        <v>27</v>
      </c>
      <c r="F431" s="1" t="s">
        <v>19</v>
      </c>
      <c r="G431" s="1" t="s">
        <v>20</v>
      </c>
      <c r="H431" t="s">
        <v>21</v>
      </c>
      <c r="I431" s="1" t="s">
        <v>22</v>
      </c>
      <c r="J431" s="2">
        <v>43525.202002314814</v>
      </c>
      <c r="K431" s="2">
        <v>43530.202002314814</v>
      </c>
      <c r="L431" s="2">
        <v>43530.202002314814</v>
      </c>
      <c r="M431" s="1">
        <f>_xlfn.DAYS(Table1[[#This Row],[actual_delivery_date]],Table1[[#This Row],[dispatch_date]])</f>
        <v>5</v>
      </c>
      <c r="N431">
        <v>0</v>
      </c>
      <c r="O431">
        <f>Table1[[#This Row],[transit_storage_cost]] * (1-'What -if Analysis'!$D$26)</f>
        <v>0</v>
      </c>
      <c r="P431">
        <v>127</v>
      </c>
      <c r="Q431">
        <v>1584.9290635402019</v>
      </c>
    </row>
    <row r="432" spans="1:17" x14ac:dyDescent="0.3">
      <c r="A432">
        <v>307900</v>
      </c>
      <c r="B432" s="1" t="s">
        <v>38</v>
      </c>
      <c r="C432" s="1" t="s">
        <v>16</v>
      </c>
      <c r="D432" s="1" t="s">
        <v>17</v>
      </c>
      <c r="E432" s="1" t="s">
        <v>18</v>
      </c>
      <c r="F432" s="1" t="s">
        <v>19</v>
      </c>
      <c r="G432" s="1" t="s">
        <v>20</v>
      </c>
      <c r="H432" t="s">
        <v>21</v>
      </c>
      <c r="I432" s="1" t="s">
        <v>22</v>
      </c>
      <c r="J432" s="2">
        <v>43528.210543981484</v>
      </c>
      <c r="K432" s="2">
        <v>43530.210543981484</v>
      </c>
      <c r="L432" s="2">
        <v>43533.210543981484</v>
      </c>
      <c r="M432" s="1">
        <f>_xlfn.DAYS(Table1[[#This Row],[actual_delivery_date]],Table1[[#This Row],[dispatch_date]])</f>
        <v>2</v>
      </c>
      <c r="N432">
        <v>28</v>
      </c>
      <c r="O432">
        <f>Table1[[#This Row],[transit_storage_cost]] * (1-'What -if Analysis'!$D$26)</f>
        <v>28</v>
      </c>
      <c r="P432">
        <v>114</v>
      </c>
      <c r="Q432">
        <v>1453.1917507498335</v>
      </c>
    </row>
    <row r="433" spans="1:17" x14ac:dyDescent="0.3">
      <c r="A433">
        <v>367741</v>
      </c>
      <c r="B433" s="1" t="s">
        <v>37</v>
      </c>
      <c r="C433" s="1" t="s">
        <v>16</v>
      </c>
      <c r="D433" s="1" t="s">
        <v>17</v>
      </c>
      <c r="E433" s="1" t="s">
        <v>18</v>
      </c>
      <c r="F433" s="1" t="s">
        <v>29</v>
      </c>
      <c r="G433" s="1" t="s">
        <v>20</v>
      </c>
      <c r="H433" t="s">
        <v>30</v>
      </c>
      <c r="I433" s="1" t="s">
        <v>22</v>
      </c>
      <c r="J433" s="2">
        <v>43525.213622685187</v>
      </c>
      <c r="K433" s="2">
        <v>43530.213622685187</v>
      </c>
      <c r="L433" s="2">
        <v>43532.213622685187</v>
      </c>
      <c r="M433" s="1">
        <f>_xlfn.DAYS(Table1[[#This Row],[actual_delivery_date]],Table1[[#This Row],[dispatch_date]])</f>
        <v>5</v>
      </c>
      <c r="N433">
        <v>40</v>
      </c>
      <c r="O433">
        <f>Table1[[#This Row],[transit_storage_cost]] * (1-'What -if Analysis'!$D$26)</f>
        <v>40</v>
      </c>
      <c r="P433">
        <v>110</v>
      </c>
      <c r="Q433">
        <v>941.66439437301676</v>
      </c>
    </row>
    <row r="434" spans="1:17" x14ac:dyDescent="0.3">
      <c r="A434">
        <v>116628</v>
      </c>
      <c r="B434" s="1" t="s">
        <v>37</v>
      </c>
      <c r="C434" s="1" t="s">
        <v>23</v>
      </c>
      <c r="D434" s="1" t="s">
        <v>23</v>
      </c>
      <c r="E434" s="1" t="s">
        <v>28</v>
      </c>
      <c r="F434" s="1" t="s">
        <v>19</v>
      </c>
      <c r="G434" s="1" t="s">
        <v>20</v>
      </c>
      <c r="H434" t="s">
        <v>21</v>
      </c>
      <c r="I434" s="1" t="s">
        <v>26</v>
      </c>
      <c r="J434" s="2">
        <v>43527.228275462963</v>
      </c>
      <c r="K434" s="2">
        <v>43530.228275462963</v>
      </c>
      <c r="L434" s="2">
        <v>43533.228275462963</v>
      </c>
      <c r="M434" s="1">
        <f>_xlfn.DAYS(Table1[[#This Row],[actual_delivery_date]],Table1[[#This Row],[dispatch_date]])</f>
        <v>3</v>
      </c>
      <c r="N434">
        <v>0</v>
      </c>
      <c r="O434">
        <f>Table1[[#This Row],[transit_storage_cost]] * (1-'What -if Analysis'!$D$26)</f>
        <v>0</v>
      </c>
      <c r="P434">
        <v>104</v>
      </c>
      <c r="Q434">
        <v>1668.47</v>
      </c>
    </row>
    <row r="435" spans="1:17" x14ac:dyDescent="0.3">
      <c r="A435">
        <v>248538</v>
      </c>
      <c r="B435" s="1" t="s">
        <v>40</v>
      </c>
      <c r="C435" s="1" t="s">
        <v>23</v>
      </c>
      <c r="D435" s="1" t="s">
        <v>17</v>
      </c>
      <c r="E435" s="1" t="s">
        <v>18</v>
      </c>
      <c r="F435" s="1" t="s">
        <v>31</v>
      </c>
      <c r="G435" s="1" t="s">
        <v>20</v>
      </c>
      <c r="H435" t="s">
        <v>21</v>
      </c>
      <c r="I435" s="1" t="s">
        <v>26</v>
      </c>
      <c r="J435" s="2">
        <v>43526.228622685187</v>
      </c>
      <c r="K435" s="2">
        <v>43530.228622685187</v>
      </c>
      <c r="L435" s="2">
        <v>43532.228622685187</v>
      </c>
      <c r="M435" s="1">
        <f>_xlfn.DAYS(Table1[[#This Row],[actual_delivery_date]],Table1[[#This Row],[dispatch_date]])</f>
        <v>4</v>
      </c>
      <c r="N435">
        <v>45</v>
      </c>
      <c r="O435">
        <f>Table1[[#This Row],[transit_storage_cost]] * (1-'What -if Analysis'!$D$26)</f>
        <v>45</v>
      </c>
      <c r="P435">
        <v>107</v>
      </c>
      <c r="Q435">
        <v>770.28</v>
      </c>
    </row>
    <row r="436" spans="1:17" x14ac:dyDescent="0.3">
      <c r="A436">
        <v>211234</v>
      </c>
      <c r="B436" s="1" t="s">
        <v>37</v>
      </c>
      <c r="C436" s="1" t="s">
        <v>16</v>
      </c>
      <c r="D436" s="1" t="s">
        <v>16</v>
      </c>
      <c r="E436" s="1" t="s">
        <v>27</v>
      </c>
      <c r="F436" s="1" t="s">
        <v>31</v>
      </c>
      <c r="G436" s="1" t="s">
        <v>20</v>
      </c>
      <c r="H436" t="s">
        <v>21</v>
      </c>
      <c r="I436" s="1" t="s">
        <v>22</v>
      </c>
      <c r="J436" s="2">
        <v>43526.231712962966</v>
      </c>
      <c r="K436" s="2">
        <v>43530.231712962966</v>
      </c>
      <c r="L436" s="2">
        <v>43530.231712962966</v>
      </c>
      <c r="M436" s="1">
        <f>_xlfn.DAYS(Table1[[#This Row],[actual_delivery_date]],Table1[[#This Row],[dispatch_date]])</f>
        <v>4</v>
      </c>
      <c r="N436">
        <v>0</v>
      </c>
      <c r="O436">
        <f>Table1[[#This Row],[transit_storage_cost]] * (1-'What -if Analysis'!$D$26)</f>
        <v>0</v>
      </c>
      <c r="P436">
        <v>121</v>
      </c>
      <c r="Q436">
        <v>3140.987906658911</v>
      </c>
    </row>
    <row r="437" spans="1:17" x14ac:dyDescent="0.3">
      <c r="A437">
        <v>882197</v>
      </c>
      <c r="B437" s="1" t="s">
        <v>37</v>
      </c>
      <c r="C437" s="1" t="s">
        <v>23</v>
      </c>
      <c r="D437" s="1" t="s">
        <v>24</v>
      </c>
      <c r="E437" s="1" t="s">
        <v>25</v>
      </c>
      <c r="F437" s="1" t="s">
        <v>29</v>
      </c>
      <c r="G437" s="1" t="s">
        <v>20</v>
      </c>
      <c r="H437" t="s">
        <v>30</v>
      </c>
      <c r="I437" s="1" t="s">
        <v>22</v>
      </c>
      <c r="J437" s="2">
        <v>43528.24113425926</v>
      </c>
      <c r="K437" s="2">
        <v>43530.24113425926</v>
      </c>
      <c r="L437" s="2">
        <v>43531.24113425926</v>
      </c>
      <c r="M437" s="1">
        <f>_xlfn.DAYS(Table1[[#This Row],[actual_delivery_date]],Table1[[#This Row],[dispatch_date]])</f>
        <v>2</v>
      </c>
      <c r="N437">
        <v>37</v>
      </c>
      <c r="O437">
        <f>Table1[[#This Row],[transit_storage_cost]] * (1-'What -if Analysis'!$D$26)</f>
        <v>37</v>
      </c>
      <c r="P437">
        <v>128</v>
      </c>
      <c r="Q437">
        <v>498.2910104781181</v>
      </c>
    </row>
    <row r="438" spans="1:17" x14ac:dyDescent="0.3">
      <c r="A438">
        <v>201129</v>
      </c>
      <c r="B438" s="1" t="s">
        <v>37</v>
      </c>
      <c r="C438" s="1" t="s">
        <v>23</v>
      </c>
      <c r="D438" s="1" t="s">
        <v>16</v>
      </c>
      <c r="E438" s="1" t="s">
        <v>27</v>
      </c>
      <c r="F438" s="1" t="s">
        <v>19</v>
      </c>
      <c r="G438" s="1" t="s">
        <v>36</v>
      </c>
      <c r="H438" t="s">
        <v>30</v>
      </c>
      <c r="I438" s="1" t="s">
        <v>26</v>
      </c>
      <c r="J438" s="2">
        <v>43526.24658564815</v>
      </c>
      <c r="K438" s="2">
        <v>43530.24658564815</v>
      </c>
      <c r="L438" s="2">
        <v>43531.24658564815</v>
      </c>
      <c r="M438" s="1">
        <f>_xlfn.DAYS(Table1[[#This Row],[actual_delivery_date]],Table1[[#This Row],[dispatch_date]])</f>
        <v>4</v>
      </c>
      <c r="N438">
        <v>62</v>
      </c>
      <c r="O438">
        <f>Table1[[#This Row],[transit_storage_cost]] * (1-'What -if Analysis'!$D$26)</f>
        <v>62</v>
      </c>
      <c r="P438">
        <v>106</v>
      </c>
      <c r="Q438">
        <v>2891.5231247157212</v>
      </c>
    </row>
    <row r="439" spans="1:17" x14ac:dyDescent="0.3">
      <c r="A439">
        <v>134999</v>
      </c>
      <c r="B439" s="1" t="s">
        <v>41</v>
      </c>
      <c r="C439" s="1" t="s">
        <v>16</v>
      </c>
      <c r="D439" s="1" t="s">
        <v>16</v>
      </c>
      <c r="E439" s="1" t="s">
        <v>27</v>
      </c>
      <c r="F439" s="1" t="s">
        <v>29</v>
      </c>
      <c r="G439" s="1" t="s">
        <v>20</v>
      </c>
      <c r="H439" t="s">
        <v>30</v>
      </c>
      <c r="I439" s="1" t="s">
        <v>22</v>
      </c>
      <c r="J439" s="2">
        <v>43525.265219907407</v>
      </c>
      <c r="K439" s="2">
        <v>43530.265219907407</v>
      </c>
      <c r="L439" s="2">
        <v>43531.265219907407</v>
      </c>
      <c r="M439" s="1">
        <f>_xlfn.DAYS(Table1[[#This Row],[actual_delivery_date]],Table1[[#This Row],[dispatch_date]])</f>
        <v>5</v>
      </c>
      <c r="N439">
        <v>0</v>
      </c>
      <c r="O439">
        <f>Table1[[#This Row],[transit_storage_cost]] * (1-'What -if Analysis'!$D$26)</f>
        <v>0</v>
      </c>
      <c r="P439">
        <v>126</v>
      </c>
      <c r="Q439">
        <v>3683.618476884064</v>
      </c>
    </row>
    <row r="440" spans="1:17" x14ac:dyDescent="0.3">
      <c r="A440">
        <v>197448</v>
      </c>
      <c r="B440" s="1" t="s">
        <v>39</v>
      </c>
      <c r="C440" s="1" t="s">
        <v>23</v>
      </c>
      <c r="D440" s="1" t="s">
        <v>17</v>
      </c>
      <c r="E440" s="1" t="s">
        <v>18</v>
      </c>
      <c r="F440" s="1" t="s">
        <v>19</v>
      </c>
      <c r="G440" s="1" t="s">
        <v>20</v>
      </c>
      <c r="H440" t="s">
        <v>21</v>
      </c>
      <c r="I440" s="1" t="s">
        <v>26</v>
      </c>
      <c r="J440" s="2">
        <v>43527.267372685186</v>
      </c>
      <c r="K440" s="2">
        <v>43530.267372685186</v>
      </c>
      <c r="L440" s="2">
        <v>43534.267372685186</v>
      </c>
      <c r="M440" s="1">
        <f>_xlfn.DAYS(Table1[[#This Row],[actual_delivery_date]],Table1[[#This Row],[dispatch_date]])</f>
        <v>3</v>
      </c>
      <c r="N440">
        <v>49</v>
      </c>
      <c r="O440">
        <f>Table1[[#This Row],[transit_storage_cost]] * (1-'What -if Analysis'!$D$26)</f>
        <v>49</v>
      </c>
      <c r="P440">
        <v>111</v>
      </c>
      <c r="Q440">
        <v>1287.1300000000001</v>
      </c>
    </row>
    <row r="441" spans="1:17" x14ac:dyDescent="0.3">
      <c r="A441">
        <v>826814</v>
      </c>
      <c r="B441" s="1" t="s">
        <v>39</v>
      </c>
      <c r="C441" s="1" t="s">
        <v>23</v>
      </c>
      <c r="D441" s="1" t="s">
        <v>17</v>
      </c>
      <c r="E441" s="1" t="s">
        <v>18</v>
      </c>
      <c r="F441" s="1" t="s">
        <v>31</v>
      </c>
      <c r="G441" s="1" t="s">
        <v>20</v>
      </c>
      <c r="H441" t="s">
        <v>21</v>
      </c>
      <c r="I441" s="1" t="s">
        <v>22</v>
      </c>
      <c r="J441" s="2">
        <v>43526.267488425925</v>
      </c>
      <c r="K441" s="2">
        <v>43530.267488425925</v>
      </c>
      <c r="L441" s="2">
        <v>43529.267488425925</v>
      </c>
      <c r="M441" s="1">
        <f>_xlfn.DAYS(Table1[[#This Row],[actual_delivery_date]],Table1[[#This Row],[dispatch_date]])</f>
        <v>4</v>
      </c>
      <c r="N441">
        <v>46</v>
      </c>
      <c r="O441">
        <f>Table1[[#This Row],[transit_storage_cost]] * (1-'What -if Analysis'!$D$26)</f>
        <v>46</v>
      </c>
      <c r="P441">
        <v>111</v>
      </c>
      <c r="Q441">
        <v>1573.5846203671051</v>
      </c>
    </row>
    <row r="442" spans="1:17" x14ac:dyDescent="0.3">
      <c r="A442">
        <v>357366</v>
      </c>
      <c r="B442" s="1" t="s">
        <v>39</v>
      </c>
      <c r="C442" s="1" t="s">
        <v>23</v>
      </c>
      <c r="D442" s="1" t="s">
        <v>32</v>
      </c>
      <c r="E442" s="1" t="s">
        <v>33</v>
      </c>
      <c r="F442" s="1" t="s">
        <v>31</v>
      </c>
      <c r="G442" s="1" t="s">
        <v>20</v>
      </c>
      <c r="H442" t="s">
        <v>21</v>
      </c>
      <c r="I442" s="1" t="s">
        <v>26</v>
      </c>
      <c r="J442" s="2">
        <v>43528.267951388887</v>
      </c>
      <c r="K442" s="2">
        <v>43530.267951388887</v>
      </c>
      <c r="L442" s="2">
        <v>43531.267951388887</v>
      </c>
      <c r="M442" s="1">
        <f>_xlfn.DAYS(Table1[[#This Row],[actual_delivery_date]],Table1[[#This Row],[dispatch_date]])</f>
        <v>2</v>
      </c>
      <c r="N442">
        <v>40</v>
      </c>
      <c r="O442">
        <f>Table1[[#This Row],[transit_storage_cost]] * (1-'What -if Analysis'!$D$26)</f>
        <v>40</v>
      </c>
      <c r="P442">
        <v>106</v>
      </c>
      <c r="Q442">
        <v>3497.73</v>
      </c>
    </row>
    <row r="443" spans="1:17" x14ac:dyDescent="0.3">
      <c r="A443">
        <v>570042</v>
      </c>
      <c r="B443" s="1" t="s">
        <v>38</v>
      </c>
      <c r="C443" s="1" t="s">
        <v>23</v>
      </c>
      <c r="D443" s="1" t="s">
        <v>23</v>
      </c>
      <c r="E443" s="1" t="s">
        <v>28</v>
      </c>
      <c r="F443" s="1" t="s">
        <v>31</v>
      </c>
      <c r="G443" s="1" t="s">
        <v>20</v>
      </c>
      <c r="H443" t="s">
        <v>21</v>
      </c>
      <c r="I443" s="1" t="s">
        <v>26</v>
      </c>
      <c r="J443" s="2">
        <v>43527.27171296296</v>
      </c>
      <c r="K443" s="2">
        <v>43530.27171296296</v>
      </c>
      <c r="L443" s="2">
        <v>43533.27171296296</v>
      </c>
      <c r="M443" s="1">
        <f>_xlfn.DAYS(Table1[[#This Row],[actual_delivery_date]],Table1[[#This Row],[dispatch_date]])</f>
        <v>3</v>
      </c>
      <c r="N443">
        <v>0</v>
      </c>
      <c r="O443">
        <f>Table1[[#This Row],[transit_storage_cost]] * (1-'What -if Analysis'!$D$26)</f>
        <v>0</v>
      </c>
      <c r="P443">
        <v>122</v>
      </c>
      <c r="Q443">
        <v>2360.38</v>
      </c>
    </row>
    <row r="444" spans="1:17" x14ac:dyDescent="0.3">
      <c r="A444">
        <v>712314</v>
      </c>
      <c r="B444" s="1" t="s">
        <v>37</v>
      </c>
      <c r="C444" s="1" t="s">
        <v>23</v>
      </c>
      <c r="D444" s="1" t="s">
        <v>16</v>
      </c>
      <c r="E444" s="1" t="s">
        <v>27</v>
      </c>
      <c r="F444" s="1" t="s">
        <v>31</v>
      </c>
      <c r="G444" s="1" t="s">
        <v>20</v>
      </c>
      <c r="H444" t="s">
        <v>21</v>
      </c>
      <c r="I444" s="1" t="s">
        <v>26</v>
      </c>
      <c r="J444" s="2">
        <v>43525.279050925928</v>
      </c>
      <c r="K444" s="2">
        <v>43530.279050925928</v>
      </c>
      <c r="L444" s="2">
        <v>43532.279050925928</v>
      </c>
      <c r="M444" s="1">
        <f>_xlfn.DAYS(Table1[[#This Row],[actual_delivery_date]],Table1[[#This Row],[dispatch_date]])</f>
        <v>5</v>
      </c>
      <c r="N444">
        <v>49</v>
      </c>
      <c r="O444">
        <f>Table1[[#This Row],[transit_storage_cost]] * (1-'What -if Analysis'!$D$26)</f>
        <v>49</v>
      </c>
      <c r="P444">
        <v>120</v>
      </c>
      <c r="Q444">
        <v>3593.82</v>
      </c>
    </row>
    <row r="445" spans="1:17" x14ac:dyDescent="0.3">
      <c r="A445">
        <v>31837</v>
      </c>
      <c r="B445" s="1" t="s">
        <v>37</v>
      </c>
      <c r="C445" s="1" t="s">
        <v>16</v>
      </c>
      <c r="D445" s="1" t="s">
        <v>32</v>
      </c>
      <c r="E445" s="1" t="s">
        <v>33</v>
      </c>
      <c r="F445" s="1" t="s">
        <v>29</v>
      </c>
      <c r="G445" s="1" t="s">
        <v>20</v>
      </c>
      <c r="H445" t="s">
        <v>30</v>
      </c>
      <c r="I445" s="1" t="s">
        <v>22</v>
      </c>
      <c r="J445" s="2">
        <v>43528.28634259259</v>
      </c>
      <c r="K445" s="2">
        <v>43530.28634259259</v>
      </c>
      <c r="L445" s="2">
        <v>43534.28634259259</v>
      </c>
      <c r="M445" s="1">
        <f>_xlfn.DAYS(Table1[[#This Row],[actual_delivery_date]],Table1[[#This Row],[dispatch_date]])</f>
        <v>2</v>
      </c>
      <c r="N445">
        <v>27</v>
      </c>
      <c r="O445">
        <f>Table1[[#This Row],[transit_storage_cost]] * (1-'What -if Analysis'!$D$26)</f>
        <v>27</v>
      </c>
      <c r="P445">
        <v>113</v>
      </c>
      <c r="Q445">
        <v>2085.0831036839445</v>
      </c>
    </row>
    <row r="446" spans="1:17" x14ac:dyDescent="0.3">
      <c r="A446">
        <v>474684</v>
      </c>
      <c r="B446" s="1" t="s">
        <v>38</v>
      </c>
      <c r="C446" s="1" t="s">
        <v>23</v>
      </c>
      <c r="D446" s="1" t="s">
        <v>17</v>
      </c>
      <c r="E446" s="1" t="s">
        <v>18</v>
      </c>
      <c r="F446" s="1" t="s">
        <v>19</v>
      </c>
      <c r="G446" s="1" t="s">
        <v>20</v>
      </c>
      <c r="H446" t="s">
        <v>21</v>
      </c>
      <c r="I446" s="1" t="s">
        <v>26</v>
      </c>
      <c r="J446" s="2">
        <v>43527.301817129628</v>
      </c>
      <c r="K446" s="2">
        <v>43530.301817129628</v>
      </c>
      <c r="L446" s="2">
        <v>43533.301817129628</v>
      </c>
      <c r="M446" s="1">
        <f>_xlfn.DAYS(Table1[[#This Row],[actual_delivery_date]],Table1[[#This Row],[dispatch_date]])</f>
        <v>3</v>
      </c>
      <c r="N446">
        <v>32</v>
      </c>
      <c r="O446">
        <f>Table1[[#This Row],[transit_storage_cost]] * (1-'What -if Analysis'!$D$26)</f>
        <v>32</v>
      </c>
      <c r="P446">
        <v>110</v>
      </c>
      <c r="Q446">
        <v>2119.9</v>
      </c>
    </row>
    <row r="447" spans="1:17" x14ac:dyDescent="0.3">
      <c r="A447">
        <v>363766</v>
      </c>
      <c r="B447" s="1" t="s">
        <v>38</v>
      </c>
      <c r="C447" s="1" t="s">
        <v>16</v>
      </c>
      <c r="D447" s="1" t="s">
        <v>16</v>
      </c>
      <c r="E447" s="1" t="s">
        <v>27</v>
      </c>
      <c r="F447" s="1" t="s">
        <v>31</v>
      </c>
      <c r="G447" s="1" t="s">
        <v>20</v>
      </c>
      <c r="H447" t="s">
        <v>21</v>
      </c>
      <c r="I447" s="1" t="s">
        <v>22</v>
      </c>
      <c r="J447" s="2">
        <v>43529.302569444444</v>
      </c>
      <c r="K447" s="2">
        <v>43530.302569444444</v>
      </c>
      <c r="L447" s="2">
        <v>43533.302569444444</v>
      </c>
      <c r="M447" s="1">
        <f>_xlfn.DAYS(Table1[[#This Row],[actual_delivery_date]],Table1[[#This Row],[dispatch_date]])</f>
        <v>1</v>
      </c>
      <c r="N447">
        <v>0</v>
      </c>
      <c r="O447">
        <f>Table1[[#This Row],[transit_storage_cost]] * (1-'What -if Analysis'!$D$26)</f>
        <v>0</v>
      </c>
      <c r="P447">
        <v>120</v>
      </c>
      <c r="Q447">
        <v>3186.0330826887403</v>
      </c>
    </row>
    <row r="448" spans="1:17" x14ac:dyDescent="0.3">
      <c r="A448">
        <v>277235</v>
      </c>
      <c r="B448" s="1" t="s">
        <v>37</v>
      </c>
      <c r="C448" s="1" t="s">
        <v>16</v>
      </c>
      <c r="D448" s="1" t="s">
        <v>24</v>
      </c>
      <c r="E448" s="1" t="s">
        <v>25</v>
      </c>
      <c r="F448" s="1" t="s">
        <v>29</v>
      </c>
      <c r="G448" s="1" t="s">
        <v>20</v>
      </c>
      <c r="H448" t="s">
        <v>34</v>
      </c>
      <c r="I448" s="1" t="s">
        <v>22</v>
      </c>
      <c r="J448" s="2">
        <v>43527.309664351851</v>
      </c>
      <c r="K448" s="2">
        <v>43530.309664351851</v>
      </c>
      <c r="L448" s="2">
        <v>43531.309664351851</v>
      </c>
      <c r="M448" s="1">
        <f>_xlfn.DAYS(Table1[[#This Row],[actual_delivery_date]],Table1[[#This Row],[dispatch_date]])</f>
        <v>3</v>
      </c>
      <c r="N448">
        <v>36</v>
      </c>
      <c r="O448">
        <f>Table1[[#This Row],[transit_storage_cost]] * (1-'What -if Analysis'!$D$26)</f>
        <v>36</v>
      </c>
      <c r="P448">
        <v>126</v>
      </c>
      <c r="Q448">
        <v>1214.3281768982845</v>
      </c>
    </row>
    <row r="449" spans="1:17" x14ac:dyDescent="0.3">
      <c r="A449">
        <v>323756</v>
      </c>
      <c r="B449" s="1" t="s">
        <v>38</v>
      </c>
      <c r="C449" s="1" t="s">
        <v>16</v>
      </c>
      <c r="D449" s="1" t="s">
        <v>32</v>
      </c>
      <c r="E449" s="1" t="s">
        <v>33</v>
      </c>
      <c r="F449" s="1" t="s">
        <v>19</v>
      </c>
      <c r="G449" s="1" t="s">
        <v>20</v>
      </c>
      <c r="H449" t="s">
        <v>21</v>
      </c>
      <c r="I449" s="1" t="s">
        <v>22</v>
      </c>
      <c r="J449" s="2">
        <v>43526.315462962964</v>
      </c>
      <c r="K449" s="2">
        <v>43530.315462962964</v>
      </c>
      <c r="L449" s="2">
        <v>43533.315462962964</v>
      </c>
      <c r="M449" s="1">
        <f>_xlfn.DAYS(Table1[[#This Row],[actual_delivery_date]],Table1[[#This Row],[dispatch_date]])</f>
        <v>4</v>
      </c>
      <c r="N449">
        <v>88</v>
      </c>
      <c r="O449">
        <f>Table1[[#This Row],[transit_storage_cost]] * (1-'What -if Analysis'!$D$26)</f>
        <v>88</v>
      </c>
      <c r="P449">
        <v>88</v>
      </c>
      <c r="Q449">
        <v>828.81867686892542</v>
      </c>
    </row>
    <row r="450" spans="1:17" x14ac:dyDescent="0.3">
      <c r="A450">
        <v>998507</v>
      </c>
      <c r="B450" s="1" t="s">
        <v>15</v>
      </c>
      <c r="C450" s="1" t="s">
        <v>23</v>
      </c>
      <c r="D450" s="1" t="s">
        <v>16</v>
      </c>
      <c r="E450" s="1" t="s">
        <v>27</v>
      </c>
      <c r="F450" s="1" t="s">
        <v>29</v>
      </c>
      <c r="G450" s="1" t="s">
        <v>36</v>
      </c>
      <c r="H450" t="s">
        <v>30</v>
      </c>
      <c r="I450" s="1" t="s">
        <v>22</v>
      </c>
      <c r="J450" s="2">
        <v>43527.319791666669</v>
      </c>
      <c r="K450" s="2">
        <v>43530.319791666669</v>
      </c>
      <c r="L450" s="2">
        <v>43531.319791666669</v>
      </c>
      <c r="M450" s="1">
        <f>_xlfn.DAYS(Table1[[#This Row],[actual_delivery_date]],Table1[[#This Row],[dispatch_date]])</f>
        <v>3</v>
      </c>
      <c r="N450">
        <v>50</v>
      </c>
      <c r="O450">
        <f>Table1[[#This Row],[transit_storage_cost]] * (1-'What -if Analysis'!$D$26)</f>
        <v>50</v>
      </c>
      <c r="P450">
        <v>128</v>
      </c>
      <c r="Q450">
        <v>1414.3727770082612</v>
      </c>
    </row>
    <row r="451" spans="1:17" x14ac:dyDescent="0.3">
      <c r="A451">
        <v>144376</v>
      </c>
      <c r="B451" s="1" t="s">
        <v>39</v>
      </c>
      <c r="C451" s="1" t="s">
        <v>16</v>
      </c>
      <c r="D451" s="1" t="s">
        <v>17</v>
      </c>
      <c r="E451" s="1" t="s">
        <v>18</v>
      </c>
      <c r="F451" s="1" t="s">
        <v>19</v>
      </c>
      <c r="G451" s="1" t="s">
        <v>36</v>
      </c>
      <c r="H451" t="s">
        <v>21</v>
      </c>
      <c r="I451" s="1" t="s">
        <v>22</v>
      </c>
      <c r="J451" s="2">
        <v>43528.325497685182</v>
      </c>
      <c r="K451" s="2">
        <v>43530.325497685182</v>
      </c>
      <c r="L451" s="2">
        <v>43531.325497685182</v>
      </c>
      <c r="M451" s="1">
        <f>_xlfn.DAYS(Table1[[#This Row],[actual_delivery_date]],Table1[[#This Row],[dispatch_date]])</f>
        <v>2</v>
      </c>
      <c r="N451">
        <v>46</v>
      </c>
      <c r="O451">
        <f>Table1[[#This Row],[transit_storage_cost]] * (1-'What -if Analysis'!$D$26)</f>
        <v>46</v>
      </c>
      <c r="P451">
        <v>105</v>
      </c>
      <c r="Q451">
        <v>1374.9845084374806</v>
      </c>
    </row>
    <row r="452" spans="1:17" x14ac:dyDescent="0.3">
      <c r="A452">
        <v>606372</v>
      </c>
      <c r="B452" s="1" t="s">
        <v>15</v>
      </c>
      <c r="C452" s="1" t="s">
        <v>16</v>
      </c>
      <c r="D452" s="1" t="s">
        <v>16</v>
      </c>
      <c r="E452" s="1" t="s">
        <v>27</v>
      </c>
      <c r="F452" s="1" t="s">
        <v>19</v>
      </c>
      <c r="G452" s="1" t="s">
        <v>20</v>
      </c>
      <c r="H452" t="s">
        <v>21</v>
      </c>
      <c r="I452" s="1" t="s">
        <v>26</v>
      </c>
      <c r="J452" s="2">
        <v>43528.328229166669</v>
      </c>
      <c r="K452" s="2">
        <v>43530.328229166669</v>
      </c>
      <c r="L452" s="2">
        <v>43534.328229166669</v>
      </c>
      <c r="M452" s="1">
        <f>_xlfn.DAYS(Table1[[#This Row],[actual_delivery_date]],Table1[[#This Row],[dispatch_date]])</f>
        <v>2</v>
      </c>
      <c r="N452">
        <v>0</v>
      </c>
      <c r="O452">
        <f>Table1[[#This Row],[transit_storage_cost]] * (1-'What -if Analysis'!$D$26)</f>
        <v>0</v>
      </c>
      <c r="P452">
        <v>110</v>
      </c>
      <c r="Q452">
        <v>2045.9</v>
      </c>
    </row>
    <row r="453" spans="1:17" x14ac:dyDescent="0.3">
      <c r="A453">
        <v>958427</v>
      </c>
      <c r="B453" s="1" t="s">
        <v>15</v>
      </c>
      <c r="C453" s="1" t="s">
        <v>16</v>
      </c>
      <c r="D453" s="1" t="s">
        <v>17</v>
      </c>
      <c r="E453" s="1" t="s">
        <v>18</v>
      </c>
      <c r="F453" s="1" t="s">
        <v>29</v>
      </c>
      <c r="G453" s="1" t="s">
        <v>20</v>
      </c>
      <c r="H453" t="s">
        <v>30</v>
      </c>
      <c r="I453" s="1" t="s">
        <v>22</v>
      </c>
      <c r="J453" s="2">
        <v>43527.328750000001</v>
      </c>
      <c r="K453" s="2">
        <v>43530.328750000001</v>
      </c>
      <c r="L453" s="2">
        <v>43531.328750000001</v>
      </c>
      <c r="M453" s="1">
        <f>_xlfn.DAYS(Table1[[#This Row],[actual_delivery_date]],Table1[[#This Row],[dispatch_date]])</f>
        <v>3</v>
      </c>
      <c r="N453">
        <v>41</v>
      </c>
      <c r="O453">
        <f>Table1[[#This Row],[transit_storage_cost]] * (1-'What -if Analysis'!$D$26)</f>
        <v>41</v>
      </c>
      <c r="P453">
        <v>110</v>
      </c>
      <c r="Q453">
        <v>1855.0027670636232</v>
      </c>
    </row>
    <row r="454" spans="1:17" x14ac:dyDescent="0.3">
      <c r="A454">
        <v>554789</v>
      </c>
      <c r="B454" s="1" t="s">
        <v>37</v>
      </c>
      <c r="C454" s="1" t="s">
        <v>16</v>
      </c>
      <c r="D454" s="1" t="s">
        <v>24</v>
      </c>
      <c r="E454" s="1" t="s">
        <v>25</v>
      </c>
      <c r="F454" s="1" t="s">
        <v>29</v>
      </c>
      <c r="G454" s="1" t="s">
        <v>20</v>
      </c>
      <c r="H454" t="s">
        <v>30</v>
      </c>
      <c r="I454" s="1" t="s">
        <v>22</v>
      </c>
      <c r="J454" s="2">
        <v>43528.329293981478</v>
      </c>
      <c r="K454" s="2">
        <v>43530.329293981478</v>
      </c>
      <c r="L454" s="2">
        <v>43532.329293981478</v>
      </c>
      <c r="M454" s="1">
        <f>_xlfn.DAYS(Table1[[#This Row],[actual_delivery_date]],Table1[[#This Row],[dispatch_date]])</f>
        <v>2</v>
      </c>
      <c r="N454">
        <v>48</v>
      </c>
      <c r="O454">
        <f>Table1[[#This Row],[transit_storage_cost]] * (1-'What -if Analysis'!$D$26)</f>
        <v>48</v>
      </c>
      <c r="P454">
        <v>126</v>
      </c>
      <c r="Q454">
        <v>2236.6929966351408</v>
      </c>
    </row>
    <row r="455" spans="1:17" x14ac:dyDescent="0.3">
      <c r="A455">
        <v>694095</v>
      </c>
      <c r="B455" s="1" t="s">
        <v>39</v>
      </c>
      <c r="C455" s="1" t="s">
        <v>16</v>
      </c>
      <c r="D455" s="1" t="s">
        <v>23</v>
      </c>
      <c r="E455" s="1" t="s">
        <v>28</v>
      </c>
      <c r="F455" s="1" t="s">
        <v>19</v>
      </c>
      <c r="G455" s="1" t="s">
        <v>36</v>
      </c>
      <c r="H455" t="s">
        <v>30</v>
      </c>
      <c r="I455" s="1" t="s">
        <v>26</v>
      </c>
      <c r="J455" s="2">
        <v>43528.33011574074</v>
      </c>
      <c r="K455" s="2">
        <v>43530.33011574074</v>
      </c>
      <c r="L455" s="2">
        <v>43532.33011574074</v>
      </c>
      <c r="M455" s="1">
        <f>_xlfn.DAYS(Table1[[#This Row],[actual_delivery_date]],Table1[[#This Row],[dispatch_date]])</f>
        <v>2</v>
      </c>
      <c r="N455">
        <v>82</v>
      </c>
      <c r="O455">
        <f>Table1[[#This Row],[transit_storage_cost]] * (1-'What -if Analysis'!$D$26)</f>
        <v>82</v>
      </c>
      <c r="P455">
        <v>109</v>
      </c>
      <c r="Q455">
        <v>1743.3313413903725</v>
      </c>
    </row>
    <row r="456" spans="1:17" x14ac:dyDescent="0.3">
      <c r="A456">
        <v>284932</v>
      </c>
      <c r="B456" s="1" t="s">
        <v>41</v>
      </c>
      <c r="C456" s="1" t="s">
        <v>23</v>
      </c>
      <c r="D456" s="1" t="s">
        <v>23</v>
      </c>
      <c r="E456" s="1" t="s">
        <v>28</v>
      </c>
      <c r="F456" s="1" t="s">
        <v>19</v>
      </c>
      <c r="G456" s="1" t="s">
        <v>20</v>
      </c>
      <c r="H456" t="s">
        <v>21</v>
      </c>
      <c r="I456" s="1" t="s">
        <v>22</v>
      </c>
      <c r="J456" s="2">
        <v>43529.330891203703</v>
      </c>
      <c r="K456" s="2">
        <v>43530.330891203703</v>
      </c>
      <c r="L456" s="2">
        <v>43534.330891203703</v>
      </c>
      <c r="M456" s="1">
        <f>_xlfn.DAYS(Table1[[#This Row],[actual_delivery_date]],Table1[[#This Row],[dispatch_date]])</f>
        <v>1</v>
      </c>
      <c r="N456">
        <v>0</v>
      </c>
      <c r="O456">
        <f>Table1[[#This Row],[transit_storage_cost]] * (1-'What -if Analysis'!$D$26)</f>
        <v>0</v>
      </c>
      <c r="P456">
        <v>110</v>
      </c>
      <c r="Q456">
        <v>1465.3775788675357</v>
      </c>
    </row>
    <row r="457" spans="1:17" x14ac:dyDescent="0.3">
      <c r="A457">
        <v>285202</v>
      </c>
      <c r="B457" s="1" t="s">
        <v>38</v>
      </c>
      <c r="C457" s="1" t="s">
        <v>16</v>
      </c>
      <c r="D457" s="1" t="s">
        <v>17</v>
      </c>
      <c r="E457" s="1" t="s">
        <v>18</v>
      </c>
      <c r="F457" s="1" t="s">
        <v>19</v>
      </c>
      <c r="G457" s="1" t="s">
        <v>20</v>
      </c>
      <c r="H457" t="s">
        <v>21</v>
      </c>
      <c r="I457" s="1" t="s">
        <v>22</v>
      </c>
      <c r="J457" s="2">
        <v>43528.336238425924</v>
      </c>
      <c r="K457" s="2">
        <v>43530.336238425924</v>
      </c>
      <c r="L457" s="2">
        <v>43531.336238425924</v>
      </c>
      <c r="M457" s="1">
        <f>_xlfn.DAYS(Table1[[#This Row],[actual_delivery_date]],Table1[[#This Row],[dispatch_date]])</f>
        <v>2</v>
      </c>
      <c r="N457">
        <v>83</v>
      </c>
      <c r="O457">
        <f>Table1[[#This Row],[transit_storage_cost]] * (1-'What -if Analysis'!$D$26)</f>
        <v>83</v>
      </c>
      <c r="P457">
        <v>95</v>
      </c>
      <c r="Q457">
        <v>2385.3814290365099</v>
      </c>
    </row>
    <row r="458" spans="1:17" x14ac:dyDescent="0.3">
      <c r="A458">
        <v>390519</v>
      </c>
      <c r="B458" s="1" t="s">
        <v>38</v>
      </c>
      <c r="C458" s="1" t="s">
        <v>16</v>
      </c>
      <c r="D458" s="1" t="s">
        <v>17</v>
      </c>
      <c r="E458" s="1" t="s">
        <v>18</v>
      </c>
      <c r="F458" s="1" t="s">
        <v>19</v>
      </c>
      <c r="G458" s="1" t="s">
        <v>20</v>
      </c>
      <c r="H458" t="s">
        <v>30</v>
      </c>
      <c r="I458" s="1" t="s">
        <v>26</v>
      </c>
      <c r="J458" s="2">
        <v>43525.337141203701</v>
      </c>
      <c r="K458" s="2">
        <v>43530.337141203701</v>
      </c>
      <c r="L458" s="2">
        <v>43529.337141203701</v>
      </c>
      <c r="M458" s="1">
        <f>_xlfn.DAYS(Table1[[#This Row],[actual_delivery_date]],Table1[[#This Row],[dispatch_date]])</f>
        <v>5</v>
      </c>
      <c r="N458">
        <v>80</v>
      </c>
      <c r="O458">
        <f>Table1[[#This Row],[transit_storage_cost]] * (1-'What -if Analysis'!$D$26)</f>
        <v>80</v>
      </c>
      <c r="P458">
        <v>89</v>
      </c>
      <c r="Q458">
        <v>2661.06</v>
      </c>
    </row>
    <row r="459" spans="1:17" x14ac:dyDescent="0.3">
      <c r="A459">
        <v>955730</v>
      </c>
      <c r="B459" s="1" t="s">
        <v>40</v>
      </c>
      <c r="C459" s="1" t="s">
        <v>23</v>
      </c>
      <c r="D459" s="1" t="s">
        <v>23</v>
      </c>
      <c r="E459" s="1" t="s">
        <v>28</v>
      </c>
      <c r="F459" s="1" t="s">
        <v>31</v>
      </c>
      <c r="G459" s="1" t="s">
        <v>20</v>
      </c>
      <c r="H459" t="s">
        <v>21</v>
      </c>
      <c r="I459" s="1" t="s">
        <v>22</v>
      </c>
      <c r="J459" s="2">
        <v>43527.340486111112</v>
      </c>
      <c r="K459" s="2">
        <v>43530.340486111112</v>
      </c>
      <c r="L459" s="2">
        <v>43533.340486111112</v>
      </c>
      <c r="M459" s="1">
        <f>_xlfn.DAYS(Table1[[#This Row],[actual_delivery_date]],Table1[[#This Row],[dispatch_date]])</f>
        <v>3</v>
      </c>
      <c r="N459">
        <v>0</v>
      </c>
      <c r="O459">
        <f>Table1[[#This Row],[transit_storage_cost]] * (1-'What -if Analysis'!$D$26)</f>
        <v>0</v>
      </c>
      <c r="P459">
        <v>125</v>
      </c>
      <c r="Q459">
        <v>1566.375508302056</v>
      </c>
    </row>
    <row r="460" spans="1:17" x14ac:dyDescent="0.3">
      <c r="A460">
        <v>389782</v>
      </c>
      <c r="B460" s="1" t="s">
        <v>39</v>
      </c>
      <c r="C460" s="1" t="s">
        <v>23</v>
      </c>
      <c r="D460" s="1" t="s">
        <v>17</v>
      </c>
      <c r="E460" s="1" t="s">
        <v>18</v>
      </c>
      <c r="F460" s="1" t="s">
        <v>31</v>
      </c>
      <c r="G460" s="1" t="s">
        <v>20</v>
      </c>
      <c r="H460" t="s">
        <v>21</v>
      </c>
      <c r="I460" s="1" t="s">
        <v>22</v>
      </c>
      <c r="J460" s="2">
        <v>43527.347326388888</v>
      </c>
      <c r="K460" s="2">
        <v>43530.347326388888</v>
      </c>
      <c r="L460" s="2">
        <v>43534.347326388888</v>
      </c>
      <c r="M460" s="1">
        <f>_xlfn.DAYS(Table1[[#This Row],[actual_delivery_date]],Table1[[#This Row],[dispatch_date]])</f>
        <v>3</v>
      </c>
      <c r="N460">
        <v>40</v>
      </c>
      <c r="O460">
        <f>Table1[[#This Row],[transit_storage_cost]] * (1-'What -if Analysis'!$D$26)</f>
        <v>40</v>
      </c>
      <c r="P460">
        <v>109</v>
      </c>
      <c r="Q460">
        <v>2235.701265515288</v>
      </c>
    </row>
    <row r="461" spans="1:17" x14ac:dyDescent="0.3">
      <c r="A461">
        <v>580374</v>
      </c>
      <c r="B461" s="1" t="s">
        <v>15</v>
      </c>
      <c r="C461" s="1" t="s">
        <v>16</v>
      </c>
      <c r="D461" s="1" t="s">
        <v>24</v>
      </c>
      <c r="E461" s="1" t="s">
        <v>25</v>
      </c>
      <c r="F461" s="1" t="s">
        <v>31</v>
      </c>
      <c r="G461" s="1" t="s">
        <v>20</v>
      </c>
      <c r="H461" t="s">
        <v>21</v>
      </c>
      <c r="I461" s="1" t="s">
        <v>26</v>
      </c>
      <c r="J461" s="2">
        <v>43528.34957175926</v>
      </c>
      <c r="K461" s="2">
        <v>43530.34957175926</v>
      </c>
      <c r="L461" s="2">
        <v>43535.34957175926</v>
      </c>
      <c r="M461" s="1">
        <f>_xlfn.DAYS(Table1[[#This Row],[actual_delivery_date]],Table1[[#This Row],[dispatch_date]])</f>
        <v>2</v>
      </c>
      <c r="N461">
        <v>30</v>
      </c>
      <c r="O461">
        <f>Table1[[#This Row],[transit_storage_cost]] * (1-'What -if Analysis'!$D$26)</f>
        <v>30</v>
      </c>
      <c r="P461">
        <v>124</v>
      </c>
      <c r="Q461">
        <v>1369.8</v>
      </c>
    </row>
    <row r="462" spans="1:17" x14ac:dyDescent="0.3">
      <c r="A462">
        <v>700530</v>
      </c>
      <c r="B462" s="1" t="s">
        <v>37</v>
      </c>
      <c r="C462" s="1" t="s">
        <v>16</v>
      </c>
      <c r="D462" s="1" t="s">
        <v>17</v>
      </c>
      <c r="E462" s="1" t="s">
        <v>18</v>
      </c>
      <c r="F462" s="1" t="s">
        <v>19</v>
      </c>
      <c r="G462" s="1" t="s">
        <v>20</v>
      </c>
      <c r="H462" t="s">
        <v>21</v>
      </c>
      <c r="I462" s="1" t="s">
        <v>26</v>
      </c>
      <c r="J462" s="2">
        <v>43525.349918981483</v>
      </c>
      <c r="K462" s="2">
        <v>43530.349918981483</v>
      </c>
      <c r="L462" s="2">
        <v>43529.349918981483</v>
      </c>
      <c r="M462" s="1">
        <f>_xlfn.DAYS(Table1[[#This Row],[actual_delivery_date]],Table1[[#This Row],[dispatch_date]])</f>
        <v>5</v>
      </c>
      <c r="N462">
        <v>79</v>
      </c>
      <c r="O462">
        <f>Table1[[#This Row],[transit_storage_cost]] * (1-'What -if Analysis'!$D$26)</f>
        <v>79</v>
      </c>
      <c r="P462">
        <v>86</v>
      </c>
      <c r="Q462">
        <v>3228.28</v>
      </c>
    </row>
    <row r="463" spans="1:17" x14ac:dyDescent="0.3">
      <c r="A463">
        <v>947835</v>
      </c>
      <c r="B463" s="1" t="s">
        <v>37</v>
      </c>
      <c r="C463" s="1" t="s">
        <v>23</v>
      </c>
      <c r="D463" s="1" t="s">
        <v>23</v>
      </c>
      <c r="E463" s="1" t="s">
        <v>28</v>
      </c>
      <c r="F463" s="1" t="s">
        <v>19</v>
      </c>
      <c r="G463" s="1" t="s">
        <v>36</v>
      </c>
      <c r="H463" t="s">
        <v>34</v>
      </c>
      <c r="I463" s="1" t="s">
        <v>26</v>
      </c>
      <c r="J463" s="2">
        <v>43530.35224537037</v>
      </c>
      <c r="K463" s="2">
        <v>43530.35224537037</v>
      </c>
      <c r="L463" s="2">
        <v>43536.35224537037</v>
      </c>
      <c r="M463" s="1">
        <f>_xlfn.DAYS(Table1[[#This Row],[actual_delivery_date]],Table1[[#This Row],[dispatch_date]])</f>
        <v>0</v>
      </c>
      <c r="N463">
        <v>0</v>
      </c>
      <c r="O463">
        <f>Table1[[#This Row],[transit_storage_cost]] * (1-'What -if Analysis'!$D$26)</f>
        <v>0</v>
      </c>
      <c r="P463">
        <v>102</v>
      </c>
      <c r="Q463">
        <v>1549.8450579396535</v>
      </c>
    </row>
    <row r="464" spans="1:17" x14ac:dyDescent="0.3">
      <c r="A464">
        <v>690855</v>
      </c>
      <c r="B464" s="1" t="s">
        <v>37</v>
      </c>
      <c r="C464" s="1" t="s">
        <v>16</v>
      </c>
      <c r="D464" s="1" t="s">
        <v>23</v>
      </c>
      <c r="E464" s="1" t="s">
        <v>28</v>
      </c>
      <c r="F464" s="1" t="s">
        <v>29</v>
      </c>
      <c r="G464" s="1" t="s">
        <v>20</v>
      </c>
      <c r="H464" t="s">
        <v>30</v>
      </c>
      <c r="I464" s="1" t="s">
        <v>26</v>
      </c>
      <c r="J464" s="2">
        <v>43526.35423611111</v>
      </c>
      <c r="K464" s="2">
        <v>43530.35423611111</v>
      </c>
      <c r="L464" s="2">
        <v>43532.35423611111</v>
      </c>
      <c r="M464" s="1">
        <f>_xlfn.DAYS(Table1[[#This Row],[actual_delivery_date]],Table1[[#This Row],[dispatch_date]])</f>
        <v>4</v>
      </c>
      <c r="N464">
        <v>28</v>
      </c>
      <c r="O464">
        <f>Table1[[#This Row],[transit_storage_cost]] * (1-'What -if Analysis'!$D$26)</f>
        <v>28</v>
      </c>
      <c r="P464">
        <v>129</v>
      </c>
      <c r="Q464">
        <v>3239.09</v>
      </c>
    </row>
    <row r="465" spans="1:17" x14ac:dyDescent="0.3">
      <c r="A465">
        <v>322739</v>
      </c>
      <c r="B465" s="1" t="s">
        <v>41</v>
      </c>
      <c r="C465" s="1" t="s">
        <v>16</v>
      </c>
      <c r="D465" s="1" t="s">
        <v>17</v>
      </c>
      <c r="E465" s="1" t="s">
        <v>18</v>
      </c>
      <c r="F465" s="1" t="s">
        <v>29</v>
      </c>
      <c r="G465" s="1" t="s">
        <v>20</v>
      </c>
      <c r="H465" t="s">
        <v>30</v>
      </c>
      <c r="I465" s="1" t="s">
        <v>22</v>
      </c>
      <c r="J465" s="2">
        <v>43527.355300925927</v>
      </c>
      <c r="K465" s="2">
        <v>43530.355300925927</v>
      </c>
      <c r="L465" s="2">
        <v>43532.355300925927</v>
      </c>
      <c r="M465" s="1">
        <f>_xlfn.DAYS(Table1[[#This Row],[actual_delivery_date]],Table1[[#This Row],[dispatch_date]])</f>
        <v>3</v>
      </c>
      <c r="N465">
        <v>43</v>
      </c>
      <c r="O465">
        <f>Table1[[#This Row],[transit_storage_cost]] * (1-'What -if Analysis'!$D$26)</f>
        <v>43</v>
      </c>
      <c r="P465">
        <v>111</v>
      </c>
      <c r="Q465">
        <v>797.28442344531516</v>
      </c>
    </row>
    <row r="466" spans="1:17" x14ac:dyDescent="0.3">
      <c r="A466">
        <v>700037</v>
      </c>
      <c r="B466" s="1" t="s">
        <v>37</v>
      </c>
      <c r="C466" s="1" t="s">
        <v>16</v>
      </c>
      <c r="D466" s="1" t="s">
        <v>23</v>
      </c>
      <c r="E466" s="1" t="s">
        <v>28</v>
      </c>
      <c r="F466" s="1" t="s">
        <v>29</v>
      </c>
      <c r="G466" s="1" t="s">
        <v>20</v>
      </c>
      <c r="H466" t="s">
        <v>30</v>
      </c>
      <c r="I466" s="1" t="s">
        <v>22</v>
      </c>
      <c r="J466" s="2">
        <v>43526.355694444443</v>
      </c>
      <c r="K466" s="2">
        <v>43530.355694444443</v>
      </c>
      <c r="L466" s="2">
        <v>43532.355694444443</v>
      </c>
      <c r="M466" s="1">
        <f>_xlfn.DAYS(Table1[[#This Row],[actual_delivery_date]],Table1[[#This Row],[dispatch_date]])</f>
        <v>4</v>
      </c>
      <c r="N466">
        <v>37</v>
      </c>
      <c r="O466">
        <f>Table1[[#This Row],[transit_storage_cost]] * (1-'What -if Analysis'!$D$26)</f>
        <v>37</v>
      </c>
      <c r="P466">
        <v>129</v>
      </c>
      <c r="Q466">
        <v>422.39827044099798</v>
      </c>
    </row>
    <row r="467" spans="1:17" x14ac:dyDescent="0.3">
      <c r="A467">
        <v>314263</v>
      </c>
      <c r="B467" s="1" t="s">
        <v>41</v>
      </c>
      <c r="C467" s="1" t="s">
        <v>23</v>
      </c>
      <c r="D467" s="1" t="s">
        <v>23</v>
      </c>
      <c r="E467" s="1" t="s">
        <v>28</v>
      </c>
      <c r="F467" s="1" t="s">
        <v>19</v>
      </c>
      <c r="G467" s="1" t="s">
        <v>20</v>
      </c>
      <c r="H467" t="s">
        <v>30</v>
      </c>
      <c r="I467" s="1" t="s">
        <v>22</v>
      </c>
      <c r="J467" s="2">
        <v>43529.359039351853</v>
      </c>
      <c r="K467" s="2">
        <v>43530.359039351853</v>
      </c>
      <c r="L467" s="2">
        <v>43536.359039351853</v>
      </c>
      <c r="M467" s="1">
        <f>_xlfn.DAYS(Table1[[#This Row],[actual_delivery_date]],Table1[[#This Row],[dispatch_date]])</f>
        <v>1</v>
      </c>
      <c r="N467">
        <v>0</v>
      </c>
      <c r="O467">
        <f>Table1[[#This Row],[transit_storage_cost]] * (1-'What -if Analysis'!$D$26)</f>
        <v>0</v>
      </c>
      <c r="P467">
        <v>108</v>
      </c>
      <c r="Q467">
        <v>1857.8441234216573</v>
      </c>
    </row>
    <row r="468" spans="1:17" x14ac:dyDescent="0.3">
      <c r="A468">
        <v>750197</v>
      </c>
      <c r="B468" s="1" t="s">
        <v>38</v>
      </c>
      <c r="C468" s="1" t="s">
        <v>23</v>
      </c>
      <c r="D468" s="1" t="s">
        <v>23</v>
      </c>
      <c r="E468" s="1" t="s">
        <v>28</v>
      </c>
      <c r="F468" s="1" t="s">
        <v>29</v>
      </c>
      <c r="G468" s="1" t="s">
        <v>20</v>
      </c>
      <c r="H468" t="s">
        <v>34</v>
      </c>
      <c r="I468" s="1" t="s">
        <v>22</v>
      </c>
      <c r="J468" s="2">
        <v>43530.3669212963</v>
      </c>
      <c r="K468" s="2">
        <v>43530.3669212963</v>
      </c>
      <c r="L468" s="2">
        <v>43534.3669212963</v>
      </c>
      <c r="M468" s="1">
        <f>_xlfn.DAYS(Table1[[#This Row],[actual_delivery_date]],Table1[[#This Row],[dispatch_date]])</f>
        <v>0</v>
      </c>
      <c r="N468">
        <v>0</v>
      </c>
      <c r="O468">
        <f>Table1[[#This Row],[transit_storage_cost]] * (1-'What -if Analysis'!$D$26)</f>
        <v>0</v>
      </c>
      <c r="P468">
        <v>124</v>
      </c>
      <c r="Q468">
        <v>2130.2898989963278</v>
      </c>
    </row>
    <row r="469" spans="1:17" x14ac:dyDescent="0.3">
      <c r="A469">
        <v>489807</v>
      </c>
      <c r="B469" s="1" t="s">
        <v>38</v>
      </c>
      <c r="C469" s="1" t="s">
        <v>23</v>
      </c>
      <c r="D469" s="1" t="s">
        <v>32</v>
      </c>
      <c r="E469" s="1" t="s">
        <v>33</v>
      </c>
      <c r="F469" s="1" t="s">
        <v>29</v>
      </c>
      <c r="G469" s="1" t="s">
        <v>20</v>
      </c>
      <c r="H469" t="s">
        <v>30</v>
      </c>
      <c r="I469" s="1" t="s">
        <v>26</v>
      </c>
      <c r="J469" s="2">
        <v>43527.371307870373</v>
      </c>
      <c r="K469" s="2">
        <v>43530.371307870373</v>
      </c>
      <c r="L469" s="2">
        <v>43533.371307870373</v>
      </c>
      <c r="M469" s="1">
        <f>_xlfn.DAYS(Table1[[#This Row],[actual_delivery_date]],Table1[[#This Row],[dispatch_date]])</f>
        <v>3</v>
      </c>
      <c r="N469">
        <v>35</v>
      </c>
      <c r="O469">
        <f>Table1[[#This Row],[transit_storage_cost]] * (1-'What -if Analysis'!$D$26)</f>
        <v>35</v>
      </c>
      <c r="P469">
        <v>113</v>
      </c>
      <c r="Q469">
        <v>189.17</v>
      </c>
    </row>
    <row r="470" spans="1:17" x14ac:dyDescent="0.3">
      <c r="A470">
        <v>374009</v>
      </c>
      <c r="B470" s="1" t="s">
        <v>40</v>
      </c>
      <c r="C470" s="1" t="s">
        <v>16</v>
      </c>
      <c r="D470" s="1" t="s">
        <v>17</v>
      </c>
      <c r="E470" s="1" t="s">
        <v>18</v>
      </c>
      <c r="F470" s="1" t="s">
        <v>29</v>
      </c>
      <c r="G470" s="1" t="s">
        <v>20</v>
      </c>
      <c r="H470" t="s">
        <v>30</v>
      </c>
      <c r="I470" s="1" t="s">
        <v>22</v>
      </c>
      <c r="J470" s="2">
        <v>43526.372557870367</v>
      </c>
      <c r="K470" s="2">
        <v>43530.372557870367</v>
      </c>
      <c r="L470" s="2">
        <v>43532.372557870367</v>
      </c>
      <c r="M470" s="1">
        <f>_xlfn.DAYS(Table1[[#This Row],[actual_delivery_date]],Table1[[#This Row],[dispatch_date]])</f>
        <v>4</v>
      </c>
      <c r="N470">
        <v>49</v>
      </c>
      <c r="O470">
        <f>Table1[[#This Row],[transit_storage_cost]] * (1-'What -if Analysis'!$D$26)</f>
        <v>49</v>
      </c>
      <c r="P470">
        <v>106</v>
      </c>
      <c r="Q470">
        <v>3417.8927039254199</v>
      </c>
    </row>
    <row r="471" spans="1:17" x14ac:dyDescent="0.3">
      <c r="A471">
        <v>463067</v>
      </c>
      <c r="B471" s="1" t="s">
        <v>39</v>
      </c>
      <c r="C471" s="1" t="s">
        <v>16</v>
      </c>
      <c r="D471" s="1" t="s">
        <v>32</v>
      </c>
      <c r="E471" s="1" t="s">
        <v>33</v>
      </c>
      <c r="F471" s="1" t="s">
        <v>29</v>
      </c>
      <c r="G471" s="1" t="s">
        <v>20</v>
      </c>
      <c r="H471" t="s">
        <v>30</v>
      </c>
      <c r="I471" s="1" t="s">
        <v>22</v>
      </c>
      <c r="J471" s="2">
        <v>43525.379745370374</v>
      </c>
      <c r="K471" s="2">
        <v>43530.379745370374</v>
      </c>
      <c r="L471" s="2">
        <v>43528.379745370374</v>
      </c>
      <c r="M471" s="1">
        <f>_xlfn.DAYS(Table1[[#This Row],[actual_delivery_date]],Table1[[#This Row],[dispatch_date]])</f>
        <v>5</v>
      </c>
      <c r="N471">
        <v>26</v>
      </c>
      <c r="O471">
        <f>Table1[[#This Row],[transit_storage_cost]] * (1-'What -if Analysis'!$D$26)</f>
        <v>26</v>
      </c>
      <c r="P471">
        <v>109</v>
      </c>
      <c r="Q471">
        <v>2951.5607333044959</v>
      </c>
    </row>
    <row r="472" spans="1:17" x14ac:dyDescent="0.3">
      <c r="A472">
        <v>885892</v>
      </c>
      <c r="B472" s="1" t="s">
        <v>37</v>
      </c>
      <c r="C472" s="1" t="s">
        <v>16</v>
      </c>
      <c r="D472" s="1" t="s">
        <v>16</v>
      </c>
      <c r="E472" s="1" t="s">
        <v>27</v>
      </c>
      <c r="F472" s="1" t="s">
        <v>19</v>
      </c>
      <c r="G472" s="1" t="s">
        <v>20</v>
      </c>
      <c r="H472" t="s">
        <v>21</v>
      </c>
      <c r="I472" s="1" t="s">
        <v>22</v>
      </c>
      <c r="J472" s="2">
        <v>43527.389050925929</v>
      </c>
      <c r="K472" s="2">
        <v>43530.389050925929</v>
      </c>
      <c r="L472" s="2">
        <v>43530.389050925929</v>
      </c>
      <c r="M472" s="1">
        <f>_xlfn.DAYS(Table1[[#This Row],[actual_delivery_date]],Table1[[#This Row],[dispatch_date]])</f>
        <v>3</v>
      </c>
      <c r="N472">
        <v>0</v>
      </c>
      <c r="O472">
        <f>Table1[[#This Row],[transit_storage_cost]] * (1-'What -if Analysis'!$D$26)</f>
        <v>0</v>
      </c>
      <c r="P472">
        <v>110</v>
      </c>
      <c r="Q472">
        <v>1953.3257171459568</v>
      </c>
    </row>
    <row r="473" spans="1:17" x14ac:dyDescent="0.3">
      <c r="A473">
        <v>815224</v>
      </c>
      <c r="B473" s="1" t="s">
        <v>37</v>
      </c>
      <c r="C473" s="1" t="s">
        <v>23</v>
      </c>
      <c r="D473" s="1" t="s">
        <v>17</v>
      </c>
      <c r="E473" s="1" t="s">
        <v>18</v>
      </c>
      <c r="F473" s="1" t="s">
        <v>19</v>
      </c>
      <c r="G473" s="1" t="s">
        <v>20</v>
      </c>
      <c r="H473" t="s">
        <v>21</v>
      </c>
      <c r="I473" s="1" t="s">
        <v>22</v>
      </c>
      <c r="J473" s="2">
        <v>43528.38921296296</v>
      </c>
      <c r="K473" s="2">
        <v>43530.38921296296</v>
      </c>
      <c r="L473" s="2">
        <v>43531.38921296296</v>
      </c>
      <c r="M473" s="1">
        <f>_xlfn.DAYS(Table1[[#This Row],[actual_delivery_date]],Table1[[#This Row],[dispatch_date]])</f>
        <v>2</v>
      </c>
      <c r="N473">
        <v>44</v>
      </c>
      <c r="O473">
        <f>Table1[[#This Row],[transit_storage_cost]] * (1-'What -if Analysis'!$D$26)</f>
        <v>44</v>
      </c>
      <c r="P473">
        <v>106</v>
      </c>
      <c r="Q473">
        <v>616.65892241266874</v>
      </c>
    </row>
    <row r="474" spans="1:17" x14ac:dyDescent="0.3">
      <c r="A474">
        <v>681609</v>
      </c>
      <c r="B474" s="1" t="s">
        <v>40</v>
      </c>
      <c r="C474" s="1" t="s">
        <v>16</v>
      </c>
      <c r="D474" s="1" t="s">
        <v>17</v>
      </c>
      <c r="E474" s="1" t="s">
        <v>18</v>
      </c>
      <c r="F474" s="1" t="s">
        <v>29</v>
      </c>
      <c r="G474" s="1" t="s">
        <v>20</v>
      </c>
      <c r="H474" t="s">
        <v>30</v>
      </c>
      <c r="I474" s="1" t="s">
        <v>26</v>
      </c>
      <c r="J474" s="2">
        <v>43526.410960648151</v>
      </c>
      <c r="K474" s="2">
        <v>43530.410960648151</v>
      </c>
      <c r="L474" s="2">
        <v>43532.410960648151</v>
      </c>
      <c r="M474" s="1">
        <f>_xlfn.DAYS(Table1[[#This Row],[actual_delivery_date]],Table1[[#This Row],[dispatch_date]])</f>
        <v>4</v>
      </c>
      <c r="N474">
        <v>29</v>
      </c>
      <c r="O474">
        <f>Table1[[#This Row],[transit_storage_cost]] * (1-'What -if Analysis'!$D$26)</f>
        <v>29</v>
      </c>
      <c r="P474">
        <v>110</v>
      </c>
      <c r="Q474">
        <v>953.88</v>
      </c>
    </row>
    <row r="475" spans="1:17" x14ac:dyDescent="0.3">
      <c r="A475">
        <v>272957</v>
      </c>
      <c r="B475" s="1" t="s">
        <v>15</v>
      </c>
      <c r="C475" s="1" t="s">
        <v>16</v>
      </c>
      <c r="D475" s="1" t="s">
        <v>16</v>
      </c>
      <c r="E475" s="1" t="s">
        <v>27</v>
      </c>
      <c r="F475" s="1" t="s">
        <v>29</v>
      </c>
      <c r="G475" s="1" t="s">
        <v>20</v>
      </c>
      <c r="H475" t="s">
        <v>30</v>
      </c>
      <c r="I475" s="1" t="s">
        <v>22</v>
      </c>
      <c r="J475" s="2">
        <v>43528.415127314816</v>
      </c>
      <c r="K475" s="2">
        <v>43530.415127314816</v>
      </c>
      <c r="L475" s="2">
        <v>43535.415127314816</v>
      </c>
      <c r="M475" s="1">
        <f>_xlfn.DAYS(Table1[[#This Row],[actual_delivery_date]],Table1[[#This Row],[dispatch_date]])</f>
        <v>2</v>
      </c>
      <c r="N475">
        <v>0</v>
      </c>
      <c r="O475">
        <f>Table1[[#This Row],[transit_storage_cost]] * (1-'What -if Analysis'!$D$26)</f>
        <v>0</v>
      </c>
      <c r="P475">
        <v>122</v>
      </c>
      <c r="Q475">
        <v>373.4951521040914</v>
      </c>
    </row>
    <row r="476" spans="1:17" x14ac:dyDescent="0.3">
      <c r="A476">
        <v>574176</v>
      </c>
      <c r="B476" s="1" t="s">
        <v>38</v>
      </c>
      <c r="C476" s="1" t="s">
        <v>23</v>
      </c>
      <c r="D476" s="1" t="s">
        <v>16</v>
      </c>
      <c r="E476" s="1" t="s">
        <v>27</v>
      </c>
      <c r="F476" s="1" t="s">
        <v>19</v>
      </c>
      <c r="G476" s="1" t="s">
        <v>20</v>
      </c>
      <c r="H476" t="s">
        <v>21</v>
      </c>
      <c r="I476" s="1" t="s">
        <v>26</v>
      </c>
      <c r="J476" s="2">
        <v>43525.415879629632</v>
      </c>
      <c r="K476" s="2">
        <v>43530.415879629632</v>
      </c>
      <c r="L476" s="2">
        <v>43530.415879629632</v>
      </c>
      <c r="M476" s="1">
        <f>_xlfn.DAYS(Table1[[#This Row],[actual_delivery_date]],Table1[[#This Row],[dispatch_date]])</f>
        <v>5</v>
      </c>
      <c r="N476">
        <v>41</v>
      </c>
      <c r="O476">
        <f>Table1[[#This Row],[transit_storage_cost]] * (1-'What -if Analysis'!$D$26)</f>
        <v>41</v>
      </c>
      <c r="P476">
        <v>129</v>
      </c>
      <c r="Q476">
        <v>2485.37</v>
      </c>
    </row>
    <row r="477" spans="1:17" x14ac:dyDescent="0.3">
      <c r="A477">
        <v>295413</v>
      </c>
      <c r="B477" s="1" t="s">
        <v>15</v>
      </c>
      <c r="C477" s="1" t="s">
        <v>16</v>
      </c>
      <c r="D477" s="1" t="s">
        <v>16</v>
      </c>
      <c r="E477" s="1" t="s">
        <v>27</v>
      </c>
      <c r="F477" s="1" t="s">
        <v>19</v>
      </c>
      <c r="G477" s="1" t="s">
        <v>20</v>
      </c>
      <c r="H477" t="s">
        <v>30</v>
      </c>
      <c r="I477" s="1" t="s">
        <v>26</v>
      </c>
      <c r="J477" s="2">
        <v>43527.420428240737</v>
      </c>
      <c r="K477" s="2">
        <v>43530.420428240737</v>
      </c>
      <c r="L477" s="2">
        <v>43530.420428240737</v>
      </c>
      <c r="M477" s="1">
        <f>_xlfn.DAYS(Table1[[#This Row],[actual_delivery_date]],Table1[[#This Row],[dispatch_date]])</f>
        <v>3</v>
      </c>
      <c r="N477">
        <v>0</v>
      </c>
      <c r="O477">
        <f>Table1[[#This Row],[transit_storage_cost]] * (1-'What -if Analysis'!$D$26)</f>
        <v>0</v>
      </c>
      <c r="P477">
        <v>106</v>
      </c>
      <c r="Q477">
        <v>3220.46</v>
      </c>
    </row>
    <row r="478" spans="1:17" x14ac:dyDescent="0.3">
      <c r="A478">
        <v>407466</v>
      </c>
      <c r="B478" s="1" t="s">
        <v>38</v>
      </c>
      <c r="C478" s="1" t="s">
        <v>23</v>
      </c>
      <c r="D478" s="1" t="s">
        <v>24</v>
      </c>
      <c r="E478" s="1" t="s">
        <v>25</v>
      </c>
      <c r="F478" s="1" t="s">
        <v>31</v>
      </c>
      <c r="G478" s="1" t="s">
        <v>20</v>
      </c>
      <c r="H478" t="s">
        <v>21</v>
      </c>
      <c r="I478" s="1" t="s">
        <v>26</v>
      </c>
      <c r="J478" s="2">
        <v>43528.421168981484</v>
      </c>
      <c r="K478" s="2">
        <v>43530.421168981484</v>
      </c>
      <c r="L478" s="2">
        <v>43532.421168981484</v>
      </c>
      <c r="M478" s="1">
        <f>_xlfn.DAYS(Table1[[#This Row],[actual_delivery_date]],Table1[[#This Row],[dispatch_date]])</f>
        <v>2</v>
      </c>
      <c r="N478">
        <v>48</v>
      </c>
      <c r="O478">
        <f>Table1[[#This Row],[transit_storage_cost]] * (1-'What -if Analysis'!$D$26)</f>
        <v>48</v>
      </c>
      <c r="P478">
        <v>124</v>
      </c>
      <c r="Q478">
        <v>865.18</v>
      </c>
    </row>
    <row r="479" spans="1:17" x14ac:dyDescent="0.3">
      <c r="A479">
        <v>330865</v>
      </c>
      <c r="B479" s="1" t="s">
        <v>40</v>
      </c>
      <c r="C479" s="1" t="s">
        <v>16</v>
      </c>
      <c r="D479" s="1" t="s">
        <v>32</v>
      </c>
      <c r="E479" s="1" t="s">
        <v>33</v>
      </c>
      <c r="F479" s="1" t="s">
        <v>29</v>
      </c>
      <c r="G479" s="1" t="s">
        <v>20</v>
      </c>
      <c r="H479" t="s">
        <v>30</v>
      </c>
      <c r="I479" s="1" t="s">
        <v>22</v>
      </c>
      <c r="J479" s="2">
        <v>43528.422696759262</v>
      </c>
      <c r="K479" s="2">
        <v>43530.422696759262</v>
      </c>
      <c r="L479" s="2">
        <v>43535.422696759262</v>
      </c>
      <c r="M479" s="1">
        <f>_xlfn.DAYS(Table1[[#This Row],[actual_delivery_date]],Table1[[#This Row],[dispatch_date]])</f>
        <v>2</v>
      </c>
      <c r="N479">
        <v>37</v>
      </c>
      <c r="O479">
        <f>Table1[[#This Row],[transit_storage_cost]] * (1-'What -if Analysis'!$D$26)</f>
        <v>37</v>
      </c>
      <c r="P479">
        <v>114</v>
      </c>
      <c r="Q479">
        <v>1052.8550706684948</v>
      </c>
    </row>
    <row r="480" spans="1:17" x14ac:dyDescent="0.3">
      <c r="A480">
        <v>342976</v>
      </c>
      <c r="B480" s="1" t="s">
        <v>39</v>
      </c>
      <c r="C480" s="1" t="s">
        <v>23</v>
      </c>
      <c r="D480" s="1" t="s">
        <v>17</v>
      </c>
      <c r="E480" s="1" t="s">
        <v>18</v>
      </c>
      <c r="F480" s="1" t="s">
        <v>19</v>
      </c>
      <c r="G480" s="1" t="s">
        <v>20</v>
      </c>
      <c r="H480" t="s">
        <v>21</v>
      </c>
      <c r="I480" s="1" t="s">
        <v>22</v>
      </c>
      <c r="J480" s="2">
        <v>43528.424675925926</v>
      </c>
      <c r="K480" s="2">
        <v>43530.424675925926</v>
      </c>
      <c r="L480" s="2">
        <v>43534.424675925926</v>
      </c>
      <c r="M480" s="1">
        <f>_xlfn.DAYS(Table1[[#This Row],[actual_delivery_date]],Table1[[#This Row],[dispatch_date]])</f>
        <v>2</v>
      </c>
      <c r="N480">
        <v>57</v>
      </c>
      <c r="O480">
        <f>Table1[[#This Row],[transit_storage_cost]] * (1-'What -if Analysis'!$D$26)</f>
        <v>57</v>
      </c>
      <c r="P480">
        <v>94</v>
      </c>
      <c r="Q480">
        <v>2439.5602906575009</v>
      </c>
    </row>
    <row r="481" spans="1:17" x14ac:dyDescent="0.3">
      <c r="A481">
        <v>444217</v>
      </c>
      <c r="B481" s="1" t="s">
        <v>38</v>
      </c>
      <c r="C481" s="1" t="s">
        <v>16</v>
      </c>
      <c r="D481" s="1" t="s">
        <v>32</v>
      </c>
      <c r="E481" s="1" t="s">
        <v>33</v>
      </c>
      <c r="F481" s="1" t="s">
        <v>19</v>
      </c>
      <c r="G481" s="1" t="s">
        <v>20</v>
      </c>
      <c r="H481" t="s">
        <v>30</v>
      </c>
      <c r="I481" s="1" t="s">
        <v>22</v>
      </c>
      <c r="J481" s="2">
        <v>43526.439074074071</v>
      </c>
      <c r="K481" s="2">
        <v>43530.439074074071</v>
      </c>
      <c r="L481" s="2">
        <v>43532.439074074071</v>
      </c>
      <c r="M481" s="1">
        <f>_xlfn.DAYS(Table1[[#This Row],[actual_delivery_date]],Table1[[#This Row],[dispatch_date]])</f>
        <v>4</v>
      </c>
      <c r="N481">
        <v>78</v>
      </c>
      <c r="O481">
        <f>Table1[[#This Row],[transit_storage_cost]] * (1-'What -if Analysis'!$D$26)</f>
        <v>78</v>
      </c>
      <c r="P481">
        <v>92</v>
      </c>
      <c r="Q481">
        <v>1582.9868385164907</v>
      </c>
    </row>
    <row r="482" spans="1:17" x14ac:dyDescent="0.3">
      <c r="A482">
        <v>937135</v>
      </c>
      <c r="B482" s="1" t="s">
        <v>38</v>
      </c>
      <c r="C482" s="1" t="s">
        <v>23</v>
      </c>
      <c r="D482" s="1" t="s">
        <v>32</v>
      </c>
      <c r="E482" s="1" t="s">
        <v>33</v>
      </c>
      <c r="F482" s="1" t="s">
        <v>19</v>
      </c>
      <c r="G482" s="1" t="s">
        <v>20</v>
      </c>
      <c r="H482" t="s">
        <v>30</v>
      </c>
      <c r="I482" s="1" t="s">
        <v>22</v>
      </c>
      <c r="J482" s="2">
        <v>43526.441087962965</v>
      </c>
      <c r="K482" s="2">
        <v>43530.441087962965</v>
      </c>
      <c r="L482" s="2">
        <v>43531.441087962965</v>
      </c>
      <c r="M482" s="1">
        <f>_xlfn.DAYS(Table1[[#This Row],[actual_delivery_date]],Table1[[#This Row],[dispatch_date]])</f>
        <v>4</v>
      </c>
      <c r="N482">
        <v>65</v>
      </c>
      <c r="O482">
        <f>Table1[[#This Row],[transit_storage_cost]] * (1-'What -if Analysis'!$D$26)</f>
        <v>65</v>
      </c>
      <c r="P482">
        <v>87</v>
      </c>
      <c r="Q482">
        <v>335.08538175696611</v>
      </c>
    </row>
    <row r="483" spans="1:17" x14ac:dyDescent="0.3">
      <c r="A483">
        <v>734705</v>
      </c>
      <c r="B483" s="1" t="s">
        <v>37</v>
      </c>
      <c r="C483" s="1" t="s">
        <v>23</v>
      </c>
      <c r="D483" s="1" t="s">
        <v>23</v>
      </c>
      <c r="E483" s="1" t="s">
        <v>28</v>
      </c>
      <c r="F483" s="1" t="s">
        <v>29</v>
      </c>
      <c r="G483" s="1" t="s">
        <v>20</v>
      </c>
      <c r="H483" t="s">
        <v>30</v>
      </c>
      <c r="I483" s="1" t="s">
        <v>22</v>
      </c>
      <c r="J483" s="2">
        <v>43529.450162037036</v>
      </c>
      <c r="K483" s="2">
        <v>43530.450162037036</v>
      </c>
      <c r="L483" s="2">
        <v>43536.450162037036</v>
      </c>
      <c r="M483" s="1">
        <f>_xlfn.DAYS(Table1[[#This Row],[actual_delivery_date]],Table1[[#This Row],[dispatch_date]])</f>
        <v>1</v>
      </c>
      <c r="N483">
        <v>0</v>
      </c>
      <c r="O483">
        <f>Table1[[#This Row],[transit_storage_cost]] * (1-'What -if Analysis'!$D$26)</f>
        <v>0</v>
      </c>
      <c r="P483">
        <v>123</v>
      </c>
      <c r="Q483">
        <v>1533.5170004570759</v>
      </c>
    </row>
    <row r="484" spans="1:17" x14ac:dyDescent="0.3">
      <c r="A484">
        <v>734639</v>
      </c>
      <c r="B484" s="1" t="s">
        <v>15</v>
      </c>
      <c r="C484" s="1" t="s">
        <v>23</v>
      </c>
      <c r="D484" s="1" t="s">
        <v>32</v>
      </c>
      <c r="E484" s="1" t="s">
        <v>33</v>
      </c>
      <c r="F484" s="1" t="s">
        <v>29</v>
      </c>
      <c r="G484" s="1" t="s">
        <v>20</v>
      </c>
      <c r="H484" t="s">
        <v>30</v>
      </c>
      <c r="I484" s="1" t="s">
        <v>22</v>
      </c>
      <c r="J484" s="2">
        <v>43528.457071759258</v>
      </c>
      <c r="K484" s="2">
        <v>43530.457071759258</v>
      </c>
      <c r="L484" s="2">
        <v>43534.457071759258</v>
      </c>
      <c r="M484" s="1">
        <f>_xlfn.DAYS(Table1[[#This Row],[actual_delivery_date]],Table1[[#This Row],[dispatch_date]])</f>
        <v>2</v>
      </c>
      <c r="N484">
        <v>29</v>
      </c>
      <c r="O484">
        <f>Table1[[#This Row],[transit_storage_cost]] * (1-'What -if Analysis'!$D$26)</f>
        <v>29</v>
      </c>
      <c r="P484">
        <v>107</v>
      </c>
      <c r="Q484">
        <v>1288.8521414393538</v>
      </c>
    </row>
    <row r="485" spans="1:17" x14ac:dyDescent="0.3">
      <c r="A485">
        <v>16648</v>
      </c>
      <c r="B485" s="1" t="s">
        <v>39</v>
      </c>
      <c r="C485" s="1" t="s">
        <v>23</v>
      </c>
      <c r="D485" s="1" t="s">
        <v>16</v>
      </c>
      <c r="E485" s="1" t="s">
        <v>27</v>
      </c>
      <c r="F485" s="1" t="s">
        <v>19</v>
      </c>
      <c r="G485" s="1" t="s">
        <v>20</v>
      </c>
      <c r="H485" t="s">
        <v>21</v>
      </c>
      <c r="I485" s="1" t="s">
        <v>22</v>
      </c>
      <c r="J485" s="2">
        <v>43526.468668981484</v>
      </c>
      <c r="K485" s="2">
        <v>43530.468668981484</v>
      </c>
      <c r="L485" s="2">
        <v>43531.468668981484</v>
      </c>
      <c r="M485" s="1">
        <f>_xlfn.DAYS(Table1[[#This Row],[actual_delivery_date]],Table1[[#This Row],[dispatch_date]])</f>
        <v>4</v>
      </c>
      <c r="N485">
        <v>85</v>
      </c>
      <c r="O485">
        <f>Table1[[#This Row],[transit_storage_cost]] * (1-'What -if Analysis'!$D$26)</f>
        <v>85</v>
      </c>
      <c r="P485">
        <v>107</v>
      </c>
      <c r="Q485">
        <v>3159.9173261905985</v>
      </c>
    </row>
    <row r="486" spans="1:17" x14ac:dyDescent="0.3">
      <c r="A486">
        <v>10516</v>
      </c>
      <c r="B486" s="1" t="s">
        <v>38</v>
      </c>
      <c r="C486" s="1" t="s">
        <v>16</v>
      </c>
      <c r="D486" s="1" t="s">
        <v>16</v>
      </c>
      <c r="E486" s="1" t="s">
        <v>27</v>
      </c>
      <c r="F486" s="1" t="s">
        <v>19</v>
      </c>
      <c r="G486" s="1" t="s">
        <v>36</v>
      </c>
      <c r="H486" t="s">
        <v>21</v>
      </c>
      <c r="I486" s="1" t="s">
        <v>22</v>
      </c>
      <c r="J486" s="2">
        <v>43525.471516203703</v>
      </c>
      <c r="K486" s="2">
        <v>43530.471516203703</v>
      </c>
      <c r="L486" s="2">
        <v>43529.471516203703</v>
      </c>
      <c r="M486" s="1">
        <f>_xlfn.DAYS(Table1[[#This Row],[actual_delivery_date]],Table1[[#This Row],[dispatch_date]])</f>
        <v>5</v>
      </c>
      <c r="N486">
        <v>0</v>
      </c>
      <c r="O486">
        <f>Table1[[#This Row],[transit_storage_cost]] * (1-'What -if Analysis'!$D$26)</f>
        <v>0</v>
      </c>
      <c r="P486">
        <v>126</v>
      </c>
      <c r="Q486">
        <v>608.5793359701629</v>
      </c>
    </row>
    <row r="487" spans="1:17" x14ac:dyDescent="0.3">
      <c r="A487">
        <v>686093</v>
      </c>
      <c r="B487" s="1" t="s">
        <v>38</v>
      </c>
      <c r="C487" s="1" t="s">
        <v>16</v>
      </c>
      <c r="D487" s="1" t="s">
        <v>23</v>
      </c>
      <c r="E487" s="1" t="s">
        <v>28</v>
      </c>
      <c r="F487" s="1" t="s">
        <v>19</v>
      </c>
      <c r="G487" s="1" t="s">
        <v>20</v>
      </c>
      <c r="H487" t="s">
        <v>30</v>
      </c>
      <c r="I487" s="1" t="s">
        <v>22</v>
      </c>
      <c r="J487" s="2">
        <v>43526.472905092596</v>
      </c>
      <c r="K487" s="2">
        <v>43530.472905092596</v>
      </c>
      <c r="L487" s="2">
        <v>43533.472905092596</v>
      </c>
      <c r="M487" s="1">
        <f>_xlfn.DAYS(Table1[[#This Row],[actual_delivery_date]],Table1[[#This Row],[dispatch_date]])</f>
        <v>4</v>
      </c>
      <c r="N487">
        <v>63</v>
      </c>
      <c r="O487">
        <f>Table1[[#This Row],[transit_storage_cost]] * (1-'What -if Analysis'!$D$26)</f>
        <v>63</v>
      </c>
      <c r="P487">
        <v>104</v>
      </c>
      <c r="Q487">
        <v>1104.0567035334727</v>
      </c>
    </row>
    <row r="488" spans="1:17" x14ac:dyDescent="0.3">
      <c r="A488">
        <v>629337</v>
      </c>
      <c r="B488" s="1" t="s">
        <v>37</v>
      </c>
      <c r="C488" s="1" t="s">
        <v>16</v>
      </c>
      <c r="D488" s="1" t="s">
        <v>17</v>
      </c>
      <c r="E488" s="1" t="s">
        <v>18</v>
      </c>
      <c r="F488" s="1" t="s">
        <v>29</v>
      </c>
      <c r="G488" s="1" t="s">
        <v>20</v>
      </c>
      <c r="H488" t="s">
        <v>30</v>
      </c>
      <c r="I488" s="1" t="s">
        <v>26</v>
      </c>
      <c r="J488" s="2">
        <v>43527.474537037036</v>
      </c>
      <c r="K488" s="2">
        <v>43530.474537037036</v>
      </c>
      <c r="L488" s="2">
        <v>43530.474537037036</v>
      </c>
      <c r="M488" s="1">
        <f>_xlfn.DAYS(Table1[[#This Row],[actual_delivery_date]],Table1[[#This Row],[dispatch_date]])</f>
        <v>3</v>
      </c>
      <c r="N488">
        <v>25</v>
      </c>
      <c r="O488">
        <f>Table1[[#This Row],[transit_storage_cost]] * (1-'What -if Analysis'!$D$26)</f>
        <v>25</v>
      </c>
      <c r="P488">
        <v>110</v>
      </c>
      <c r="Q488">
        <v>2480.9299999999998</v>
      </c>
    </row>
    <row r="489" spans="1:17" x14ac:dyDescent="0.3">
      <c r="A489">
        <v>726305</v>
      </c>
      <c r="B489" s="1" t="s">
        <v>38</v>
      </c>
      <c r="C489" s="1" t="s">
        <v>23</v>
      </c>
      <c r="D489" s="1" t="s">
        <v>16</v>
      </c>
      <c r="E489" s="1" t="s">
        <v>27</v>
      </c>
      <c r="F489" s="1" t="s">
        <v>29</v>
      </c>
      <c r="G489" s="1" t="s">
        <v>20</v>
      </c>
      <c r="H489" t="s">
        <v>30</v>
      </c>
      <c r="I489" s="1" t="s">
        <v>22</v>
      </c>
      <c r="J489" s="2">
        <v>43527.498240740744</v>
      </c>
      <c r="K489" s="2">
        <v>43530.498240740744</v>
      </c>
      <c r="L489" s="2">
        <v>43532.498240740744</v>
      </c>
      <c r="M489" s="1">
        <f>_xlfn.DAYS(Table1[[#This Row],[actual_delivery_date]],Table1[[#This Row],[dispatch_date]])</f>
        <v>3</v>
      </c>
      <c r="N489">
        <v>33</v>
      </c>
      <c r="O489">
        <f>Table1[[#This Row],[transit_storage_cost]] * (1-'What -if Analysis'!$D$26)</f>
        <v>33</v>
      </c>
      <c r="P489">
        <v>129</v>
      </c>
      <c r="Q489">
        <v>2076.3947444688033</v>
      </c>
    </row>
    <row r="490" spans="1:17" x14ac:dyDescent="0.3">
      <c r="A490">
        <v>762885</v>
      </c>
      <c r="B490" s="1" t="s">
        <v>38</v>
      </c>
      <c r="C490" s="1" t="s">
        <v>23</v>
      </c>
      <c r="D490" s="1" t="s">
        <v>16</v>
      </c>
      <c r="E490" s="1" t="s">
        <v>27</v>
      </c>
      <c r="F490" s="1" t="s">
        <v>29</v>
      </c>
      <c r="G490" s="1" t="s">
        <v>20</v>
      </c>
      <c r="H490" t="s">
        <v>30</v>
      </c>
      <c r="I490" s="1" t="s">
        <v>26</v>
      </c>
      <c r="J490" s="2">
        <v>43527.498518518521</v>
      </c>
      <c r="K490" s="2">
        <v>43530.498518518521</v>
      </c>
      <c r="L490" s="2">
        <v>43534.498518518521</v>
      </c>
      <c r="M490" s="1">
        <f>_xlfn.DAYS(Table1[[#This Row],[actual_delivery_date]],Table1[[#This Row],[dispatch_date]])</f>
        <v>3</v>
      </c>
      <c r="N490">
        <v>34</v>
      </c>
      <c r="O490">
        <f>Table1[[#This Row],[transit_storage_cost]] * (1-'What -if Analysis'!$D$26)</f>
        <v>34</v>
      </c>
      <c r="P490">
        <v>122</v>
      </c>
      <c r="Q490">
        <v>3567.18</v>
      </c>
    </row>
    <row r="491" spans="1:17" x14ac:dyDescent="0.3">
      <c r="A491">
        <v>465452</v>
      </c>
      <c r="B491" s="1" t="s">
        <v>38</v>
      </c>
      <c r="C491" s="1" t="s">
        <v>16</v>
      </c>
      <c r="D491" s="1" t="s">
        <v>23</v>
      </c>
      <c r="E491" s="1" t="s">
        <v>28</v>
      </c>
      <c r="F491" s="1" t="s">
        <v>19</v>
      </c>
      <c r="G491" s="1" t="s">
        <v>20</v>
      </c>
      <c r="H491" t="s">
        <v>21</v>
      </c>
      <c r="I491" s="1" t="s">
        <v>22</v>
      </c>
      <c r="J491" s="2">
        <v>43526.499166666668</v>
      </c>
      <c r="K491" s="2">
        <v>43530.499166666668</v>
      </c>
      <c r="L491" s="2">
        <v>43533.499166666668</v>
      </c>
      <c r="M491" s="1">
        <f>_xlfn.DAYS(Table1[[#This Row],[actual_delivery_date]],Table1[[#This Row],[dispatch_date]])</f>
        <v>4</v>
      </c>
      <c r="N491">
        <v>72</v>
      </c>
      <c r="O491">
        <f>Table1[[#This Row],[transit_storage_cost]] * (1-'What -if Analysis'!$D$26)</f>
        <v>72</v>
      </c>
      <c r="P491">
        <v>103</v>
      </c>
      <c r="Q491">
        <v>653.08781540481687</v>
      </c>
    </row>
    <row r="492" spans="1:17" x14ac:dyDescent="0.3">
      <c r="A492">
        <v>784403</v>
      </c>
      <c r="B492" s="1" t="s">
        <v>41</v>
      </c>
      <c r="C492" s="1" t="s">
        <v>23</v>
      </c>
      <c r="D492" s="1" t="s">
        <v>24</v>
      </c>
      <c r="E492" s="1" t="s">
        <v>25</v>
      </c>
      <c r="F492" s="1" t="s">
        <v>19</v>
      </c>
      <c r="G492" s="1" t="s">
        <v>20</v>
      </c>
      <c r="H492" t="s">
        <v>30</v>
      </c>
      <c r="I492" s="1" t="s">
        <v>22</v>
      </c>
      <c r="J492" s="2">
        <v>43525.505462962959</v>
      </c>
      <c r="K492" s="2">
        <v>43530.505462962959</v>
      </c>
      <c r="L492" s="2">
        <v>43531.505462962959</v>
      </c>
      <c r="M492" s="1">
        <f>_xlfn.DAYS(Table1[[#This Row],[actual_delivery_date]],Table1[[#This Row],[dispatch_date]])</f>
        <v>5</v>
      </c>
      <c r="N492">
        <v>61</v>
      </c>
      <c r="O492">
        <f>Table1[[#This Row],[transit_storage_cost]] * (1-'What -if Analysis'!$D$26)</f>
        <v>61</v>
      </c>
      <c r="P492">
        <v>106</v>
      </c>
      <c r="Q492">
        <v>1733.4545624379939</v>
      </c>
    </row>
    <row r="493" spans="1:17" x14ac:dyDescent="0.3">
      <c r="A493">
        <v>649185</v>
      </c>
      <c r="B493" s="1" t="s">
        <v>40</v>
      </c>
      <c r="C493" s="1" t="s">
        <v>16</v>
      </c>
      <c r="D493" s="1" t="s">
        <v>17</v>
      </c>
      <c r="E493" s="1" t="s">
        <v>18</v>
      </c>
      <c r="F493" s="1" t="s">
        <v>29</v>
      </c>
      <c r="G493" s="1" t="s">
        <v>20</v>
      </c>
      <c r="H493" t="s">
        <v>30</v>
      </c>
      <c r="I493" s="1" t="s">
        <v>26</v>
      </c>
      <c r="J493" s="2">
        <v>43526.508333333331</v>
      </c>
      <c r="K493" s="2">
        <v>43530.508333333331</v>
      </c>
      <c r="L493" s="2">
        <v>43531.508333333331</v>
      </c>
      <c r="M493" s="1">
        <f>_xlfn.DAYS(Table1[[#This Row],[actual_delivery_date]],Table1[[#This Row],[dispatch_date]])</f>
        <v>4</v>
      </c>
      <c r="N493">
        <v>40</v>
      </c>
      <c r="O493">
        <f>Table1[[#This Row],[transit_storage_cost]] * (1-'What -if Analysis'!$D$26)</f>
        <v>40</v>
      </c>
      <c r="P493">
        <v>107</v>
      </c>
      <c r="Q493">
        <v>1267.42</v>
      </c>
    </row>
    <row r="494" spans="1:17" x14ac:dyDescent="0.3">
      <c r="A494">
        <v>553036</v>
      </c>
      <c r="B494" s="1" t="s">
        <v>41</v>
      </c>
      <c r="C494" s="1" t="s">
        <v>16</v>
      </c>
      <c r="D494" s="1" t="s">
        <v>17</v>
      </c>
      <c r="E494" s="1" t="s">
        <v>18</v>
      </c>
      <c r="F494" s="1" t="s">
        <v>19</v>
      </c>
      <c r="G494" s="1" t="s">
        <v>20</v>
      </c>
      <c r="H494" t="s">
        <v>21</v>
      </c>
      <c r="I494" s="1" t="s">
        <v>22</v>
      </c>
      <c r="J494" s="2">
        <v>43528.516446759262</v>
      </c>
      <c r="K494" s="2">
        <v>43530.516446759262</v>
      </c>
      <c r="L494" s="2">
        <v>43533.516446759262</v>
      </c>
      <c r="M494" s="1">
        <f>_xlfn.DAYS(Table1[[#This Row],[actual_delivery_date]],Table1[[#This Row],[dispatch_date]])</f>
        <v>2</v>
      </c>
      <c r="N494">
        <v>62</v>
      </c>
      <c r="O494">
        <f>Table1[[#This Row],[transit_storage_cost]] * (1-'What -if Analysis'!$D$26)</f>
        <v>62</v>
      </c>
      <c r="P494">
        <v>95</v>
      </c>
      <c r="Q494">
        <v>1930.6051837532495</v>
      </c>
    </row>
    <row r="495" spans="1:17" x14ac:dyDescent="0.3">
      <c r="A495">
        <v>971439</v>
      </c>
      <c r="B495" s="1" t="s">
        <v>39</v>
      </c>
      <c r="C495" s="1" t="s">
        <v>16</v>
      </c>
      <c r="D495" s="1" t="s">
        <v>23</v>
      </c>
      <c r="E495" s="1" t="s">
        <v>28</v>
      </c>
      <c r="F495" s="1" t="s">
        <v>29</v>
      </c>
      <c r="G495" s="1" t="s">
        <v>20</v>
      </c>
      <c r="H495" t="s">
        <v>34</v>
      </c>
      <c r="I495" s="1" t="s">
        <v>26</v>
      </c>
      <c r="J495" s="2">
        <v>43525.517453703702</v>
      </c>
      <c r="K495" s="2">
        <v>43530.517453703702</v>
      </c>
      <c r="L495" s="2">
        <v>43528.517453703702</v>
      </c>
      <c r="M495" s="1">
        <f>_xlfn.DAYS(Table1[[#This Row],[actual_delivery_date]],Table1[[#This Row],[dispatch_date]])</f>
        <v>5</v>
      </c>
      <c r="N495">
        <v>47</v>
      </c>
      <c r="O495">
        <f>Table1[[#This Row],[transit_storage_cost]] * (1-'What -if Analysis'!$D$26)</f>
        <v>47</v>
      </c>
      <c r="P495">
        <v>128</v>
      </c>
      <c r="Q495">
        <v>544.71</v>
      </c>
    </row>
    <row r="496" spans="1:17" x14ac:dyDescent="0.3">
      <c r="A496">
        <v>923214</v>
      </c>
      <c r="B496" s="1" t="s">
        <v>39</v>
      </c>
      <c r="C496" s="1" t="s">
        <v>16</v>
      </c>
      <c r="D496" s="1" t="s">
        <v>17</v>
      </c>
      <c r="E496" s="1" t="s">
        <v>18</v>
      </c>
      <c r="F496" s="1" t="s">
        <v>19</v>
      </c>
      <c r="G496" s="1" t="s">
        <v>20</v>
      </c>
      <c r="H496" t="s">
        <v>21</v>
      </c>
      <c r="I496" s="1" t="s">
        <v>26</v>
      </c>
      <c r="J496" s="2">
        <v>43528.518263888887</v>
      </c>
      <c r="K496" s="2">
        <v>43530.518263888887</v>
      </c>
      <c r="L496" s="2">
        <v>43531.518263888887</v>
      </c>
      <c r="M496" s="1">
        <f>_xlfn.DAYS(Table1[[#This Row],[actual_delivery_date]],Table1[[#This Row],[dispatch_date]])</f>
        <v>2</v>
      </c>
      <c r="N496">
        <v>62</v>
      </c>
      <c r="O496">
        <f>Table1[[#This Row],[transit_storage_cost]] * (1-'What -if Analysis'!$D$26)</f>
        <v>62</v>
      </c>
      <c r="P496">
        <v>91</v>
      </c>
      <c r="Q496">
        <v>718.85</v>
      </c>
    </row>
    <row r="497" spans="1:17" x14ac:dyDescent="0.3">
      <c r="A497">
        <v>878354</v>
      </c>
      <c r="B497" s="1" t="s">
        <v>39</v>
      </c>
      <c r="C497" s="1" t="s">
        <v>23</v>
      </c>
      <c r="D497" s="1" t="s">
        <v>16</v>
      </c>
      <c r="E497" s="1" t="s">
        <v>27</v>
      </c>
      <c r="F497" s="1" t="s">
        <v>31</v>
      </c>
      <c r="G497" s="1" t="s">
        <v>20</v>
      </c>
      <c r="H497" t="s">
        <v>21</v>
      </c>
      <c r="I497" s="1" t="s">
        <v>22</v>
      </c>
      <c r="J497" s="2">
        <v>43525.522916666669</v>
      </c>
      <c r="K497" s="2">
        <v>43530.522916666669</v>
      </c>
      <c r="L497" s="2">
        <v>43529.522916666669</v>
      </c>
      <c r="M497" s="1">
        <f>_xlfn.DAYS(Table1[[#This Row],[actual_delivery_date]],Table1[[#This Row],[dispatch_date]])</f>
        <v>5</v>
      </c>
      <c r="N497">
        <v>43</v>
      </c>
      <c r="O497">
        <f>Table1[[#This Row],[transit_storage_cost]] * (1-'What -if Analysis'!$D$26)</f>
        <v>43</v>
      </c>
      <c r="P497">
        <v>125</v>
      </c>
      <c r="Q497">
        <v>3624.4905785872238</v>
      </c>
    </row>
    <row r="498" spans="1:17" x14ac:dyDescent="0.3">
      <c r="A498">
        <v>797666</v>
      </c>
      <c r="B498" s="1" t="s">
        <v>39</v>
      </c>
      <c r="C498" s="1" t="s">
        <v>16</v>
      </c>
      <c r="D498" s="1" t="s">
        <v>16</v>
      </c>
      <c r="E498" s="1" t="s">
        <v>27</v>
      </c>
      <c r="F498" s="1" t="s">
        <v>31</v>
      </c>
      <c r="G498" s="1" t="s">
        <v>36</v>
      </c>
      <c r="H498" t="s">
        <v>21</v>
      </c>
      <c r="I498" s="1" t="s">
        <v>22</v>
      </c>
      <c r="J498" s="2">
        <v>43526.52752314815</v>
      </c>
      <c r="K498" s="2">
        <v>43530.52752314815</v>
      </c>
      <c r="L498" s="2">
        <v>43531.52752314815</v>
      </c>
      <c r="M498" s="1">
        <f>_xlfn.DAYS(Table1[[#This Row],[actual_delivery_date]],Table1[[#This Row],[dispatch_date]])</f>
        <v>4</v>
      </c>
      <c r="N498">
        <v>0</v>
      </c>
      <c r="O498">
        <f>Table1[[#This Row],[transit_storage_cost]] * (1-'What -if Analysis'!$D$26)</f>
        <v>0</v>
      </c>
      <c r="P498">
        <v>128</v>
      </c>
      <c r="Q498">
        <v>2866.7796545573469</v>
      </c>
    </row>
    <row r="499" spans="1:17" x14ac:dyDescent="0.3">
      <c r="A499">
        <v>135606</v>
      </c>
      <c r="B499" s="1" t="s">
        <v>40</v>
      </c>
      <c r="C499" s="1" t="s">
        <v>16</v>
      </c>
      <c r="D499" s="1" t="s">
        <v>23</v>
      </c>
      <c r="E499" s="1" t="s">
        <v>28</v>
      </c>
      <c r="F499" s="1" t="s">
        <v>31</v>
      </c>
      <c r="G499" s="1" t="s">
        <v>20</v>
      </c>
      <c r="H499" t="s">
        <v>21</v>
      </c>
      <c r="I499" s="1" t="s">
        <v>26</v>
      </c>
      <c r="J499" s="2">
        <v>43526.533460648148</v>
      </c>
      <c r="K499" s="2">
        <v>43530.533460648148</v>
      </c>
      <c r="L499" s="2">
        <v>43529.533460648148</v>
      </c>
      <c r="M499" s="1">
        <f>_xlfn.DAYS(Table1[[#This Row],[actual_delivery_date]],Table1[[#This Row],[dispatch_date]])</f>
        <v>4</v>
      </c>
      <c r="N499">
        <v>29</v>
      </c>
      <c r="O499">
        <f>Table1[[#This Row],[transit_storage_cost]] * (1-'What -if Analysis'!$D$26)</f>
        <v>29</v>
      </c>
      <c r="P499">
        <v>120</v>
      </c>
      <c r="Q499">
        <v>1145.3599999999999</v>
      </c>
    </row>
    <row r="500" spans="1:17" x14ac:dyDescent="0.3">
      <c r="A500">
        <v>6297</v>
      </c>
      <c r="B500" s="1" t="s">
        <v>38</v>
      </c>
      <c r="C500" s="1" t="s">
        <v>23</v>
      </c>
      <c r="D500" s="1" t="s">
        <v>16</v>
      </c>
      <c r="E500" s="1" t="s">
        <v>27</v>
      </c>
      <c r="F500" s="1" t="s">
        <v>29</v>
      </c>
      <c r="G500" s="1" t="s">
        <v>20</v>
      </c>
      <c r="H500" t="s">
        <v>30</v>
      </c>
      <c r="I500" s="1" t="s">
        <v>26</v>
      </c>
      <c r="J500" s="2">
        <v>43525.540254629632</v>
      </c>
      <c r="K500" s="2">
        <v>43530.540254629632</v>
      </c>
      <c r="L500" s="2">
        <v>43530.540254629632</v>
      </c>
      <c r="M500" s="1">
        <f>_xlfn.DAYS(Table1[[#This Row],[actual_delivery_date]],Table1[[#This Row],[dispatch_date]])</f>
        <v>5</v>
      </c>
      <c r="N500">
        <v>32</v>
      </c>
      <c r="O500">
        <f>Table1[[#This Row],[transit_storage_cost]] * (1-'What -if Analysis'!$D$26)</f>
        <v>32</v>
      </c>
      <c r="P500">
        <v>125</v>
      </c>
      <c r="Q500">
        <v>3069.91</v>
      </c>
    </row>
    <row r="501" spans="1:17" x14ac:dyDescent="0.3">
      <c r="A501">
        <v>368941</v>
      </c>
      <c r="B501" s="1" t="s">
        <v>40</v>
      </c>
      <c r="C501" s="1" t="s">
        <v>23</v>
      </c>
      <c r="D501" s="1" t="s">
        <v>24</v>
      </c>
      <c r="E501" s="1" t="s">
        <v>25</v>
      </c>
      <c r="F501" s="1" t="s">
        <v>19</v>
      </c>
      <c r="G501" s="1" t="s">
        <v>20</v>
      </c>
      <c r="H501" t="s">
        <v>30</v>
      </c>
      <c r="I501" s="1" t="s">
        <v>22</v>
      </c>
      <c r="J501" s="2">
        <v>43525.540358796294</v>
      </c>
      <c r="K501" s="2">
        <v>43530.540358796294</v>
      </c>
      <c r="L501" s="2">
        <v>43529.540358796294</v>
      </c>
      <c r="M501" s="1">
        <f>_xlfn.DAYS(Table1[[#This Row],[actual_delivery_date]],Table1[[#This Row],[dispatch_date]])</f>
        <v>5</v>
      </c>
      <c r="N501">
        <v>83</v>
      </c>
      <c r="O501">
        <f>Table1[[#This Row],[transit_storage_cost]] * (1-'What -if Analysis'!$D$26)</f>
        <v>83</v>
      </c>
      <c r="P501">
        <v>110</v>
      </c>
      <c r="Q501">
        <v>2706.667158402674</v>
      </c>
    </row>
    <row r="502" spans="1:17" x14ac:dyDescent="0.3">
      <c r="A502">
        <v>537771</v>
      </c>
      <c r="B502" s="1" t="s">
        <v>38</v>
      </c>
      <c r="C502" s="1" t="s">
        <v>16</v>
      </c>
      <c r="D502" s="1" t="s">
        <v>17</v>
      </c>
      <c r="E502" s="1" t="s">
        <v>18</v>
      </c>
      <c r="F502" s="1" t="s">
        <v>29</v>
      </c>
      <c r="G502" s="1" t="s">
        <v>20</v>
      </c>
      <c r="H502" t="s">
        <v>30</v>
      </c>
      <c r="I502" s="1" t="s">
        <v>26</v>
      </c>
      <c r="J502" s="2">
        <v>43526.547164351854</v>
      </c>
      <c r="K502" s="2">
        <v>43530.547164351854</v>
      </c>
      <c r="L502" s="2">
        <v>43533.547164351854</v>
      </c>
      <c r="M502" s="1">
        <f>_xlfn.DAYS(Table1[[#This Row],[actual_delivery_date]],Table1[[#This Row],[dispatch_date]])</f>
        <v>4</v>
      </c>
      <c r="N502">
        <v>50</v>
      </c>
      <c r="O502">
        <f>Table1[[#This Row],[transit_storage_cost]] * (1-'What -if Analysis'!$D$26)</f>
        <v>50</v>
      </c>
      <c r="P502">
        <v>114</v>
      </c>
      <c r="Q502">
        <v>3383.82</v>
      </c>
    </row>
    <row r="503" spans="1:17" x14ac:dyDescent="0.3">
      <c r="A503">
        <v>940427</v>
      </c>
      <c r="B503" s="1" t="s">
        <v>39</v>
      </c>
      <c r="C503" s="1" t="s">
        <v>16</v>
      </c>
      <c r="D503" s="1" t="s">
        <v>17</v>
      </c>
      <c r="E503" s="1" t="s">
        <v>18</v>
      </c>
      <c r="F503" s="1" t="s">
        <v>19</v>
      </c>
      <c r="G503" s="1" t="s">
        <v>20</v>
      </c>
      <c r="H503" t="s">
        <v>30</v>
      </c>
      <c r="I503" s="1" t="s">
        <v>22</v>
      </c>
      <c r="J503" s="2">
        <v>43525.552939814814</v>
      </c>
      <c r="K503" s="2">
        <v>43530.552939814814</v>
      </c>
      <c r="L503" s="2">
        <v>43532.552939814814</v>
      </c>
      <c r="M503" s="1">
        <f>_xlfn.DAYS(Table1[[#This Row],[actual_delivery_date]],Table1[[#This Row],[dispatch_date]])</f>
        <v>5</v>
      </c>
      <c r="N503">
        <v>68</v>
      </c>
      <c r="O503">
        <f>Table1[[#This Row],[transit_storage_cost]] * (1-'What -if Analysis'!$D$26)</f>
        <v>68</v>
      </c>
      <c r="P503">
        <v>88</v>
      </c>
      <c r="Q503">
        <v>2942.2516044543677</v>
      </c>
    </row>
    <row r="504" spans="1:17" x14ac:dyDescent="0.3">
      <c r="A504">
        <v>643068</v>
      </c>
      <c r="B504" s="1" t="s">
        <v>38</v>
      </c>
      <c r="C504" s="1" t="s">
        <v>16</v>
      </c>
      <c r="D504" s="1" t="s">
        <v>16</v>
      </c>
      <c r="E504" s="1" t="s">
        <v>27</v>
      </c>
      <c r="F504" s="1" t="s">
        <v>19</v>
      </c>
      <c r="G504" s="1" t="s">
        <v>20</v>
      </c>
      <c r="H504" t="s">
        <v>21</v>
      </c>
      <c r="I504" s="1" t="s">
        <v>26</v>
      </c>
      <c r="J504" s="2">
        <v>43530.56108796296</v>
      </c>
      <c r="K504" s="2">
        <v>43530.56108796296</v>
      </c>
      <c r="L504" s="2">
        <v>43533.56108796296</v>
      </c>
      <c r="M504" s="1">
        <f>_xlfn.DAYS(Table1[[#This Row],[actual_delivery_date]],Table1[[#This Row],[dispatch_date]])</f>
        <v>0</v>
      </c>
      <c r="N504">
        <v>0</v>
      </c>
      <c r="O504">
        <f>Table1[[#This Row],[transit_storage_cost]] * (1-'What -if Analysis'!$D$26)</f>
        <v>0</v>
      </c>
      <c r="P504">
        <v>124</v>
      </c>
      <c r="Q504">
        <v>2598.386215788385</v>
      </c>
    </row>
    <row r="505" spans="1:17" x14ac:dyDescent="0.3">
      <c r="A505">
        <v>812617</v>
      </c>
      <c r="B505" s="1" t="s">
        <v>37</v>
      </c>
      <c r="C505" s="1" t="s">
        <v>16</v>
      </c>
      <c r="D505" s="1" t="s">
        <v>16</v>
      </c>
      <c r="E505" s="1" t="s">
        <v>27</v>
      </c>
      <c r="F505" s="1" t="s">
        <v>29</v>
      </c>
      <c r="G505" s="1" t="s">
        <v>20</v>
      </c>
      <c r="H505" t="s">
        <v>30</v>
      </c>
      <c r="I505" s="1" t="s">
        <v>22</v>
      </c>
      <c r="J505" s="2">
        <v>43526.562557870369</v>
      </c>
      <c r="K505" s="2">
        <v>43530.562557870369</v>
      </c>
      <c r="L505" s="2">
        <v>43529.562557870369</v>
      </c>
      <c r="M505" s="1">
        <f>_xlfn.DAYS(Table1[[#This Row],[actual_delivery_date]],Table1[[#This Row],[dispatch_date]])</f>
        <v>4</v>
      </c>
      <c r="N505">
        <v>0</v>
      </c>
      <c r="O505">
        <f>Table1[[#This Row],[transit_storage_cost]] * (1-'What -if Analysis'!$D$26)</f>
        <v>0</v>
      </c>
      <c r="P505">
        <v>128</v>
      </c>
      <c r="Q505">
        <v>961.92754660748449</v>
      </c>
    </row>
    <row r="506" spans="1:17" x14ac:dyDescent="0.3">
      <c r="A506">
        <v>445618</v>
      </c>
      <c r="B506" s="1" t="s">
        <v>40</v>
      </c>
      <c r="C506" s="1" t="s">
        <v>16</v>
      </c>
      <c r="D506" s="1" t="s">
        <v>32</v>
      </c>
      <c r="E506" s="1" t="s">
        <v>33</v>
      </c>
      <c r="F506" s="1" t="s">
        <v>31</v>
      </c>
      <c r="G506" s="1" t="s">
        <v>20</v>
      </c>
      <c r="H506" t="s">
        <v>21</v>
      </c>
      <c r="I506" s="1" t="s">
        <v>22</v>
      </c>
      <c r="J506" s="2">
        <v>43528.567291666666</v>
      </c>
      <c r="K506" s="2">
        <v>43530.567291666666</v>
      </c>
      <c r="L506" s="2">
        <v>43531.567291666666</v>
      </c>
      <c r="M506" s="1">
        <f>_xlfn.DAYS(Table1[[#This Row],[actual_delivery_date]],Table1[[#This Row],[dispatch_date]])</f>
        <v>2</v>
      </c>
      <c r="N506">
        <v>37</v>
      </c>
      <c r="O506">
        <f>Table1[[#This Row],[transit_storage_cost]] * (1-'What -if Analysis'!$D$26)</f>
        <v>37</v>
      </c>
      <c r="P506">
        <v>111</v>
      </c>
      <c r="Q506">
        <v>3143.3210054526112</v>
      </c>
    </row>
    <row r="507" spans="1:17" x14ac:dyDescent="0.3">
      <c r="A507">
        <v>760989</v>
      </c>
      <c r="B507" s="1" t="s">
        <v>15</v>
      </c>
      <c r="C507" s="1" t="s">
        <v>16</v>
      </c>
      <c r="D507" s="1" t="s">
        <v>32</v>
      </c>
      <c r="E507" s="1" t="s">
        <v>33</v>
      </c>
      <c r="F507" s="1" t="s">
        <v>29</v>
      </c>
      <c r="G507" s="1" t="s">
        <v>20</v>
      </c>
      <c r="H507" t="s">
        <v>30</v>
      </c>
      <c r="I507" s="1" t="s">
        <v>26</v>
      </c>
      <c r="J507" s="2">
        <v>43527.569675925923</v>
      </c>
      <c r="K507" s="2">
        <v>43530.569675925923</v>
      </c>
      <c r="L507" s="2">
        <v>43533.569675925923</v>
      </c>
      <c r="M507" s="1">
        <f>_xlfn.DAYS(Table1[[#This Row],[actual_delivery_date]],Table1[[#This Row],[dispatch_date]])</f>
        <v>3</v>
      </c>
      <c r="N507">
        <v>38</v>
      </c>
      <c r="O507">
        <f>Table1[[#This Row],[transit_storage_cost]] * (1-'What -if Analysis'!$D$26)</f>
        <v>38</v>
      </c>
      <c r="P507">
        <v>113</v>
      </c>
      <c r="Q507">
        <v>243.85</v>
      </c>
    </row>
    <row r="508" spans="1:17" x14ac:dyDescent="0.3">
      <c r="A508">
        <v>830252</v>
      </c>
      <c r="B508" s="1" t="s">
        <v>38</v>
      </c>
      <c r="C508" s="1" t="s">
        <v>23</v>
      </c>
      <c r="D508" s="1" t="s">
        <v>23</v>
      </c>
      <c r="E508" s="1" t="s">
        <v>28</v>
      </c>
      <c r="F508" s="1" t="s">
        <v>19</v>
      </c>
      <c r="G508" s="1" t="s">
        <v>20</v>
      </c>
      <c r="H508" t="s">
        <v>21</v>
      </c>
      <c r="I508" s="1" t="s">
        <v>22</v>
      </c>
      <c r="J508" s="2">
        <v>43530.569803240738</v>
      </c>
      <c r="K508" s="2">
        <v>43530.569803240738</v>
      </c>
      <c r="L508" s="2">
        <v>43536.569803240738</v>
      </c>
      <c r="M508" s="1">
        <f>_xlfn.DAYS(Table1[[#This Row],[actual_delivery_date]],Table1[[#This Row],[dispatch_date]])</f>
        <v>0</v>
      </c>
      <c r="N508">
        <v>0</v>
      </c>
      <c r="O508">
        <f>Table1[[#This Row],[transit_storage_cost]] * (1-'What -if Analysis'!$D$26)</f>
        <v>0</v>
      </c>
      <c r="P508">
        <v>120</v>
      </c>
      <c r="Q508">
        <v>1400.3782089044471</v>
      </c>
    </row>
    <row r="509" spans="1:17" x14ac:dyDescent="0.3">
      <c r="A509">
        <v>62028</v>
      </c>
      <c r="B509" s="1" t="s">
        <v>38</v>
      </c>
      <c r="C509" s="1" t="s">
        <v>16</v>
      </c>
      <c r="D509" s="1" t="s">
        <v>23</v>
      </c>
      <c r="E509" s="1" t="s">
        <v>28</v>
      </c>
      <c r="F509" s="1" t="s">
        <v>19</v>
      </c>
      <c r="G509" s="1" t="s">
        <v>20</v>
      </c>
      <c r="H509" t="s">
        <v>21</v>
      </c>
      <c r="I509" s="1" t="s">
        <v>26</v>
      </c>
      <c r="J509" s="2">
        <v>43526.570706018516</v>
      </c>
      <c r="K509" s="2">
        <v>43530.570706018516</v>
      </c>
      <c r="L509" s="2">
        <v>43529.570706018516</v>
      </c>
      <c r="M509" s="1">
        <f>_xlfn.DAYS(Table1[[#This Row],[actual_delivery_date]],Table1[[#This Row],[dispatch_date]])</f>
        <v>4</v>
      </c>
      <c r="N509">
        <v>59</v>
      </c>
      <c r="O509">
        <f>Table1[[#This Row],[transit_storage_cost]] * (1-'What -if Analysis'!$D$26)</f>
        <v>59</v>
      </c>
      <c r="P509">
        <v>101</v>
      </c>
      <c r="Q509">
        <v>3516.66</v>
      </c>
    </row>
    <row r="510" spans="1:17" x14ac:dyDescent="0.3">
      <c r="A510">
        <v>254620</v>
      </c>
      <c r="B510" s="1" t="s">
        <v>15</v>
      </c>
      <c r="C510" s="1" t="s">
        <v>23</v>
      </c>
      <c r="D510" s="1" t="s">
        <v>23</v>
      </c>
      <c r="E510" s="1" t="s">
        <v>28</v>
      </c>
      <c r="F510" s="1" t="s">
        <v>19</v>
      </c>
      <c r="G510" s="1" t="s">
        <v>20</v>
      </c>
      <c r="H510" t="s">
        <v>21</v>
      </c>
      <c r="I510" s="1" t="s">
        <v>22</v>
      </c>
      <c r="J510" s="2">
        <v>43528.579733796294</v>
      </c>
      <c r="K510" s="2">
        <v>43530.579733796294</v>
      </c>
      <c r="L510" s="2">
        <v>43531.579733796294</v>
      </c>
      <c r="M510" s="1">
        <f>_xlfn.DAYS(Table1[[#This Row],[actual_delivery_date]],Table1[[#This Row],[dispatch_date]])</f>
        <v>2</v>
      </c>
      <c r="N510">
        <v>0</v>
      </c>
      <c r="O510">
        <f>Table1[[#This Row],[transit_storage_cost]] * (1-'What -if Analysis'!$D$26)</f>
        <v>0</v>
      </c>
      <c r="P510">
        <v>126</v>
      </c>
      <c r="Q510">
        <v>594.68811594766828</v>
      </c>
    </row>
    <row r="511" spans="1:17" x14ac:dyDescent="0.3">
      <c r="A511">
        <v>240328</v>
      </c>
      <c r="B511" s="1" t="s">
        <v>38</v>
      </c>
      <c r="C511" s="1" t="s">
        <v>16</v>
      </c>
      <c r="D511" s="1" t="s">
        <v>17</v>
      </c>
      <c r="E511" s="1" t="s">
        <v>18</v>
      </c>
      <c r="F511" s="1" t="s">
        <v>19</v>
      </c>
      <c r="G511" s="1" t="s">
        <v>20</v>
      </c>
      <c r="H511" t="s">
        <v>21</v>
      </c>
      <c r="I511" s="1" t="s">
        <v>22</v>
      </c>
      <c r="J511" s="2">
        <v>43528.581863425927</v>
      </c>
      <c r="K511" s="2">
        <v>43530.581863425927</v>
      </c>
      <c r="L511" s="2">
        <v>43533.581863425927</v>
      </c>
      <c r="M511" s="1">
        <f>_xlfn.DAYS(Table1[[#This Row],[actual_delivery_date]],Table1[[#This Row],[dispatch_date]])</f>
        <v>2</v>
      </c>
      <c r="N511">
        <v>64</v>
      </c>
      <c r="O511">
        <f>Table1[[#This Row],[transit_storage_cost]] * (1-'What -if Analysis'!$D$26)</f>
        <v>64</v>
      </c>
      <c r="P511">
        <v>87</v>
      </c>
      <c r="Q511">
        <v>607.76749536384386</v>
      </c>
    </row>
    <row r="512" spans="1:17" x14ac:dyDescent="0.3">
      <c r="A512">
        <v>626319</v>
      </c>
      <c r="B512" s="1" t="s">
        <v>38</v>
      </c>
      <c r="C512" s="1" t="s">
        <v>16</v>
      </c>
      <c r="D512" s="1" t="s">
        <v>17</v>
      </c>
      <c r="E512" s="1" t="s">
        <v>18</v>
      </c>
      <c r="F512" s="1" t="s">
        <v>19</v>
      </c>
      <c r="G512" s="1" t="s">
        <v>20</v>
      </c>
      <c r="H512" t="s">
        <v>30</v>
      </c>
      <c r="I512" s="1" t="s">
        <v>26</v>
      </c>
      <c r="J512" s="2">
        <v>43528.593969907408</v>
      </c>
      <c r="K512" s="2">
        <v>43530.593969907408</v>
      </c>
      <c r="L512" s="2">
        <v>43531.593969907408</v>
      </c>
      <c r="M512" s="1">
        <f>_xlfn.DAYS(Table1[[#This Row],[actual_delivery_date]],Table1[[#This Row],[dispatch_date]])</f>
        <v>2</v>
      </c>
      <c r="N512">
        <v>78</v>
      </c>
      <c r="O512">
        <f>Table1[[#This Row],[transit_storage_cost]] * (1-'What -if Analysis'!$D$26)</f>
        <v>78</v>
      </c>
      <c r="P512">
        <v>93</v>
      </c>
      <c r="Q512">
        <v>2964.44</v>
      </c>
    </row>
    <row r="513" spans="1:17" x14ac:dyDescent="0.3">
      <c r="A513">
        <v>734372</v>
      </c>
      <c r="B513" s="1" t="s">
        <v>15</v>
      </c>
      <c r="C513" s="1" t="s">
        <v>16</v>
      </c>
      <c r="D513" s="1" t="s">
        <v>17</v>
      </c>
      <c r="E513" s="1" t="s">
        <v>18</v>
      </c>
      <c r="F513" s="1" t="s">
        <v>19</v>
      </c>
      <c r="G513" s="1" t="s">
        <v>20</v>
      </c>
      <c r="H513" t="s">
        <v>21</v>
      </c>
      <c r="I513" s="1" t="s">
        <v>22</v>
      </c>
      <c r="J513" s="2">
        <v>43528.597604166665</v>
      </c>
      <c r="K513" s="2">
        <v>43530.597604166665</v>
      </c>
      <c r="L513" s="2">
        <v>43535.597604166665</v>
      </c>
      <c r="M513" s="1">
        <f>_xlfn.DAYS(Table1[[#This Row],[actual_delivery_date]],Table1[[#This Row],[dispatch_date]])</f>
        <v>2</v>
      </c>
      <c r="N513">
        <v>37</v>
      </c>
      <c r="O513">
        <f>Table1[[#This Row],[transit_storage_cost]] * (1-'What -if Analysis'!$D$26)</f>
        <v>37</v>
      </c>
      <c r="P513">
        <v>109</v>
      </c>
      <c r="Q513">
        <v>3669.9796517282039</v>
      </c>
    </row>
    <row r="514" spans="1:17" x14ac:dyDescent="0.3">
      <c r="A514">
        <v>180847</v>
      </c>
      <c r="B514" s="1" t="s">
        <v>37</v>
      </c>
      <c r="C514" s="1" t="s">
        <v>16</v>
      </c>
      <c r="D514" s="1" t="s">
        <v>17</v>
      </c>
      <c r="E514" s="1" t="s">
        <v>18</v>
      </c>
      <c r="F514" s="1" t="s">
        <v>19</v>
      </c>
      <c r="G514" s="1" t="s">
        <v>20</v>
      </c>
      <c r="H514" t="s">
        <v>30</v>
      </c>
      <c r="I514" s="1" t="s">
        <v>22</v>
      </c>
      <c r="J514" s="2">
        <v>43528.611192129632</v>
      </c>
      <c r="K514" s="2">
        <v>43530.611192129632</v>
      </c>
      <c r="L514" s="2">
        <v>43534.611192129632</v>
      </c>
      <c r="M514" s="1">
        <f>_xlfn.DAYS(Table1[[#This Row],[actual_delivery_date]],Table1[[#This Row],[dispatch_date]])</f>
        <v>2</v>
      </c>
      <c r="N514">
        <v>72</v>
      </c>
      <c r="O514">
        <f>Table1[[#This Row],[transit_storage_cost]] * (1-'What -if Analysis'!$D$26)</f>
        <v>72</v>
      </c>
      <c r="P514">
        <v>89</v>
      </c>
      <c r="Q514">
        <v>3131.1757716085913</v>
      </c>
    </row>
    <row r="515" spans="1:17" x14ac:dyDescent="0.3">
      <c r="A515">
        <v>647994</v>
      </c>
      <c r="B515" s="1" t="s">
        <v>40</v>
      </c>
      <c r="C515" s="1" t="s">
        <v>16</v>
      </c>
      <c r="D515" s="1" t="s">
        <v>32</v>
      </c>
      <c r="E515" s="1" t="s">
        <v>33</v>
      </c>
      <c r="F515" s="1" t="s">
        <v>31</v>
      </c>
      <c r="G515" s="1" t="s">
        <v>20</v>
      </c>
      <c r="H515" t="s">
        <v>21</v>
      </c>
      <c r="I515" s="1" t="s">
        <v>26</v>
      </c>
      <c r="J515" s="2">
        <v>43527.617662037039</v>
      </c>
      <c r="K515" s="2">
        <v>43530.617662037039</v>
      </c>
      <c r="L515" s="2">
        <v>43532.617662037039</v>
      </c>
      <c r="M515" s="1">
        <f>_xlfn.DAYS(Table1[[#This Row],[actual_delivery_date]],Table1[[#This Row],[dispatch_date]])</f>
        <v>3</v>
      </c>
      <c r="N515">
        <v>42</v>
      </c>
      <c r="O515">
        <f>Table1[[#This Row],[transit_storage_cost]] * (1-'What -if Analysis'!$D$26)</f>
        <v>42</v>
      </c>
      <c r="P515">
        <v>112</v>
      </c>
      <c r="Q515">
        <v>899.36</v>
      </c>
    </row>
    <row r="516" spans="1:17" x14ac:dyDescent="0.3">
      <c r="A516">
        <v>690490</v>
      </c>
      <c r="B516" s="1" t="s">
        <v>38</v>
      </c>
      <c r="C516" s="1" t="s">
        <v>16</v>
      </c>
      <c r="D516" s="1" t="s">
        <v>16</v>
      </c>
      <c r="E516" s="1" t="s">
        <v>27</v>
      </c>
      <c r="F516" s="1" t="s">
        <v>31</v>
      </c>
      <c r="G516" s="1" t="s">
        <v>20</v>
      </c>
      <c r="H516" t="s">
        <v>21</v>
      </c>
      <c r="I516" s="1" t="s">
        <v>22</v>
      </c>
      <c r="J516" s="2">
        <v>43525.624212962961</v>
      </c>
      <c r="K516" s="2">
        <v>43530.624212962961</v>
      </c>
      <c r="L516" s="2">
        <v>43532.624212962961</v>
      </c>
      <c r="M516" s="1">
        <f>_xlfn.DAYS(Table1[[#This Row],[actual_delivery_date]],Table1[[#This Row],[dispatch_date]])</f>
        <v>5</v>
      </c>
      <c r="N516">
        <v>0</v>
      </c>
      <c r="O516">
        <f>Table1[[#This Row],[transit_storage_cost]] * (1-'What -if Analysis'!$D$26)</f>
        <v>0</v>
      </c>
      <c r="P516">
        <v>127</v>
      </c>
      <c r="Q516">
        <v>1395.1251086060397</v>
      </c>
    </row>
    <row r="517" spans="1:17" x14ac:dyDescent="0.3">
      <c r="A517">
        <v>904689</v>
      </c>
      <c r="B517" s="1" t="s">
        <v>38</v>
      </c>
      <c r="C517" s="1" t="s">
        <v>23</v>
      </c>
      <c r="D517" s="1" t="s">
        <v>23</v>
      </c>
      <c r="E517" s="1" t="s">
        <v>28</v>
      </c>
      <c r="F517" s="1" t="s">
        <v>29</v>
      </c>
      <c r="G517" s="1" t="s">
        <v>20</v>
      </c>
      <c r="H517" t="s">
        <v>30</v>
      </c>
      <c r="I517" s="1" t="s">
        <v>26</v>
      </c>
      <c r="J517" s="2">
        <v>43527.62940972222</v>
      </c>
      <c r="K517" s="2">
        <v>43530.62940972222</v>
      </c>
      <c r="L517" s="2">
        <v>43533.62940972222</v>
      </c>
      <c r="M517" s="1">
        <f>_xlfn.DAYS(Table1[[#This Row],[actual_delivery_date]],Table1[[#This Row],[dispatch_date]])</f>
        <v>3</v>
      </c>
      <c r="N517">
        <v>0</v>
      </c>
      <c r="O517">
        <f>Table1[[#This Row],[transit_storage_cost]] * (1-'What -if Analysis'!$D$26)</f>
        <v>0</v>
      </c>
      <c r="P517">
        <v>129</v>
      </c>
      <c r="Q517">
        <v>1376.2</v>
      </c>
    </row>
    <row r="518" spans="1:17" x14ac:dyDescent="0.3">
      <c r="A518">
        <v>87677</v>
      </c>
      <c r="B518" s="1" t="s">
        <v>38</v>
      </c>
      <c r="C518" s="1" t="s">
        <v>16</v>
      </c>
      <c r="D518" s="1" t="s">
        <v>16</v>
      </c>
      <c r="E518" s="1" t="s">
        <v>27</v>
      </c>
      <c r="F518" s="1" t="s">
        <v>29</v>
      </c>
      <c r="G518" s="1" t="s">
        <v>20</v>
      </c>
      <c r="H518" t="s">
        <v>30</v>
      </c>
      <c r="I518" s="1" t="s">
        <v>22</v>
      </c>
      <c r="J518" s="2">
        <v>43526.631226851852</v>
      </c>
      <c r="K518" s="2">
        <v>43530.631226851852</v>
      </c>
      <c r="L518" s="2">
        <v>43530.631226851852</v>
      </c>
      <c r="M518" s="1">
        <f>_xlfn.DAYS(Table1[[#This Row],[actual_delivery_date]],Table1[[#This Row],[dispatch_date]])</f>
        <v>4</v>
      </c>
      <c r="N518">
        <v>0</v>
      </c>
      <c r="O518">
        <f>Table1[[#This Row],[transit_storage_cost]] * (1-'What -if Analysis'!$D$26)</f>
        <v>0</v>
      </c>
      <c r="P518">
        <v>121</v>
      </c>
      <c r="Q518">
        <v>3105.5107301531561</v>
      </c>
    </row>
    <row r="519" spans="1:17" x14ac:dyDescent="0.3">
      <c r="A519">
        <v>525953</v>
      </c>
      <c r="B519" s="1" t="s">
        <v>38</v>
      </c>
      <c r="C519" s="1" t="s">
        <v>16</v>
      </c>
      <c r="D519" s="1" t="s">
        <v>23</v>
      </c>
      <c r="E519" s="1" t="s">
        <v>28</v>
      </c>
      <c r="F519" s="1" t="s">
        <v>19</v>
      </c>
      <c r="G519" s="1" t="s">
        <v>20</v>
      </c>
      <c r="H519" t="s">
        <v>30</v>
      </c>
      <c r="I519" s="1" t="s">
        <v>22</v>
      </c>
      <c r="J519" s="2">
        <v>43528.637280092589</v>
      </c>
      <c r="K519" s="2">
        <v>43530.637280092589</v>
      </c>
      <c r="L519" s="2">
        <v>43534.637280092589</v>
      </c>
      <c r="M519" s="1">
        <f>_xlfn.DAYS(Table1[[#This Row],[actual_delivery_date]],Table1[[#This Row],[dispatch_date]])</f>
        <v>2</v>
      </c>
      <c r="N519">
        <v>75</v>
      </c>
      <c r="O519">
        <f>Table1[[#This Row],[transit_storage_cost]] * (1-'What -if Analysis'!$D$26)</f>
        <v>75</v>
      </c>
      <c r="P519">
        <v>110</v>
      </c>
      <c r="Q519">
        <v>1737.2630655885839</v>
      </c>
    </row>
    <row r="520" spans="1:17" x14ac:dyDescent="0.3">
      <c r="A520">
        <v>327723</v>
      </c>
      <c r="B520" s="1" t="s">
        <v>37</v>
      </c>
      <c r="C520" s="1" t="s">
        <v>16</v>
      </c>
      <c r="D520" s="1" t="s">
        <v>24</v>
      </c>
      <c r="E520" s="1" t="s">
        <v>25</v>
      </c>
      <c r="F520" s="1" t="s">
        <v>29</v>
      </c>
      <c r="G520" s="1" t="s">
        <v>20</v>
      </c>
      <c r="H520" t="s">
        <v>30</v>
      </c>
      <c r="I520" s="1" t="s">
        <v>26</v>
      </c>
      <c r="J520" s="2">
        <v>43527.647604166668</v>
      </c>
      <c r="K520" s="2">
        <v>43530.647604166668</v>
      </c>
      <c r="L520" s="2">
        <v>43533.647604166668</v>
      </c>
      <c r="M520" s="1">
        <f>_xlfn.DAYS(Table1[[#This Row],[actual_delivery_date]],Table1[[#This Row],[dispatch_date]])</f>
        <v>3</v>
      </c>
      <c r="N520">
        <v>34</v>
      </c>
      <c r="O520">
        <f>Table1[[#This Row],[transit_storage_cost]] * (1-'What -if Analysis'!$D$26)</f>
        <v>34</v>
      </c>
      <c r="P520">
        <v>120</v>
      </c>
      <c r="Q520">
        <v>312.14999999999998</v>
      </c>
    </row>
    <row r="521" spans="1:17" x14ac:dyDescent="0.3">
      <c r="A521">
        <v>905641</v>
      </c>
      <c r="B521" s="1" t="s">
        <v>37</v>
      </c>
      <c r="C521" s="1" t="s">
        <v>23</v>
      </c>
      <c r="D521" s="1" t="s">
        <v>17</v>
      </c>
      <c r="E521" s="1" t="s">
        <v>18</v>
      </c>
      <c r="F521" s="1" t="s">
        <v>29</v>
      </c>
      <c r="G521" s="1" t="s">
        <v>20</v>
      </c>
      <c r="H521" t="s">
        <v>30</v>
      </c>
      <c r="I521" s="1" t="s">
        <v>22</v>
      </c>
      <c r="J521" s="2">
        <v>43526.649328703701</v>
      </c>
      <c r="K521" s="2">
        <v>43530.649328703701</v>
      </c>
      <c r="L521" s="2">
        <v>43530.649328703701</v>
      </c>
      <c r="M521" s="1">
        <f>_xlfn.DAYS(Table1[[#This Row],[actual_delivery_date]],Table1[[#This Row],[dispatch_date]])</f>
        <v>4</v>
      </c>
      <c r="N521">
        <v>27</v>
      </c>
      <c r="O521">
        <f>Table1[[#This Row],[transit_storage_cost]] * (1-'What -if Analysis'!$D$26)</f>
        <v>27</v>
      </c>
      <c r="P521">
        <v>106</v>
      </c>
      <c r="Q521">
        <v>1286.7236041703163</v>
      </c>
    </row>
    <row r="522" spans="1:17" x14ac:dyDescent="0.3">
      <c r="A522">
        <v>704911</v>
      </c>
      <c r="B522" s="1" t="s">
        <v>41</v>
      </c>
      <c r="C522" s="1" t="s">
        <v>23</v>
      </c>
      <c r="D522" s="1" t="s">
        <v>23</v>
      </c>
      <c r="E522" s="1" t="s">
        <v>28</v>
      </c>
      <c r="F522" s="1" t="s">
        <v>29</v>
      </c>
      <c r="G522" s="1" t="s">
        <v>20</v>
      </c>
      <c r="H522" t="s">
        <v>30</v>
      </c>
      <c r="I522" s="1" t="s">
        <v>22</v>
      </c>
      <c r="J522" s="2">
        <v>43525.652615740742</v>
      </c>
      <c r="K522" s="2">
        <v>43530.652615740742</v>
      </c>
      <c r="L522" s="2">
        <v>43531.652615740742</v>
      </c>
      <c r="M522" s="1">
        <f>_xlfn.DAYS(Table1[[#This Row],[actual_delivery_date]],Table1[[#This Row],[dispatch_date]])</f>
        <v>5</v>
      </c>
      <c r="N522">
        <v>0</v>
      </c>
      <c r="O522">
        <f>Table1[[#This Row],[transit_storage_cost]] * (1-'What -if Analysis'!$D$26)</f>
        <v>0</v>
      </c>
      <c r="P522">
        <v>128</v>
      </c>
      <c r="Q522">
        <v>1607.3052916455938</v>
      </c>
    </row>
    <row r="523" spans="1:17" x14ac:dyDescent="0.3">
      <c r="A523">
        <v>579554</v>
      </c>
      <c r="B523" s="1" t="s">
        <v>41</v>
      </c>
      <c r="C523" s="1" t="s">
        <v>16</v>
      </c>
      <c r="D523" s="1" t="s">
        <v>16</v>
      </c>
      <c r="E523" s="1" t="s">
        <v>27</v>
      </c>
      <c r="F523" s="1" t="s">
        <v>31</v>
      </c>
      <c r="G523" s="1" t="s">
        <v>20</v>
      </c>
      <c r="H523" t="s">
        <v>21</v>
      </c>
      <c r="I523" s="1" t="s">
        <v>22</v>
      </c>
      <c r="J523" s="2">
        <v>43529.652812499997</v>
      </c>
      <c r="K523" s="2">
        <v>43530.652812499997</v>
      </c>
      <c r="L523" s="2">
        <v>43532.652812499997</v>
      </c>
      <c r="M523" s="1">
        <f>_xlfn.DAYS(Table1[[#This Row],[actual_delivery_date]],Table1[[#This Row],[dispatch_date]])</f>
        <v>1</v>
      </c>
      <c r="N523">
        <v>0</v>
      </c>
      <c r="O523">
        <f>Table1[[#This Row],[transit_storage_cost]] * (1-'What -if Analysis'!$D$26)</f>
        <v>0</v>
      </c>
      <c r="P523">
        <v>128</v>
      </c>
      <c r="Q523">
        <v>1049.2957624375006</v>
      </c>
    </row>
    <row r="524" spans="1:17" x14ac:dyDescent="0.3">
      <c r="A524">
        <v>400958</v>
      </c>
      <c r="B524" s="1" t="s">
        <v>38</v>
      </c>
      <c r="C524" s="1" t="s">
        <v>16</v>
      </c>
      <c r="D524" s="1" t="s">
        <v>17</v>
      </c>
      <c r="E524" s="1" t="s">
        <v>18</v>
      </c>
      <c r="F524" s="1" t="s">
        <v>31</v>
      </c>
      <c r="G524" s="1" t="s">
        <v>20</v>
      </c>
      <c r="H524" t="s">
        <v>21</v>
      </c>
      <c r="I524" s="1" t="s">
        <v>22</v>
      </c>
      <c r="J524" s="2">
        <v>43527.657060185185</v>
      </c>
      <c r="K524" s="2">
        <v>43530.657060185185</v>
      </c>
      <c r="L524" s="2">
        <v>43531.657060185185</v>
      </c>
      <c r="M524" s="1">
        <f>_xlfn.DAYS(Table1[[#This Row],[actual_delivery_date]],Table1[[#This Row],[dispatch_date]])</f>
        <v>3</v>
      </c>
      <c r="N524">
        <v>39</v>
      </c>
      <c r="O524">
        <f>Table1[[#This Row],[transit_storage_cost]] * (1-'What -if Analysis'!$D$26)</f>
        <v>39</v>
      </c>
      <c r="P524">
        <v>114</v>
      </c>
      <c r="Q524">
        <v>2309.0824481317577</v>
      </c>
    </row>
    <row r="525" spans="1:17" x14ac:dyDescent="0.3">
      <c r="A525">
        <v>2445</v>
      </c>
      <c r="B525" s="1" t="s">
        <v>37</v>
      </c>
      <c r="C525" s="1" t="s">
        <v>23</v>
      </c>
      <c r="D525" s="1" t="s">
        <v>16</v>
      </c>
      <c r="E525" s="1" t="s">
        <v>27</v>
      </c>
      <c r="F525" s="1" t="s">
        <v>29</v>
      </c>
      <c r="G525" s="1" t="s">
        <v>20</v>
      </c>
      <c r="H525" t="s">
        <v>30</v>
      </c>
      <c r="I525" s="1" t="s">
        <v>26</v>
      </c>
      <c r="J525" s="2">
        <v>43527.657696759263</v>
      </c>
      <c r="K525" s="2">
        <v>43530.657696759263</v>
      </c>
      <c r="L525" s="2">
        <v>43532.657696759263</v>
      </c>
      <c r="M525" s="1">
        <f>_xlfn.DAYS(Table1[[#This Row],[actual_delivery_date]],Table1[[#This Row],[dispatch_date]])</f>
        <v>3</v>
      </c>
      <c r="N525">
        <v>44</v>
      </c>
      <c r="O525">
        <f>Table1[[#This Row],[transit_storage_cost]] * (1-'What -if Analysis'!$D$26)</f>
        <v>44</v>
      </c>
      <c r="P525">
        <v>130</v>
      </c>
      <c r="Q525">
        <v>1325.52</v>
      </c>
    </row>
    <row r="526" spans="1:17" x14ac:dyDescent="0.3">
      <c r="A526">
        <v>339072</v>
      </c>
      <c r="B526" s="1" t="s">
        <v>39</v>
      </c>
      <c r="C526" s="1" t="s">
        <v>16</v>
      </c>
      <c r="D526" s="1" t="s">
        <v>16</v>
      </c>
      <c r="E526" s="1" t="s">
        <v>27</v>
      </c>
      <c r="F526" s="1" t="s">
        <v>19</v>
      </c>
      <c r="G526" s="1" t="s">
        <v>20</v>
      </c>
      <c r="H526" t="s">
        <v>21</v>
      </c>
      <c r="I526" s="1" t="s">
        <v>26</v>
      </c>
      <c r="J526" s="2">
        <v>43530.662766203706</v>
      </c>
      <c r="K526" s="2">
        <v>43530.662766203706</v>
      </c>
      <c r="L526" s="2">
        <v>43535.662766203706</v>
      </c>
      <c r="M526" s="1">
        <f>_xlfn.DAYS(Table1[[#This Row],[actual_delivery_date]],Table1[[#This Row],[dispatch_date]])</f>
        <v>0</v>
      </c>
      <c r="N526">
        <v>0</v>
      </c>
      <c r="O526">
        <f>Table1[[#This Row],[transit_storage_cost]] * (1-'What -if Analysis'!$D$26)</f>
        <v>0</v>
      </c>
      <c r="P526">
        <v>124</v>
      </c>
      <c r="Q526">
        <v>958</v>
      </c>
    </row>
    <row r="527" spans="1:17" x14ac:dyDescent="0.3">
      <c r="A527">
        <v>274180</v>
      </c>
      <c r="B527" s="1" t="s">
        <v>41</v>
      </c>
      <c r="C527" s="1" t="s">
        <v>23</v>
      </c>
      <c r="D527" s="1" t="s">
        <v>17</v>
      </c>
      <c r="E527" s="1" t="s">
        <v>18</v>
      </c>
      <c r="F527" s="1" t="s">
        <v>19</v>
      </c>
      <c r="G527" s="1" t="s">
        <v>20</v>
      </c>
      <c r="H527" t="s">
        <v>21</v>
      </c>
      <c r="I527" s="1" t="s">
        <v>22</v>
      </c>
      <c r="J527" s="2">
        <v>43528.669074074074</v>
      </c>
      <c r="K527" s="2">
        <v>43530.669074074074</v>
      </c>
      <c r="L527" s="2">
        <v>43534.669074074074</v>
      </c>
      <c r="M527" s="1">
        <f>_xlfn.DAYS(Table1[[#This Row],[actual_delivery_date]],Table1[[#This Row],[dispatch_date]])</f>
        <v>2</v>
      </c>
      <c r="N527">
        <v>30</v>
      </c>
      <c r="O527">
        <f>Table1[[#This Row],[transit_storage_cost]] * (1-'What -if Analysis'!$D$26)</f>
        <v>30</v>
      </c>
      <c r="P527">
        <v>111</v>
      </c>
      <c r="Q527">
        <v>3185.7095675816522</v>
      </c>
    </row>
    <row r="528" spans="1:17" x14ac:dyDescent="0.3">
      <c r="A528">
        <v>904392</v>
      </c>
      <c r="B528" s="1" t="s">
        <v>15</v>
      </c>
      <c r="C528" s="1" t="s">
        <v>16</v>
      </c>
      <c r="D528" s="1" t="s">
        <v>23</v>
      </c>
      <c r="E528" s="1" t="s">
        <v>28</v>
      </c>
      <c r="F528" s="1" t="s">
        <v>19</v>
      </c>
      <c r="G528" s="1" t="s">
        <v>20</v>
      </c>
      <c r="H528" t="s">
        <v>21</v>
      </c>
      <c r="I528" s="1" t="s">
        <v>26</v>
      </c>
      <c r="J528" s="2">
        <v>43525.671817129631</v>
      </c>
      <c r="K528" s="2">
        <v>43530.671817129631</v>
      </c>
      <c r="L528" s="2">
        <v>43531.671817129631</v>
      </c>
      <c r="M528" s="1">
        <f>_xlfn.DAYS(Table1[[#This Row],[actual_delivery_date]],Table1[[#This Row],[dispatch_date]])</f>
        <v>5</v>
      </c>
      <c r="N528">
        <v>29</v>
      </c>
      <c r="O528">
        <f>Table1[[#This Row],[transit_storage_cost]] * (1-'What -if Analysis'!$D$26)</f>
        <v>29</v>
      </c>
      <c r="P528">
        <v>122</v>
      </c>
      <c r="Q528">
        <v>1517.68</v>
      </c>
    </row>
    <row r="529" spans="1:17" x14ac:dyDescent="0.3">
      <c r="A529">
        <v>992406</v>
      </c>
      <c r="B529" s="1" t="s">
        <v>38</v>
      </c>
      <c r="C529" s="1" t="s">
        <v>23</v>
      </c>
      <c r="D529" s="1" t="s">
        <v>23</v>
      </c>
      <c r="E529" s="1" t="s">
        <v>28</v>
      </c>
      <c r="F529" s="1" t="s">
        <v>19</v>
      </c>
      <c r="G529" s="1" t="s">
        <v>20</v>
      </c>
      <c r="H529" t="s">
        <v>21</v>
      </c>
      <c r="I529" s="1" t="s">
        <v>26</v>
      </c>
      <c r="J529" s="2">
        <v>43525.676249999997</v>
      </c>
      <c r="K529" s="2">
        <v>43530.676249999997</v>
      </c>
      <c r="L529" s="2">
        <v>43531.676249999997</v>
      </c>
      <c r="M529" s="1">
        <f>_xlfn.DAYS(Table1[[#This Row],[actual_delivery_date]],Table1[[#This Row],[dispatch_date]])</f>
        <v>5</v>
      </c>
      <c r="N529">
        <v>0</v>
      </c>
      <c r="O529">
        <f>Table1[[#This Row],[transit_storage_cost]] * (1-'What -if Analysis'!$D$26)</f>
        <v>0</v>
      </c>
      <c r="P529">
        <v>105</v>
      </c>
      <c r="Q529">
        <v>1219.75</v>
      </c>
    </row>
    <row r="530" spans="1:17" x14ac:dyDescent="0.3">
      <c r="A530">
        <v>463386</v>
      </c>
      <c r="B530" s="1" t="s">
        <v>38</v>
      </c>
      <c r="C530" s="1" t="s">
        <v>16</v>
      </c>
      <c r="D530" s="1" t="s">
        <v>16</v>
      </c>
      <c r="E530" s="1" t="s">
        <v>27</v>
      </c>
      <c r="F530" s="1" t="s">
        <v>31</v>
      </c>
      <c r="G530" s="1" t="s">
        <v>20</v>
      </c>
      <c r="H530" t="s">
        <v>21</v>
      </c>
      <c r="I530" s="1" t="s">
        <v>26</v>
      </c>
      <c r="J530" s="2">
        <v>43528.678310185183</v>
      </c>
      <c r="K530" s="2">
        <v>43530.678310185183</v>
      </c>
      <c r="L530" s="2">
        <v>43533.678310185183</v>
      </c>
      <c r="M530" s="1">
        <f>_xlfn.DAYS(Table1[[#This Row],[actual_delivery_date]],Table1[[#This Row],[dispatch_date]])</f>
        <v>2</v>
      </c>
      <c r="N530">
        <v>0</v>
      </c>
      <c r="O530">
        <f>Table1[[#This Row],[transit_storage_cost]] * (1-'What -if Analysis'!$D$26)</f>
        <v>0</v>
      </c>
      <c r="P530">
        <v>122</v>
      </c>
      <c r="Q530">
        <v>2545.66</v>
      </c>
    </row>
    <row r="531" spans="1:17" x14ac:dyDescent="0.3">
      <c r="A531">
        <v>129929</v>
      </c>
      <c r="B531" s="1" t="s">
        <v>15</v>
      </c>
      <c r="C531" s="1" t="s">
        <v>16</v>
      </c>
      <c r="D531" s="1" t="s">
        <v>17</v>
      </c>
      <c r="E531" s="1" t="s">
        <v>18</v>
      </c>
      <c r="F531" s="1" t="s">
        <v>29</v>
      </c>
      <c r="G531" s="1" t="s">
        <v>20</v>
      </c>
      <c r="H531" t="s">
        <v>30</v>
      </c>
      <c r="I531" s="1" t="s">
        <v>22</v>
      </c>
      <c r="J531" s="2">
        <v>43527.682199074072</v>
      </c>
      <c r="K531" s="2">
        <v>43530.682199074072</v>
      </c>
      <c r="L531" s="2">
        <v>43534.682199074072</v>
      </c>
      <c r="M531" s="1">
        <f>_xlfn.DAYS(Table1[[#This Row],[actual_delivery_date]],Table1[[#This Row],[dispatch_date]])</f>
        <v>3</v>
      </c>
      <c r="N531">
        <v>49</v>
      </c>
      <c r="O531">
        <f>Table1[[#This Row],[transit_storage_cost]] * (1-'What -if Analysis'!$D$26)</f>
        <v>49</v>
      </c>
      <c r="P531">
        <v>109</v>
      </c>
      <c r="Q531">
        <v>1671.8479323007034</v>
      </c>
    </row>
    <row r="532" spans="1:17" x14ac:dyDescent="0.3">
      <c r="A532">
        <v>510102</v>
      </c>
      <c r="B532" s="1" t="s">
        <v>38</v>
      </c>
      <c r="C532" s="1" t="s">
        <v>23</v>
      </c>
      <c r="D532" s="1" t="s">
        <v>23</v>
      </c>
      <c r="E532" s="1" t="s">
        <v>28</v>
      </c>
      <c r="F532" s="1" t="s">
        <v>31</v>
      </c>
      <c r="G532" s="1" t="s">
        <v>20</v>
      </c>
      <c r="H532" t="s">
        <v>21</v>
      </c>
      <c r="I532" s="1" t="s">
        <v>26</v>
      </c>
      <c r="J532" s="2">
        <v>43526.683865740742</v>
      </c>
      <c r="K532" s="2">
        <v>43530.683865740742</v>
      </c>
      <c r="L532" s="2">
        <v>43530.683865740742</v>
      </c>
      <c r="M532" s="1">
        <f>_xlfn.DAYS(Table1[[#This Row],[actual_delivery_date]],Table1[[#This Row],[dispatch_date]])</f>
        <v>4</v>
      </c>
      <c r="N532">
        <v>0</v>
      </c>
      <c r="O532">
        <f>Table1[[#This Row],[transit_storage_cost]] * (1-'What -if Analysis'!$D$26)</f>
        <v>0</v>
      </c>
      <c r="P532">
        <v>122</v>
      </c>
      <c r="Q532">
        <v>195.67</v>
      </c>
    </row>
    <row r="533" spans="1:17" x14ac:dyDescent="0.3">
      <c r="A533">
        <v>415488</v>
      </c>
      <c r="B533" s="1" t="s">
        <v>40</v>
      </c>
      <c r="C533" s="1" t="s">
        <v>16</v>
      </c>
      <c r="D533" s="1" t="s">
        <v>17</v>
      </c>
      <c r="E533" s="1" t="s">
        <v>18</v>
      </c>
      <c r="F533" s="1" t="s">
        <v>19</v>
      </c>
      <c r="G533" s="1" t="s">
        <v>20</v>
      </c>
      <c r="H533" t="s">
        <v>21</v>
      </c>
      <c r="I533" s="1" t="s">
        <v>26</v>
      </c>
      <c r="J533" s="2">
        <v>43528.684432870374</v>
      </c>
      <c r="K533" s="2">
        <v>43530.684432870374</v>
      </c>
      <c r="L533" s="2">
        <v>43531.684432870374</v>
      </c>
      <c r="M533" s="1">
        <f>_xlfn.DAYS(Table1[[#This Row],[actual_delivery_date]],Table1[[#This Row],[dispatch_date]])</f>
        <v>2</v>
      </c>
      <c r="N533">
        <v>40</v>
      </c>
      <c r="O533">
        <f>Table1[[#This Row],[transit_storage_cost]] * (1-'What -if Analysis'!$D$26)</f>
        <v>40</v>
      </c>
      <c r="P533">
        <v>114</v>
      </c>
      <c r="Q533">
        <v>2829.61</v>
      </c>
    </row>
    <row r="534" spans="1:17" x14ac:dyDescent="0.3">
      <c r="A534">
        <v>769710</v>
      </c>
      <c r="B534" s="1" t="s">
        <v>37</v>
      </c>
      <c r="C534" s="1" t="s">
        <v>23</v>
      </c>
      <c r="D534" s="1" t="s">
        <v>17</v>
      </c>
      <c r="E534" s="1" t="s">
        <v>18</v>
      </c>
      <c r="F534" s="1" t="s">
        <v>19</v>
      </c>
      <c r="G534" s="1" t="s">
        <v>20</v>
      </c>
      <c r="H534" t="s">
        <v>21</v>
      </c>
      <c r="I534" s="1" t="s">
        <v>26</v>
      </c>
      <c r="J534" s="2">
        <v>43526.690081018518</v>
      </c>
      <c r="K534" s="2">
        <v>43530.690081018518</v>
      </c>
      <c r="L534" s="2">
        <v>43530.690081018518</v>
      </c>
      <c r="M534" s="1">
        <f>_xlfn.DAYS(Table1[[#This Row],[actual_delivery_date]],Table1[[#This Row],[dispatch_date]])</f>
        <v>4</v>
      </c>
      <c r="N534">
        <v>65</v>
      </c>
      <c r="O534">
        <f>Table1[[#This Row],[transit_storage_cost]] * (1-'What -if Analysis'!$D$26)</f>
        <v>65</v>
      </c>
      <c r="P534">
        <v>92</v>
      </c>
      <c r="Q534">
        <v>3198.79</v>
      </c>
    </row>
    <row r="535" spans="1:17" x14ac:dyDescent="0.3">
      <c r="A535">
        <v>858913</v>
      </c>
      <c r="B535" s="1" t="s">
        <v>40</v>
      </c>
      <c r="C535" s="1" t="s">
        <v>23</v>
      </c>
      <c r="D535" s="1" t="s">
        <v>17</v>
      </c>
      <c r="E535" s="1" t="s">
        <v>18</v>
      </c>
      <c r="F535" s="1" t="s">
        <v>29</v>
      </c>
      <c r="G535" s="1" t="s">
        <v>20</v>
      </c>
      <c r="H535" t="s">
        <v>30</v>
      </c>
      <c r="I535" s="1" t="s">
        <v>22</v>
      </c>
      <c r="J535" s="2">
        <v>43525.695613425924</v>
      </c>
      <c r="K535" s="2">
        <v>43530.695613425924</v>
      </c>
      <c r="L535" s="2">
        <v>43528.695613425924</v>
      </c>
      <c r="M535" s="1">
        <f>_xlfn.DAYS(Table1[[#This Row],[actual_delivery_date]],Table1[[#This Row],[dispatch_date]])</f>
        <v>5</v>
      </c>
      <c r="N535">
        <v>33</v>
      </c>
      <c r="O535">
        <f>Table1[[#This Row],[transit_storage_cost]] * (1-'What -if Analysis'!$D$26)</f>
        <v>33</v>
      </c>
      <c r="P535">
        <v>109</v>
      </c>
      <c r="Q535">
        <v>3633.3501022130231</v>
      </c>
    </row>
    <row r="536" spans="1:17" x14ac:dyDescent="0.3">
      <c r="A536">
        <v>349970</v>
      </c>
      <c r="B536" s="1" t="s">
        <v>37</v>
      </c>
      <c r="C536" s="1" t="s">
        <v>16</v>
      </c>
      <c r="D536" s="1" t="s">
        <v>16</v>
      </c>
      <c r="E536" s="1" t="s">
        <v>27</v>
      </c>
      <c r="F536" s="1" t="s">
        <v>31</v>
      </c>
      <c r="G536" s="1" t="s">
        <v>20</v>
      </c>
      <c r="H536" t="s">
        <v>21</v>
      </c>
      <c r="I536" s="1" t="s">
        <v>22</v>
      </c>
      <c r="J536" s="2">
        <v>43525.699016203704</v>
      </c>
      <c r="K536" s="2">
        <v>43530.699016203704</v>
      </c>
      <c r="L536" s="2">
        <v>43528.699016203704</v>
      </c>
      <c r="M536" s="1">
        <f>_xlfn.DAYS(Table1[[#This Row],[actual_delivery_date]],Table1[[#This Row],[dispatch_date]])</f>
        <v>5</v>
      </c>
      <c r="N536">
        <v>0</v>
      </c>
      <c r="O536">
        <f>Table1[[#This Row],[transit_storage_cost]] * (1-'What -if Analysis'!$D$26)</f>
        <v>0</v>
      </c>
      <c r="P536">
        <v>121</v>
      </c>
      <c r="Q536">
        <v>3231.4362018620377</v>
      </c>
    </row>
    <row r="537" spans="1:17" x14ac:dyDescent="0.3">
      <c r="A537">
        <v>709274</v>
      </c>
      <c r="B537" s="1" t="s">
        <v>38</v>
      </c>
      <c r="C537" s="1" t="s">
        <v>16</v>
      </c>
      <c r="D537" s="1" t="s">
        <v>32</v>
      </c>
      <c r="E537" s="1" t="s">
        <v>33</v>
      </c>
      <c r="F537" s="1" t="s">
        <v>31</v>
      </c>
      <c r="G537" s="1" t="s">
        <v>20</v>
      </c>
      <c r="H537" t="s">
        <v>21</v>
      </c>
      <c r="I537" s="1" t="s">
        <v>22</v>
      </c>
      <c r="J537" s="2">
        <v>43526.706724537034</v>
      </c>
      <c r="K537" s="2">
        <v>43530.706724537034</v>
      </c>
      <c r="L537" s="2">
        <v>43531.706724537034</v>
      </c>
      <c r="M537" s="1">
        <f>_xlfn.DAYS(Table1[[#This Row],[actual_delivery_date]],Table1[[#This Row],[dispatch_date]])</f>
        <v>4</v>
      </c>
      <c r="N537">
        <v>43</v>
      </c>
      <c r="O537">
        <f>Table1[[#This Row],[transit_storage_cost]] * (1-'What -if Analysis'!$D$26)</f>
        <v>43</v>
      </c>
      <c r="P537">
        <v>112</v>
      </c>
      <c r="Q537">
        <v>277.71617521747856</v>
      </c>
    </row>
    <row r="538" spans="1:17" x14ac:dyDescent="0.3">
      <c r="A538">
        <v>866039</v>
      </c>
      <c r="B538" s="1" t="s">
        <v>40</v>
      </c>
      <c r="C538" s="1" t="s">
        <v>16</v>
      </c>
      <c r="D538" s="1" t="s">
        <v>17</v>
      </c>
      <c r="E538" s="1" t="s">
        <v>18</v>
      </c>
      <c r="F538" s="1" t="s">
        <v>29</v>
      </c>
      <c r="G538" s="1" t="s">
        <v>20</v>
      </c>
      <c r="H538" t="s">
        <v>30</v>
      </c>
      <c r="I538" s="1" t="s">
        <v>22</v>
      </c>
      <c r="J538" s="2">
        <v>43527.707129629627</v>
      </c>
      <c r="K538" s="2">
        <v>43530.707129629627</v>
      </c>
      <c r="L538" s="2">
        <v>43531.707129629627</v>
      </c>
      <c r="M538" s="1">
        <f>_xlfn.DAYS(Table1[[#This Row],[actual_delivery_date]],Table1[[#This Row],[dispatch_date]])</f>
        <v>3</v>
      </c>
      <c r="N538">
        <v>31</v>
      </c>
      <c r="O538">
        <f>Table1[[#This Row],[transit_storage_cost]] * (1-'What -if Analysis'!$D$26)</f>
        <v>31</v>
      </c>
      <c r="P538">
        <v>115</v>
      </c>
      <c r="Q538">
        <v>1535.393650493729</v>
      </c>
    </row>
    <row r="539" spans="1:17" x14ac:dyDescent="0.3">
      <c r="A539">
        <v>432284</v>
      </c>
      <c r="B539" s="1" t="s">
        <v>38</v>
      </c>
      <c r="C539" s="1" t="s">
        <v>16</v>
      </c>
      <c r="D539" s="1" t="s">
        <v>16</v>
      </c>
      <c r="E539" s="1" t="s">
        <v>27</v>
      </c>
      <c r="F539" s="1" t="s">
        <v>19</v>
      </c>
      <c r="G539" s="1" t="s">
        <v>20</v>
      </c>
      <c r="H539" t="s">
        <v>21</v>
      </c>
      <c r="I539" s="1" t="s">
        <v>22</v>
      </c>
      <c r="J539" s="2">
        <v>43528.710335648146</v>
      </c>
      <c r="K539" s="2">
        <v>43530.710335648146</v>
      </c>
      <c r="L539" s="2">
        <v>43532.710335648146</v>
      </c>
      <c r="M539" s="1">
        <f>_xlfn.DAYS(Table1[[#This Row],[actual_delivery_date]],Table1[[#This Row],[dispatch_date]])</f>
        <v>2</v>
      </c>
      <c r="N539">
        <v>0</v>
      </c>
      <c r="O539">
        <f>Table1[[#This Row],[transit_storage_cost]] * (1-'What -if Analysis'!$D$26)</f>
        <v>0</v>
      </c>
      <c r="P539">
        <v>109</v>
      </c>
      <c r="Q539">
        <v>1246.5365543658345</v>
      </c>
    </row>
    <row r="540" spans="1:17" x14ac:dyDescent="0.3">
      <c r="A540">
        <v>421580</v>
      </c>
      <c r="B540" s="1" t="s">
        <v>40</v>
      </c>
      <c r="C540" s="1" t="s">
        <v>23</v>
      </c>
      <c r="D540" s="1" t="s">
        <v>16</v>
      </c>
      <c r="E540" s="1" t="s">
        <v>27</v>
      </c>
      <c r="F540" s="1" t="s">
        <v>19</v>
      </c>
      <c r="G540" s="1" t="s">
        <v>20</v>
      </c>
      <c r="H540" t="s">
        <v>21</v>
      </c>
      <c r="I540" s="1" t="s">
        <v>22</v>
      </c>
      <c r="J540" s="2">
        <v>43528.710682870369</v>
      </c>
      <c r="K540" s="2">
        <v>43530.710682870369</v>
      </c>
      <c r="L540" s="2">
        <v>43531.710682870369</v>
      </c>
      <c r="M540" s="1">
        <f>_xlfn.DAYS(Table1[[#This Row],[actual_delivery_date]],Table1[[#This Row],[dispatch_date]])</f>
        <v>2</v>
      </c>
      <c r="N540">
        <v>32</v>
      </c>
      <c r="O540">
        <f>Table1[[#This Row],[transit_storage_cost]] * (1-'What -if Analysis'!$D$26)</f>
        <v>32</v>
      </c>
      <c r="P540">
        <v>128</v>
      </c>
      <c r="Q540">
        <v>661.91173799801231</v>
      </c>
    </row>
    <row r="541" spans="1:17" x14ac:dyDescent="0.3">
      <c r="A541">
        <v>686763</v>
      </c>
      <c r="B541" s="1" t="s">
        <v>39</v>
      </c>
      <c r="C541" s="1" t="s">
        <v>16</v>
      </c>
      <c r="D541" s="1" t="s">
        <v>32</v>
      </c>
      <c r="E541" s="1" t="s">
        <v>33</v>
      </c>
      <c r="F541" s="1" t="s">
        <v>29</v>
      </c>
      <c r="G541" s="1" t="s">
        <v>20</v>
      </c>
      <c r="H541" t="s">
        <v>34</v>
      </c>
      <c r="I541" s="1" t="s">
        <v>26</v>
      </c>
      <c r="J541" s="2">
        <v>43525.730474537035</v>
      </c>
      <c r="K541" s="2">
        <v>43530.730474537035</v>
      </c>
      <c r="L541" s="2">
        <v>43528.730474537035</v>
      </c>
      <c r="M541" s="1">
        <f>_xlfn.DAYS(Table1[[#This Row],[actual_delivery_date]],Table1[[#This Row],[dispatch_date]])</f>
        <v>5</v>
      </c>
      <c r="N541">
        <v>42</v>
      </c>
      <c r="O541">
        <f>Table1[[#This Row],[transit_storage_cost]] * (1-'What -if Analysis'!$D$26)</f>
        <v>42</v>
      </c>
      <c r="P541">
        <v>109</v>
      </c>
      <c r="Q541">
        <v>757.66</v>
      </c>
    </row>
    <row r="542" spans="1:17" x14ac:dyDescent="0.3">
      <c r="A542">
        <v>537074</v>
      </c>
      <c r="B542" s="1" t="s">
        <v>37</v>
      </c>
      <c r="C542" s="1" t="s">
        <v>16</v>
      </c>
      <c r="D542" s="1" t="s">
        <v>16</v>
      </c>
      <c r="E542" s="1" t="s">
        <v>27</v>
      </c>
      <c r="F542" s="1" t="s">
        <v>31</v>
      </c>
      <c r="G542" s="1" t="s">
        <v>20</v>
      </c>
      <c r="H542" t="s">
        <v>21</v>
      </c>
      <c r="I542" s="1" t="s">
        <v>22</v>
      </c>
      <c r="J542" s="2">
        <v>43527.739502314813</v>
      </c>
      <c r="K542" s="2">
        <v>43530.739502314813</v>
      </c>
      <c r="L542" s="2">
        <v>43534.739502314813</v>
      </c>
      <c r="M542" s="1">
        <f>_xlfn.DAYS(Table1[[#This Row],[actual_delivery_date]],Table1[[#This Row],[dispatch_date]])</f>
        <v>3</v>
      </c>
      <c r="N542">
        <v>0</v>
      </c>
      <c r="O542">
        <f>Table1[[#This Row],[transit_storage_cost]] * (1-'What -if Analysis'!$D$26)</f>
        <v>0</v>
      </c>
      <c r="P542">
        <v>126</v>
      </c>
      <c r="Q542">
        <v>2830.3544859560729</v>
      </c>
    </row>
    <row r="543" spans="1:17" x14ac:dyDescent="0.3">
      <c r="A543">
        <v>973164</v>
      </c>
      <c r="B543" s="1" t="s">
        <v>41</v>
      </c>
      <c r="C543" s="1" t="s">
        <v>16</v>
      </c>
      <c r="D543" s="1" t="s">
        <v>16</v>
      </c>
      <c r="E543" s="1" t="s">
        <v>27</v>
      </c>
      <c r="F543" s="1" t="s">
        <v>19</v>
      </c>
      <c r="G543" s="1" t="s">
        <v>20</v>
      </c>
      <c r="H543" t="s">
        <v>21</v>
      </c>
      <c r="I543" s="1" t="s">
        <v>26</v>
      </c>
      <c r="J543" s="2">
        <v>43530.741377314815</v>
      </c>
      <c r="K543" s="2">
        <v>43530.741377314815</v>
      </c>
      <c r="L543" s="2">
        <v>43534.741377314815</v>
      </c>
      <c r="M543" s="1">
        <f>_xlfn.DAYS(Table1[[#This Row],[actual_delivery_date]],Table1[[#This Row],[dispatch_date]])</f>
        <v>0</v>
      </c>
      <c r="N543">
        <v>0</v>
      </c>
      <c r="O543">
        <f>Table1[[#This Row],[transit_storage_cost]] * (1-'What -if Analysis'!$D$26)</f>
        <v>0</v>
      </c>
      <c r="P543">
        <v>105</v>
      </c>
      <c r="Q543">
        <v>3001.3026502538796</v>
      </c>
    </row>
    <row r="544" spans="1:17" x14ac:dyDescent="0.3">
      <c r="A544">
        <v>989302</v>
      </c>
      <c r="B544" s="1" t="s">
        <v>41</v>
      </c>
      <c r="C544" s="1" t="s">
        <v>16</v>
      </c>
      <c r="D544" s="1" t="s">
        <v>16</v>
      </c>
      <c r="E544" s="1" t="s">
        <v>27</v>
      </c>
      <c r="F544" s="1" t="s">
        <v>19</v>
      </c>
      <c r="G544" s="1" t="s">
        <v>20</v>
      </c>
      <c r="H544" t="s">
        <v>21</v>
      </c>
      <c r="I544" s="1" t="s">
        <v>22</v>
      </c>
      <c r="J544" s="2">
        <v>43527.744421296295</v>
      </c>
      <c r="K544" s="2">
        <v>43530.744421296295</v>
      </c>
      <c r="L544" s="2">
        <v>43534.744421296295</v>
      </c>
      <c r="M544" s="1">
        <f>_xlfn.DAYS(Table1[[#This Row],[actual_delivery_date]],Table1[[#This Row],[dispatch_date]])</f>
        <v>3</v>
      </c>
      <c r="N544">
        <v>0</v>
      </c>
      <c r="O544">
        <f>Table1[[#This Row],[transit_storage_cost]] * (1-'What -if Analysis'!$D$26)</f>
        <v>0</v>
      </c>
      <c r="P544">
        <v>103</v>
      </c>
      <c r="Q544">
        <v>2717.0068117297378</v>
      </c>
    </row>
    <row r="545" spans="1:17" x14ac:dyDescent="0.3">
      <c r="A545">
        <v>763301</v>
      </c>
      <c r="B545" s="1" t="s">
        <v>39</v>
      </c>
      <c r="C545" s="1" t="s">
        <v>16</v>
      </c>
      <c r="D545" s="1" t="s">
        <v>32</v>
      </c>
      <c r="E545" s="1" t="s">
        <v>33</v>
      </c>
      <c r="F545" s="1" t="s">
        <v>19</v>
      </c>
      <c r="G545" s="1" t="s">
        <v>20</v>
      </c>
      <c r="H545" t="s">
        <v>34</v>
      </c>
      <c r="I545" s="1" t="s">
        <v>22</v>
      </c>
      <c r="J545" s="2">
        <v>43527.745972222219</v>
      </c>
      <c r="K545" s="2">
        <v>43530.745972222219</v>
      </c>
      <c r="L545" s="2">
        <v>43530.745972222219</v>
      </c>
      <c r="M545" s="1">
        <f>_xlfn.DAYS(Table1[[#This Row],[actual_delivery_date]],Table1[[#This Row],[dispatch_date]])</f>
        <v>3</v>
      </c>
      <c r="N545">
        <v>67</v>
      </c>
      <c r="O545">
        <f>Table1[[#This Row],[transit_storage_cost]] * (1-'What -if Analysis'!$D$26)</f>
        <v>67</v>
      </c>
      <c r="P545">
        <v>86</v>
      </c>
      <c r="Q545">
        <v>1460.5521454925413</v>
      </c>
    </row>
    <row r="546" spans="1:17" x14ac:dyDescent="0.3">
      <c r="A546">
        <v>392988</v>
      </c>
      <c r="B546" s="1" t="s">
        <v>41</v>
      </c>
      <c r="C546" s="1" t="s">
        <v>23</v>
      </c>
      <c r="D546" s="1" t="s">
        <v>23</v>
      </c>
      <c r="E546" s="1" t="s">
        <v>28</v>
      </c>
      <c r="F546" s="1" t="s">
        <v>19</v>
      </c>
      <c r="G546" s="1" t="s">
        <v>20</v>
      </c>
      <c r="H546" t="s">
        <v>21</v>
      </c>
      <c r="I546" s="1" t="s">
        <v>26</v>
      </c>
      <c r="J546" s="2">
        <v>43529.757060185184</v>
      </c>
      <c r="K546" s="2">
        <v>43530.757060185184</v>
      </c>
      <c r="L546" s="2">
        <v>43535.757060185184</v>
      </c>
      <c r="M546" s="1">
        <f>_xlfn.DAYS(Table1[[#This Row],[actual_delivery_date]],Table1[[#This Row],[dispatch_date]])</f>
        <v>1</v>
      </c>
      <c r="N546">
        <v>0</v>
      </c>
      <c r="O546">
        <f>Table1[[#This Row],[transit_storage_cost]] * (1-'What -if Analysis'!$D$26)</f>
        <v>0</v>
      </c>
      <c r="P546">
        <v>123</v>
      </c>
      <c r="Q546">
        <v>1600.33</v>
      </c>
    </row>
    <row r="547" spans="1:17" x14ac:dyDescent="0.3">
      <c r="A547">
        <v>743114</v>
      </c>
      <c r="B547" s="1" t="s">
        <v>41</v>
      </c>
      <c r="C547" s="1" t="s">
        <v>23</v>
      </c>
      <c r="D547" s="1" t="s">
        <v>32</v>
      </c>
      <c r="E547" s="1" t="s">
        <v>33</v>
      </c>
      <c r="F547" s="1" t="s">
        <v>19</v>
      </c>
      <c r="G547" s="1" t="s">
        <v>20</v>
      </c>
      <c r="H547" t="s">
        <v>21</v>
      </c>
      <c r="I547" s="1" t="s">
        <v>22</v>
      </c>
      <c r="J547" s="2">
        <v>43527.75953703704</v>
      </c>
      <c r="K547" s="2">
        <v>43530.75953703704</v>
      </c>
      <c r="L547" s="2">
        <v>43530.75953703704</v>
      </c>
      <c r="M547" s="1">
        <f>_xlfn.DAYS(Table1[[#This Row],[actual_delivery_date]],Table1[[#This Row],[dispatch_date]])</f>
        <v>3</v>
      </c>
      <c r="N547">
        <v>78</v>
      </c>
      <c r="O547">
        <f>Table1[[#This Row],[transit_storage_cost]] * (1-'What -if Analysis'!$D$26)</f>
        <v>78</v>
      </c>
      <c r="P547">
        <v>87</v>
      </c>
      <c r="Q547">
        <v>1563.5689667567055</v>
      </c>
    </row>
    <row r="548" spans="1:17" x14ac:dyDescent="0.3">
      <c r="A548">
        <v>607875</v>
      </c>
      <c r="B548" s="1" t="s">
        <v>37</v>
      </c>
      <c r="C548" s="1" t="s">
        <v>16</v>
      </c>
      <c r="D548" s="1" t="s">
        <v>23</v>
      </c>
      <c r="E548" s="1" t="s">
        <v>28</v>
      </c>
      <c r="F548" s="1" t="s">
        <v>19</v>
      </c>
      <c r="G548" s="1" t="s">
        <v>20</v>
      </c>
      <c r="H548" t="s">
        <v>30</v>
      </c>
      <c r="I548" s="1" t="s">
        <v>26</v>
      </c>
      <c r="J548" s="2">
        <v>43525.762557870374</v>
      </c>
      <c r="K548" s="2">
        <v>43530.762557870374</v>
      </c>
      <c r="L548" s="2">
        <v>43531.762557870374</v>
      </c>
      <c r="M548" s="1">
        <f>_xlfn.DAYS(Table1[[#This Row],[actual_delivery_date]],Table1[[#This Row],[dispatch_date]])</f>
        <v>5</v>
      </c>
      <c r="N548">
        <v>68</v>
      </c>
      <c r="O548">
        <f>Table1[[#This Row],[transit_storage_cost]] * (1-'What -if Analysis'!$D$26)</f>
        <v>68</v>
      </c>
      <c r="P548">
        <v>102</v>
      </c>
      <c r="Q548">
        <v>3220.09</v>
      </c>
    </row>
    <row r="549" spans="1:17" x14ac:dyDescent="0.3">
      <c r="A549">
        <v>473335</v>
      </c>
      <c r="B549" s="1" t="s">
        <v>38</v>
      </c>
      <c r="C549" s="1" t="s">
        <v>23</v>
      </c>
      <c r="D549" s="1" t="s">
        <v>17</v>
      </c>
      <c r="E549" s="1" t="s">
        <v>18</v>
      </c>
      <c r="F549" s="1" t="s">
        <v>29</v>
      </c>
      <c r="G549" s="1" t="s">
        <v>20</v>
      </c>
      <c r="H549" t="s">
        <v>30</v>
      </c>
      <c r="I549" s="1" t="s">
        <v>22</v>
      </c>
      <c r="J549" s="2">
        <v>43527.763136574074</v>
      </c>
      <c r="K549" s="2">
        <v>43530.763136574074</v>
      </c>
      <c r="L549" s="2">
        <v>43530.763136574074</v>
      </c>
      <c r="M549" s="1">
        <f>_xlfn.DAYS(Table1[[#This Row],[actual_delivery_date]],Table1[[#This Row],[dispatch_date]])</f>
        <v>3</v>
      </c>
      <c r="N549">
        <v>28</v>
      </c>
      <c r="O549">
        <f>Table1[[#This Row],[transit_storage_cost]] * (1-'What -if Analysis'!$D$26)</f>
        <v>28</v>
      </c>
      <c r="P549">
        <v>108</v>
      </c>
      <c r="Q549">
        <v>2518.0729771694705</v>
      </c>
    </row>
    <row r="550" spans="1:17" x14ac:dyDescent="0.3">
      <c r="A550">
        <v>195924</v>
      </c>
      <c r="B550" s="1" t="s">
        <v>38</v>
      </c>
      <c r="C550" s="1" t="s">
        <v>16</v>
      </c>
      <c r="D550" s="1" t="s">
        <v>23</v>
      </c>
      <c r="E550" s="1" t="s">
        <v>28</v>
      </c>
      <c r="F550" s="1" t="s">
        <v>19</v>
      </c>
      <c r="G550" s="1" t="s">
        <v>20</v>
      </c>
      <c r="H550" t="s">
        <v>21</v>
      </c>
      <c r="I550" s="1" t="s">
        <v>26</v>
      </c>
      <c r="J550" s="2">
        <v>43527.763171296298</v>
      </c>
      <c r="K550" s="2">
        <v>43530.763171296298</v>
      </c>
      <c r="L550" s="2">
        <v>43533.763171296298</v>
      </c>
      <c r="M550" s="1">
        <f>_xlfn.DAYS(Table1[[#This Row],[actual_delivery_date]],Table1[[#This Row],[dispatch_date]])</f>
        <v>3</v>
      </c>
      <c r="N550">
        <v>27</v>
      </c>
      <c r="O550">
        <f>Table1[[#This Row],[transit_storage_cost]] * (1-'What -if Analysis'!$D$26)</f>
        <v>27</v>
      </c>
      <c r="P550">
        <v>123</v>
      </c>
      <c r="Q550">
        <v>3089.05</v>
      </c>
    </row>
    <row r="551" spans="1:17" x14ac:dyDescent="0.3">
      <c r="A551">
        <v>971935</v>
      </c>
      <c r="B551" s="1" t="s">
        <v>39</v>
      </c>
      <c r="C551" s="1" t="s">
        <v>23</v>
      </c>
      <c r="D551" s="1" t="s">
        <v>16</v>
      </c>
      <c r="E551" s="1" t="s">
        <v>27</v>
      </c>
      <c r="F551" s="1" t="s">
        <v>19</v>
      </c>
      <c r="G551" s="1" t="s">
        <v>20</v>
      </c>
      <c r="H551" t="s">
        <v>30</v>
      </c>
      <c r="I551" s="1" t="s">
        <v>22</v>
      </c>
      <c r="J551" s="2">
        <v>43528.763564814813</v>
      </c>
      <c r="K551" s="2">
        <v>43530.763564814813</v>
      </c>
      <c r="L551" s="2">
        <v>43534.763564814813</v>
      </c>
      <c r="M551" s="1">
        <f>_xlfn.DAYS(Table1[[#This Row],[actual_delivery_date]],Table1[[#This Row],[dispatch_date]])</f>
        <v>2</v>
      </c>
      <c r="N551">
        <v>84</v>
      </c>
      <c r="O551">
        <f>Table1[[#This Row],[transit_storage_cost]] * (1-'What -if Analysis'!$D$26)</f>
        <v>84</v>
      </c>
      <c r="P551">
        <v>109</v>
      </c>
      <c r="Q551">
        <v>2676.4196068743522</v>
      </c>
    </row>
    <row r="552" spans="1:17" x14ac:dyDescent="0.3">
      <c r="A552">
        <v>657757</v>
      </c>
      <c r="B552" s="1" t="s">
        <v>38</v>
      </c>
      <c r="C552" s="1" t="s">
        <v>16</v>
      </c>
      <c r="D552" s="1" t="s">
        <v>16</v>
      </c>
      <c r="E552" s="1" t="s">
        <v>27</v>
      </c>
      <c r="F552" s="1" t="s">
        <v>29</v>
      </c>
      <c r="G552" s="1" t="s">
        <v>20</v>
      </c>
      <c r="H552" t="s">
        <v>30</v>
      </c>
      <c r="I552" s="1" t="s">
        <v>22</v>
      </c>
      <c r="J552" s="2">
        <v>43528.775659722225</v>
      </c>
      <c r="K552" s="2">
        <v>43530.775659722225</v>
      </c>
      <c r="L552" s="2">
        <v>43531.775659722225</v>
      </c>
      <c r="M552" s="1">
        <f>_xlfn.DAYS(Table1[[#This Row],[actual_delivery_date]],Table1[[#This Row],[dispatch_date]])</f>
        <v>2</v>
      </c>
      <c r="N552">
        <v>0</v>
      </c>
      <c r="O552">
        <f>Table1[[#This Row],[transit_storage_cost]] * (1-'What -if Analysis'!$D$26)</f>
        <v>0</v>
      </c>
      <c r="P552">
        <v>128</v>
      </c>
      <c r="Q552">
        <v>1999.2651109261585</v>
      </c>
    </row>
    <row r="553" spans="1:17" x14ac:dyDescent="0.3">
      <c r="A553">
        <v>212937</v>
      </c>
      <c r="B553" s="1" t="s">
        <v>37</v>
      </c>
      <c r="C553" s="1" t="s">
        <v>23</v>
      </c>
      <c r="D553" s="1" t="s">
        <v>17</v>
      </c>
      <c r="E553" s="1" t="s">
        <v>18</v>
      </c>
      <c r="F553" s="1" t="s">
        <v>19</v>
      </c>
      <c r="G553" s="1" t="s">
        <v>20</v>
      </c>
      <c r="H553" t="s">
        <v>30</v>
      </c>
      <c r="I553" s="1" t="s">
        <v>26</v>
      </c>
      <c r="J553" s="2">
        <v>43528.790613425925</v>
      </c>
      <c r="K553" s="2">
        <v>43530.790613425925</v>
      </c>
      <c r="L553" s="2">
        <v>43532.790613425925</v>
      </c>
      <c r="M553" s="1">
        <f>_xlfn.DAYS(Table1[[#This Row],[actual_delivery_date]],Table1[[#This Row],[dispatch_date]])</f>
        <v>2</v>
      </c>
      <c r="N553">
        <v>72</v>
      </c>
      <c r="O553">
        <f>Table1[[#This Row],[transit_storage_cost]] * (1-'What -if Analysis'!$D$26)</f>
        <v>72</v>
      </c>
      <c r="P553">
        <v>91</v>
      </c>
      <c r="Q553">
        <v>1927.28</v>
      </c>
    </row>
    <row r="554" spans="1:17" x14ac:dyDescent="0.3">
      <c r="A554">
        <v>812922</v>
      </c>
      <c r="B554" s="1" t="s">
        <v>40</v>
      </c>
      <c r="C554" s="1" t="s">
        <v>16</v>
      </c>
      <c r="D554" s="1" t="s">
        <v>32</v>
      </c>
      <c r="E554" s="1" t="s">
        <v>33</v>
      </c>
      <c r="F554" s="1" t="s">
        <v>31</v>
      </c>
      <c r="G554" s="1" t="s">
        <v>20</v>
      </c>
      <c r="H554" t="s">
        <v>21</v>
      </c>
      <c r="I554" s="1" t="s">
        <v>26</v>
      </c>
      <c r="J554" s="2">
        <v>43528.795405092591</v>
      </c>
      <c r="K554" s="2">
        <v>43530.795405092591</v>
      </c>
      <c r="L554" s="2">
        <v>43531.795405092591</v>
      </c>
      <c r="M554" s="1">
        <f>_xlfn.DAYS(Table1[[#This Row],[actual_delivery_date]],Table1[[#This Row],[dispatch_date]])</f>
        <v>2</v>
      </c>
      <c r="N554">
        <v>31</v>
      </c>
      <c r="O554">
        <f>Table1[[#This Row],[transit_storage_cost]] * (1-'What -if Analysis'!$D$26)</f>
        <v>31</v>
      </c>
      <c r="P554">
        <v>110</v>
      </c>
      <c r="Q554">
        <v>2310.23</v>
      </c>
    </row>
    <row r="555" spans="1:17" x14ac:dyDescent="0.3">
      <c r="A555">
        <v>474792</v>
      </c>
      <c r="B555" s="1" t="s">
        <v>15</v>
      </c>
      <c r="C555" s="1" t="s">
        <v>16</v>
      </c>
      <c r="D555" s="1" t="s">
        <v>32</v>
      </c>
      <c r="E555" s="1" t="s">
        <v>33</v>
      </c>
      <c r="F555" s="1" t="s">
        <v>19</v>
      </c>
      <c r="G555" s="1" t="s">
        <v>36</v>
      </c>
      <c r="H555" t="s">
        <v>21</v>
      </c>
      <c r="I555" s="1" t="s">
        <v>26</v>
      </c>
      <c r="J555" s="2">
        <v>43527.806562500002</v>
      </c>
      <c r="K555" s="2">
        <v>43530.806562500002</v>
      </c>
      <c r="L555" s="2">
        <v>43532.806562500002</v>
      </c>
      <c r="M555" s="1">
        <f>_xlfn.DAYS(Table1[[#This Row],[actual_delivery_date]],Table1[[#This Row],[dispatch_date]])</f>
        <v>3</v>
      </c>
      <c r="N555">
        <v>84</v>
      </c>
      <c r="O555">
        <f>Table1[[#This Row],[transit_storage_cost]] * (1-'What -if Analysis'!$D$26)</f>
        <v>84</v>
      </c>
      <c r="P555">
        <v>93</v>
      </c>
      <c r="Q555">
        <v>2612.166606394042</v>
      </c>
    </row>
    <row r="556" spans="1:17" x14ac:dyDescent="0.3">
      <c r="A556">
        <v>401043</v>
      </c>
      <c r="B556" s="1" t="s">
        <v>41</v>
      </c>
      <c r="C556" s="1" t="s">
        <v>23</v>
      </c>
      <c r="D556" s="1" t="s">
        <v>23</v>
      </c>
      <c r="E556" s="1" t="s">
        <v>28</v>
      </c>
      <c r="F556" s="1" t="s">
        <v>29</v>
      </c>
      <c r="G556" s="1" t="s">
        <v>20</v>
      </c>
      <c r="H556" t="s">
        <v>30</v>
      </c>
      <c r="I556" s="1" t="s">
        <v>26</v>
      </c>
      <c r="J556" s="2">
        <v>43529.807476851849</v>
      </c>
      <c r="K556" s="2">
        <v>43530.807476851849</v>
      </c>
      <c r="L556" s="2">
        <v>43535.807476851849</v>
      </c>
      <c r="M556" s="1">
        <f>_xlfn.DAYS(Table1[[#This Row],[actual_delivery_date]],Table1[[#This Row],[dispatch_date]])</f>
        <v>1</v>
      </c>
      <c r="N556">
        <v>0</v>
      </c>
      <c r="O556">
        <f>Table1[[#This Row],[transit_storage_cost]] * (1-'What -if Analysis'!$D$26)</f>
        <v>0</v>
      </c>
      <c r="P556">
        <v>127</v>
      </c>
      <c r="Q556">
        <v>2646.52</v>
      </c>
    </row>
    <row r="557" spans="1:17" x14ac:dyDescent="0.3">
      <c r="A557">
        <v>830190</v>
      </c>
      <c r="B557" s="1" t="s">
        <v>38</v>
      </c>
      <c r="C557" s="1" t="s">
        <v>23</v>
      </c>
      <c r="D557" s="1" t="s">
        <v>23</v>
      </c>
      <c r="E557" s="1" t="s">
        <v>28</v>
      </c>
      <c r="F557" s="1" t="s">
        <v>19</v>
      </c>
      <c r="G557" s="1" t="s">
        <v>20</v>
      </c>
      <c r="H557" t="s">
        <v>21</v>
      </c>
      <c r="I557" s="1" t="s">
        <v>26</v>
      </c>
      <c r="J557" s="2">
        <v>43529.809398148151</v>
      </c>
      <c r="K557" s="2">
        <v>43530.809398148151</v>
      </c>
      <c r="L557" s="2">
        <v>43534.809398148151</v>
      </c>
      <c r="M557" s="1">
        <f>_xlfn.DAYS(Table1[[#This Row],[actual_delivery_date]],Table1[[#This Row],[dispatch_date]])</f>
        <v>1</v>
      </c>
      <c r="N557">
        <v>0</v>
      </c>
      <c r="O557">
        <f>Table1[[#This Row],[transit_storage_cost]] * (1-'What -if Analysis'!$D$26)</f>
        <v>0</v>
      </c>
      <c r="P557">
        <v>106</v>
      </c>
      <c r="Q557">
        <v>690.28</v>
      </c>
    </row>
    <row r="558" spans="1:17" x14ac:dyDescent="0.3">
      <c r="A558">
        <v>89783</v>
      </c>
      <c r="B558" s="1" t="s">
        <v>38</v>
      </c>
      <c r="C558" s="1" t="s">
        <v>16</v>
      </c>
      <c r="D558" s="1" t="s">
        <v>16</v>
      </c>
      <c r="E558" s="1" t="s">
        <v>27</v>
      </c>
      <c r="F558" s="1" t="s">
        <v>19</v>
      </c>
      <c r="G558" s="1" t="s">
        <v>20</v>
      </c>
      <c r="H558" t="s">
        <v>30</v>
      </c>
      <c r="I558" s="1" t="s">
        <v>22</v>
      </c>
      <c r="J558" s="2">
        <v>43530.809745370374</v>
      </c>
      <c r="K558" s="2">
        <v>43530.809745370374</v>
      </c>
      <c r="L558" s="2">
        <v>43533.809745370374</v>
      </c>
      <c r="M558" s="1">
        <f>_xlfn.DAYS(Table1[[#This Row],[actual_delivery_date]],Table1[[#This Row],[dispatch_date]])</f>
        <v>0</v>
      </c>
      <c r="N558">
        <v>0</v>
      </c>
      <c r="O558">
        <f>Table1[[#This Row],[transit_storage_cost]] * (1-'What -if Analysis'!$D$26)</f>
        <v>0</v>
      </c>
      <c r="P558">
        <v>103</v>
      </c>
      <c r="Q558">
        <v>1135</v>
      </c>
    </row>
    <row r="559" spans="1:17" x14ac:dyDescent="0.3">
      <c r="A559">
        <v>932091</v>
      </c>
      <c r="B559" s="1" t="s">
        <v>41</v>
      </c>
      <c r="C559" s="1" t="s">
        <v>16</v>
      </c>
      <c r="D559" s="1" t="s">
        <v>23</v>
      </c>
      <c r="E559" s="1" t="s">
        <v>28</v>
      </c>
      <c r="F559" s="1" t="s">
        <v>19</v>
      </c>
      <c r="G559" s="1" t="s">
        <v>20</v>
      </c>
      <c r="H559" t="s">
        <v>30</v>
      </c>
      <c r="I559" s="1" t="s">
        <v>26</v>
      </c>
      <c r="J559" s="2">
        <v>43528.811377314814</v>
      </c>
      <c r="K559" s="2">
        <v>43530.811377314814</v>
      </c>
      <c r="L559" s="2">
        <v>43531.811377314814</v>
      </c>
      <c r="M559" s="1">
        <f>_xlfn.DAYS(Table1[[#This Row],[actual_delivery_date]],Table1[[#This Row],[dispatch_date]])</f>
        <v>2</v>
      </c>
      <c r="N559">
        <v>65</v>
      </c>
      <c r="O559">
        <f>Table1[[#This Row],[transit_storage_cost]] * (1-'What -if Analysis'!$D$26)</f>
        <v>65</v>
      </c>
      <c r="P559">
        <v>102</v>
      </c>
      <c r="Q559">
        <v>1412.65</v>
      </c>
    </row>
    <row r="560" spans="1:17" x14ac:dyDescent="0.3">
      <c r="A560">
        <v>11655</v>
      </c>
      <c r="B560" s="1" t="s">
        <v>37</v>
      </c>
      <c r="C560" s="1" t="s">
        <v>23</v>
      </c>
      <c r="D560" s="1" t="s">
        <v>23</v>
      </c>
      <c r="E560" s="1" t="s">
        <v>28</v>
      </c>
      <c r="F560" s="1" t="s">
        <v>29</v>
      </c>
      <c r="G560" s="1" t="s">
        <v>20</v>
      </c>
      <c r="H560" t="s">
        <v>34</v>
      </c>
      <c r="I560" s="1" t="s">
        <v>26</v>
      </c>
      <c r="J560" s="2">
        <v>43529.811724537038</v>
      </c>
      <c r="K560" s="2">
        <v>43530.811724537038</v>
      </c>
      <c r="L560" s="2">
        <v>43533.811724537038</v>
      </c>
      <c r="M560" s="1">
        <f>_xlfn.DAYS(Table1[[#This Row],[actual_delivery_date]],Table1[[#This Row],[dispatch_date]])</f>
        <v>1</v>
      </c>
      <c r="N560">
        <v>0</v>
      </c>
      <c r="O560">
        <f>Table1[[#This Row],[transit_storage_cost]] * (1-'What -if Analysis'!$D$26)</f>
        <v>0</v>
      </c>
      <c r="P560">
        <v>130</v>
      </c>
      <c r="Q560">
        <v>211.29</v>
      </c>
    </row>
    <row r="561" spans="1:17" x14ac:dyDescent="0.3">
      <c r="A561">
        <v>163474</v>
      </c>
      <c r="B561" s="1" t="s">
        <v>37</v>
      </c>
      <c r="C561" s="1" t="s">
        <v>16</v>
      </c>
      <c r="D561" s="1" t="s">
        <v>16</v>
      </c>
      <c r="E561" s="1" t="s">
        <v>27</v>
      </c>
      <c r="F561" s="1" t="s">
        <v>31</v>
      </c>
      <c r="G561" s="1" t="s">
        <v>20</v>
      </c>
      <c r="H561" t="s">
        <v>21</v>
      </c>
      <c r="I561" s="1" t="s">
        <v>22</v>
      </c>
      <c r="J561" s="2">
        <v>43527.812824074077</v>
      </c>
      <c r="K561" s="2">
        <v>43530.812824074077</v>
      </c>
      <c r="L561" s="2">
        <v>43531.812824074077</v>
      </c>
      <c r="M561" s="1">
        <f>_xlfn.DAYS(Table1[[#This Row],[actual_delivery_date]],Table1[[#This Row],[dispatch_date]])</f>
        <v>3</v>
      </c>
      <c r="N561">
        <v>0</v>
      </c>
      <c r="O561">
        <f>Table1[[#This Row],[transit_storage_cost]] * (1-'What -if Analysis'!$D$26)</f>
        <v>0</v>
      </c>
      <c r="P561">
        <v>124</v>
      </c>
      <c r="Q561">
        <v>949.93881005457013</v>
      </c>
    </row>
    <row r="562" spans="1:17" x14ac:dyDescent="0.3">
      <c r="A562">
        <v>647248</v>
      </c>
      <c r="B562" s="1" t="s">
        <v>41</v>
      </c>
      <c r="C562" s="1" t="s">
        <v>16</v>
      </c>
      <c r="D562" s="1" t="s">
        <v>17</v>
      </c>
      <c r="E562" s="1" t="s">
        <v>18</v>
      </c>
      <c r="F562" s="1" t="s">
        <v>19</v>
      </c>
      <c r="G562" s="1" t="s">
        <v>20</v>
      </c>
      <c r="H562" t="s">
        <v>21</v>
      </c>
      <c r="I562" s="1" t="s">
        <v>22</v>
      </c>
      <c r="J562" s="2">
        <v>43526.813125000001</v>
      </c>
      <c r="K562" s="2">
        <v>43530.813125000001</v>
      </c>
      <c r="L562" s="2">
        <v>43531.813125000001</v>
      </c>
      <c r="M562" s="1">
        <f>_xlfn.DAYS(Table1[[#This Row],[actual_delivery_date]],Table1[[#This Row],[dispatch_date]])</f>
        <v>4</v>
      </c>
      <c r="N562">
        <v>65</v>
      </c>
      <c r="O562">
        <f>Table1[[#This Row],[transit_storage_cost]] * (1-'What -if Analysis'!$D$26)</f>
        <v>65</v>
      </c>
      <c r="P562">
        <v>92</v>
      </c>
      <c r="Q562">
        <v>2535.0491193615012</v>
      </c>
    </row>
    <row r="563" spans="1:17" x14ac:dyDescent="0.3">
      <c r="A563">
        <v>755612</v>
      </c>
      <c r="B563" s="1" t="s">
        <v>39</v>
      </c>
      <c r="C563" s="1" t="s">
        <v>16</v>
      </c>
      <c r="D563" s="1" t="s">
        <v>16</v>
      </c>
      <c r="E563" s="1" t="s">
        <v>27</v>
      </c>
      <c r="F563" s="1" t="s">
        <v>19</v>
      </c>
      <c r="G563" s="1" t="s">
        <v>20</v>
      </c>
      <c r="H563" t="s">
        <v>21</v>
      </c>
      <c r="I563" s="1" t="s">
        <v>22</v>
      </c>
      <c r="J563" s="2">
        <v>43525.813599537039</v>
      </c>
      <c r="K563" s="2">
        <v>43530.813599537039</v>
      </c>
      <c r="L563" s="2">
        <v>43532.813599537039</v>
      </c>
      <c r="M563" s="1">
        <f>_xlfn.DAYS(Table1[[#This Row],[actual_delivery_date]],Table1[[#This Row],[dispatch_date]])</f>
        <v>5</v>
      </c>
      <c r="N563">
        <v>0</v>
      </c>
      <c r="O563">
        <f>Table1[[#This Row],[transit_storage_cost]] * (1-'What -if Analysis'!$D$26)</f>
        <v>0</v>
      </c>
      <c r="P563">
        <v>108</v>
      </c>
      <c r="Q563">
        <v>528.34584496725699</v>
      </c>
    </row>
    <row r="564" spans="1:17" x14ac:dyDescent="0.3">
      <c r="A564">
        <v>320495</v>
      </c>
      <c r="B564" s="1" t="s">
        <v>39</v>
      </c>
      <c r="C564" s="1" t="s">
        <v>23</v>
      </c>
      <c r="D564" s="1" t="s">
        <v>17</v>
      </c>
      <c r="E564" s="1" t="s">
        <v>18</v>
      </c>
      <c r="F564" s="1" t="s">
        <v>19</v>
      </c>
      <c r="G564" s="1" t="s">
        <v>20</v>
      </c>
      <c r="H564" t="s">
        <v>34</v>
      </c>
      <c r="I564" s="1" t="s">
        <v>22</v>
      </c>
      <c r="J564" s="2">
        <v>43528.815787037034</v>
      </c>
      <c r="K564" s="2">
        <v>43530.815787037034</v>
      </c>
      <c r="L564" s="2">
        <v>43534.815787037034</v>
      </c>
      <c r="M564" s="1">
        <f>_xlfn.DAYS(Table1[[#This Row],[actual_delivery_date]],Table1[[#This Row],[dispatch_date]])</f>
        <v>2</v>
      </c>
      <c r="N564">
        <v>71</v>
      </c>
      <c r="O564">
        <f>Table1[[#This Row],[transit_storage_cost]] * (1-'What -if Analysis'!$D$26)</f>
        <v>71</v>
      </c>
      <c r="P564">
        <v>87</v>
      </c>
      <c r="Q564">
        <v>1271.1101503732448</v>
      </c>
    </row>
    <row r="565" spans="1:17" x14ac:dyDescent="0.3">
      <c r="A565">
        <v>332123</v>
      </c>
      <c r="B565" s="1" t="s">
        <v>37</v>
      </c>
      <c r="C565" s="1" t="s">
        <v>23</v>
      </c>
      <c r="D565" s="1" t="s">
        <v>16</v>
      </c>
      <c r="E565" s="1" t="s">
        <v>27</v>
      </c>
      <c r="F565" s="1" t="s">
        <v>19</v>
      </c>
      <c r="G565" s="1" t="s">
        <v>20</v>
      </c>
      <c r="H565" t="s">
        <v>30</v>
      </c>
      <c r="I565" s="1" t="s">
        <v>22</v>
      </c>
      <c r="J565" s="2">
        <v>43527.823495370372</v>
      </c>
      <c r="K565" s="2">
        <v>43530.823495370372</v>
      </c>
      <c r="L565" s="2">
        <v>43531.823495370372</v>
      </c>
      <c r="M565" s="1">
        <f>_xlfn.DAYS(Table1[[#This Row],[actual_delivery_date]],Table1[[#This Row],[dispatch_date]])</f>
        <v>3</v>
      </c>
      <c r="N565">
        <v>64</v>
      </c>
      <c r="O565">
        <f>Table1[[#This Row],[transit_storage_cost]] * (1-'What -if Analysis'!$D$26)</f>
        <v>64</v>
      </c>
      <c r="P565">
        <v>102</v>
      </c>
      <c r="Q565">
        <v>2524.894022374991</v>
      </c>
    </row>
    <row r="566" spans="1:17" x14ac:dyDescent="0.3">
      <c r="A566">
        <v>244335</v>
      </c>
      <c r="B566" s="1" t="s">
        <v>41</v>
      </c>
      <c r="C566" s="1" t="s">
        <v>16</v>
      </c>
      <c r="D566" s="1" t="s">
        <v>16</v>
      </c>
      <c r="E566" s="1" t="s">
        <v>27</v>
      </c>
      <c r="F566" s="1" t="s">
        <v>29</v>
      </c>
      <c r="G566" s="1" t="s">
        <v>20</v>
      </c>
      <c r="H566" t="s">
        <v>34</v>
      </c>
      <c r="I566" s="1" t="s">
        <v>26</v>
      </c>
      <c r="J566" s="2">
        <v>43529.824976851851</v>
      </c>
      <c r="K566" s="2">
        <v>43530.824976851851</v>
      </c>
      <c r="L566" s="2">
        <v>43532.824976851851</v>
      </c>
      <c r="M566" s="1">
        <f>_xlfn.DAYS(Table1[[#This Row],[actual_delivery_date]],Table1[[#This Row],[dispatch_date]])</f>
        <v>1</v>
      </c>
      <c r="N566">
        <v>0</v>
      </c>
      <c r="O566">
        <f>Table1[[#This Row],[transit_storage_cost]] * (1-'What -if Analysis'!$D$26)</f>
        <v>0</v>
      </c>
      <c r="P566">
        <v>124</v>
      </c>
      <c r="Q566">
        <v>1934.06</v>
      </c>
    </row>
    <row r="567" spans="1:17" x14ac:dyDescent="0.3">
      <c r="A567">
        <v>922389</v>
      </c>
      <c r="B567" s="1" t="s">
        <v>38</v>
      </c>
      <c r="C567" s="1" t="s">
        <v>16</v>
      </c>
      <c r="D567" s="1" t="s">
        <v>23</v>
      </c>
      <c r="E567" s="1" t="s">
        <v>28</v>
      </c>
      <c r="F567" s="1" t="s">
        <v>29</v>
      </c>
      <c r="G567" s="1" t="s">
        <v>20</v>
      </c>
      <c r="H567" t="s">
        <v>30</v>
      </c>
      <c r="I567" s="1" t="s">
        <v>26</v>
      </c>
      <c r="J567" s="2">
        <v>43526.82744212963</v>
      </c>
      <c r="K567" s="2">
        <v>43530.82744212963</v>
      </c>
      <c r="L567" s="2">
        <v>43530.82744212963</v>
      </c>
      <c r="M567" s="1">
        <f>_xlfn.DAYS(Table1[[#This Row],[actual_delivery_date]],Table1[[#This Row],[dispatch_date]])</f>
        <v>4</v>
      </c>
      <c r="N567">
        <v>0</v>
      </c>
      <c r="O567">
        <f>Table1[[#This Row],[transit_storage_cost]] * (1-'What -if Analysis'!$D$26)</f>
        <v>0</v>
      </c>
      <c r="P567">
        <v>129</v>
      </c>
      <c r="Q567">
        <v>3266.64</v>
      </c>
    </row>
    <row r="568" spans="1:17" x14ac:dyDescent="0.3">
      <c r="A568">
        <v>901790</v>
      </c>
      <c r="B568" s="1" t="s">
        <v>38</v>
      </c>
      <c r="C568" s="1" t="s">
        <v>16</v>
      </c>
      <c r="D568" s="1" t="s">
        <v>24</v>
      </c>
      <c r="E568" s="1" t="s">
        <v>25</v>
      </c>
      <c r="F568" s="1" t="s">
        <v>31</v>
      </c>
      <c r="G568" s="1" t="s">
        <v>20</v>
      </c>
      <c r="H568" t="s">
        <v>21</v>
      </c>
      <c r="I568" s="1" t="s">
        <v>22</v>
      </c>
      <c r="J568" s="2">
        <v>43528.831747685188</v>
      </c>
      <c r="K568" s="2">
        <v>43530.831747685188</v>
      </c>
      <c r="L568" s="2">
        <v>43534.831747685188</v>
      </c>
      <c r="M568" s="1">
        <f>_xlfn.DAYS(Table1[[#This Row],[actual_delivery_date]],Table1[[#This Row],[dispatch_date]])</f>
        <v>2</v>
      </c>
      <c r="N568">
        <v>33</v>
      </c>
      <c r="O568">
        <f>Table1[[#This Row],[transit_storage_cost]] * (1-'What -if Analysis'!$D$26)</f>
        <v>33</v>
      </c>
      <c r="P568">
        <v>127</v>
      </c>
      <c r="Q568">
        <v>2535.495308735552</v>
      </c>
    </row>
    <row r="569" spans="1:17" x14ac:dyDescent="0.3">
      <c r="A569">
        <v>105042</v>
      </c>
      <c r="B569" s="1" t="s">
        <v>40</v>
      </c>
      <c r="C569" s="1" t="s">
        <v>16</v>
      </c>
      <c r="D569" s="1" t="s">
        <v>17</v>
      </c>
      <c r="E569" s="1" t="s">
        <v>18</v>
      </c>
      <c r="F569" s="1" t="s">
        <v>31</v>
      </c>
      <c r="G569" s="1" t="s">
        <v>20</v>
      </c>
      <c r="H569" t="s">
        <v>21</v>
      </c>
      <c r="I569" s="1" t="s">
        <v>26</v>
      </c>
      <c r="J569" s="2">
        <v>43525.842743055553</v>
      </c>
      <c r="K569" s="2">
        <v>43530.842743055553</v>
      </c>
      <c r="L569" s="2">
        <v>43531.842743055553</v>
      </c>
      <c r="M569" s="1">
        <f>_xlfn.DAYS(Table1[[#This Row],[actual_delivery_date]],Table1[[#This Row],[dispatch_date]])</f>
        <v>5</v>
      </c>
      <c r="N569">
        <v>46</v>
      </c>
      <c r="O569">
        <f>Table1[[#This Row],[transit_storage_cost]] * (1-'What -if Analysis'!$D$26)</f>
        <v>46</v>
      </c>
      <c r="P569">
        <v>110</v>
      </c>
      <c r="Q569">
        <v>787.58</v>
      </c>
    </row>
    <row r="570" spans="1:17" x14ac:dyDescent="0.3">
      <c r="A570">
        <v>734667</v>
      </c>
      <c r="B570" s="1" t="s">
        <v>15</v>
      </c>
      <c r="C570" s="1" t="s">
        <v>23</v>
      </c>
      <c r="D570" s="1" t="s">
        <v>23</v>
      </c>
      <c r="E570" s="1" t="s">
        <v>28</v>
      </c>
      <c r="F570" s="1" t="s">
        <v>29</v>
      </c>
      <c r="G570" s="1" t="s">
        <v>36</v>
      </c>
      <c r="H570" t="s">
        <v>30</v>
      </c>
      <c r="I570" s="1" t="s">
        <v>26</v>
      </c>
      <c r="J570" s="2">
        <v>43527.850810185184</v>
      </c>
      <c r="K570" s="2">
        <v>43530.850810185184</v>
      </c>
      <c r="L570" s="2">
        <v>43530.850810185184</v>
      </c>
      <c r="M570" s="1">
        <f>_xlfn.DAYS(Table1[[#This Row],[actual_delivery_date]],Table1[[#This Row],[dispatch_date]])</f>
        <v>3</v>
      </c>
      <c r="N570">
        <v>0</v>
      </c>
      <c r="O570">
        <f>Table1[[#This Row],[transit_storage_cost]] * (1-'What -if Analysis'!$D$26)</f>
        <v>0</v>
      </c>
      <c r="P570">
        <v>129</v>
      </c>
      <c r="Q570">
        <v>2825.9947615826632</v>
      </c>
    </row>
    <row r="571" spans="1:17" x14ac:dyDescent="0.3">
      <c r="A571">
        <v>39388</v>
      </c>
      <c r="B571" s="1" t="s">
        <v>38</v>
      </c>
      <c r="C571" s="1" t="s">
        <v>23</v>
      </c>
      <c r="D571" s="1" t="s">
        <v>16</v>
      </c>
      <c r="E571" s="1" t="s">
        <v>27</v>
      </c>
      <c r="F571" s="1" t="s">
        <v>19</v>
      </c>
      <c r="G571" s="1" t="s">
        <v>20</v>
      </c>
      <c r="H571" t="s">
        <v>21</v>
      </c>
      <c r="I571" s="1" t="s">
        <v>22</v>
      </c>
      <c r="J571" s="2">
        <v>43528.850891203707</v>
      </c>
      <c r="K571" s="2">
        <v>43530.850891203707</v>
      </c>
      <c r="L571" s="2">
        <v>43531.850891203707</v>
      </c>
      <c r="M571" s="1">
        <f>_xlfn.DAYS(Table1[[#This Row],[actual_delivery_date]],Table1[[#This Row],[dispatch_date]])</f>
        <v>2</v>
      </c>
      <c r="N571">
        <v>45</v>
      </c>
      <c r="O571">
        <f>Table1[[#This Row],[transit_storage_cost]] * (1-'What -if Analysis'!$D$26)</f>
        <v>45</v>
      </c>
      <c r="P571">
        <v>121</v>
      </c>
      <c r="Q571">
        <v>1186.6723907296323</v>
      </c>
    </row>
    <row r="572" spans="1:17" x14ac:dyDescent="0.3">
      <c r="A572">
        <v>814969</v>
      </c>
      <c r="B572" s="1" t="s">
        <v>38</v>
      </c>
      <c r="C572" s="1" t="s">
        <v>23</v>
      </c>
      <c r="D572" s="1" t="s">
        <v>24</v>
      </c>
      <c r="E572" s="1" t="s">
        <v>25</v>
      </c>
      <c r="F572" s="1" t="s">
        <v>29</v>
      </c>
      <c r="G572" s="1" t="s">
        <v>20</v>
      </c>
      <c r="H572" t="s">
        <v>30</v>
      </c>
      <c r="I572" s="1" t="s">
        <v>22</v>
      </c>
      <c r="J572" s="2">
        <v>43525.854467592595</v>
      </c>
      <c r="K572" s="2">
        <v>43530.854467592595</v>
      </c>
      <c r="L572" s="2">
        <v>43531.854467592595</v>
      </c>
      <c r="M572" s="1">
        <f>_xlfn.DAYS(Table1[[#This Row],[actual_delivery_date]],Table1[[#This Row],[dispatch_date]])</f>
        <v>5</v>
      </c>
      <c r="N572">
        <v>27</v>
      </c>
      <c r="O572">
        <f>Table1[[#This Row],[transit_storage_cost]] * (1-'What -if Analysis'!$D$26)</f>
        <v>27</v>
      </c>
      <c r="P572">
        <v>123</v>
      </c>
      <c r="Q572">
        <v>3701.5364974770719</v>
      </c>
    </row>
    <row r="573" spans="1:17" x14ac:dyDescent="0.3">
      <c r="A573">
        <v>911596</v>
      </c>
      <c r="B573" s="1" t="s">
        <v>37</v>
      </c>
      <c r="C573" s="1" t="s">
        <v>16</v>
      </c>
      <c r="D573" s="1" t="s">
        <v>32</v>
      </c>
      <c r="E573" s="1" t="s">
        <v>33</v>
      </c>
      <c r="F573" s="1" t="s">
        <v>19</v>
      </c>
      <c r="G573" s="1" t="s">
        <v>20</v>
      </c>
      <c r="H573" t="s">
        <v>21</v>
      </c>
      <c r="I573" s="1" t="s">
        <v>22</v>
      </c>
      <c r="J573" s="2">
        <v>43525.858865740738</v>
      </c>
      <c r="K573" s="2">
        <v>43530.858865740738</v>
      </c>
      <c r="L573" s="2">
        <v>43532.858865740738</v>
      </c>
      <c r="M573" s="1">
        <f>_xlfn.DAYS(Table1[[#This Row],[actual_delivery_date]],Table1[[#This Row],[dispatch_date]])</f>
        <v>5</v>
      </c>
      <c r="N573">
        <v>29</v>
      </c>
      <c r="O573">
        <f>Table1[[#This Row],[transit_storage_cost]] * (1-'What -if Analysis'!$D$26)</f>
        <v>29</v>
      </c>
      <c r="P573">
        <v>105</v>
      </c>
      <c r="Q573">
        <v>713.20621024746868</v>
      </c>
    </row>
    <row r="574" spans="1:17" x14ac:dyDescent="0.3">
      <c r="A574">
        <v>443284</v>
      </c>
      <c r="B574" s="1" t="s">
        <v>15</v>
      </c>
      <c r="C574" s="1" t="s">
        <v>16</v>
      </c>
      <c r="D574" s="1" t="s">
        <v>32</v>
      </c>
      <c r="E574" s="1" t="s">
        <v>33</v>
      </c>
      <c r="F574" s="1" t="s">
        <v>19</v>
      </c>
      <c r="G574" s="1" t="s">
        <v>20</v>
      </c>
      <c r="H574" t="s">
        <v>21</v>
      </c>
      <c r="I574" s="1" t="s">
        <v>22</v>
      </c>
      <c r="J574" s="2">
        <v>43527.860625000001</v>
      </c>
      <c r="K574" s="2">
        <v>43530.860625000001</v>
      </c>
      <c r="L574" s="2">
        <v>43534.860625000001</v>
      </c>
      <c r="M574" s="1">
        <f>_xlfn.DAYS(Table1[[#This Row],[actual_delivery_date]],Table1[[#This Row],[dispatch_date]])</f>
        <v>3</v>
      </c>
      <c r="N574">
        <v>42</v>
      </c>
      <c r="O574">
        <f>Table1[[#This Row],[transit_storage_cost]] * (1-'What -if Analysis'!$D$26)</f>
        <v>42</v>
      </c>
      <c r="P574">
        <v>105</v>
      </c>
      <c r="Q574">
        <v>2100.2138967846186</v>
      </c>
    </row>
    <row r="575" spans="1:17" x14ac:dyDescent="0.3">
      <c r="A575">
        <v>873479</v>
      </c>
      <c r="B575" s="1" t="s">
        <v>39</v>
      </c>
      <c r="C575" s="1" t="s">
        <v>23</v>
      </c>
      <c r="D575" s="1" t="s">
        <v>23</v>
      </c>
      <c r="E575" s="1" t="s">
        <v>28</v>
      </c>
      <c r="F575" s="1" t="s">
        <v>19</v>
      </c>
      <c r="G575" s="1" t="s">
        <v>20</v>
      </c>
      <c r="H575" t="s">
        <v>30</v>
      </c>
      <c r="I575" s="1" t="s">
        <v>22</v>
      </c>
      <c r="J575" s="2">
        <v>43527.864976851852</v>
      </c>
      <c r="K575" s="2">
        <v>43530.864976851852</v>
      </c>
      <c r="L575" s="2">
        <v>43530.864976851852</v>
      </c>
      <c r="M575" s="1">
        <f>_xlfn.DAYS(Table1[[#This Row],[actual_delivery_date]],Table1[[#This Row],[dispatch_date]])</f>
        <v>3</v>
      </c>
      <c r="N575">
        <v>0</v>
      </c>
      <c r="O575">
        <f>Table1[[#This Row],[transit_storage_cost]] * (1-'What -if Analysis'!$D$26)</f>
        <v>0</v>
      </c>
      <c r="P575">
        <v>106</v>
      </c>
      <c r="Q575">
        <v>2290.1115021566507</v>
      </c>
    </row>
    <row r="576" spans="1:17" x14ac:dyDescent="0.3">
      <c r="A576">
        <v>890800</v>
      </c>
      <c r="B576" s="1" t="s">
        <v>15</v>
      </c>
      <c r="C576" s="1" t="s">
        <v>16</v>
      </c>
      <c r="D576" s="1" t="s">
        <v>16</v>
      </c>
      <c r="E576" s="1" t="s">
        <v>27</v>
      </c>
      <c r="F576" s="1" t="s">
        <v>19</v>
      </c>
      <c r="G576" s="1" t="s">
        <v>20</v>
      </c>
      <c r="H576" t="s">
        <v>21</v>
      </c>
      <c r="I576" s="1" t="s">
        <v>22</v>
      </c>
      <c r="J576" s="2">
        <v>43525.872337962966</v>
      </c>
      <c r="K576" s="2">
        <v>43530.872337962966</v>
      </c>
      <c r="L576" s="2">
        <v>43528.872337962966</v>
      </c>
      <c r="M576" s="1">
        <f>_xlfn.DAYS(Table1[[#This Row],[actual_delivery_date]],Table1[[#This Row],[dispatch_date]])</f>
        <v>5</v>
      </c>
      <c r="N576">
        <v>0</v>
      </c>
      <c r="O576">
        <f>Table1[[#This Row],[transit_storage_cost]] * (1-'What -if Analysis'!$D$26)</f>
        <v>0</v>
      </c>
      <c r="P576">
        <v>122</v>
      </c>
      <c r="Q576">
        <v>2585.3896486453582</v>
      </c>
    </row>
    <row r="577" spans="1:17" x14ac:dyDescent="0.3">
      <c r="A577">
        <v>494199</v>
      </c>
      <c r="B577" s="1" t="s">
        <v>41</v>
      </c>
      <c r="C577" s="1" t="s">
        <v>23</v>
      </c>
      <c r="D577" s="1" t="s">
        <v>23</v>
      </c>
      <c r="E577" s="1" t="s">
        <v>28</v>
      </c>
      <c r="F577" s="1" t="s">
        <v>29</v>
      </c>
      <c r="G577" s="1" t="s">
        <v>20</v>
      </c>
      <c r="H577" t="s">
        <v>30</v>
      </c>
      <c r="I577" s="1" t="s">
        <v>26</v>
      </c>
      <c r="J577" s="2">
        <v>43529.875057870369</v>
      </c>
      <c r="K577" s="2">
        <v>43530.875057870369</v>
      </c>
      <c r="L577" s="2">
        <v>43532.875057870369</v>
      </c>
      <c r="M577" s="1">
        <f>_xlfn.DAYS(Table1[[#This Row],[actual_delivery_date]],Table1[[#This Row],[dispatch_date]])</f>
        <v>1</v>
      </c>
      <c r="N577">
        <v>0</v>
      </c>
      <c r="O577">
        <f>Table1[[#This Row],[transit_storage_cost]] * (1-'What -if Analysis'!$D$26)</f>
        <v>0</v>
      </c>
      <c r="P577">
        <v>128</v>
      </c>
      <c r="Q577">
        <v>1023.23</v>
      </c>
    </row>
    <row r="578" spans="1:17" x14ac:dyDescent="0.3">
      <c r="A578">
        <v>473973</v>
      </c>
      <c r="B578" s="1" t="s">
        <v>15</v>
      </c>
      <c r="C578" s="1" t="s">
        <v>16</v>
      </c>
      <c r="D578" s="1" t="s">
        <v>16</v>
      </c>
      <c r="E578" s="1" t="s">
        <v>27</v>
      </c>
      <c r="F578" s="1" t="s">
        <v>29</v>
      </c>
      <c r="G578" s="1" t="s">
        <v>20</v>
      </c>
      <c r="H578" t="s">
        <v>30</v>
      </c>
      <c r="I578" s="1" t="s">
        <v>26</v>
      </c>
      <c r="J578" s="2">
        <v>43526.875949074078</v>
      </c>
      <c r="K578" s="2">
        <v>43530.875949074078</v>
      </c>
      <c r="L578" s="2">
        <v>43529.875949074078</v>
      </c>
      <c r="M578" s="1">
        <f>_xlfn.DAYS(Table1[[#This Row],[actual_delivery_date]],Table1[[#This Row],[dispatch_date]])</f>
        <v>4</v>
      </c>
      <c r="N578">
        <v>0</v>
      </c>
      <c r="O578">
        <f>Table1[[#This Row],[transit_storage_cost]] * (1-'What -if Analysis'!$D$26)</f>
        <v>0</v>
      </c>
      <c r="P578">
        <v>122</v>
      </c>
      <c r="Q578">
        <v>2966.59</v>
      </c>
    </row>
    <row r="579" spans="1:17" x14ac:dyDescent="0.3">
      <c r="A579">
        <v>430814</v>
      </c>
      <c r="B579" s="1" t="s">
        <v>38</v>
      </c>
      <c r="C579" s="1" t="s">
        <v>16</v>
      </c>
      <c r="D579" s="1" t="s">
        <v>23</v>
      </c>
      <c r="E579" s="1" t="s">
        <v>28</v>
      </c>
      <c r="F579" s="1" t="s">
        <v>19</v>
      </c>
      <c r="G579" s="1" t="s">
        <v>20</v>
      </c>
      <c r="H579" t="s">
        <v>21</v>
      </c>
      <c r="I579" s="1" t="s">
        <v>22</v>
      </c>
      <c r="J579" s="2">
        <v>43525.877974537034</v>
      </c>
      <c r="K579" s="2">
        <v>43530.877974537034</v>
      </c>
      <c r="L579" s="2">
        <v>43528.877974537034</v>
      </c>
      <c r="M579" s="1">
        <f>_xlfn.DAYS(Table1[[#This Row],[actual_delivery_date]],Table1[[#This Row],[dispatch_date]])</f>
        <v>5</v>
      </c>
      <c r="N579">
        <v>69</v>
      </c>
      <c r="O579">
        <f>Table1[[#This Row],[transit_storage_cost]] * (1-'What -if Analysis'!$D$26)</f>
        <v>69</v>
      </c>
      <c r="P579">
        <v>100</v>
      </c>
      <c r="Q579">
        <v>2059.7923013637683</v>
      </c>
    </row>
    <row r="580" spans="1:17" x14ac:dyDescent="0.3">
      <c r="A580">
        <v>62344</v>
      </c>
      <c r="B580" s="1" t="s">
        <v>38</v>
      </c>
      <c r="C580" s="1" t="s">
        <v>16</v>
      </c>
      <c r="D580" s="1" t="s">
        <v>16</v>
      </c>
      <c r="E580" s="1" t="s">
        <v>27</v>
      </c>
      <c r="F580" s="1" t="s">
        <v>19</v>
      </c>
      <c r="G580" s="1" t="s">
        <v>20</v>
      </c>
      <c r="H580" t="s">
        <v>21</v>
      </c>
      <c r="I580" s="1" t="s">
        <v>22</v>
      </c>
      <c r="J580" s="2">
        <v>43525.887280092589</v>
      </c>
      <c r="K580" s="2">
        <v>43530.887280092589</v>
      </c>
      <c r="L580" s="2">
        <v>43531.887280092589</v>
      </c>
      <c r="M580" s="1">
        <f>_xlfn.DAYS(Table1[[#This Row],[actual_delivery_date]],Table1[[#This Row],[dispatch_date]])</f>
        <v>5</v>
      </c>
      <c r="N580">
        <v>0</v>
      </c>
      <c r="O580">
        <f>Table1[[#This Row],[transit_storage_cost]] * (1-'What -if Analysis'!$D$26)</f>
        <v>0</v>
      </c>
      <c r="P580">
        <v>126</v>
      </c>
      <c r="Q580">
        <v>1938.9989960438045</v>
      </c>
    </row>
    <row r="581" spans="1:17" x14ac:dyDescent="0.3">
      <c r="A581">
        <v>955159</v>
      </c>
      <c r="B581" s="1" t="s">
        <v>37</v>
      </c>
      <c r="C581" s="1" t="s">
        <v>23</v>
      </c>
      <c r="D581" s="1" t="s">
        <v>16</v>
      </c>
      <c r="E581" s="1" t="s">
        <v>27</v>
      </c>
      <c r="F581" s="1" t="s">
        <v>29</v>
      </c>
      <c r="G581" s="1" t="s">
        <v>20</v>
      </c>
      <c r="H581" t="s">
        <v>30</v>
      </c>
      <c r="I581" s="1" t="s">
        <v>22</v>
      </c>
      <c r="J581" s="2">
        <v>43527.892245370371</v>
      </c>
      <c r="K581" s="2">
        <v>43530.892245370371</v>
      </c>
      <c r="L581" s="2">
        <v>43533.892245370371</v>
      </c>
      <c r="M581" s="1">
        <f>_xlfn.DAYS(Table1[[#This Row],[actual_delivery_date]],Table1[[#This Row],[dispatch_date]])</f>
        <v>3</v>
      </c>
      <c r="N581">
        <v>35</v>
      </c>
      <c r="O581">
        <f>Table1[[#This Row],[transit_storage_cost]] * (1-'What -if Analysis'!$D$26)</f>
        <v>35</v>
      </c>
      <c r="P581">
        <v>125</v>
      </c>
      <c r="Q581">
        <v>541.51366611915478</v>
      </c>
    </row>
    <row r="582" spans="1:17" x14ac:dyDescent="0.3">
      <c r="A582">
        <v>455099</v>
      </c>
      <c r="B582" s="1" t="s">
        <v>41</v>
      </c>
      <c r="C582" s="1" t="s">
        <v>16</v>
      </c>
      <c r="D582" s="1" t="s">
        <v>32</v>
      </c>
      <c r="E582" s="1" t="s">
        <v>33</v>
      </c>
      <c r="F582" s="1" t="s">
        <v>29</v>
      </c>
      <c r="G582" s="1" t="s">
        <v>20</v>
      </c>
      <c r="H582" t="s">
        <v>30</v>
      </c>
      <c r="I582" s="1" t="s">
        <v>22</v>
      </c>
      <c r="J582" s="2">
        <v>43527.895266203705</v>
      </c>
      <c r="K582" s="2">
        <v>43530.895266203705</v>
      </c>
      <c r="L582" s="2">
        <v>43530.895266203705</v>
      </c>
      <c r="M582" s="1">
        <f>_xlfn.DAYS(Table1[[#This Row],[actual_delivery_date]],Table1[[#This Row],[dispatch_date]])</f>
        <v>3</v>
      </c>
      <c r="N582">
        <v>34</v>
      </c>
      <c r="O582">
        <f>Table1[[#This Row],[transit_storage_cost]] * (1-'What -if Analysis'!$D$26)</f>
        <v>34</v>
      </c>
      <c r="P582">
        <v>111</v>
      </c>
      <c r="Q582">
        <v>562.2930182970606</v>
      </c>
    </row>
    <row r="583" spans="1:17" x14ac:dyDescent="0.3">
      <c r="A583">
        <v>121309</v>
      </c>
      <c r="B583" s="1" t="s">
        <v>37</v>
      </c>
      <c r="C583" s="1" t="s">
        <v>23</v>
      </c>
      <c r="D583" s="1" t="s">
        <v>23</v>
      </c>
      <c r="E583" s="1" t="s">
        <v>28</v>
      </c>
      <c r="F583" s="1" t="s">
        <v>19</v>
      </c>
      <c r="G583" s="1" t="s">
        <v>20</v>
      </c>
      <c r="H583" t="s">
        <v>30</v>
      </c>
      <c r="I583" s="1" t="s">
        <v>22</v>
      </c>
      <c r="J583" s="2">
        <v>43530.89947916667</v>
      </c>
      <c r="K583" s="2">
        <v>43530.89947916667</v>
      </c>
      <c r="L583" s="2">
        <v>43533.89947916667</v>
      </c>
      <c r="M583" s="1">
        <f>_xlfn.DAYS(Table1[[#This Row],[actual_delivery_date]],Table1[[#This Row],[dispatch_date]])</f>
        <v>0</v>
      </c>
      <c r="N583">
        <v>0</v>
      </c>
      <c r="O583">
        <f>Table1[[#This Row],[transit_storage_cost]] * (1-'What -if Analysis'!$D$26)</f>
        <v>0</v>
      </c>
      <c r="P583">
        <v>103</v>
      </c>
      <c r="Q583">
        <v>3150</v>
      </c>
    </row>
    <row r="584" spans="1:17" x14ac:dyDescent="0.3">
      <c r="A584">
        <v>956080</v>
      </c>
      <c r="B584" s="1" t="s">
        <v>39</v>
      </c>
      <c r="C584" s="1" t="s">
        <v>16</v>
      </c>
      <c r="D584" s="1" t="s">
        <v>23</v>
      </c>
      <c r="E584" s="1" t="s">
        <v>28</v>
      </c>
      <c r="F584" s="1" t="s">
        <v>19</v>
      </c>
      <c r="G584" s="1" t="s">
        <v>20</v>
      </c>
      <c r="H584" t="s">
        <v>21</v>
      </c>
      <c r="I584" s="1" t="s">
        <v>22</v>
      </c>
      <c r="J584" s="2">
        <v>43528.899918981479</v>
      </c>
      <c r="K584" s="2">
        <v>43530.899918981479</v>
      </c>
      <c r="L584" s="2">
        <v>43534.899918981479</v>
      </c>
      <c r="M584" s="1">
        <f>_xlfn.DAYS(Table1[[#This Row],[actual_delivery_date]],Table1[[#This Row],[dispatch_date]])</f>
        <v>2</v>
      </c>
      <c r="N584">
        <v>42</v>
      </c>
      <c r="O584">
        <f>Table1[[#This Row],[transit_storage_cost]] * (1-'What -if Analysis'!$D$26)</f>
        <v>42</v>
      </c>
      <c r="P584">
        <v>127</v>
      </c>
      <c r="Q584">
        <v>2029.986107745917</v>
      </c>
    </row>
    <row r="585" spans="1:17" x14ac:dyDescent="0.3">
      <c r="A585">
        <v>588607</v>
      </c>
      <c r="B585" s="1" t="s">
        <v>40</v>
      </c>
      <c r="C585" s="1" t="s">
        <v>16</v>
      </c>
      <c r="D585" s="1" t="s">
        <v>24</v>
      </c>
      <c r="E585" s="1" t="s">
        <v>25</v>
      </c>
      <c r="F585" s="1" t="s">
        <v>29</v>
      </c>
      <c r="G585" s="1" t="s">
        <v>20</v>
      </c>
      <c r="H585" t="s">
        <v>30</v>
      </c>
      <c r="I585" s="1" t="s">
        <v>22</v>
      </c>
      <c r="J585" s="2">
        <v>43527.905462962961</v>
      </c>
      <c r="K585" s="2">
        <v>43530.905462962961</v>
      </c>
      <c r="L585" s="2">
        <v>43532.905462962961</v>
      </c>
      <c r="M585" s="1">
        <f>_xlfn.DAYS(Table1[[#This Row],[actual_delivery_date]],Table1[[#This Row],[dispatch_date]])</f>
        <v>3</v>
      </c>
      <c r="N585">
        <v>28</v>
      </c>
      <c r="O585">
        <f>Table1[[#This Row],[transit_storage_cost]] * (1-'What -if Analysis'!$D$26)</f>
        <v>28</v>
      </c>
      <c r="P585">
        <v>129</v>
      </c>
      <c r="Q585">
        <v>2746.0618308440285</v>
      </c>
    </row>
    <row r="586" spans="1:17" x14ac:dyDescent="0.3">
      <c r="A586">
        <v>117740</v>
      </c>
      <c r="B586" s="1" t="s">
        <v>37</v>
      </c>
      <c r="C586" s="1" t="s">
        <v>23</v>
      </c>
      <c r="D586" s="1" t="s">
        <v>23</v>
      </c>
      <c r="E586" s="1" t="s">
        <v>28</v>
      </c>
      <c r="F586" s="1" t="s">
        <v>19</v>
      </c>
      <c r="G586" s="1" t="s">
        <v>20</v>
      </c>
      <c r="H586" t="s">
        <v>21</v>
      </c>
      <c r="I586" s="1" t="s">
        <v>22</v>
      </c>
      <c r="J586" s="2">
        <v>43527.909756944442</v>
      </c>
      <c r="K586" s="2">
        <v>43530.909756944442</v>
      </c>
      <c r="L586" s="2">
        <v>43534.909756944442</v>
      </c>
      <c r="M586" s="1">
        <f>_xlfn.DAYS(Table1[[#This Row],[actual_delivery_date]],Table1[[#This Row],[dispatch_date]])</f>
        <v>3</v>
      </c>
      <c r="N586">
        <v>0</v>
      </c>
      <c r="O586">
        <f>Table1[[#This Row],[transit_storage_cost]] * (1-'What -if Analysis'!$D$26)</f>
        <v>0</v>
      </c>
      <c r="P586">
        <v>128</v>
      </c>
      <c r="Q586">
        <v>3441.8286169769608</v>
      </c>
    </row>
    <row r="587" spans="1:17" x14ac:dyDescent="0.3">
      <c r="A587">
        <v>653773</v>
      </c>
      <c r="B587" s="1" t="s">
        <v>38</v>
      </c>
      <c r="C587" s="1" t="s">
        <v>16</v>
      </c>
      <c r="D587" s="1" t="s">
        <v>24</v>
      </c>
      <c r="E587" s="1" t="s">
        <v>25</v>
      </c>
      <c r="F587" s="1" t="s">
        <v>29</v>
      </c>
      <c r="G587" s="1" t="s">
        <v>20</v>
      </c>
      <c r="H587" t="s">
        <v>30</v>
      </c>
      <c r="I587" s="1" t="s">
        <v>22</v>
      </c>
      <c r="J587" s="2">
        <v>43526.909872685188</v>
      </c>
      <c r="K587" s="2">
        <v>43530.909872685188</v>
      </c>
      <c r="L587" s="2">
        <v>43529.909872685188</v>
      </c>
      <c r="M587" s="1">
        <f>_xlfn.DAYS(Table1[[#This Row],[actual_delivery_date]],Table1[[#This Row],[dispatch_date]])</f>
        <v>4</v>
      </c>
      <c r="N587">
        <v>39</v>
      </c>
      <c r="O587">
        <f>Table1[[#This Row],[transit_storage_cost]] * (1-'What -if Analysis'!$D$26)</f>
        <v>39</v>
      </c>
      <c r="P587">
        <v>125</v>
      </c>
      <c r="Q587">
        <v>1846.5045683633759</v>
      </c>
    </row>
    <row r="588" spans="1:17" x14ac:dyDescent="0.3">
      <c r="A588">
        <v>752562</v>
      </c>
      <c r="B588" s="1" t="s">
        <v>39</v>
      </c>
      <c r="C588" s="1" t="s">
        <v>16</v>
      </c>
      <c r="D588" s="1" t="s">
        <v>17</v>
      </c>
      <c r="E588" s="1" t="s">
        <v>18</v>
      </c>
      <c r="F588" s="1" t="s">
        <v>19</v>
      </c>
      <c r="G588" s="1" t="s">
        <v>20</v>
      </c>
      <c r="H588" t="s">
        <v>21</v>
      </c>
      <c r="I588" s="1" t="s">
        <v>26</v>
      </c>
      <c r="J588" s="2">
        <v>43528.923692129632</v>
      </c>
      <c r="K588" s="2">
        <v>43530.923692129632</v>
      </c>
      <c r="L588" s="2">
        <v>43533.923692129632</v>
      </c>
      <c r="M588" s="1">
        <f>_xlfn.DAYS(Table1[[#This Row],[actual_delivery_date]],Table1[[#This Row],[dispatch_date]])</f>
        <v>2</v>
      </c>
      <c r="N588">
        <v>57</v>
      </c>
      <c r="O588">
        <f>Table1[[#This Row],[transit_storage_cost]] * (1-'What -if Analysis'!$D$26)</f>
        <v>57</v>
      </c>
      <c r="P588">
        <v>85</v>
      </c>
      <c r="Q588">
        <v>585.03</v>
      </c>
    </row>
    <row r="589" spans="1:17" x14ac:dyDescent="0.3">
      <c r="A589">
        <v>823148</v>
      </c>
      <c r="B589" s="1" t="s">
        <v>40</v>
      </c>
      <c r="C589" s="1" t="s">
        <v>23</v>
      </c>
      <c r="D589" s="1" t="s">
        <v>17</v>
      </c>
      <c r="E589" s="1" t="s">
        <v>18</v>
      </c>
      <c r="F589" s="1" t="s">
        <v>19</v>
      </c>
      <c r="G589" s="1" t="s">
        <v>20</v>
      </c>
      <c r="H589" t="s">
        <v>21</v>
      </c>
      <c r="I589" s="1" t="s">
        <v>22</v>
      </c>
      <c r="J589" s="2">
        <v>43526.927766203706</v>
      </c>
      <c r="K589" s="2">
        <v>43530.927766203706</v>
      </c>
      <c r="L589" s="2">
        <v>43529.927766203706</v>
      </c>
      <c r="M589" s="1">
        <f>_xlfn.DAYS(Table1[[#This Row],[actual_delivery_date]],Table1[[#This Row],[dispatch_date]])</f>
        <v>4</v>
      </c>
      <c r="N589">
        <v>26</v>
      </c>
      <c r="O589">
        <f>Table1[[#This Row],[transit_storage_cost]] * (1-'What -if Analysis'!$D$26)</f>
        <v>26</v>
      </c>
      <c r="P589">
        <v>107</v>
      </c>
      <c r="Q589">
        <v>1838.9526495287539</v>
      </c>
    </row>
    <row r="590" spans="1:17" x14ac:dyDescent="0.3">
      <c r="A590">
        <v>359290</v>
      </c>
      <c r="B590" s="1" t="s">
        <v>37</v>
      </c>
      <c r="C590" s="1" t="s">
        <v>23</v>
      </c>
      <c r="D590" s="1" t="s">
        <v>17</v>
      </c>
      <c r="E590" s="1" t="s">
        <v>18</v>
      </c>
      <c r="F590" s="1" t="s">
        <v>19</v>
      </c>
      <c r="G590" s="1" t="s">
        <v>20</v>
      </c>
      <c r="H590" t="s">
        <v>21</v>
      </c>
      <c r="I590" s="1" t="s">
        <v>22</v>
      </c>
      <c r="J590" s="2">
        <v>43527.930034722223</v>
      </c>
      <c r="K590" s="2">
        <v>43530.930034722223</v>
      </c>
      <c r="L590" s="2">
        <v>43531.930034722223</v>
      </c>
      <c r="M590" s="1">
        <f>_xlfn.DAYS(Table1[[#This Row],[actual_delivery_date]],Table1[[#This Row],[dispatch_date]])</f>
        <v>3</v>
      </c>
      <c r="N590">
        <v>63</v>
      </c>
      <c r="O590">
        <f>Table1[[#This Row],[transit_storage_cost]] * (1-'What -if Analysis'!$D$26)</f>
        <v>63</v>
      </c>
      <c r="P590">
        <v>91</v>
      </c>
      <c r="Q590">
        <v>580.74524337707942</v>
      </c>
    </row>
    <row r="591" spans="1:17" x14ac:dyDescent="0.3">
      <c r="A591">
        <v>964746</v>
      </c>
      <c r="B591" s="1" t="s">
        <v>41</v>
      </c>
      <c r="C591" s="1" t="s">
        <v>16</v>
      </c>
      <c r="D591" s="1" t="s">
        <v>16</v>
      </c>
      <c r="E591" s="1" t="s">
        <v>27</v>
      </c>
      <c r="F591" s="1" t="s">
        <v>19</v>
      </c>
      <c r="G591" s="1" t="s">
        <v>20</v>
      </c>
      <c r="H591" t="s">
        <v>21</v>
      </c>
      <c r="I591" s="1" t="s">
        <v>26</v>
      </c>
      <c r="J591" s="2">
        <v>43525.932858796295</v>
      </c>
      <c r="K591" s="2">
        <v>43530.932858796295</v>
      </c>
      <c r="L591" s="2">
        <v>43531.932858796295</v>
      </c>
      <c r="M591" s="1">
        <f>_xlfn.DAYS(Table1[[#This Row],[actual_delivery_date]],Table1[[#This Row],[dispatch_date]])</f>
        <v>5</v>
      </c>
      <c r="N591">
        <v>0</v>
      </c>
      <c r="O591">
        <f>Table1[[#This Row],[transit_storage_cost]] * (1-'What -if Analysis'!$D$26)</f>
        <v>0</v>
      </c>
      <c r="P591">
        <v>109</v>
      </c>
      <c r="Q591">
        <v>2280.77</v>
      </c>
    </row>
    <row r="592" spans="1:17" x14ac:dyDescent="0.3">
      <c r="A592">
        <v>388959</v>
      </c>
      <c r="B592" s="1" t="s">
        <v>39</v>
      </c>
      <c r="C592" s="1" t="s">
        <v>16</v>
      </c>
      <c r="D592" s="1" t="s">
        <v>17</v>
      </c>
      <c r="E592" s="1" t="s">
        <v>18</v>
      </c>
      <c r="F592" s="1" t="s">
        <v>29</v>
      </c>
      <c r="G592" s="1" t="s">
        <v>20</v>
      </c>
      <c r="H592" t="s">
        <v>30</v>
      </c>
      <c r="I592" s="1" t="s">
        <v>26</v>
      </c>
      <c r="J592" s="2">
        <v>43526.934652777774</v>
      </c>
      <c r="K592" s="2">
        <v>43530.934652777774</v>
      </c>
      <c r="L592" s="2">
        <v>43530.934652777774</v>
      </c>
      <c r="M592" s="1">
        <f>_xlfn.DAYS(Table1[[#This Row],[actual_delivery_date]],Table1[[#This Row],[dispatch_date]])</f>
        <v>4</v>
      </c>
      <c r="N592">
        <v>36</v>
      </c>
      <c r="O592">
        <f>Table1[[#This Row],[transit_storage_cost]] * (1-'What -if Analysis'!$D$26)</f>
        <v>36</v>
      </c>
      <c r="P592">
        <v>105</v>
      </c>
      <c r="Q592">
        <v>237.15</v>
      </c>
    </row>
    <row r="593" spans="1:17" x14ac:dyDescent="0.3">
      <c r="A593">
        <v>638684</v>
      </c>
      <c r="B593" s="1" t="s">
        <v>38</v>
      </c>
      <c r="C593" s="1" t="s">
        <v>16</v>
      </c>
      <c r="D593" s="1" t="s">
        <v>17</v>
      </c>
      <c r="E593" s="1" t="s">
        <v>18</v>
      </c>
      <c r="F593" s="1" t="s">
        <v>19</v>
      </c>
      <c r="G593" s="1" t="s">
        <v>20</v>
      </c>
      <c r="H593" t="s">
        <v>21</v>
      </c>
      <c r="I593" s="1" t="s">
        <v>22</v>
      </c>
      <c r="J593" s="2">
        <v>43528.94017361111</v>
      </c>
      <c r="K593" s="2">
        <v>43530.94017361111</v>
      </c>
      <c r="L593" s="2">
        <v>43531.94017361111</v>
      </c>
      <c r="M593" s="1">
        <f>_xlfn.DAYS(Table1[[#This Row],[actual_delivery_date]],Table1[[#This Row],[dispatch_date]])</f>
        <v>2</v>
      </c>
      <c r="N593">
        <v>34</v>
      </c>
      <c r="O593">
        <f>Table1[[#This Row],[transit_storage_cost]] * (1-'What -if Analysis'!$D$26)</f>
        <v>34</v>
      </c>
      <c r="P593">
        <v>114</v>
      </c>
      <c r="Q593">
        <v>2214.7564255782513</v>
      </c>
    </row>
    <row r="594" spans="1:17" x14ac:dyDescent="0.3">
      <c r="A594">
        <v>561453</v>
      </c>
      <c r="B594" s="1" t="s">
        <v>40</v>
      </c>
      <c r="C594" s="1" t="s">
        <v>23</v>
      </c>
      <c r="D594" s="1" t="s">
        <v>23</v>
      </c>
      <c r="E594" s="1" t="s">
        <v>28</v>
      </c>
      <c r="F594" s="1" t="s">
        <v>29</v>
      </c>
      <c r="G594" s="1" t="s">
        <v>20</v>
      </c>
      <c r="H594" t="s">
        <v>30</v>
      </c>
      <c r="I594" s="1" t="s">
        <v>26</v>
      </c>
      <c r="J594" s="2">
        <v>43525.956435185188</v>
      </c>
      <c r="K594" s="2">
        <v>43530.956435185188</v>
      </c>
      <c r="L594" s="2">
        <v>43532.956435185188</v>
      </c>
      <c r="M594" s="1">
        <f>_xlfn.DAYS(Table1[[#This Row],[actual_delivery_date]],Table1[[#This Row],[dispatch_date]])</f>
        <v>5</v>
      </c>
      <c r="N594">
        <v>0</v>
      </c>
      <c r="O594">
        <f>Table1[[#This Row],[transit_storage_cost]] * (1-'What -if Analysis'!$D$26)</f>
        <v>0</v>
      </c>
      <c r="P594">
        <v>121</v>
      </c>
      <c r="Q594">
        <v>2319.6999999999998</v>
      </c>
    </row>
    <row r="595" spans="1:17" x14ac:dyDescent="0.3">
      <c r="A595">
        <v>892248</v>
      </c>
      <c r="B595" s="1" t="s">
        <v>38</v>
      </c>
      <c r="C595" s="1" t="s">
        <v>16</v>
      </c>
      <c r="D595" s="1" t="s">
        <v>17</v>
      </c>
      <c r="E595" s="1" t="s">
        <v>18</v>
      </c>
      <c r="F595" s="1" t="s">
        <v>19</v>
      </c>
      <c r="G595" s="1" t="s">
        <v>20</v>
      </c>
      <c r="H595" t="s">
        <v>21</v>
      </c>
      <c r="I595" s="1" t="s">
        <v>26</v>
      </c>
      <c r="J595" s="2">
        <v>43525.961458333331</v>
      </c>
      <c r="K595" s="2">
        <v>43530.961458333331</v>
      </c>
      <c r="L595" s="2">
        <v>43532.961458333331</v>
      </c>
      <c r="M595" s="1">
        <f>_xlfn.DAYS(Table1[[#This Row],[actual_delivery_date]],Table1[[#This Row],[dispatch_date]])</f>
        <v>5</v>
      </c>
      <c r="N595">
        <v>45</v>
      </c>
      <c r="O595">
        <f>Table1[[#This Row],[transit_storage_cost]] * (1-'What -if Analysis'!$D$26)</f>
        <v>45</v>
      </c>
      <c r="P595">
        <v>110</v>
      </c>
      <c r="Q595">
        <v>1394.16</v>
      </c>
    </row>
    <row r="596" spans="1:17" x14ac:dyDescent="0.3">
      <c r="A596">
        <v>192124</v>
      </c>
      <c r="B596" s="1" t="s">
        <v>40</v>
      </c>
      <c r="C596" s="1" t="s">
        <v>16</v>
      </c>
      <c r="D596" s="1" t="s">
        <v>16</v>
      </c>
      <c r="E596" s="1" t="s">
        <v>27</v>
      </c>
      <c r="F596" s="1" t="s">
        <v>19</v>
      </c>
      <c r="G596" s="1" t="s">
        <v>20</v>
      </c>
      <c r="H596" t="s">
        <v>21</v>
      </c>
      <c r="I596" s="1" t="s">
        <v>22</v>
      </c>
      <c r="J596" s="2">
        <v>43529.964050925926</v>
      </c>
      <c r="K596" s="2">
        <v>43530.964050925926</v>
      </c>
      <c r="L596" s="2">
        <v>43533.964050925926</v>
      </c>
      <c r="M596" s="1">
        <f>_xlfn.DAYS(Table1[[#This Row],[actual_delivery_date]],Table1[[#This Row],[dispatch_date]])</f>
        <v>1</v>
      </c>
      <c r="N596">
        <v>0</v>
      </c>
      <c r="O596">
        <f>Table1[[#This Row],[transit_storage_cost]] * (1-'What -if Analysis'!$D$26)</f>
        <v>0</v>
      </c>
      <c r="P596">
        <v>103</v>
      </c>
      <c r="Q596">
        <v>638.48481002584958</v>
      </c>
    </row>
    <row r="597" spans="1:17" x14ac:dyDescent="0.3">
      <c r="A597">
        <v>101292</v>
      </c>
      <c r="B597" s="1" t="s">
        <v>41</v>
      </c>
      <c r="C597" s="1" t="s">
        <v>23</v>
      </c>
      <c r="D597" s="1" t="s">
        <v>23</v>
      </c>
      <c r="E597" s="1" t="s">
        <v>28</v>
      </c>
      <c r="F597" s="1" t="s">
        <v>19</v>
      </c>
      <c r="G597" s="1" t="s">
        <v>20</v>
      </c>
      <c r="H597" t="s">
        <v>21</v>
      </c>
      <c r="I597" s="1" t="s">
        <v>26</v>
      </c>
      <c r="J597" s="2">
        <v>43526.993703703702</v>
      </c>
      <c r="K597" s="2">
        <v>43530.993703703702</v>
      </c>
      <c r="L597" s="2">
        <v>43530.993703703702</v>
      </c>
      <c r="M597" s="1">
        <f>_xlfn.DAYS(Table1[[#This Row],[actual_delivery_date]],Table1[[#This Row],[dispatch_date]])</f>
        <v>4</v>
      </c>
      <c r="N597">
        <v>0</v>
      </c>
      <c r="O597">
        <f>Table1[[#This Row],[transit_storage_cost]] * (1-'What -if Analysis'!$D$26)</f>
        <v>0</v>
      </c>
      <c r="P597">
        <v>108</v>
      </c>
      <c r="Q597">
        <v>1217.44</v>
      </c>
    </row>
    <row r="598" spans="1:17" x14ac:dyDescent="0.3">
      <c r="A598">
        <v>687978</v>
      </c>
      <c r="B598" s="1" t="s">
        <v>38</v>
      </c>
      <c r="C598" s="1" t="s">
        <v>16</v>
      </c>
      <c r="D598" s="1" t="s">
        <v>24</v>
      </c>
      <c r="E598" s="1" t="s">
        <v>25</v>
      </c>
      <c r="F598" s="1" t="s">
        <v>31</v>
      </c>
      <c r="G598" s="1" t="s">
        <v>20</v>
      </c>
      <c r="H598" t="s">
        <v>21</v>
      </c>
      <c r="I598" s="1" t="s">
        <v>26</v>
      </c>
      <c r="J598" s="2">
        <v>43525.99454861111</v>
      </c>
      <c r="K598" s="2">
        <v>43530.99454861111</v>
      </c>
      <c r="L598" s="2">
        <v>43528.99454861111</v>
      </c>
      <c r="M598" s="1">
        <f>_xlfn.DAYS(Table1[[#This Row],[actual_delivery_date]],Table1[[#This Row],[dispatch_date]])</f>
        <v>5</v>
      </c>
      <c r="N598">
        <v>37</v>
      </c>
      <c r="O598">
        <f>Table1[[#This Row],[transit_storage_cost]] * (1-'What -if Analysis'!$D$26)</f>
        <v>37</v>
      </c>
      <c r="P598">
        <v>123</v>
      </c>
      <c r="Q598">
        <v>3007.98</v>
      </c>
    </row>
    <row r="599" spans="1:17" x14ac:dyDescent="0.3">
      <c r="A599">
        <v>228840</v>
      </c>
      <c r="B599" s="1" t="s">
        <v>39</v>
      </c>
      <c r="C599" s="1" t="s">
        <v>16</v>
      </c>
      <c r="D599" s="1" t="s">
        <v>17</v>
      </c>
      <c r="E599" s="1" t="s">
        <v>18</v>
      </c>
      <c r="F599" s="1" t="s">
        <v>19</v>
      </c>
      <c r="G599" s="1" t="s">
        <v>20</v>
      </c>
      <c r="H599" t="s">
        <v>21</v>
      </c>
      <c r="I599" s="1" t="s">
        <v>26</v>
      </c>
      <c r="J599" s="2">
        <v>43525.998206018521</v>
      </c>
      <c r="K599" s="2">
        <v>43530.998206018521</v>
      </c>
      <c r="L599" s="2">
        <v>43532.998206018521</v>
      </c>
      <c r="M599" s="1">
        <f>_xlfn.DAYS(Table1[[#This Row],[actual_delivery_date]],Table1[[#This Row],[dispatch_date]])</f>
        <v>5</v>
      </c>
      <c r="N599">
        <v>82</v>
      </c>
      <c r="O599">
        <f>Table1[[#This Row],[transit_storage_cost]] * (1-'What -if Analysis'!$D$26)</f>
        <v>82</v>
      </c>
      <c r="P599">
        <v>87</v>
      </c>
      <c r="Q599">
        <v>2116.56</v>
      </c>
    </row>
    <row r="600" spans="1:17" x14ac:dyDescent="0.3">
      <c r="A600">
        <v>70870</v>
      </c>
      <c r="B600" s="1" t="s">
        <v>37</v>
      </c>
      <c r="C600" s="1" t="s">
        <v>23</v>
      </c>
      <c r="D600" s="1" t="s">
        <v>17</v>
      </c>
      <c r="E600" s="1" t="s">
        <v>18</v>
      </c>
      <c r="F600" s="1" t="s">
        <v>31</v>
      </c>
      <c r="G600" s="1" t="s">
        <v>20</v>
      </c>
      <c r="H600" t="s">
        <v>21</v>
      </c>
      <c r="I600" s="1" t="s">
        <v>22</v>
      </c>
      <c r="J600" s="2">
        <v>43525.004699074074</v>
      </c>
      <c r="K600" s="2">
        <v>43531.004699074074</v>
      </c>
      <c r="L600" s="2">
        <v>43530.004699074074</v>
      </c>
      <c r="M600" s="1">
        <f>_xlfn.DAYS(Table1[[#This Row],[actual_delivery_date]],Table1[[#This Row],[dispatch_date]])</f>
        <v>6</v>
      </c>
      <c r="N600">
        <v>35</v>
      </c>
      <c r="O600">
        <f>Table1[[#This Row],[transit_storage_cost]] * (1-'What -if Analysis'!$D$26)</f>
        <v>35</v>
      </c>
      <c r="P600">
        <v>114</v>
      </c>
      <c r="Q600">
        <v>2173.7416712076938</v>
      </c>
    </row>
    <row r="601" spans="1:17" x14ac:dyDescent="0.3">
      <c r="A601">
        <v>699988</v>
      </c>
      <c r="B601" s="1" t="s">
        <v>37</v>
      </c>
      <c r="C601" s="1" t="s">
        <v>23</v>
      </c>
      <c r="D601" s="1" t="s">
        <v>23</v>
      </c>
      <c r="E601" s="1" t="s">
        <v>28</v>
      </c>
      <c r="F601" s="1" t="s">
        <v>19</v>
      </c>
      <c r="G601" s="1" t="s">
        <v>20</v>
      </c>
      <c r="H601" t="s">
        <v>21</v>
      </c>
      <c r="I601" s="1" t="s">
        <v>22</v>
      </c>
      <c r="J601" s="2">
        <v>43530.007905092592</v>
      </c>
      <c r="K601" s="2">
        <v>43531.007905092592</v>
      </c>
      <c r="L601" s="2">
        <v>43534.007905092592</v>
      </c>
      <c r="M601" s="1">
        <f>_xlfn.DAYS(Table1[[#This Row],[actual_delivery_date]],Table1[[#This Row],[dispatch_date]])</f>
        <v>1</v>
      </c>
      <c r="N601">
        <v>0</v>
      </c>
      <c r="O601">
        <f>Table1[[#This Row],[transit_storage_cost]] * (1-'What -if Analysis'!$D$26)</f>
        <v>0</v>
      </c>
      <c r="P601">
        <v>103</v>
      </c>
      <c r="Q601">
        <v>363.27926241499779</v>
      </c>
    </row>
    <row r="602" spans="1:17" x14ac:dyDescent="0.3">
      <c r="A602">
        <v>719174</v>
      </c>
      <c r="B602" s="1" t="s">
        <v>38</v>
      </c>
      <c r="C602" s="1" t="s">
        <v>16</v>
      </c>
      <c r="D602" s="1" t="s">
        <v>32</v>
      </c>
      <c r="E602" s="1" t="s">
        <v>33</v>
      </c>
      <c r="F602" s="1" t="s">
        <v>31</v>
      </c>
      <c r="G602" s="1" t="s">
        <v>20</v>
      </c>
      <c r="H602" t="s">
        <v>21</v>
      </c>
      <c r="I602" s="1" t="s">
        <v>22</v>
      </c>
      <c r="J602" s="2">
        <v>43525.010023148148</v>
      </c>
      <c r="K602" s="2">
        <v>43531.010023148148</v>
      </c>
      <c r="L602" s="2">
        <v>43528.010023148148</v>
      </c>
      <c r="M602" s="1">
        <f>_xlfn.DAYS(Table1[[#This Row],[actual_delivery_date]],Table1[[#This Row],[dispatch_date]])</f>
        <v>6</v>
      </c>
      <c r="N602">
        <v>38</v>
      </c>
      <c r="O602">
        <f>Table1[[#This Row],[transit_storage_cost]] * (1-'What -if Analysis'!$D$26)</f>
        <v>38</v>
      </c>
      <c r="P602">
        <v>114</v>
      </c>
      <c r="Q602">
        <v>703.9813722719116</v>
      </c>
    </row>
    <row r="603" spans="1:17" x14ac:dyDescent="0.3">
      <c r="A603">
        <v>834888</v>
      </c>
      <c r="B603" s="1" t="s">
        <v>38</v>
      </c>
      <c r="C603" s="1" t="s">
        <v>16</v>
      </c>
      <c r="D603" s="1" t="s">
        <v>23</v>
      </c>
      <c r="E603" s="1" t="s">
        <v>28</v>
      </c>
      <c r="F603" s="1" t="s">
        <v>19</v>
      </c>
      <c r="G603" s="1" t="s">
        <v>20</v>
      </c>
      <c r="H603" t="s">
        <v>21</v>
      </c>
      <c r="I603" s="1" t="s">
        <v>26</v>
      </c>
      <c r="J603" s="2">
        <v>43529.013819444444</v>
      </c>
      <c r="K603" s="2">
        <v>43531.013819444444</v>
      </c>
      <c r="L603" s="2">
        <v>43536.013819444444</v>
      </c>
      <c r="M603" s="1">
        <f>_xlfn.DAYS(Table1[[#This Row],[actual_delivery_date]],Table1[[#This Row],[dispatch_date]])</f>
        <v>2</v>
      </c>
      <c r="N603">
        <v>35</v>
      </c>
      <c r="O603">
        <f>Table1[[#This Row],[transit_storage_cost]] * (1-'What -if Analysis'!$D$26)</f>
        <v>35</v>
      </c>
      <c r="P603">
        <v>129</v>
      </c>
      <c r="Q603">
        <v>2720.86</v>
      </c>
    </row>
    <row r="604" spans="1:17" x14ac:dyDescent="0.3">
      <c r="A604">
        <v>217738</v>
      </c>
      <c r="B604" s="1" t="s">
        <v>37</v>
      </c>
      <c r="C604" s="1" t="s">
        <v>16</v>
      </c>
      <c r="D604" s="1" t="s">
        <v>32</v>
      </c>
      <c r="E604" s="1" t="s">
        <v>33</v>
      </c>
      <c r="F604" s="1" t="s">
        <v>31</v>
      </c>
      <c r="G604" s="1" t="s">
        <v>20</v>
      </c>
      <c r="H604" t="s">
        <v>21</v>
      </c>
      <c r="I604" s="1" t="s">
        <v>22</v>
      </c>
      <c r="J604" s="2">
        <v>43525.014814814815</v>
      </c>
      <c r="K604" s="2">
        <v>43531.014814814815</v>
      </c>
      <c r="L604" s="2">
        <v>43532.014814814815</v>
      </c>
      <c r="M604" s="1">
        <f>_xlfn.DAYS(Table1[[#This Row],[actual_delivery_date]],Table1[[#This Row],[dispatch_date]])</f>
        <v>6</v>
      </c>
      <c r="N604">
        <v>50</v>
      </c>
      <c r="O604">
        <f>Table1[[#This Row],[transit_storage_cost]] * (1-'What -if Analysis'!$D$26)</f>
        <v>50</v>
      </c>
      <c r="P604">
        <v>109</v>
      </c>
      <c r="Q604">
        <v>2275.445908885516</v>
      </c>
    </row>
    <row r="605" spans="1:17" x14ac:dyDescent="0.3">
      <c r="A605">
        <v>972311</v>
      </c>
      <c r="B605" s="1" t="s">
        <v>37</v>
      </c>
      <c r="C605" s="1" t="s">
        <v>23</v>
      </c>
      <c r="D605" s="1" t="s">
        <v>23</v>
      </c>
      <c r="E605" s="1" t="s">
        <v>28</v>
      </c>
      <c r="F605" s="1" t="s">
        <v>29</v>
      </c>
      <c r="G605" s="1" t="s">
        <v>20</v>
      </c>
      <c r="H605" t="s">
        <v>30</v>
      </c>
      <c r="I605" s="1" t="s">
        <v>22</v>
      </c>
      <c r="J605" s="2">
        <v>43527.015868055554</v>
      </c>
      <c r="K605" s="2">
        <v>43531.015868055554</v>
      </c>
      <c r="L605" s="2">
        <v>43533.015868055554</v>
      </c>
      <c r="M605" s="1">
        <f>_xlfn.DAYS(Table1[[#This Row],[actual_delivery_date]],Table1[[#This Row],[dispatch_date]])</f>
        <v>4</v>
      </c>
      <c r="N605">
        <v>0</v>
      </c>
      <c r="O605">
        <f>Table1[[#This Row],[transit_storage_cost]] * (1-'What -if Analysis'!$D$26)</f>
        <v>0</v>
      </c>
      <c r="P605">
        <v>127</v>
      </c>
      <c r="Q605">
        <v>3226.226790553058</v>
      </c>
    </row>
    <row r="606" spans="1:17" x14ac:dyDescent="0.3">
      <c r="A606">
        <v>758074</v>
      </c>
      <c r="B606" s="1" t="s">
        <v>40</v>
      </c>
      <c r="C606" s="1" t="s">
        <v>16</v>
      </c>
      <c r="D606" s="1" t="s">
        <v>32</v>
      </c>
      <c r="E606" s="1" t="s">
        <v>33</v>
      </c>
      <c r="F606" s="1" t="s">
        <v>31</v>
      </c>
      <c r="G606" s="1" t="s">
        <v>20</v>
      </c>
      <c r="H606" t="s">
        <v>21</v>
      </c>
      <c r="I606" s="1" t="s">
        <v>22</v>
      </c>
      <c r="J606" s="2">
        <v>43529.019675925927</v>
      </c>
      <c r="K606" s="2">
        <v>43531.019675925927</v>
      </c>
      <c r="L606" s="2">
        <v>43535.019675925927</v>
      </c>
      <c r="M606" s="1">
        <f>_xlfn.DAYS(Table1[[#This Row],[actual_delivery_date]],Table1[[#This Row],[dispatch_date]])</f>
        <v>2</v>
      </c>
      <c r="N606">
        <v>31</v>
      </c>
      <c r="O606">
        <f>Table1[[#This Row],[transit_storage_cost]] * (1-'What -if Analysis'!$D$26)</f>
        <v>31</v>
      </c>
      <c r="P606">
        <v>115</v>
      </c>
      <c r="Q606">
        <v>596.35156067483854</v>
      </c>
    </row>
    <row r="607" spans="1:17" x14ac:dyDescent="0.3">
      <c r="A607">
        <v>137635</v>
      </c>
      <c r="B607" s="1" t="s">
        <v>40</v>
      </c>
      <c r="C607" s="1" t="s">
        <v>16</v>
      </c>
      <c r="D607" s="1" t="s">
        <v>16</v>
      </c>
      <c r="E607" s="1" t="s">
        <v>27</v>
      </c>
      <c r="F607" s="1" t="s">
        <v>29</v>
      </c>
      <c r="G607" s="1" t="s">
        <v>20</v>
      </c>
      <c r="H607" t="s">
        <v>30</v>
      </c>
      <c r="I607" s="1" t="s">
        <v>22</v>
      </c>
      <c r="J607" s="2">
        <v>43528.026354166665</v>
      </c>
      <c r="K607" s="2">
        <v>43531.026354166665</v>
      </c>
      <c r="L607" s="2">
        <v>43535.026354166665</v>
      </c>
      <c r="M607" s="1">
        <f>_xlfn.DAYS(Table1[[#This Row],[actual_delivery_date]],Table1[[#This Row],[dispatch_date]])</f>
        <v>3</v>
      </c>
      <c r="N607">
        <v>0</v>
      </c>
      <c r="O607">
        <f>Table1[[#This Row],[transit_storage_cost]] * (1-'What -if Analysis'!$D$26)</f>
        <v>0</v>
      </c>
      <c r="P607">
        <v>128</v>
      </c>
      <c r="Q607">
        <v>377.65077177559886</v>
      </c>
    </row>
    <row r="608" spans="1:17" x14ac:dyDescent="0.3">
      <c r="A608">
        <v>947345</v>
      </c>
      <c r="B608" s="1" t="s">
        <v>37</v>
      </c>
      <c r="C608" s="1" t="s">
        <v>16</v>
      </c>
      <c r="D608" s="1" t="s">
        <v>24</v>
      </c>
      <c r="E608" s="1" t="s">
        <v>25</v>
      </c>
      <c r="F608" s="1" t="s">
        <v>29</v>
      </c>
      <c r="G608" s="1" t="s">
        <v>20</v>
      </c>
      <c r="H608" t="s">
        <v>34</v>
      </c>
      <c r="I608" s="1" t="s">
        <v>22</v>
      </c>
      <c r="J608" s="2">
        <v>43529.033472222225</v>
      </c>
      <c r="K608" s="2">
        <v>43531.033472222225</v>
      </c>
      <c r="L608" s="2">
        <v>43534.033472222225</v>
      </c>
      <c r="M608" s="1">
        <f>_xlfn.DAYS(Table1[[#This Row],[actual_delivery_date]],Table1[[#This Row],[dispatch_date]])</f>
        <v>2</v>
      </c>
      <c r="N608">
        <v>48</v>
      </c>
      <c r="O608">
        <f>Table1[[#This Row],[transit_storage_cost]] * (1-'What -if Analysis'!$D$26)</f>
        <v>48</v>
      </c>
      <c r="P608">
        <v>130</v>
      </c>
      <c r="Q608">
        <v>1800.8516054616523</v>
      </c>
    </row>
    <row r="609" spans="1:17" x14ac:dyDescent="0.3">
      <c r="A609">
        <v>370011</v>
      </c>
      <c r="B609" s="1" t="s">
        <v>40</v>
      </c>
      <c r="C609" s="1" t="s">
        <v>16</v>
      </c>
      <c r="D609" s="1" t="s">
        <v>16</v>
      </c>
      <c r="E609" s="1" t="s">
        <v>27</v>
      </c>
      <c r="F609" s="1" t="s">
        <v>29</v>
      </c>
      <c r="G609" s="1" t="s">
        <v>20</v>
      </c>
      <c r="H609" t="s">
        <v>30</v>
      </c>
      <c r="I609" s="1" t="s">
        <v>26</v>
      </c>
      <c r="J609" s="2">
        <v>43529.035497685189</v>
      </c>
      <c r="K609" s="2">
        <v>43531.035497685189</v>
      </c>
      <c r="L609" s="2">
        <v>43534.035497685189</v>
      </c>
      <c r="M609" s="1">
        <f>_xlfn.DAYS(Table1[[#This Row],[actual_delivery_date]],Table1[[#This Row],[dispatch_date]])</f>
        <v>2</v>
      </c>
      <c r="N609">
        <v>0</v>
      </c>
      <c r="O609">
        <f>Table1[[#This Row],[transit_storage_cost]] * (1-'What -if Analysis'!$D$26)</f>
        <v>0</v>
      </c>
      <c r="P609">
        <v>127</v>
      </c>
      <c r="Q609">
        <v>1625.33</v>
      </c>
    </row>
    <row r="610" spans="1:17" x14ac:dyDescent="0.3">
      <c r="A610">
        <v>717941</v>
      </c>
      <c r="B610" s="1" t="s">
        <v>37</v>
      </c>
      <c r="C610" s="1" t="s">
        <v>23</v>
      </c>
      <c r="D610" s="1" t="s">
        <v>16</v>
      </c>
      <c r="E610" s="1" t="s">
        <v>27</v>
      </c>
      <c r="F610" s="1" t="s">
        <v>19</v>
      </c>
      <c r="G610" s="1" t="s">
        <v>36</v>
      </c>
      <c r="H610" t="s">
        <v>34</v>
      </c>
      <c r="I610" s="1" t="s">
        <v>22</v>
      </c>
      <c r="J610" s="2">
        <v>43526.039282407408</v>
      </c>
      <c r="K610" s="2">
        <v>43531.039282407408</v>
      </c>
      <c r="L610" s="2">
        <v>43529.039282407408</v>
      </c>
      <c r="M610" s="1">
        <f>_xlfn.DAYS(Table1[[#This Row],[actual_delivery_date]],Table1[[#This Row],[dispatch_date]])</f>
        <v>5</v>
      </c>
      <c r="N610">
        <v>74</v>
      </c>
      <c r="O610">
        <f>Table1[[#This Row],[transit_storage_cost]] * (1-'What -if Analysis'!$D$26)</f>
        <v>74</v>
      </c>
      <c r="P610">
        <v>102</v>
      </c>
      <c r="Q610">
        <v>2928.4456717349867</v>
      </c>
    </row>
    <row r="611" spans="1:17" x14ac:dyDescent="0.3">
      <c r="A611">
        <v>902586</v>
      </c>
      <c r="B611" s="1" t="s">
        <v>41</v>
      </c>
      <c r="C611" s="1" t="s">
        <v>23</v>
      </c>
      <c r="D611" s="1" t="s">
        <v>23</v>
      </c>
      <c r="E611" s="1" t="s">
        <v>28</v>
      </c>
      <c r="F611" s="1" t="s">
        <v>19</v>
      </c>
      <c r="G611" s="1" t="s">
        <v>20</v>
      </c>
      <c r="H611" t="s">
        <v>21</v>
      </c>
      <c r="I611" s="1" t="s">
        <v>26</v>
      </c>
      <c r="J611" s="2">
        <v>43527.040532407409</v>
      </c>
      <c r="K611" s="2">
        <v>43531.040532407409</v>
      </c>
      <c r="L611" s="2">
        <v>43531.040532407409</v>
      </c>
      <c r="M611" s="1">
        <f>_xlfn.DAYS(Table1[[#This Row],[actual_delivery_date]],Table1[[#This Row],[dispatch_date]])</f>
        <v>4</v>
      </c>
      <c r="N611">
        <v>0</v>
      </c>
      <c r="O611">
        <f>Table1[[#This Row],[transit_storage_cost]] * (1-'What -if Analysis'!$D$26)</f>
        <v>0</v>
      </c>
      <c r="P611">
        <v>107</v>
      </c>
      <c r="Q611">
        <v>3588.64</v>
      </c>
    </row>
    <row r="612" spans="1:17" x14ac:dyDescent="0.3">
      <c r="A612">
        <v>266726</v>
      </c>
      <c r="B612" s="1" t="s">
        <v>41</v>
      </c>
      <c r="C612" s="1" t="s">
        <v>16</v>
      </c>
      <c r="D612" s="1" t="s">
        <v>17</v>
      </c>
      <c r="E612" s="1" t="s">
        <v>18</v>
      </c>
      <c r="F612" s="1" t="s">
        <v>31</v>
      </c>
      <c r="G612" s="1" t="s">
        <v>20</v>
      </c>
      <c r="H612" t="s">
        <v>21</v>
      </c>
      <c r="I612" s="1" t="s">
        <v>22</v>
      </c>
      <c r="J612" s="2">
        <v>43527.041828703703</v>
      </c>
      <c r="K612" s="2">
        <v>43531.041828703703</v>
      </c>
      <c r="L612" s="2">
        <v>43531.041828703703</v>
      </c>
      <c r="M612" s="1">
        <f>_xlfn.DAYS(Table1[[#This Row],[actual_delivery_date]],Table1[[#This Row],[dispatch_date]])</f>
        <v>4</v>
      </c>
      <c r="N612">
        <v>49</v>
      </c>
      <c r="O612">
        <f>Table1[[#This Row],[transit_storage_cost]] * (1-'What -if Analysis'!$D$26)</f>
        <v>49</v>
      </c>
      <c r="P612">
        <v>113</v>
      </c>
      <c r="Q612">
        <v>728.9054213541234</v>
      </c>
    </row>
    <row r="613" spans="1:17" x14ac:dyDescent="0.3">
      <c r="A613">
        <v>522168</v>
      </c>
      <c r="B613" s="1" t="s">
        <v>41</v>
      </c>
      <c r="C613" s="1" t="s">
        <v>23</v>
      </c>
      <c r="D613" s="1" t="s">
        <v>32</v>
      </c>
      <c r="E613" s="1" t="s">
        <v>33</v>
      </c>
      <c r="F613" s="1" t="s">
        <v>19</v>
      </c>
      <c r="G613" s="1" t="s">
        <v>20</v>
      </c>
      <c r="H613" t="s">
        <v>21</v>
      </c>
      <c r="I613" s="1" t="s">
        <v>26</v>
      </c>
      <c r="J613" s="2">
        <v>43528.055891203701</v>
      </c>
      <c r="K613" s="2">
        <v>43531.055891203701</v>
      </c>
      <c r="L613" s="2">
        <v>43532.055891203701</v>
      </c>
      <c r="M613" s="1">
        <f>_xlfn.DAYS(Table1[[#This Row],[actual_delivery_date]],Table1[[#This Row],[dispatch_date]])</f>
        <v>3</v>
      </c>
      <c r="N613">
        <v>32</v>
      </c>
      <c r="O613">
        <f>Table1[[#This Row],[transit_storage_cost]] * (1-'What -if Analysis'!$D$26)</f>
        <v>32</v>
      </c>
      <c r="P613">
        <v>114</v>
      </c>
      <c r="Q613">
        <v>3296.49</v>
      </c>
    </row>
    <row r="614" spans="1:17" x14ac:dyDescent="0.3">
      <c r="A614">
        <v>434060</v>
      </c>
      <c r="B614" s="1" t="s">
        <v>37</v>
      </c>
      <c r="C614" s="1" t="s">
        <v>23</v>
      </c>
      <c r="D614" s="1" t="s">
        <v>17</v>
      </c>
      <c r="E614" s="1" t="s">
        <v>18</v>
      </c>
      <c r="F614" s="1" t="s">
        <v>19</v>
      </c>
      <c r="G614" s="1" t="s">
        <v>20</v>
      </c>
      <c r="H614" t="s">
        <v>21</v>
      </c>
      <c r="I614" s="1" t="s">
        <v>22</v>
      </c>
      <c r="J614" s="2">
        <v>43528.055937500001</v>
      </c>
      <c r="K614" s="2">
        <v>43531.055937500001</v>
      </c>
      <c r="L614" s="2">
        <v>43532.055937500001</v>
      </c>
      <c r="M614" s="1">
        <f>_xlfn.DAYS(Table1[[#This Row],[actual_delivery_date]],Table1[[#This Row],[dispatch_date]])</f>
        <v>3</v>
      </c>
      <c r="N614">
        <v>48</v>
      </c>
      <c r="O614">
        <f>Table1[[#This Row],[transit_storage_cost]] * (1-'What -if Analysis'!$D$26)</f>
        <v>48</v>
      </c>
      <c r="P614">
        <v>114</v>
      </c>
      <c r="Q614">
        <v>2380.5799566349197</v>
      </c>
    </row>
    <row r="615" spans="1:17" x14ac:dyDescent="0.3">
      <c r="A615">
        <v>552224</v>
      </c>
      <c r="B615" s="1" t="s">
        <v>15</v>
      </c>
      <c r="C615" s="1" t="s">
        <v>16</v>
      </c>
      <c r="D615" s="1" t="s">
        <v>17</v>
      </c>
      <c r="E615" s="1" t="s">
        <v>18</v>
      </c>
      <c r="F615" s="1" t="s">
        <v>19</v>
      </c>
      <c r="G615" s="1" t="s">
        <v>20</v>
      </c>
      <c r="H615" t="s">
        <v>21</v>
      </c>
      <c r="I615" s="1" t="s">
        <v>22</v>
      </c>
      <c r="J615" s="2">
        <v>43529.060104166667</v>
      </c>
      <c r="K615" s="2">
        <v>43531.060104166667</v>
      </c>
      <c r="L615" s="2">
        <v>43535.060104166667</v>
      </c>
      <c r="M615" s="1">
        <f>_xlfn.DAYS(Table1[[#This Row],[actual_delivery_date]],Table1[[#This Row],[dispatch_date]])</f>
        <v>2</v>
      </c>
      <c r="N615">
        <v>35</v>
      </c>
      <c r="O615">
        <f>Table1[[#This Row],[transit_storage_cost]] * (1-'What -if Analysis'!$D$26)</f>
        <v>35</v>
      </c>
      <c r="P615">
        <v>114</v>
      </c>
      <c r="Q615">
        <v>859.77472030749414</v>
      </c>
    </row>
    <row r="616" spans="1:17" x14ac:dyDescent="0.3">
      <c r="A616">
        <v>182042</v>
      </c>
      <c r="B616" s="1" t="s">
        <v>40</v>
      </c>
      <c r="C616" s="1" t="s">
        <v>23</v>
      </c>
      <c r="D616" s="1" t="s">
        <v>17</v>
      </c>
      <c r="E616" s="1" t="s">
        <v>18</v>
      </c>
      <c r="F616" s="1" t="s">
        <v>31</v>
      </c>
      <c r="G616" s="1" t="s">
        <v>20</v>
      </c>
      <c r="H616" t="s">
        <v>21</v>
      </c>
      <c r="I616" s="1" t="s">
        <v>22</v>
      </c>
      <c r="J616" s="2">
        <v>43526.062141203707</v>
      </c>
      <c r="K616" s="2">
        <v>43531.062141203707</v>
      </c>
      <c r="L616" s="2">
        <v>43530.062141203707</v>
      </c>
      <c r="M616" s="1">
        <f>_xlfn.DAYS(Table1[[#This Row],[actual_delivery_date]],Table1[[#This Row],[dispatch_date]])</f>
        <v>5</v>
      </c>
      <c r="N616">
        <v>27</v>
      </c>
      <c r="O616">
        <f>Table1[[#This Row],[transit_storage_cost]] * (1-'What -if Analysis'!$D$26)</f>
        <v>27</v>
      </c>
      <c r="P616">
        <v>112</v>
      </c>
      <c r="Q616">
        <v>1927.3862160887561</v>
      </c>
    </row>
    <row r="617" spans="1:17" x14ac:dyDescent="0.3">
      <c r="A617">
        <v>473330</v>
      </c>
      <c r="B617" s="1" t="s">
        <v>38</v>
      </c>
      <c r="C617" s="1" t="s">
        <v>23</v>
      </c>
      <c r="D617" s="1" t="s">
        <v>24</v>
      </c>
      <c r="E617" s="1" t="s">
        <v>25</v>
      </c>
      <c r="F617" s="1" t="s">
        <v>31</v>
      </c>
      <c r="G617" s="1" t="s">
        <v>20</v>
      </c>
      <c r="H617" t="s">
        <v>21</v>
      </c>
      <c r="I617" s="1" t="s">
        <v>22</v>
      </c>
      <c r="J617" s="2">
        <v>43529.062754629631</v>
      </c>
      <c r="K617" s="2">
        <v>43531.062754629631</v>
      </c>
      <c r="L617" s="2">
        <v>43532.062754629631</v>
      </c>
      <c r="M617" s="1">
        <f>_xlfn.DAYS(Table1[[#This Row],[actual_delivery_date]],Table1[[#This Row],[dispatch_date]])</f>
        <v>2</v>
      </c>
      <c r="N617">
        <v>31</v>
      </c>
      <c r="O617">
        <f>Table1[[#This Row],[transit_storage_cost]] * (1-'What -if Analysis'!$D$26)</f>
        <v>31</v>
      </c>
      <c r="P617">
        <v>126</v>
      </c>
      <c r="Q617">
        <v>2006.8989374123737</v>
      </c>
    </row>
    <row r="618" spans="1:17" x14ac:dyDescent="0.3">
      <c r="A618">
        <v>427670</v>
      </c>
      <c r="B618" s="1" t="s">
        <v>40</v>
      </c>
      <c r="C618" s="1" t="s">
        <v>23</v>
      </c>
      <c r="D618" s="1" t="s">
        <v>16</v>
      </c>
      <c r="E618" s="1" t="s">
        <v>27</v>
      </c>
      <c r="F618" s="1" t="s">
        <v>19</v>
      </c>
      <c r="G618" s="1" t="s">
        <v>20</v>
      </c>
      <c r="H618" t="s">
        <v>21</v>
      </c>
      <c r="I618" s="1" t="s">
        <v>22</v>
      </c>
      <c r="J618" s="2">
        <v>43529.07068287037</v>
      </c>
      <c r="K618" s="2">
        <v>43531.07068287037</v>
      </c>
      <c r="L618" s="2">
        <v>43533.07068287037</v>
      </c>
      <c r="M618" s="1">
        <f>_xlfn.DAYS(Table1[[#This Row],[actual_delivery_date]],Table1[[#This Row],[dispatch_date]])</f>
        <v>2</v>
      </c>
      <c r="N618">
        <v>70</v>
      </c>
      <c r="O618">
        <f>Table1[[#This Row],[transit_storage_cost]] * (1-'What -if Analysis'!$D$26)</f>
        <v>70</v>
      </c>
      <c r="P618">
        <v>106</v>
      </c>
      <c r="Q618">
        <v>3762.913591244258</v>
      </c>
    </row>
    <row r="619" spans="1:17" x14ac:dyDescent="0.3">
      <c r="A619">
        <v>403329</v>
      </c>
      <c r="B619" s="1" t="s">
        <v>41</v>
      </c>
      <c r="C619" s="1" t="s">
        <v>16</v>
      </c>
      <c r="D619" s="1" t="s">
        <v>16</v>
      </c>
      <c r="E619" s="1" t="s">
        <v>27</v>
      </c>
      <c r="F619" s="1" t="s">
        <v>29</v>
      </c>
      <c r="G619" s="1" t="s">
        <v>20</v>
      </c>
      <c r="H619" t="s">
        <v>30</v>
      </c>
      <c r="I619" s="1" t="s">
        <v>26</v>
      </c>
      <c r="J619" s="2">
        <v>43527.082858796297</v>
      </c>
      <c r="K619" s="2">
        <v>43531.082858796297</v>
      </c>
      <c r="L619" s="2">
        <v>43530.082858796297</v>
      </c>
      <c r="M619" s="1">
        <f>_xlfn.DAYS(Table1[[#This Row],[actual_delivery_date]],Table1[[#This Row],[dispatch_date]])</f>
        <v>4</v>
      </c>
      <c r="N619">
        <v>0</v>
      </c>
      <c r="O619">
        <f>Table1[[#This Row],[transit_storage_cost]] * (1-'What -if Analysis'!$D$26)</f>
        <v>0</v>
      </c>
      <c r="P619">
        <v>121</v>
      </c>
      <c r="Q619">
        <v>637.1</v>
      </c>
    </row>
    <row r="620" spans="1:17" x14ac:dyDescent="0.3">
      <c r="A620">
        <v>405469</v>
      </c>
      <c r="B620" s="1" t="s">
        <v>37</v>
      </c>
      <c r="C620" s="1" t="s">
        <v>16</v>
      </c>
      <c r="D620" s="1" t="s">
        <v>24</v>
      </c>
      <c r="E620" s="1" t="s">
        <v>25</v>
      </c>
      <c r="F620" s="1" t="s">
        <v>29</v>
      </c>
      <c r="G620" s="1" t="s">
        <v>20</v>
      </c>
      <c r="H620" t="s">
        <v>30</v>
      </c>
      <c r="I620" s="1" t="s">
        <v>22</v>
      </c>
      <c r="J620" s="2">
        <v>43525.084189814814</v>
      </c>
      <c r="K620" s="2">
        <v>43531.084189814814</v>
      </c>
      <c r="L620" s="2">
        <v>43531.084189814814</v>
      </c>
      <c r="M620" s="1">
        <f>_xlfn.DAYS(Table1[[#This Row],[actual_delivery_date]],Table1[[#This Row],[dispatch_date]])</f>
        <v>6</v>
      </c>
      <c r="N620">
        <v>32</v>
      </c>
      <c r="O620">
        <f>Table1[[#This Row],[transit_storage_cost]] * (1-'What -if Analysis'!$D$26)</f>
        <v>32</v>
      </c>
      <c r="P620">
        <v>126</v>
      </c>
      <c r="Q620">
        <v>3121.2332625429699</v>
      </c>
    </row>
    <row r="621" spans="1:17" x14ac:dyDescent="0.3">
      <c r="A621">
        <v>100345</v>
      </c>
      <c r="B621" s="1" t="s">
        <v>38</v>
      </c>
      <c r="C621" s="1" t="s">
        <v>16</v>
      </c>
      <c r="D621" s="1" t="s">
        <v>24</v>
      </c>
      <c r="E621" s="1" t="s">
        <v>25</v>
      </c>
      <c r="F621" s="1" t="s">
        <v>29</v>
      </c>
      <c r="G621" s="1" t="s">
        <v>20</v>
      </c>
      <c r="H621" t="s">
        <v>34</v>
      </c>
      <c r="I621" s="1" t="s">
        <v>22</v>
      </c>
      <c r="J621" s="2">
        <v>43529.097812499997</v>
      </c>
      <c r="K621" s="2">
        <v>43531.097812499997</v>
      </c>
      <c r="L621" s="2">
        <v>43535.097812499997</v>
      </c>
      <c r="M621" s="1">
        <f>_xlfn.DAYS(Table1[[#This Row],[actual_delivery_date]],Table1[[#This Row],[dispatch_date]])</f>
        <v>2</v>
      </c>
      <c r="N621">
        <v>49</v>
      </c>
      <c r="O621">
        <f>Table1[[#This Row],[transit_storage_cost]] * (1-'What -if Analysis'!$D$26)</f>
        <v>49</v>
      </c>
      <c r="P621">
        <v>124</v>
      </c>
      <c r="Q621">
        <v>3129.4541480175426</v>
      </c>
    </row>
    <row r="622" spans="1:17" x14ac:dyDescent="0.3">
      <c r="A622">
        <v>859146</v>
      </c>
      <c r="B622" s="1" t="s">
        <v>37</v>
      </c>
      <c r="C622" s="1" t="s">
        <v>16</v>
      </c>
      <c r="D622" s="1" t="s">
        <v>17</v>
      </c>
      <c r="E622" s="1" t="s">
        <v>18</v>
      </c>
      <c r="F622" s="1" t="s">
        <v>19</v>
      </c>
      <c r="G622" s="1" t="s">
        <v>20</v>
      </c>
      <c r="H622" t="s">
        <v>21</v>
      </c>
      <c r="I622" s="1" t="s">
        <v>26</v>
      </c>
      <c r="J622" s="2">
        <v>43529.09957175926</v>
      </c>
      <c r="K622" s="2">
        <v>43531.09957175926</v>
      </c>
      <c r="L622" s="2">
        <v>43534.09957175926</v>
      </c>
      <c r="M622" s="1">
        <f>_xlfn.DAYS(Table1[[#This Row],[actual_delivery_date]],Table1[[#This Row],[dispatch_date]])</f>
        <v>2</v>
      </c>
      <c r="N622">
        <v>57</v>
      </c>
      <c r="O622">
        <f>Table1[[#This Row],[transit_storage_cost]] * (1-'What -if Analysis'!$D$26)</f>
        <v>57</v>
      </c>
      <c r="P622">
        <v>90</v>
      </c>
      <c r="Q622">
        <v>2498.42</v>
      </c>
    </row>
    <row r="623" spans="1:17" x14ac:dyDescent="0.3">
      <c r="A623">
        <v>937514</v>
      </c>
      <c r="B623" s="1" t="s">
        <v>38</v>
      </c>
      <c r="C623" s="1" t="s">
        <v>23</v>
      </c>
      <c r="D623" s="1" t="s">
        <v>17</v>
      </c>
      <c r="E623" s="1" t="s">
        <v>18</v>
      </c>
      <c r="F623" s="1" t="s">
        <v>31</v>
      </c>
      <c r="G623" s="1" t="s">
        <v>36</v>
      </c>
      <c r="H623" t="s">
        <v>21</v>
      </c>
      <c r="I623" s="1" t="s">
        <v>22</v>
      </c>
      <c r="J623" s="2">
        <v>43527.103113425925</v>
      </c>
      <c r="K623" s="2">
        <v>43531.103113425925</v>
      </c>
      <c r="L623" s="2">
        <v>43532.103113425925</v>
      </c>
      <c r="M623" s="1">
        <f>_xlfn.DAYS(Table1[[#This Row],[actual_delivery_date]],Table1[[#This Row],[dispatch_date]])</f>
        <v>4</v>
      </c>
      <c r="N623">
        <v>47</v>
      </c>
      <c r="O623">
        <f>Table1[[#This Row],[transit_storage_cost]] * (1-'What -if Analysis'!$D$26)</f>
        <v>47</v>
      </c>
      <c r="P623">
        <v>109</v>
      </c>
      <c r="Q623">
        <v>2987</v>
      </c>
    </row>
    <row r="624" spans="1:17" x14ac:dyDescent="0.3">
      <c r="A624">
        <v>600660</v>
      </c>
      <c r="B624" s="1" t="s">
        <v>38</v>
      </c>
      <c r="C624" s="1" t="s">
        <v>16</v>
      </c>
      <c r="D624" s="1" t="s">
        <v>32</v>
      </c>
      <c r="E624" s="1" t="s">
        <v>33</v>
      </c>
      <c r="F624" s="1" t="s">
        <v>19</v>
      </c>
      <c r="G624" s="1" t="s">
        <v>20</v>
      </c>
      <c r="H624" t="s">
        <v>21</v>
      </c>
      <c r="I624" s="1" t="s">
        <v>26</v>
      </c>
      <c r="J624" s="2">
        <v>43525.103946759256</v>
      </c>
      <c r="K624" s="2">
        <v>43531.103946759256</v>
      </c>
      <c r="L624" s="2">
        <v>43530.103946759256</v>
      </c>
      <c r="M624" s="1">
        <f>_xlfn.DAYS(Table1[[#This Row],[actual_delivery_date]],Table1[[#This Row],[dispatch_date]])</f>
        <v>6</v>
      </c>
      <c r="N624">
        <v>37</v>
      </c>
      <c r="O624">
        <f>Table1[[#This Row],[transit_storage_cost]] * (1-'What -if Analysis'!$D$26)</f>
        <v>37</v>
      </c>
      <c r="P624">
        <v>108</v>
      </c>
      <c r="Q624">
        <v>2512.17</v>
      </c>
    </row>
    <row r="625" spans="1:17" x14ac:dyDescent="0.3">
      <c r="A625">
        <v>499441</v>
      </c>
      <c r="B625" s="1" t="s">
        <v>39</v>
      </c>
      <c r="C625" s="1" t="s">
        <v>23</v>
      </c>
      <c r="D625" s="1" t="s">
        <v>23</v>
      </c>
      <c r="E625" s="1" t="s">
        <v>28</v>
      </c>
      <c r="F625" s="1" t="s">
        <v>29</v>
      </c>
      <c r="G625" s="1" t="s">
        <v>20</v>
      </c>
      <c r="H625" t="s">
        <v>30</v>
      </c>
      <c r="I625" s="1" t="s">
        <v>22</v>
      </c>
      <c r="J625" s="2">
        <v>43531.107939814814</v>
      </c>
      <c r="K625" s="2">
        <v>43531.107939814814</v>
      </c>
      <c r="L625" s="2">
        <v>43534.107939814814</v>
      </c>
      <c r="M625" s="1">
        <f>_xlfn.DAYS(Table1[[#This Row],[actual_delivery_date]],Table1[[#This Row],[dispatch_date]])</f>
        <v>0</v>
      </c>
      <c r="N625">
        <v>0</v>
      </c>
      <c r="O625">
        <f>Table1[[#This Row],[transit_storage_cost]] * (1-'What -if Analysis'!$D$26)</f>
        <v>0</v>
      </c>
      <c r="P625">
        <v>126</v>
      </c>
      <c r="Q625">
        <v>744</v>
      </c>
    </row>
    <row r="626" spans="1:17" x14ac:dyDescent="0.3">
      <c r="A626">
        <v>605514</v>
      </c>
      <c r="B626" s="1" t="s">
        <v>41</v>
      </c>
      <c r="C626" s="1" t="s">
        <v>23</v>
      </c>
      <c r="D626" s="1" t="s">
        <v>24</v>
      </c>
      <c r="E626" s="1" t="s">
        <v>25</v>
      </c>
      <c r="F626" s="1" t="s">
        <v>31</v>
      </c>
      <c r="G626" s="1" t="s">
        <v>20</v>
      </c>
      <c r="H626" t="s">
        <v>21</v>
      </c>
      <c r="I626" s="1" t="s">
        <v>26</v>
      </c>
      <c r="J626" s="2">
        <v>43527.109363425923</v>
      </c>
      <c r="K626" s="2">
        <v>43531.109363425923</v>
      </c>
      <c r="L626" s="2">
        <v>43533.109363425923</v>
      </c>
      <c r="M626" s="1">
        <f>_xlfn.DAYS(Table1[[#This Row],[actual_delivery_date]],Table1[[#This Row],[dispatch_date]])</f>
        <v>4</v>
      </c>
      <c r="N626">
        <v>31</v>
      </c>
      <c r="O626">
        <f>Table1[[#This Row],[transit_storage_cost]] * (1-'What -if Analysis'!$D$26)</f>
        <v>31</v>
      </c>
      <c r="P626">
        <v>123</v>
      </c>
      <c r="Q626">
        <v>516.80999999999995</v>
      </c>
    </row>
    <row r="627" spans="1:17" x14ac:dyDescent="0.3">
      <c r="A627">
        <v>156670</v>
      </c>
      <c r="B627" s="1" t="s">
        <v>38</v>
      </c>
      <c r="C627" s="1" t="s">
        <v>23</v>
      </c>
      <c r="D627" s="1" t="s">
        <v>23</v>
      </c>
      <c r="E627" s="1" t="s">
        <v>28</v>
      </c>
      <c r="F627" s="1" t="s">
        <v>19</v>
      </c>
      <c r="G627" s="1" t="s">
        <v>20</v>
      </c>
      <c r="H627" t="s">
        <v>21</v>
      </c>
      <c r="I627" s="1" t="s">
        <v>22</v>
      </c>
      <c r="J627" s="2">
        <v>43526.110358796293</v>
      </c>
      <c r="K627" s="2">
        <v>43531.110358796293</v>
      </c>
      <c r="L627" s="2">
        <v>43529.110358796293</v>
      </c>
      <c r="M627" s="1">
        <f>_xlfn.DAYS(Table1[[#This Row],[actual_delivery_date]],Table1[[#This Row],[dispatch_date]])</f>
        <v>5</v>
      </c>
      <c r="N627">
        <v>0</v>
      </c>
      <c r="O627">
        <f>Table1[[#This Row],[transit_storage_cost]] * (1-'What -if Analysis'!$D$26)</f>
        <v>0</v>
      </c>
      <c r="P627">
        <v>105</v>
      </c>
      <c r="Q627">
        <v>1900.3467798298425</v>
      </c>
    </row>
    <row r="628" spans="1:17" x14ac:dyDescent="0.3">
      <c r="A628">
        <v>345158</v>
      </c>
      <c r="B628" s="1" t="s">
        <v>39</v>
      </c>
      <c r="C628" s="1" t="s">
        <v>23</v>
      </c>
      <c r="D628" s="1" t="s">
        <v>23</v>
      </c>
      <c r="E628" s="1" t="s">
        <v>28</v>
      </c>
      <c r="F628" s="1" t="s">
        <v>19</v>
      </c>
      <c r="G628" s="1" t="s">
        <v>20</v>
      </c>
      <c r="H628" t="s">
        <v>21</v>
      </c>
      <c r="I628" s="1" t="s">
        <v>22</v>
      </c>
      <c r="J628" s="2">
        <v>43526.116678240738</v>
      </c>
      <c r="K628" s="2">
        <v>43531.116678240738</v>
      </c>
      <c r="L628" s="2">
        <v>43531.116678240738</v>
      </c>
      <c r="M628" s="1">
        <f>_xlfn.DAYS(Table1[[#This Row],[actual_delivery_date]],Table1[[#This Row],[dispatch_date]])</f>
        <v>5</v>
      </c>
      <c r="N628">
        <v>0</v>
      </c>
      <c r="O628">
        <f>Table1[[#This Row],[transit_storage_cost]] * (1-'What -if Analysis'!$D$26)</f>
        <v>0</v>
      </c>
      <c r="P628">
        <v>106</v>
      </c>
      <c r="Q628">
        <v>281.49623784720774</v>
      </c>
    </row>
    <row r="629" spans="1:17" x14ac:dyDescent="0.3">
      <c r="A629">
        <v>973808</v>
      </c>
      <c r="B629" s="1" t="s">
        <v>41</v>
      </c>
      <c r="C629" s="1" t="s">
        <v>16</v>
      </c>
      <c r="D629" s="1" t="s">
        <v>23</v>
      </c>
      <c r="E629" s="1" t="s">
        <v>28</v>
      </c>
      <c r="F629" s="1" t="s">
        <v>19</v>
      </c>
      <c r="G629" s="1" t="s">
        <v>20</v>
      </c>
      <c r="H629" t="s">
        <v>21</v>
      </c>
      <c r="I629" s="1" t="s">
        <v>22</v>
      </c>
      <c r="J629" s="2">
        <v>43529.122754629629</v>
      </c>
      <c r="K629" s="2">
        <v>43531.122754629629</v>
      </c>
      <c r="L629" s="2">
        <v>43533.122754629629</v>
      </c>
      <c r="M629" s="1">
        <f>_xlfn.DAYS(Table1[[#This Row],[actual_delivery_date]],Table1[[#This Row],[dispatch_date]])</f>
        <v>2</v>
      </c>
      <c r="N629">
        <v>29</v>
      </c>
      <c r="O629">
        <f>Table1[[#This Row],[transit_storage_cost]] * (1-'What -if Analysis'!$D$26)</f>
        <v>29</v>
      </c>
      <c r="P629">
        <v>122</v>
      </c>
      <c r="Q629">
        <v>1942.0984134268499</v>
      </c>
    </row>
    <row r="630" spans="1:17" x14ac:dyDescent="0.3">
      <c r="A630">
        <v>257026</v>
      </c>
      <c r="B630" s="1" t="s">
        <v>38</v>
      </c>
      <c r="C630" s="1" t="s">
        <v>16</v>
      </c>
      <c r="D630" s="1" t="s">
        <v>23</v>
      </c>
      <c r="E630" s="1" t="s">
        <v>28</v>
      </c>
      <c r="F630" s="1" t="s">
        <v>19</v>
      </c>
      <c r="G630" s="1" t="s">
        <v>20</v>
      </c>
      <c r="H630" t="s">
        <v>21</v>
      </c>
      <c r="I630" s="1" t="s">
        <v>22</v>
      </c>
      <c r="J630" s="2">
        <v>43529.124826388892</v>
      </c>
      <c r="K630" s="2">
        <v>43531.124826388892</v>
      </c>
      <c r="L630" s="2">
        <v>43532.124826388892</v>
      </c>
      <c r="M630" s="1">
        <f>_xlfn.DAYS(Table1[[#This Row],[actual_delivery_date]],Table1[[#This Row],[dispatch_date]])</f>
        <v>2</v>
      </c>
      <c r="N630">
        <v>82</v>
      </c>
      <c r="O630">
        <f>Table1[[#This Row],[transit_storage_cost]] * (1-'What -if Analysis'!$D$26)</f>
        <v>82</v>
      </c>
      <c r="P630">
        <v>104</v>
      </c>
      <c r="Q630">
        <v>1004.928723584138</v>
      </c>
    </row>
    <row r="631" spans="1:17" x14ac:dyDescent="0.3">
      <c r="A631">
        <v>287295</v>
      </c>
      <c r="B631" s="1" t="s">
        <v>37</v>
      </c>
      <c r="C631" s="1" t="s">
        <v>23</v>
      </c>
      <c r="D631" s="1" t="s">
        <v>32</v>
      </c>
      <c r="E631" s="1" t="s">
        <v>33</v>
      </c>
      <c r="F631" s="1" t="s">
        <v>29</v>
      </c>
      <c r="G631" s="1" t="s">
        <v>20</v>
      </c>
      <c r="H631" t="s">
        <v>30</v>
      </c>
      <c r="I631" s="1" t="s">
        <v>26</v>
      </c>
      <c r="J631" s="2">
        <v>43529.126886574071</v>
      </c>
      <c r="K631" s="2">
        <v>43531.126886574071</v>
      </c>
      <c r="L631" s="2">
        <v>43532.126886574071</v>
      </c>
      <c r="M631" s="1">
        <f>_xlfn.DAYS(Table1[[#This Row],[actual_delivery_date]],Table1[[#This Row],[dispatch_date]])</f>
        <v>2</v>
      </c>
      <c r="N631">
        <v>29</v>
      </c>
      <c r="O631">
        <f>Table1[[#This Row],[transit_storage_cost]] * (1-'What -if Analysis'!$D$26)</f>
        <v>29</v>
      </c>
      <c r="P631">
        <v>109</v>
      </c>
      <c r="Q631">
        <v>1748.47</v>
      </c>
    </row>
    <row r="632" spans="1:17" x14ac:dyDescent="0.3">
      <c r="A632">
        <v>984089</v>
      </c>
      <c r="B632" s="1" t="s">
        <v>38</v>
      </c>
      <c r="C632" s="1" t="s">
        <v>16</v>
      </c>
      <c r="D632" s="1" t="s">
        <v>23</v>
      </c>
      <c r="E632" s="1" t="s">
        <v>28</v>
      </c>
      <c r="F632" s="1" t="s">
        <v>29</v>
      </c>
      <c r="G632" s="1" t="s">
        <v>20</v>
      </c>
      <c r="H632" t="s">
        <v>30</v>
      </c>
      <c r="I632" s="1" t="s">
        <v>22</v>
      </c>
      <c r="J632" s="2">
        <v>43525.136435185188</v>
      </c>
      <c r="K632" s="2">
        <v>43531.136435185188</v>
      </c>
      <c r="L632" s="2">
        <v>43532.136435185188</v>
      </c>
      <c r="M632" s="1">
        <f>_xlfn.DAYS(Table1[[#This Row],[actual_delivery_date]],Table1[[#This Row],[dispatch_date]])</f>
        <v>6</v>
      </c>
      <c r="N632">
        <v>50</v>
      </c>
      <c r="O632">
        <f>Table1[[#This Row],[transit_storage_cost]] * (1-'What -if Analysis'!$D$26)</f>
        <v>50</v>
      </c>
      <c r="P632">
        <v>123</v>
      </c>
      <c r="Q632">
        <v>1800.694927578802</v>
      </c>
    </row>
    <row r="633" spans="1:17" x14ac:dyDescent="0.3">
      <c r="A633">
        <v>720594</v>
      </c>
      <c r="B633" s="1" t="s">
        <v>39</v>
      </c>
      <c r="C633" s="1" t="s">
        <v>23</v>
      </c>
      <c r="D633" s="1" t="s">
        <v>16</v>
      </c>
      <c r="E633" s="1" t="s">
        <v>27</v>
      </c>
      <c r="F633" s="1" t="s">
        <v>31</v>
      </c>
      <c r="G633" s="1" t="s">
        <v>20</v>
      </c>
      <c r="H633" t="s">
        <v>21</v>
      </c>
      <c r="I633" s="1" t="s">
        <v>26</v>
      </c>
      <c r="J633" s="2">
        <v>43526.137499999997</v>
      </c>
      <c r="K633" s="2">
        <v>43531.137499999997</v>
      </c>
      <c r="L633" s="2">
        <v>43529.137499999997</v>
      </c>
      <c r="M633" s="1">
        <f>_xlfn.DAYS(Table1[[#This Row],[actual_delivery_date]],Table1[[#This Row],[dispatch_date]])</f>
        <v>5</v>
      </c>
      <c r="N633">
        <v>9999</v>
      </c>
      <c r="O633">
        <f>Table1[[#This Row],[transit_storage_cost]] * (1-'What -if Analysis'!$D$26)</f>
        <v>9999</v>
      </c>
      <c r="P633">
        <v>128</v>
      </c>
      <c r="Q633">
        <v>3228.69</v>
      </c>
    </row>
    <row r="634" spans="1:17" x14ac:dyDescent="0.3">
      <c r="A634">
        <v>492935</v>
      </c>
      <c r="B634" s="1" t="s">
        <v>38</v>
      </c>
      <c r="C634" s="1" t="s">
        <v>23</v>
      </c>
      <c r="D634" s="1" t="s">
        <v>24</v>
      </c>
      <c r="E634" s="1" t="s">
        <v>25</v>
      </c>
      <c r="F634" s="1" t="s">
        <v>29</v>
      </c>
      <c r="G634" s="1" t="s">
        <v>20</v>
      </c>
      <c r="H634" t="s">
        <v>30</v>
      </c>
      <c r="I634" s="1" t="s">
        <v>22</v>
      </c>
      <c r="J634" s="2">
        <v>43529.138553240744</v>
      </c>
      <c r="K634" s="2">
        <v>43531.138553240744</v>
      </c>
      <c r="L634" s="2">
        <v>43536.138553240744</v>
      </c>
      <c r="M634" s="1">
        <f>_xlfn.DAYS(Table1[[#This Row],[actual_delivery_date]],Table1[[#This Row],[dispatch_date]])</f>
        <v>2</v>
      </c>
      <c r="N634">
        <v>31</v>
      </c>
      <c r="O634">
        <f>Table1[[#This Row],[transit_storage_cost]] * (1-'What -if Analysis'!$D$26)</f>
        <v>31</v>
      </c>
      <c r="P634">
        <v>129</v>
      </c>
      <c r="Q634">
        <v>2796.9019773262085</v>
      </c>
    </row>
    <row r="635" spans="1:17" x14ac:dyDescent="0.3">
      <c r="A635">
        <v>59870</v>
      </c>
      <c r="B635" s="1" t="s">
        <v>40</v>
      </c>
      <c r="C635" s="1" t="s">
        <v>16</v>
      </c>
      <c r="D635" s="1" t="s">
        <v>32</v>
      </c>
      <c r="E635" s="1" t="s">
        <v>33</v>
      </c>
      <c r="F635" s="1" t="s">
        <v>31</v>
      </c>
      <c r="G635" s="1" t="s">
        <v>20</v>
      </c>
      <c r="H635" t="s">
        <v>21</v>
      </c>
      <c r="I635" s="1" t="s">
        <v>22</v>
      </c>
      <c r="J635" s="2">
        <v>43528.139189814814</v>
      </c>
      <c r="K635" s="2">
        <v>43531.139189814814</v>
      </c>
      <c r="L635" s="2">
        <v>43535.139189814814</v>
      </c>
      <c r="M635" s="1">
        <f>_xlfn.DAYS(Table1[[#This Row],[actual_delivery_date]],Table1[[#This Row],[dispatch_date]])</f>
        <v>3</v>
      </c>
      <c r="N635">
        <v>28</v>
      </c>
      <c r="O635">
        <f>Table1[[#This Row],[transit_storage_cost]] * (1-'What -if Analysis'!$D$26)</f>
        <v>28</v>
      </c>
      <c r="P635">
        <v>108</v>
      </c>
      <c r="Q635">
        <v>536.03523729342339</v>
      </c>
    </row>
    <row r="636" spans="1:17" x14ac:dyDescent="0.3">
      <c r="A636">
        <v>561370</v>
      </c>
      <c r="B636" s="1" t="s">
        <v>40</v>
      </c>
      <c r="C636" s="1" t="s">
        <v>16</v>
      </c>
      <c r="D636" s="1" t="s">
        <v>16</v>
      </c>
      <c r="E636" s="1" t="s">
        <v>27</v>
      </c>
      <c r="F636" s="1" t="s">
        <v>19</v>
      </c>
      <c r="G636" s="1" t="s">
        <v>20</v>
      </c>
      <c r="H636" t="s">
        <v>21</v>
      </c>
      <c r="I636" s="1" t="s">
        <v>22</v>
      </c>
      <c r="J636" s="2">
        <v>43531.145092592589</v>
      </c>
      <c r="K636" s="2">
        <v>43531.145092592589</v>
      </c>
      <c r="L636" s="2">
        <v>43535.145092592589</v>
      </c>
      <c r="M636" s="1">
        <f>_xlfn.DAYS(Table1[[#This Row],[actual_delivery_date]],Table1[[#This Row],[dispatch_date]])</f>
        <v>0</v>
      </c>
      <c r="N636">
        <v>0</v>
      </c>
      <c r="O636">
        <f>Table1[[#This Row],[transit_storage_cost]] * (1-'What -if Analysis'!$D$26)</f>
        <v>0</v>
      </c>
      <c r="P636">
        <v>102</v>
      </c>
      <c r="Q636">
        <v>2423.0240994639107</v>
      </c>
    </row>
    <row r="637" spans="1:17" x14ac:dyDescent="0.3">
      <c r="A637">
        <v>331111</v>
      </c>
      <c r="B637" s="1" t="s">
        <v>39</v>
      </c>
      <c r="C637" s="1" t="s">
        <v>16</v>
      </c>
      <c r="D637" s="1" t="s">
        <v>23</v>
      </c>
      <c r="E637" s="1" t="s">
        <v>28</v>
      </c>
      <c r="F637" s="1" t="s">
        <v>29</v>
      </c>
      <c r="G637" s="1" t="s">
        <v>20</v>
      </c>
      <c r="H637" t="s">
        <v>30</v>
      </c>
      <c r="I637" s="1" t="s">
        <v>22</v>
      </c>
      <c r="J637" s="2">
        <v>43525.151307870372</v>
      </c>
      <c r="K637" s="2">
        <v>43531.151307870372</v>
      </c>
      <c r="L637" s="2">
        <v>43532.151307870372</v>
      </c>
      <c r="M637" s="1">
        <f>_xlfn.DAYS(Table1[[#This Row],[actual_delivery_date]],Table1[[#This Row],[dispatch_date]])</f>
        <v>6</v>
      </c>
      <c r="N637">
        <v>26</v>
      </c>
      <c r="O637">
        <f>Table1[[#This Row],[transit_storage_cost]] * (1-'What -if Analysis'!$D$26)</f>
        <v>26</v>
      </c>
      <c r="P637">
        <v>121</v>
      </c>
      <c r="Q637">
        <v>921.8830540266182</v>
      </c>
    </row>
    <row r="638" spans="1:17" x14ac:dyDescent="0.3">
      <c r="A638">
        <v>770527</v>
      </c>
      <c r="B638" s="1" t="s">
        <v>41</v>
      </c>
      <c r="C638" s="1" t="s">
        <v>23</v>
      </c>
      <c r="D638" s="1" t="s">
        <v>24</v>
      </c>
      <c r="E638" s="1" t="s">
        <v>25</v>
      </c>
      <c r="F638" s="1" t="s">
        <v>29</v>
      </c>
      <c r="G638" s="1" t="s">
        <v>20</v>
      </c>
      <c r="H638" t="s">
        <v>30</v>
      </c>
      <c r="I638" s="1" t="s">
        <v>22</v>
      </c>
      <c r="J638" s="2">
        <v>43525.156354166669</v>
      </c>
      <c r="K638" s="2">
        <v>43531.156354166669</v>
      </c>
      <c r="L638" s="2">
        <v>43528.156354166669</v>
      </c>
      <c r="M638" s="1">
        <f>_xlfn.DAYS(Table1[[#This Row],[actual_delivery_date]],Table1[[#This Row],[dispatch_date]])</f>
        <v>6</v>
      </c>
      <c r="N638">
        <v>46</v>
      </c>
      <c r="O638">
        <f>Table1[[#This Row],[transit_storage_cost]] * (1-'What -if Analysis'!$D$26)</f>
        <v>46</v>
      </c>
      <c r="P638">
        <v>127</v>
      </c>
      <c r="Q638">
        <v>2863.6524107741066</v>
      </c>
    </row>
    <row r="639" spans="1:17" x14ac:dyDescent="0.3">
      <c r="A639">
        <v>857724</v>
      </c>
      <c r="B639" s="1" t="s">
        <v>38</v>
      </c>
      <c r="C639" s="1" t="s">
        <v>23</v>
      </c>
      <c r="D639" s="1" t="s">
        <v>17</v>
      </c>
      <c r="E639" s="1" t="s">
        <v>18</v>
      </c>
      <c r="F639" s="1" t="s">
        <v>19</v>
      </c>
      <c r="G639" s="1" t="s">
        <v>20</v>
      </c>
      <c r="H639" t="s">
        <v>21</v>
      </c>
      <c r="I639" s="1" t="s">
        <v>26</v>
      </c>
      <c r="J639" s="2">
        <v>43529.156736111108</v>
      </c>
      <c r="K639" s="2">
        <v>43531.156736111108</v>
      </c>
      <c r="L639" s="2">
        <v>43534.156736111108</v>
      </c>
      <c r="M639" s="1">
        <f>_xlfn.DAYS(Table1[[#This Row],[actual_delivery_date]],Table1[[#This Row],[dispatch_date]])</f>
        <v>2</v>
      </c>
      <c r="N639">
        <v>36</v>
      </c>
      <c r="O639">
        <f>Table1[[#This Row],[transit_storage_cost]] * (1-'What -if Analysis'!$D$26)</f>
        <v>36</v>
      </c>
      <c r="P639">
        <v>112</v>
      </c>
      <c r="Q639">
        <v>235.81</v>
      </c>
    </row>
    <row r="640" spans="1:17" x14ac:dyDescent="0.3">
      <c r="A640">
        <v>989044</v>
      </c>
      <c r="B640" s="1" t="s">
        <v>38</v>
      </c>
      <c r="C640" s="1" t="s">
        <v>16</v>
      </c>
      <c r="D640" s="1" t="s">
        <v>17</v>
      </c>
      <c r="E640" s="1" t="s">
        <v>18</v>
      </c>
      <c r="F640" s="1" t="s">
        <v>19</v>
      </c>
      <c r="G640" s="1" t="s">
        <v>20</v>
      </c>
      <c r="H640" t="s">
        <v>21</v>
      </c>
      <c r="I640" s="1" t="s">
        <v>22</v>
      </c>
      <c r="J640" s="2">
        <v>43529.157592592594</v>
      </c>
      <c r="K640" s="2">
        <v>43531.157592592594</v>
      </c>
      <c r="L640" s="2">
        <v>43534.157592592594</v>
      </c>
      <c r="M640" s="1">
        <f>_xlfn.DAYS(Table1[[#This Row],[actual_delivery_date]],Table1[[#This Row],[dispatch_date]])</f>
        <v>2</v>
      </c>
      <c r="N640">
        <v>65</v>
      </c>
      <c r="O640">
        <f>Table1[[#This Row],[transit_storage_cost]] * (1-'What -if Analysis'!$D$26)</f>
        <v>65</v>
      </c>
      <c r="P640">
        <v>93</v>
      </c>
      <c r="Q640">
        <v>2414.0871255270699</v>
      </c>
    </row>
    <row r="641" spans="1:17" x14ac:dyDescent="0.3">
      <c r="A641">
        <v>129787</v>
      </c>
      <c r="B641" s="1" t="s">
        <v>37</v>
      </c>
      <c r="C641" s="1" t="s">
        <v>23</v>
      </c>
      <c r="D641" s="1" t="s">
        <v>32</v>
      </c>
      <c r="E641" s="1" t="s">
        <v>33</v>
      </c>
      <c r="F641" s="1" t="s">
        <v>29</v>
      </c>
      <c r="G641" s="1" t="s">
        <v>20</v>
      </c>
      <c r="H641" t="s">
        <v>34</v>
      </c>
      <c r="I641" s="1" t="s">
        <v>22</v>
      </c>
      <c r="J641" s="2">
        <v>43529.159166666665</v>
      </c>
      <c r="K641" s="2">
        <v>43531.159166666665</v>
      </c>
      <c r="L641" s="2">
        <v>43532.159166666665</v>
      </c>
      <c r="M641" s="1">
        <f>_xlfn.DAYS(Table1[[#This Row],[actual_delivery_date]],Table1[[#This Row],[dispatch_date]])</f>
        <v>2</v>
      </c>
      <c r="N641">
        <v>42</v>
      </c>
      <c r="O641">
        <f>Table1[[#This Row],[transit_storage_cost]] * (1-'What -if Analysis'!$D$26)</f>
        <v>42</v>
      </c>
      <c r="P641">
        <v>108</v>
      </c>
      <c r="Q641">
        <v>1794.0563351420767</v>
      </c>
    </row>
    <row r="642" spans="1:17" x14ac:dyDescent="0.3">
      <c r="A642">
        <v>505374</v>
      </c>
      <c r="B642" s="1" t="s">
        <v>38</v>
      </c>
      <c r="C642" s="1" t="s">
        <v>23</v>
      </c>
      <c r="D642" s="1" t="s">
        <v>17</v>
      </c>
      <c r="E642" s="1" t="s">
        <v>18</v>
      </c>
      <c r="F642" s="1" t="s">
        <v>31</v>
      </c>
      <c r="G642" s="1" t="s">
        <v>20</v>
      </c>
      <c r="H642" t="s">
        <v>21</v>
      </c>
      <c r="I642" s="1" t="s">
        <v>26</v>
      </c>
      <c r="J642" s="2">
        <v>43527.159166666665</v>
      </c>
      <c r="K642" s="2">
        <v>43531.159166666665</v>
      </c>
      <c r="L642" s="2">
        <v>43530.159166666665</v>
      </c>
      <c r="M642" s="1">
        <f>_xlfn.DAYS(Table1[[#This Row],[actual_delivery_date]],Table1[[#This Row],[dispatch_date]])</f>
        <v>4</v>
      </c>
      <c r="N642">
        <v>40</v>
      </c>
      <c r="O642">
        <f>Table1[[#This Row],[transit_storage_cost]] * (1-'What -if Analysis'!$D$26)</f>
        <v>40</v>
      </c>
      <c r="P642">
        <v>110</v>
      </c>
      <c r="Q642">
        <v>2343.5300000000002</v>
      </c>
    </row>
    <row r="643" spans="1:17" x14ac:dyDescent="0.3">
      <c r="A643">
        <v>519182</v>
      </c>
      <c r="B643" s="1" t="s">
        <v>39</v>
      </c>
      <c r="C643" s="1" t="s">
        <v>23</v>
      </c>
      <c r="D643" s="1" t="s">
        <v>17</v>
      </c>
      <c r="E643" s="1" t="s">
        <v>18</v>
      </c>
      <c r="F643" s="1" t="s">
        <v>31</v>
      </c>
      <c r="G643" s="1" t="s">
        <v>20</v>
      </c>
      <c r="H643" t="s">
        <v>21</v>
      </c>
      <c r="I643" s="1" t="s">
        <v>22</v>
      </c>
      <c r="J643" s="2">
        <v>43526.171886574077</v>
      </c>
      <c r="K643" s="2">
        <v>43531.171886574077</v>
      </c>
      <c r="L643" s="2">
        <v>43533.171886574077</v>
      </c>
      <c r="M643" s="1">
        <f>_xlfn.DAYS(Table1[[#This Row],[actual_delivery_date]],Table1[[#This Row],[dispatch_date]])</f>
        <v>5</v>
      </c>
      <c r="N643">
        <v>31</v>
      </c>
      <c r="O643">
        <f>Table1[[#This Row],[transit_storage_cost]] * (1-'What -if Analysis'!$D$26)</f>
        <v>31</v>
      </c>
      <c r="P643">
        <v>111</v>
      </c>
      <c r="Q643">
        <v>1704.2376384427514</v>
      </c>
    </row>
    <row r="644" spans="1:17" x14ac:dyDescent="0.3">
      <c r="A644">
        <v>830554</v>
      </c>
      <c r="B644" s="1" t="s">
        <v>39</v>
      </c>
      <c r="C644" s="1" t="s">
        <v>16</v>
      </c>
      <c r="D644" s="1" t="s">
        <v>32</v>
      </c>
      <c r="E644" s="1" t="s">
        <v>33</v>
      </c>
      <c r="F644" s="1" t="s">
        <v>31</v>
      </c>
      <c r="G644" s="1" t="s">
        <v>20</v>
      </c>
      <c r="H644" t="s">
        <v>21</v>
      </c>
      <c r="I644" s="1" t="s">
        <v>22</v>
      </c>
      <c r="J644" s="2">
        <v>43529.183113425926</v>
      </c>
      <c r="K644" s="2">
        <v>43531.183113425926</v>
      </c>
      <c r="L644" s="2">
        <v>43536.183113425926</v>
      </c>
      <c r="M644" s="1">
        <f>_xlfn.DAYS(Table1[[#This Row],[actual_delivery_date]],Table1[[#This Row],[dispatch_date]])</f>
        <v>2</v>
      </c>
      <c r="N644">
        <v>36</v>
      </c>
      <c r="O644">
        <f>Table1[[#This Row],[transit_storage_cost]] * (1-'What -if Analysis'!$D$26)</f>
        <v>36</v>
      </c>
      <c r="P644">
        <v>105</v>
      </c>
      <c r="Q644">
        <v>580.09375319804872</v>
      </c>
    </row>
    <row r="645" spans="1:17" x14ac:dyDescent="0.3">
      <c r="A645">
        <v>676675</v>
      </c>
      <c r="B645" s="1" t="s">
        <v>39</v>
      </c>
      <c r="C645" s="1" t="s">
        <v>23</v>
      </c>
      <c r="D645" s="1" t="s">
        <v>23</v>
      </c>
      <c r="E645" s="1" t="s">
        <v>28</v>
      </c>
      <c r="F645" s="1" t="s">
        <v>29</v>
      </c>
      <c r="G645" s="1" t="s">
        <v>20</v>
      </c>
      <c r="H645" t="s">
        <v>30</v>
      </c>
      <c r="I645" s="1" t="s">
        <v>22</v>
      </c>
      <c r="J645" s="2">
        <v>43527.186215277776</v>
      </c>
      <c r="K645" s="2">
        <v>43531.186215277776</v>
      </c>
      <c r="L645" s="2">
        <v>43532.186215277776</v>
      </c>
      <c r="M645" s="1">
        <f>_xlfn.DAYS(Table1[[#This Row],[actual_delivery_date]],Table1[[#This Row],[dispatch_date]])</f>
        <v>4</v>
      </c>
      <c r="N645">
        <v>0</v>
      </c>
      <c r="O645">
        <f>Table1[[#This Row],[transit_storage_cost]] * (1-'What -if Analysis'!$D$26)</f>
        <v>0</v>
      </c>
      <c r="P645">
        <v>130</v>
      </c>
      <c r="Q645">
        <v>931.50280556583084</v>
      </c>
    </row>
    <row r="646" spans="1:17" x14ac:dyDescent="0.3">
      <c r="A646">
        <v>995482</v>
      </c>
      <c r="B646" s="1" t="s">
        <v>41</v>
      </c>
      <c r="C646" s="1" t="s">
        <v>16</v>
      </c>
      <c r="D646" s="1" t="s">
        <v>17</v>
      </c>
      <c r="E646" s="1" t="s">
        <v>18</v>
      </c>
      <c r="F646" s="1" t="s">
        <v>19</v>
      </c>
      <c r="G646" s="1" t="s">
        <v>20</v>
      </c>
      <c r="H646" t="s">
        <v>21</v>
      </c>
      <c r="I646" s="1" t="s">
        <v>22</v>
      </c>
      <c r="J646" s="2">
        <v>43529.186782407407</v>
      </c>
      <c r="K646" s="2">
        <v>43531.186782407407</v>
      </c>
      <c r="L646" s="2">
        <v>43536.186782407407</v>
      </c>
      <c r="M646" s="1">
        <f>_xlfn.DAYS(Table1[[#This Row],[actual_delivery_date]],Table1[[#This Row],[dispatch_date]])</f>
        <v>2</v>
      </c>
      <c r="N646">
        <v>70</v>
      </c>
      <c r="O646">
        <f>Table1[[#This Row],[transit_storage_cost]] * (1-'What -if Analysis'!$D$26)</f>
        <v>70</v>
      </c>
      <c r="P646">
        <v>89</v>
      </c>
      <c r="Q646">
        <v>3358.8638197673799</v>
      </c>
    </row>
    <row r="647" spans="1:17" x14ac:dyDescent="0.3">
      <c r="A647">
        <v>107165</v>
      </c>
      <c r="B647" s="1" t="s">
        <v>39</v>
      </c>
      <c r="C647" s="1" t="s">
        <v>23</v>
      </c>
      <c r="D647" s="1" t="s">
        <v>23</v>
      </c>
      <c r="E647" s="1" t="s">
        <v>28</v>
      </c>
      <c r="F647" s="1" t="s">
        <v>29</v>
      </c>
      <c r="G647" s="1" t="s">
        <v>20</v>
      </c>
      <c r="H647" t="s">
        <v>30</v>
      </c>
      <c r="I647" s="1" t="s">
        <v>22</v>
      </c>
      <c r="J647" s="2">
        <v>43531.196157407408</v>
      </c>
      <c r="K647" s="2">
        <v>43531.196157407408</v>
      </c>
      <c r="L647" s="2">
        <v>43537.196157407408</v>
      </c>
      <c r="M647" s="1">
        <f>_xlfn.DAYS(Table1[[#This Row],[actual_delivery_date]],Table1[[#This Row],[dispatch_date]])</f>
        <v>0</v>
      </c>
      <c r="N647">
        <v>0</v>
      </c>
      <c r="O647">
        <f>Table1[[#This Row],[transit_storage_cost]] * (1-'What -if Analysis'!$D$26)</f>
        <v>0</v>
      </c>
      <c r="P647">
        <v>121</v>
      </c>
      <c r="Q647">
        <v>2555.3837136830111</v>
      </c>
    </row>
    <row r="648" spans="1:17" x14ac:dyDescent="0.3">
      <c r="A648">
        <v>142443</v>
      </c>
      <c r="B648" s="1" t="s">
        <v>38</v>
      </c>
      <c r="C648" s="1" t="s">
        <v>23</v>
      </c>
      <c r="D648" s="1" t="s">
        <v>17</v>
      </c>
      <c r="E648" s="1" t="s">
        <v>18</v>
      </c>
      <c r="F648" s="1" t="s">
        <v>19</v>
      </c>
      <c r="G648" s="1" t="s">
        <v>20</v>
      </c>
      <c r="H648" t="s">
        <v>34</v>
      </c>
      <c r="I648" s="1" t="s">
        <v>26</v>
      </c>
      <c r="J648" s="2">
        <v>43527.197974537034</v>
      </c>
      <c r="K648" s="2">
        <v>43531.197974537034</v>
      </c>
      <c r="L648" s="2">
        <v>43534.197974537034</v>
      </c>
      <c r="M648" s="1">
        <f>_xlfn.DAYS(Table1[[#This Row],[actual_delivery_date]],Table1[[#This Row],[dispatch_date]])</f>
        <v>4</v>
      </c>
      <c r="N648">
        <v>73</v>
      </c>
      <c r="O648">
        <f>Table1[[#This Row],[transit_storage_cost]] * (1-'What -if Analysis'!$D$26)</f>
        <v>73</v>
      </c>
      <c r="P648">
        <v>91</v>
      </c>
      <c r="Q648">
        <v>3518.44</v>
      </c>
    </row>
    <row r="649" spans="1:17" x14ac:dyDescent="0.3">
      <c r="A649">
        <v>46145</v>
      </c>
      <c r="B649" s="1" t="s">
        <v>37</v>
      </c>
      <c r="C649" s="1" t="s">
        <v>23</v>
      </c>
      <c r="D649" s="1" t="s">
        <v>16</v>
      </c>
      <c r="E649" s="1" t="s">
        <v>27</v>
      </c>
      <c r="F649" s="1" t="s">
        <v>19</v>
      </c>
      <c r="G649" s="1" t="s">
        <v>20</v>
      </c>
      <c r="H649" t="s">
        <v>30</v>
      </c>
      <c r="I649" s="1" t="s">
        <v>22</v>
      </c>
      <c r="J649" s="2">
        <v>43526.211354166669</v>
      </c>
      <c r="K649" s="2">
        <v>43531.211354166669</v>
      </c>
      <c r="L649" s="2">
        <v>43529.211354166669</v>
      </c>
      <c r="M649" s="1">
        <f>_xlfn.DAYS(Table1[[#This Row],[actual_delivery_date]],Table1[[#This Row],[dispatch_date]])</f>
        <v>5</v>
      </c>
      <c r="N649">
        <v>66</v>
      </c>
      <c r="O649">
        <f>Table1[[#This Row],[transit_storage_cost]] * (1-'What -if Analysis'!$D$26)</f>
        <v>66</v>
      </c>
      <c r="P649">
        <v>103</v>
      </c>
      <c r="Q649">
        <v>851.41252300375982</v>
      </c>
    </row>
    <row r="650" spans="1:17" x14ac:dyDescent="0.3">
      <c r="A650">
        <v>630963</v>
      </c>
      <c r="B650" s="1" t="s">
        <v>38</v>
      </c>
      <c r="C650" s="1" t="s">
        <v>23</v>
      </c>
      <c r="D650" s="1" t="s">
        <v>23</v>
      </c>
      <c r="E650" s="1" t="s">
        <v>28</v>
      </c>
      <c r="F650" s="1" t="s">
        <v>29</v>
      </c>
      <c r="G650" s="1" t="s">
        <v>20</v>
      </c>
      <c r="H650" t="s">
        <v>30</v>
      </c>
      <c r="I650" s="1" t="s">
        <v>26</v>
      </c>
      <c r="J650" s="2">
        <v>43528.217245370368</v>
      </c>
      <c r="K650" s="2">
        <v>43531.217245370368</v>
      </c>
      <c r="L650" s="2">
        <v>43535.217245370368</v>
      </c>
      <c r="M650" s="1">
        <f>_xlfn.DAYS(Table1[[#This Row],[actual_delivery_date]],Table1[[#This Row],[dispatch_date]])</f>
        <v>3</v>
      </c>
      <c r="N650">
        <v>0</v>
      </c>
      <c r="O650">
        <f>Table1[[#This Row],[transit_storage_cost]] * (1-'What -if Analysis'!$D$26)</f>
        <v>0</v>
      </c>
      <c r="P650">
        <v>123</v>
      </c>
      <c r="Q650">
        <v>2747.15</v>
      </c>
    </row>
    <row r="651" spans="1:17" x14ac:dyDescent="0.3">
      <c r="A651">
        <v>253401</v>
      </c>
      <c r="B651" s="1" t="s">
        <v>38</v>
      </c>
      <c r="C651" s="1" t="s">
        <v>16</v>
      </c>
      <c r="D651" s="1" t="s">
        <v>16</v>
      </c>
      <c r="E651" s="1" t="s">
        <v>27</v>
      </c>
      <c r="F651" s="1" t="s">
        <v>29</v>
      </c>
      <c r="G651" s="1" t="s">
        <v>20</v>
      </c>
      <c r="H651" t="s">
        <v>30</v>
      </c>
      <c r="I651" s="1" t="s">
        <v>26</v>
      </c>
      <c r="J651" s="2">
        <v>43529.218831018516</v>
      </c>
      <c r="K651" s="2">
        <v>43531.218831018516</v>
      </c>
      <c r="L651" s="2">
        <v>43535.218831018516</v>
      </c>
      <c r="M651" s="1">
        <f>_xlfn.DAYS(Table1[[#This Row],[actual_delivery_date]],Table1[[#This Row],[dispatch_date]])</f>
        <v>2</v>
      </c>
      <c r="N651">
        <v>0</v>
      </c>
      <c r="O651">
        <f>Table1[[#This Row],[transit_storage_cost]] * (1-'What -if Analysis'!$D$26)</f>
        <v>0</v>
      </c>
      <c r="P651">
        <v>130</v>
      </c>
      <c r="Q651">
        <v>3320.96</v>
      </c>
    </row>
    <row r="652" spans="1:17" x14ac:dyDescent="0.3">
      <c r="A652">
        <v>304001</v>
      </c>
      <c r="B652" s="1" t="s">
        <v>15</v>
      </c>
      <c r="C652" s="1" t="s">
        <v>16</v>
      </c>
      <c r="D652" s="1" t="s">
        <v>23</v>
      </c>
      <c r="E652" s="1" t="s">
        <v>28</v>
      </c>
      <c r="F652" s="1" t="s">
        <v>29</v>
      </c>
      <c r="G652" s="1" t="s">
        <v>20</v>
      </c>
      <c r="H652" t="s">
        <v>30</v>
      </c>
      <c r="I652" s="1" t="s">
        <v>22</v>
      </c>
      <c r="J652" s="2">
        <v>43525.223287037035</v>
      </c>
      <c r="K652" s="2">
        <v>43531.223287037035</v>
      </c>
      <c r="L652" s="2">
        <v>43529.223287037035</v>
      </c>
      <c r="M652" s="1">
        <f>_xlfn.DAYS(Table1[[#This Row],[actual_delivery_date]],Table1[[#This Row],[dispatch_date]])</f>
        <v>6</v>
      </c>
      <c r="N652">
        <v>44</v>
      </c>
      <c r="O652">
        <f>Table1[[#This Row],[transit_storage_cost]] * (1-'What -if Analysis'!$D$26)</f>
        <v>44</v>
      </c>
      <c r="P652">
        <v>129</v>
      </c>
      <c r="Q652">
        <v>1372.8183208121052</v>
      </c>
    </row>
    <row r="653" spans="1:17" x14ac:dyDescent="0.3">
      <c r="A653">
        <v>601762</v>
      </c>
      <c r="B653" s="1" t="s">
        <v>40</v>
      </c>
      <c r="C653" s="1" t="s">
        <v>16</v>
      </c>
      <c r="D653" s="1" t="s">
        <v>23</v>
      </c>
      <c r="E653" s="1" t="s">
        <v>28</v>
      </c>
      <c r="F653" s="1" t="s">
        <v>19</v>
      </c>
      <c r="G653" s="1" t="s">
        <v>20</v>
      </c>
      <c r="H653" t="s">
        <v>21</v>
      </c>
      <c r="I653" s="1" t="s">
        <v>22</v>
      </c>
      <c r="J653" s="2">
        <v>43529.223611111112</v>
      </c>
      <c r="K653" s="2">
        <v>43531.223611111112</v>
      </c>
      <c r="L653" s="2">
        <v>43536.223611111112</v>
      </c>
      <c r="M653" s="1">
        <f>_xlfn.DAYS(Table1[[#This Row],[actual_delivery_date]],Table1[[#This Row],[dispatch_date]])</f>
        <v>2</v>
      </c>
      <c r="N653">
        <v>63</v>
      </c>
      <c r="O653">
        <f>Table1[[#This Row],[transit_storage_cost]] * (1-'What -if Analysis'!$D$26)</f>
        <v>63</v>
      </c>
      <c r="P653">
        <v>103</v>
      </c>
      <c r="Q653">
        <v>1323.0432236203374</v>
      </c>
    </row>
    <row r="654" spans="1:17" x14ac:dyDescent="0.3">
      <c r="A654">
        <v>619096</v>
      </c>
      <c r="B654" s="1" t="s">
        <v>39</v>
      </c>
      <c r="C654" s="1" t="s">
        <v>16</v>
      </c>
      <c r="D654" s="1" t="s">
        <v>32</v>
      </c>
      <c r="E654" s="1" t="s">
        <v>33</v>
      </c>
      <c r="F654" s="1" t="s">
        <v>19</v>
      </c>
      <c r="G654" s="1" t="s">
        <v>20</v>
      </c>
      <c r="H654" t="s">
        <v>21</v>
      </c>
      <c r="I654" s="1" t="s">
        <v>22</v>
      </c>
      <c r="J654" s="2">
        <v>43528.233287037037</v>
      </c>
      <c r="K654" s="2">
        <v>43531.233287037037</v>
      </c>
      <c r="L654" s="2">
        <v>43533.233287037037</v>
      </c>
      <c r="M654" s="1">
        <f>_xlfn.DAYS(Table1[[#This Row],[actual_delivery_date]],Table1[[#This Row],[dispatch_date]])</f>
        <v>3</v>
      </c>
      <c r="N654">
        <v>69</v>
      </c>
      <c r="O654">
        <f>Table1[[#This Row],[transit_storage_cost]] * (1-'What -if Analysis'!$D$26)</f>
        <v>69</v>
      </c>
      <c r="P654">
        <v>95</v>
      </c>
      <c r="Q654">
        <v>2832.7101518453178</v>
      </c>
    </row>
    <row r="655" spans="1:17" x14ac:dyDescent="0.3">
      <c r="A655">
        <v>561312</v>
      </c>
      <c r="B655" s="1" t="s">
        <v>38</v>
      </c>
      <c r="C655" s="1" t="s">
        <v>16</v>
      </c>
      <c r="D655" s="1" t="s">
        <v>23</v>
      </c>
      <c r="E655" s="1" t="s">
        <v>28</v>
      </c>
      <c r="F655" s="1" t="s">
        <v>19</v>
      </c>
      <c r="G655" s="1" t="s">
        <v>20</v>
      </c>
      <c r="H655" t="s">
        <v>21</v>
      </c>
      <c r="I655" s="1" t="s">
        <v>26</v>
      </c>
      <c r="J655" s="2">
        <v>43525.238206018519</v>
      </c>
      <c r="K655" s="2">
        <v>43531.238206018519</v>
      </c>
      <c r="L655" s="2">
        <v>43528.238206018519</v>
      </c>
      <c r="M655" s="1">
        <f>_xlfn.DAYS(Table1[[#This Row],[actual_delivery_date]],Table1[[#This Row],[dispatch_date]])</f>
        <v>6</v>
      </c>
      <c r="N655">
        <v>58</v>
      </c>
      <c r="O655">
        <f>Table1[[#This Row],[transit_storage_cost]] * (1-'What -if Analysis'!$D$26)</f>
        <v>58</v>
      </c>
      <c r="P655">
        <v>106</v>
      </c>
      <c r="Q655">
        <v>2552.2600000000002</v>
      </c>
    </row>
    <row r="656" spans="1:17" x14ac:dyDescent="0.3">
      <c r="A656">
        <v>804662</v>
      </c>
      <c r="B656" s="1" t="s">
        <v>38</v>
      </c>
      <c r="C656" s="1" t="s">
        <v>16</v>
      </c>
      <c r="D656" s="1" t="s">
        <v>17</v>
      </c>
      <c r="E656" s="1" t="s">
        <v>18</v>
      </c>
      <c r="F656" s="1" t="s">
        <v>19</v>
      </c>
      <c r="G656" s="1" t="s">
        <v>20</v>
      </c>
      <c r="H656" t="s">
        <v>21</v>
      </c>
      <c r="I656" s="1" t="s">
        <v>22</v>
      </c>
      <c r="J656" s="2">
        <v>43528.243217592593</v>
      </c>
      <c r="K656" s="2">
        <v>43531.243217592593</v>
      </c>
      <c r="L656" s="2">
        <v>43534.243217592593</v>
      </c>
      <c r="M656" s="1">
        <f>_xlfn.DAYS(Table1[[#This Row],[actual_delivery_date]],Table1[[#This Row],[dispatch_date]])</f>
        <v>3</v>
      </c>
      <c r="N656">
        <v>73</v>
      </c>
      <c r="O656">
        <f>Table1[[#This Row],[transit_storage_cost]] * (1-'What -if Analysis'!$D$26)</f>
        <v>73</v>
      </c>
      <c r="P656">
        <v>93</v>
      </c>
      <c r="Q656">
        <v>3656.6900543868578</v>
      </c>
    </row>
    <row r="657" spans="1:17" x14ac:dyDescent="0.3">
      <c r="A657">
        <v>970952</v>
      </c>
      <c r="B657" s="1" t="s">
        <v>37</v>
      </c>
      <c r="C657" s="1" t="s">
        <v>16</v>
      </c>
      <c r="D657" s="1" t="s">
        <v>16</v>
      </c>
      <c r="E657" s="1" t="s">
        <v>27</v>
      </c>
      <c r="F657" s="1" t="s">
        <v>19</v>
      </c>
      <c r="G657" s="1" t="s">
        <v>20</v>
      </c>
      <c r="H657" t="s">
        <v>21</v>
      </c>
      <c r="I657" s="1" t="s">
        <v>22</v>
      </c>
      <c r="J657" s="2">
        <v>43531.252453703702</v>
      </c>
      <c r="K657" s="2">
        <v>43531.252453703702</v>
      </c>
      <c r="L657" s="2">
        <v>43535.252453703702</v>
      </c>
      <c r="M657" s="1">
        <f>_xlfn.DAYS(Table1[[#This Row],[actual_delivery_date]],Table1[[#This Row],[dispatch_date]])</f>
        <v>0</v>
      </c>
      <c r="N657">
        <v>0</v>
      </c>
      <c r="O657">
        <f>Table1[[#This Row],[transit_storage_cost]] * (1-'What -if Analysis'!$D$26)</f>
        <v>0</v>
      </c>
      <c r="P657">
        <v>129</v>
      </c>
      <c r="Q657">
        <v>1943</v>
      </c>
    </row>
    <row r="658" spans="1:17" x14ac:dyDescent="0.3">
      <c r="A658">
        <v>652613</v>
      </c>
      <c r="B658" s="1" t="s">
        <v>15</v>
      </c>
      <c r="C658" s="1" t="s">
        <v>23</v>
      </c>
      <c r="D658" s="1" t="s">
        <v>16</v>
      </c>
      <c r="E658" s="1" t="s">
        <v>27</v>
      </c>
      <c r="F658" s="1" t="s">
        <v>19</v>
      </c>
      <c r="G658" s="1" t="s">
        <v>20</v>
      </c>
      <c r="H658" t="s">
        <v>30</v>
      </c>
      <c r="I658" s="1" t="s">
        <v>22</v>
      </c>
      <c r="J658" s="2">
        <v>43527.253831018519</v>
      </c>
      <c r="K658" s="2">
        <v>43531.253831018519</v>
      </c>
      <c r="L658" s="2">
        <v>43531.253831018519</v>
      </c>
      <c r="M658" s="1">
        <f>_xlfn.DAYS(Table1[[#This Row],[actual_delivery_date]],Table1[[#This Row],[dispatch_date]])</f>
        <v>4</v>
      </c>
      <c r="N658">
        <v>73</v>
      </c>
      <c r="O658">
        <f>Table1[[#This Row],[transit_storage_cost]] * (1-'What -if Analysis'!$D$26)</f>
        <v>73</v>
      </c>
      <c r="P658">
        <v>102</v>
      </c>
      <c r="Q658">
        <v>1297.2034263794917</v>
      </c>
    </row>
    <row r="659" spans="1:17" x14ac:dyDescent="0.3">
      <c r="A659">
        <v>5654</v>
      </c>
      <c r="B659" s="1" t="s">
        <v>37</v>
      </c>
      <c r="C659" s="1" t="s">
        <v>23</v>
      </c>
      <c r="D659" s="1" t="s">
        <v>16</v>
      </c>
      <c r="E659" s="1" t="s">
        <v>27</v>
      </c>
      <c r="F659" s="1" t="s">
        <v>19</v>
      </c>
      <c r="G659" s="1" t="s">
        <v>20</v>
      </c>
      <c r="H659" t="s">
        <v>21</v>
      </c>
      <c r="I659" s="1" t="s">
        <v>22</v>
      </c>
      <c r="J659" s="2">
        <v>43529.260451388887</v>
      </c>
      <c r="K659" s="2">
        <v>43531.260451388887</v>
      </c>
      <c r="L659" s="2">
        <v>43535.260451388887</v>
      </c>
      <c r="M659" s="1">
        <f>_xlfn.DAYS(Table1[[#This Row],[actual_delivery_date]],Table1[[#This Row],[dispatch_date]])</f>
        <v>2</v>
      </c>
      <c r="N659">
        <v>59</v>
      </c>
      <c r="O659">
        <f>Table1[[#This Row],[transit_storage_cost]] * (1-'What -if Analysis'!$D$26)</f>
        <v>59</v>
      </c>
      <c r="P659">
        <v>101</v>
      </c>
      <c r="Q659">
        <v>2245.7036233060894</v>
      </c>
    </row>
    <row r="660" spans="1:17" x14ac:dyDescent="0.3">
      <c r="A660">
        <v>92004</v>
      </c>
      <c r="B660" s="1" t="s">
        <v>38</v>
      </c>
      <c r="C660" s="1" t="s">
        <v>16</v>
      </c>
      <c r="D660" s="1" t="s">
        <v>23</v>
      </c>
      <c r="E660" s="1" t="s">
        <v>28</v>
      </c>
      <c r="F660" s="1" t="s">
        <v>19</v>
      </c>
      <c r="G660" s="1" t="s">
        <v>20</v>
      </c>
      <c r="H660" t="s">
        <v>21</v>
      </c>
      <c r="I660" s="1" t="s">
        <v>26</v>
      </c>
      <c r="J660" s="2">
        <v>43529.262615740743</v>
      </c>
      <c r="K660" s="2">
        <v>43531.262615740743</v>
      </c>
      <c r="L660" s="2">
        <v>43536.262615740743</v>
      </c>
      <c r="M660" s="1">
        <f>_xlfn.DAYS(Table1[[#This Row],[actual_delivery_date]],Table1[[#This Row],[dispatch_date]])</f>
        <v>2</v>
      </c>
      <c r="N660">
        <v>35</v>
      </c>
      <c r="O660">
        <f>Table1[[#This Row],[transit_storage_cost]] * (1-'What -if Analysis'!$D$26)</f>
        <v>35</v>
      </c>
      <c r="P660">
        <v>130</v>
      </c>
      <c r="Q660">
        <v>490.88</v>
      </c>
    </row>
    <row r="661" spans="1:17" x14ac:dyDescent="0.3">
      <c r="A661">
        <v>744030</v>
      </c>
      <c r="B661" s="1" t="s">
        <v>37</v>
      </c>
      <c r="C661" s="1" t="s">
        <v>23</v>
      </c>
      <c r="D661" s="1" t="s">
        <v>23</v>
      </c>
      <c r="E661" s="1" t="s">
        <v>28</v>
      </c>
      <c r="F661" s="1" t="s">
        <v>19</v>
      </c>
      <c r="G661" s="1" t="s">
        <v>20</v>
      </c>
      <c r="H661" t="s">
        <v>21</v>
      </c>
      <c r="I661" s="1" t="s">
        <v>26</v>
      </c>
      <c r="J661" s="2">
        <v>43531.26494212963</v>
      </c>
      <c r="K661" s="2">
        <v>43531.26494212963</v>
      </c>
      <c r="L661" s="2">
        <v>43537.26494212963</v>
      </c>
      <c r="M661" s="1">
        <f>_xlfn.DAYS(Table1[[#This Row],[actual_delivery_date]],Table1[[#This Row],[dispatch_date]])</f>
        <v>0</v>
      </c>
      <c r="N661">
        <v>0</v>
      </c>
      <c r="O661">
        <f>Table1[[#This Row],[transit_storage_cost]] * (1-'What -if Analysis'!$D$26)</f>
        <v>0</v>
      </c>
      <c r="P661">
        <v>108</v>
      </c>
      <c r="Q661">
        <v>2466.4348648118917</v>
      </c>
    </row>
    <row r="662" spans="1:17" x14ac:dyDescent="0.3">
      <c r="A662">
        <v>887088</v>
      </c>
      <c r="B662" s="1" t="s">
        <v>39</v>
      </c>
      <c r="C662" s="1" t="s">
        <v>16</v>
      </c>
      <c r="D662" s="1" t="s">
        <v>32</v>
      </c>
      <c r="E662" s="1" t="s">
        <v>33</v>
      </c>
      <c r="F662" s="1" t="s">
        <v>19</v>
      </c>
      <c r="G662" s="1" t="s">
        <v>20</v>
      </c>
      <c r="H662" t="s">
        <v>21</v>
      </c>
      <c r="I662" s="1" t="s">
        <v>26</v>
      </c>
      <c r="J662" s="2">
        <v>43525.266759259262</v>
      </c>
      <c r="K662" s="2">
        <v>43531.266759259262</v>
      </c>
      <c r="L662" s="2">
        <v>43528.266759259262</v>
      </c>
      <c r="M662" s="1">
        <f>_xlfn.DAYS(Table1[[#This Row],[actual_delivery_date]],Table1[[#This Row],[dispatch_date]])</f>
        <v>6</v>
      </c>
      <c r="N662">
        <v>47</v>
      </c>
      <c r="O662">
        <f>Table1[[#This Row],[transit_storage_cost]] * (1-'What -if Analysis'!$D$26)</f>
        <v>47</v>
      </c>
      <c r="P662">
        <v>111</v>
      </c>
      <c r="Q662">
        <v>708.3</v>
      </c>
    </row>
    <row r="663" spans="1:17" x14ac:dyDescent="0.3">
      <c r="A663">
        <v>571436</v>
      </c>
      <c r="B663" s="1" t="s">
        <v>41</v>
      </c>
      <c r="C663" s="1" t="s">
        <v>23</v>
      </c>
      <c r="D663" s="1" t="s">
        <v>17</v>
      </c>
      <c r="E663" s="1" t="s">
        <v>18</v>
      </c>
      <c r="F663" s="1" t="s">
        <v>19</v>
      </c>
      <c r="G663" s="1" t="s">
        <v>20</v>
      </c>
      <c r="H663" t="s">
        <v>21</v>
      </c>
      <c r="I663" s="1" t="s">
        <v>22</v>
      </c>
      <c r="J663" s="2">
        <v>43525.27070601852</v>
      </c>
      <c r="K663" s="2">
        <v>43531.27070601852</v>
      </c>
      <c r="L663" s="2">
        <v>43531.27070601852</v>
      </c>
      <c r="M663" s="1">
        <f>_xlfn.DAYS(Table1[[#This Row],[actual_delivery_date]],Table1[[#This Row],[dispatch_date]])</f>
        <v>6</v>
      </c>
      <c r="N663">
        <v>38</v>
      </c>
      <c r="O663">
        <f>Table1[[#This Row],[transit_storage_cost]] * (1-'What -if Analysis'!$D$26)</f>
        <v>38</v>
      </c>
      <c r="P663">
        <v>106</v>
      </c>
      <c r="Q663">
        <v>851.0926754746788</v>
      </c>
    </row>
    <row r="664" spans="1:17" x14ac:dyDescent="0.3">
      <c r="A664">
        <v>795472</v>
      </c>
      <c r="B664" s="1" t="s">
        <v>38</v>
      </c>
      <c r="C664" s="1" t="s">
        <v>16</v>
      </c>
      <c r="D664" s="1" t="s">
        <v>16</v>
      </c>
      <c r="E664" s="1" t="s">
        <v>27</v>
      </c>
      <c r="F664" s="1" t="s">
        <v>19</v>
      </c>
      <c r="G664" s="1" t="s">
        <v>36</v>
      </c>
      <c r="H664" t="s">
        <v>21</v>
      </c>
      <c r="I664" s="1" t="s">
        <v>22</v>
      </c>
      <c r="J664" s="2">
        <v>43528.270879629628</v>
      </c>
      <c r="K664" s="2">
        <v>43531.270879629628</v>
      </c>
      <c r="L664" s="2">
        <v>43535.270879629628</v>
      </c>
      <c r="M664" s="1">
        <f>_xlfn.DAYS(Table1[[#This Row],[actual_delivery_date]],Table1[[#This Row],[dispatch_date]])</f>
        <v>3</v>
      </c>
      <c r="N664">
        <v>0</v>
      </c>
      <c r="O664">
        <f>Table1[[#This Row],[transit_storage_cost]] * (1-'What -if Analysis'!$D$26)</f>
        <v>0</v>
      </c>
      <c r="P664">
        <v>127</v>
      </c>
      <c r="Q664">
        <v>2437</v>
      </c>
    </row>
    <row r="665" spans="1:17" x14ac:dyDescent="0.3">
      <c r="A665">
        <v>637543</v>
      </c>
      <c r="B665" s="1" t="s">
        <v>39</v>
      </c>
      <c r="C665" s="1" t="s">
        <v>16</v>
      </c>
      <c r="D665" s="1" t="s">
        <v>16</v>
      </c>
      <c r="E665" s="1" t="s">
        <v>27</v>
      </c>
      <c r="F665" s="1" t="s">
        <v>19</v>
      </c>
      <c r="G665" s="1" t="s">
        <v>20</v>
      </c>
      <c r="H665" t="s">
        <v>30</v>
      </c>
      <c r="I665" s="1" t="s">
        <v>22</v>
      </c>
      <c r="J665" s="2">
        <v>43529.271874999999</v>
      </c>
      <c r="K665" s="2">
        <v>43531.271874999999</v>
      </c>
      <c r="L665" s="2">
        <v>43536.271874999999</v>
      </c>
      <c r="M665" s="1">
        <f>_xlfn.DAYS(Table1[[#This Row],[actual_delivery_date]],Table1[[#This Row],[dispatch_date]])</f>
        <v>2</v>
      </c>
      <c r="N665">
        <v>0</v>
      </c>
      <c r="O665">
        <f>Table1[[#This Row],[transit_storage_cost]] * (1-'What -if Analysis'!$D$26)</f>
        <v>0</v>
      </c>
      <c r="P665">
        <v>109</v>
      </c>
      <c r="Q665">
        <v>1212.1079269171532</v>
      </c>
    </row>
    <row r="666" spans="1:17" x14ac:dyDescent="0.3">
      <c r="A666">
        <v>748948</v>
      </c>
      <c r="B666" s="1" t="s">
        <v>15</v>
      </c>
      <c r="C666" s="1" t="s">
        <v>16</v>
      </c>
      <c r="D666" s="1" t="s">
        <v>17</v>
      </c>
      <c r="E666" s="1" t="s">
        <v>18</v>
      </c>
      <c r="F666" s="1" t="s">
        <v>19</v>
      </c>
      <c r="G666" s="1" t="s">
        <v>36</v>
      </c>
      <c r="H666" t="s">
        <v>21</v>
      </c>
      <c r="I666" s="1" t="s">
        <v>22</v>
      </c>
      <c r="J666" s="2">
        <v>43528.274386574078</v>
      </c>
      <c r="K666" s="2">
        <v>43531.274386574078</v>
      </c>
      <c r="L666" s="2">
        <v>43532.274386574078</v>
      </c>
      <c r="M666" s="1">
        <f>_xlfn.DAYS(Table1[[#This Row],[actual_delivery_date]],Table1[[#This Row],[dispatch_date]])</f>
        <v>3</v>
      </c>
      <c r="N666">
        <v>27</v>
      </c>
      <c r="O666">
        <f>Table1[[#This Row],[transit_storage_cost]] * (1-'What -if Analysis'!$D$26)</f>
        <v>27</v>
      </c>
      <c r="P666">
        <v>113</v>
      </c>
      <c r="Q666">
        <v>1441.2137935817225</v>
      </c>
    </row>
    <row r="667" spans="1:17" x14ac:dyDescent="0.3">
      <c r="A667">
        <v>504954</v>
      </c>
      <c r="B667" s="1" t="s">
        <v>41</v>
      </c>
      <c r="C667" s="1" t="s">
        <v>16</v>
      </c>
      <c r="D667" s="1" t="s">
        <v>32</v>
      </c>
      <c r="E667" s="1" t="s">
        <v>33</v>
      </c>
      <c r="F667" s="1" t="s">
        <v>31</v>
      </c>
      <c r="G667" s="1" t="s">
        <v>20</v>
      </c>
      <c r="H667" t="s">
        <v>21</v>
      </c>
      <c r="I667" s="1" t="s">
        <v>26</v>
      </c>
      <c r="J667" s="2">
        <v>43528.274606481478</v>
      </c>
      <c r="K667" s="2">
        <v>43531.274606481478</v>
      </c>
      <c r="L667" s="2">
        <v>43532.274606481478</v>
      </c>
      <c r="M667" s="1">
        <f>_xlfn.DAYS(Table1[[#This Row],[actual_delivery_date]],Table1[[#This Row],[dispatch_date]])</f>
        <v>3</v>
      </c>
      <c r="N667">
        <v>43</v>
      </c>
      <c r="O667">
        <f>Table1[[#This Row],[transit_storage_cost]] * (1-'What -if Analysis'!$D$26)</f>
        <v>43</v>
      </c>
      <c r="P667">
        <v>107</v>
      </c>
      <c r="Q667">
        <v>2849.02</v>
      </c>
    </row>
    <row r="668" spans="1:17" x14ac:dyDescent="0.3">
      <c r="A668">
        <v>487385</v>
      </c>
      <c r="B668" s="1" t="s">
        <v>38</v>
      </c>
      <c r="C668" s="1" t="s">
        <v>16</v>
      </c>
      <c r="D668" s="1" t="s">
        <v>32</v>
      </c>
      <c r="E668" s="1" t="s">
        <v>33</v>
      </c>
      <c r="F668" s="1" t="s">
        <v>19</v>
      </c>
      <c r="G668" s="1" t="s">
        <v>20</v>
      </c>
      <c r="H668" t="s">
        <v>30</v>
      </c>
      <c r="I668" s="1" t="s">
        <v>22</v>
      </c>
      <c r="J668" s="2">
        <v>43528.277048611111</v>
      </c>
      <c r="K668" s="2">
        <v>43531.277048611111</v>
      </c>
      <c r="L668" s="2">
        <v>43531.277048611111</v>
      </c>
      <c r="M668" s="1">
        <f>_xlfn.DAYS(Table1[[#This Row],[actual_delivery_date]],Table1[[#This Row],[dispatch_date]])</f>
        <v>3</v>
      </c>
      <c r="N668">
        <v>67</v>
      </c>
      <c r="O668">
        <f>Table1[[#This Row],[transit_storage_cost]] * (1-'What -if Analysis'!$D$26)</f>
        <v>67</v>
      </c>
      <c r="P668">
        <v>92</v>
      </c>
      <c r="Q668">
        <v>3780.4388097447591</v>
      </c>
    </row>
    <row r="669" spans="1:17" x14ac:dyDescent="0.3">
      <c r="A669">
        <v>376307</v>
      </c>
      <c r="B669" s="1" t="s">
        <v>37</v>
      </c>
      <c r="C669" s="1" t="s">
        <v>16</v>
      </c>
      <c r="D669" s="1" t="s">
        <v>16</v>
      </c>
      <c r="E669" s="1" t="s">
        <v>27</v>
      </c>
      <c r="F669" s="1" t="s">
        <v>29</v>
      </c>
      <c r="G669" s="1" t="s">
        <v>20</v>
      </c>
      <c r="H669" t="s">
        <v>30</v>
      </c>
      <c r="I669" s="1" t="s">
        <v>22</v>
      </c>
      <c r="J669" s="2">
        <v>43527.27853009259</v>
      </c>
      <c r="K669" s="2">
        <v>43531.27853009259</v>
      </c>
      <c r="L669" s="2">
        <v>43530.27853009259</v>
      </c>
      <c r="M669" s="1">
        <f>_xlfn.DAYS(Table1[[#This Row],[actual_delivery_date]],Table1[[#This Row],[dispatch_date]])</f>
        <v>4</v>
      </c>
      <c r="N669">
        <v>0</v>
      </c>
      <c r="O669">
        <f>Table1[[#This Row],[transit_storage_cost]] * (1-'What -if Analysis'!$D$26)</f>
        <v>0</v>
      </c>
      <c r="P669">
        <v>129</v>
      </c>
      <c r="Q669">
        <v>3104.443732296128</v>
      </c>
    </row>
    <row r="670" spans="1:17" x14ac:dyDescent="0.3">
      <c r="A670">
        <v>553995</v>
      </c>
      <c r="B670" s="1" t="s">
        <v>39</v>
      </c>
      <c r="C670" s="1" t="s">
        <v>16</v>
      </c>
      <c r="D670" s="1" t="s">
        <v>17</v>
      </c>
      <c r="E670" s="1" t="s">
        <v>18</v>
      </c>
      <c r="F670" s="1" t="s">
        <v>19</v>
      </c>
      <c r="G670" s="1" t="s">
        <v>20</v>
      </c>
      <c r="H670" t="s">
        <v>30</v>
      </c>
      <c r="I670" s="1" t="s">
        <v>26</v>
      </c>
      <c r="J670" s="2">
        <v>43527.284618055557</v>
      </c>
      <c r="K670" s="2">
        <v>43531.284618055557</v>
      </c>
      <c r="L670" s="2">
        <v>43531.284618055557</v>
      </c>
      <c r="M670" s="1">
        <f>_xlfn.DAYS(Table1[[#This Row],[actual_delivery_date]],Table1[[#This Row],[dispatch_date]])</f>
        <v>4</v>
      </c>
      <c r="N670">
        <v>69</v>
      </c>
      <c r="O670">
        <f>Table1[[#This Row],[transit_storage_cost]] * (1-'What -if Analysis'!$D$26)</f>
        <v>69</v>
      </c>
      <c r="P670">
        <v>92</v>
      </c>
      <c r="Q670">
        <v>637.77</v>
      </c>
    </row>
    <row r="671" spans="1:17" x14ac:dyDescent="0.3">
      <c r="A671">
        <v>257892</v>
      </c>
      <c r="B671" s="1" t="s">
        <v>37</v>
      </c>
      <c r="C671" s="1" t="s">
        <v>16</v>
      </c>
      <c r="D671" s="1" t="s">
        <v>32</v>
      </c>
      <c r="E671" s="1" t="s">
        <v>33</v>
      </c>
      <c r="F671" s="1" t="s">
        <v>19</v>
      </c>
      <c r="G671" s="1" t="s">
        <v>20</v>
      </c>
      <c r="H671" t="s">
        <v>21</v>
      </c>
      <c r="I671" s="1" t="s">
        <v>26</v>
      </c>
      <c r="J671" s="2">
        <v>43527.286087962966</v>
      </c>
      <c r="K671" s="2">
        <v>43531.286087962966</v>
      </c>
      <c r="L671" s="2">
        <v>43530.286087962966</v>
      </c>
      <c r="M671" s="1">
        <f>_xlfn.DAYS(Table1[[#This Row],[actual_delivery_date]],Table1[[#This Row],[dispatch_date]])</f>
        <v>4</v>
      </c>
      <c r="N671">
        <v>41</v>
      </c>
      <c r="O671">
        <f>Table1[[#This Row],[transit_storage_cost]] * (1-'What -if Analysis'!$D$26)</f>
        <v>41</v>
      </c>
      <c r="P671">
        <v>107</v>
      </c>
      <c r="Q671">
        <v>1572.05</v>
      </c>
    </row>
    <row r="672" spans="1:17" x14ac:dyDescent="0.3">
      <c r="A672">
        <v>315566</v>
      </c>
      <c r="B672" s="1" t="s">
        <v>37</v>
      </c>
      <c r="C672" s="1" t="s">
        <v>23</v>
      </c>
      <c r="D672" s="1" t="s">
        <v>16</v>
      </c>
      <c r="E672" s="1" t="s">
        <v>27</v>
      </c>
      <c r="F672" s="1" t="s">
        <v>31</v>
      </c>
      <c r="G672" s="1" t="s">
        <v>20</v>
      </c>
      <c r="H672" t="s">
        <v>21</v>
      </c>
      <c r="I672" s="1" t="s">
        <v>22</v>
      </c>
      <c r="J672" s="2">
        <v>43526.286238425928</v>
      </c>
      <c r="K672" s="2">
        <v>43531.286238425928</v>
      </c>
      <c r="L672" s="2">
        <v>43531.286238425928</v>
      </c>
      <c r="M672" s="1">
        <f>_xlfn.DAYS(Table1[[#This Row],[actual_delivery_date]],Table1[[#This Row],[dispatch_date]])</f>
        <v>5</v>
      </c>
      <c r="N672">
        <v>46</v>
      </c>
      <c r="O672">
        <f>Table1[[#This Row],[transit_storage_cost]] * (1-'What -if Analysis'!$D$26)</f>
        <v>46</v>
      </c>
      <c r="P672">
        <v>129</v>
      </c>
      <c r="Q672">
        <v>1983.7920621527312</v>
      </c>
    </row>
    <row r="673" spans="1:17" x14ac:dyDescent="0.3">
      <c r="A673">
        <v>990642</v>
      </c>
      <c r="B673" s="1" t="s">
        <v>39</v>
      </c>
      <c r="C673" s="1" t="s">
        <v>16</v>
      </c>
      <c r="D673" s="1" t="s">
        <v>16</v>
      </c>
      <c r="E673" s="1" t="s">
        <v>27</v>
      </c>
      <c r="F673" s="1" t="s">
        <v>31</v>
      </c>
      <c r="G673" s="1" t="s">
        <v>20</v>
      </c>
      <c r="H673" t="s">
        <v>21</v>
      </c>
      <c r="I673" s="1" t="s">
        <v>26</v>
      </c>
      <c r="J673" s="2">
        <v>43530.289166666669</v>
      </c>
      <c r="K673" s="2">
        <v>43531.289166666669</v>
      </c>
      <c r="L673" s="2">
        <v>43535.289166666669</v>
      </c>
      <c r="M673" s="1">
        <f>_xlfn.DAYS(Table1[[#This Row],[actual_delivery_date]],Table1[[#This Row],[dispatch_date]])</f>
        <v>1</v>
      </c>
      <c r="N673">
        <v>0</v>
      </c>
      <c r="O673">
        <f>Table1[[#This Row],[transit_storage_cost]] * (1-'What -if Analysis'!$D$26)</f>
        <v>0</v>
      </c>
      <c r="P673">
        <v>128</v>
      </c>
      <c r="Q673">
        <v>885</v>
      </c>
    </row>
    <row r="674" spans="1:17" x14ac:dyDescent="0.3">
      <c r="A674">
        <v>277224</v>
      </c>
      <c r="B674" s="1" t="s">
        <v>38</v>
      </c>
      <c r="C674" s="1" t="s">
        <v>16</v>
      </c>
      <c r="D674" s="1" t="s">
        <v>32</v>
      </c>
      <c r="E674" s="1" t="s">
        <v>33</v>
      </c>
      <c r="F674" s="1" t="s">
        <v>19</v>
      </c>
      <c r="G674" s="1" t="s">
        <v>20</v>
      </c>
      <c r="H674" t="s">
        <v>21</v>
      </c>
      <c r="I674" s="1" t="s">
        <v>26</v>
      </c>
      <c r="J674" s="2">
        <v>43526.292569444442</v>
      </c>
      <c r="K674" s="2">
        <v>43531.292569444442</v>
      </c>
      <c r="L674" s="2">
        <v>43529.292569444442</v>
      </c>
      <c r="M674" s="1">
        <f>_xlfn.DAYS(Table1[[#This Row],[actual_delivery_date]],Table1[[#This Row],[dispatch_date]])</f>
        <v>5</v>
      </c>
      <c r="N674">
        <v>25</v>
      </c>
      <c r="O674">
        <f>Table1[[#This Row],[transit_storage_cost]] * (1-'What -if Analysis'!$D$26)</f>
        <v>25</v>
      </c>
      <c r="P674">
        <v>114</v>
      </c>
      <c r="Q674">
        <v>781.09</v>
      </c>
    </row>
    <row r="675" spans="1:17" x14ac:dyDescent="0.3">
      <c r="A675">
        <v>867459</v>
      </c>
      <c r="B675" s="1" t="s">
        <v>15</v>
      </c>
      <c r="C675" s="1" t="s">
        <v>16</v>
      </c>
      <c r="D675" s="1" t="s">
        <v>23</v>
      </c>
      <c r="E675" s="1" t="s">
        <v>28</v>
      </c>
      <c r="F675" s="1" t="s">
        <v>19</v>
      </c>
      <c r="G675" s="1" t="s">
        <v>20</v>
      </c>
      <c r="H675" t="s">
        <v>30</v>
      </c>
      <c r="I675" s="1" t="s">
        <v>26</v>
      </c>
      <c r="J675" s="2">
        <v>43529.302187499998</v>
      </c>
      <c r="K675" s="2">
        <v>43531.302187499998</v>
      </c>
      <c r="L675" s="2">
        <v>43532.302187499998</v>
      </c>
      <c r="M675" s="1">
        <f>_xlfn.DAYS(Table1[[#This Row],[actual_delivery_date]],Table1[[#This Row],[dispatch_date]])</f>
        <v>2</v>
      </c>
      <c r="N675">
        <v>84</v>
      </c>
      <c r="O675">
        <f>Table1[[#This Row],[transit_storage_cost]] * (1-'What -if Analysis'!$D$26)</f>
        <v>84</v>
      </c>
      <c r="P675">
        <v>105</v>
      </c>
      <c r="Q675">
        <v>2067.61</v>
      </c>
    </row>
    <row r="676" spans="1:17" x14ac:dyDescent="0.3">
      <c r="A676">
        <v>443611</v>
      </c>
      <c r="B676" s="1" t="s">
        <v>39</v>
      </c>
      <c r="C676" s="1" t="s">
        <v>16</v>
      </c>
      <c r="D676" s="1" t="s">
        <v>24</v>
      </c>
      <c r="E676" s="1" t="s">
        <v>25</v>
      </c>
      <c r="F676" s="1" t="s">
        <v>29</v>
      </c>
      <c r="G676" s="1" t="s">
        <v>20</v>
      </c>
      <c r="H676" t="s">
        <v>34</v>
      </c>
      <c r="I676" s="1" t="s">
        <v>22</v>
      </c>
      <c r="J676" s="2">
        <v>43529.307083333333</v>
      </c>
      <c r="K676" s="2">
        <v>43531.307083333333</v>
      </c>
      <c r="L676" s="2">
        <v>43534.307083333333</v>
      </c>
      <c r="M676" s="1">
        <f>_xlfn.DAYS(Table1[[#This Row],[actual_delivery_date]],Table1[[#This Row],[dispatch_date]])</f>
        <v>2</v>
      </c>
      <c r="N676">
        <v>37</v>
      </c>
      <c r="O676">
        <f>Table1[[#This Row],[transit_storage_cost]] * (1-'What -if Analysis'!$D$26)</f>
        <v>37</v>
      </c>
      <c r="P676">
        <v>126</v>
      </c>
      <c r="Q676">
        <v>3553.1398334143487</v>
      </c>
    </row>
    <row r="677" spans="1:17" x14ac:dyDescent="0.3">
      <c r="A677">
        <v>977110</v>
      </c>
      <c r="B677" s="1" t="s">
        <v>15</v>
      </c>
      <c r="C677" s="1" t="s">
        <v>16</v>
      </c>
      <c r="D677" s="1" t="s">
        <v>17</v>
      </c>
      <c r="E677" s="1" t="s">
        <v>18</v>
      </c>
      <c r="F677" s="1" t="s">
        <v>31</v>
      </c>
      <c r="G677" s="1" t="s">
        <v>20</v>
      </c>
      <c r="H677" t="s">
        <v>21</v>
      </c>
      <c r="I677" s="1" t="s">
        <v>22</v>
      </c>
      <c r="J677" s="2">
        <v>43528.311412037037</v>
      </c>
      <c r="K677" s="2">
        <v>43531.311412037037</v>
      </c>
      <c r="L677" s="2">
        <v>43535.311412037037</v>
      </c>
      <c r="M677" s="1">
        <f>_xlfn.DAYS(Table1[[#This Row],[actual_delivery_date]],Table1[[#This Row],[dispatch_date]])</f>
        <v>3</v>
      </c>
      <c r="N677">
        <v>45</v>
      </c>
      <c r="O677">
        <f>Table1[[#This Row],[transit_storage_cost]] * (1-'What -if Analysis'!$D$26)</f>
        <v>45</v>
      </c>
      <c r="P677">
        <v>114</v>
      </c>
      <c r="Q677">
        <v>2752.1454320637213</v>
      </c>
    </row>
    <row r="678" spans="1:17" x14ac:dyDescent="0.3">
      <c r="A678">
        <v>945904</v>
      </c>
      <c r="B678" s="1" t="s">
        <v>37</v>
      </c>
      <c r="C678" s="1" t="s">
        <v>16</v>
      </c>
      <c r="D678" s="1" t="s">
        <v>23</v>
      </c>
      <c r="E678" s="1" t="s">
        <v>28</v>
      </c>
      <c r="F678" s="1" t="s">
        <v>19</v>
      </c>
      <c r="G678" s="1" t="s">
        <v>20</v>
      </c>
      <c r="H678" t="s">
        <v>21</v>
      </c>
      <c r="I678" s="1" t="s">
        <v>22</v>
      </c>
      <c r="J678" s="2">
        <v>43527.311666666668</v>
      </c>
      <c r="K678" s="2">
        <v>43531.311666666668</v>
      </c>
      <c r="L678" s="2">
        <v>43531.311666666668</v>
      </c>
      <c r="M678" s="1">
        <f>_xlfn.DAYS(Table1[[#This Row],[actual_delivery_date]],Table1[[#This Row],[dispatch_date]])</f>
        <v>4</v>
      </c>
      <c r="N678">
        <v>62</v>
      </c>
      <c r="O678">
        <f>Table1[[#This Row],[transit_storage_cost]] * (1-'What -if Analysis'!$D$26)</f>
        <v>62</v>
      </c>
      <c r="P678">
        <v>106</v>
      </c>
      <c r="Q678">
        <v>2127.4573861791114</v>
      </c>
    </row>
    <row r="679" spans="1:17" x14ac:dyDescent="0.3">
      <c r="A679">
        <v>334648</v>
      </c>
      <c r="B679" s="1" t="s">
        <v>38</v>
      </c>
      <c r="C679" s="1" t="s">
        <v>16</v>
      </c>
      <c r="D679" s="1" t="s">
        <v>23</v>
      </c>
      <c r="E679" s="1" t="s">
        <v>28</v>
      </c>
      <c r="F679" s="1" t="s">
        <v>19</v>
      </c>
      <c r="G679" s="1" t="s">
        <v>20</v>
      </c>
      <c r="H679" t="s">
        <v>21</v>
      </c>
      <c r="I679" s="1" t="s">
        <v>22</v>
      </c>
      <c r="J679" s="2">
        <v>43529.320636574077</v>
      </c>
      <c r="K679" s="2">
        <v>43531.320636574077</v>
      </c>
      <c r="L679" s="2">
        <v>43532.320636574077</v>
      </c>
      <c r="M679" s="1">
        <f>_xlfn.DAYS(Table1[[#This Row],[actual_delivery_date]],Table1[[#This Row],[dispatch_date]])</f>
        <v>2</v>
      </c>
      <c r="N679">
        <v>48</v>
      </c>
      <c r="O679">
        <f>Table1[[#This Row],[transit_storage_cost]] * (1-'What -if Analysis'!$D$26)</f>
        <v>48</v>
      </c>
      <c r="P679">
        <v>124</v>
      </c>
      <c r="Q679">
        <v>884.68390279538994</v>
      </c>
    </row>
    <row r="680" spans="1:17" x14ac:dyDescent="0.3">
      <c r="A680">
        <v>7508</v>
      </c>
      <c r="B680" s="1" t="s">
        <v>39</v>
      </c>
      <c r="C680" s="1" t="s">
        <v>16</v>
      </c>
      <c r="D680" s="1" t="s">
        <v>16</v>
      </c>
      <c r="E680" s="1" t="s">
        <v>27</v>
      </c>
      <c r="F680" s="1" t="s">
        <v>19</v>
      </c>
      <c r="G680" s="1" t="s">
        <v>20</v>
      </c>
      <c r="H680" t="s">
        <v>21</v>
      </c>
      <c r="I680" s="1" t="s">
        <v>22</v>
      </c>
      <c r="J680" s="2">
        <v>43527.320636574077</v>
      </c>
      <c r="K680" s="2">
        <v>43531.320636574077</v>
      </c>
      <c r="L680" s="2">
        <v>43530.320636574077</v>
      </c>
      <c r="M680" s="1">
        <f>_xlfn.DAYS(Table1[[#This Row],[actual_delivery_date]],Table1[[#This Row],[dispatch_date]])</f>
        <v>4</v>
      </c>
      <c r="N680">
        <v>0</v>
      </c>
      <c r="O680">
        <f>Table1[[#This Row],[transit_storage_cost]] * (1-'What -if Analysis'!$D$26)</f>
        <v>0</v>
      </c>
      <c r="P680">
        <v>107</v>
      </c>
      <c r="Q680">
        <v>2426.9212374600688</v>
      </c>
    </row>
    <row r="681" spans="1:17" x14ac:dyDescent="0.3">
      <c r="A681">
        <v>938228</v>
      </c>
      <c r="B681" s="1" t="s">
        <v>39</v>
      </c>
      <c r="C681" s="1" t="s">
        <v>16</v>
      </c>
      <c r="D681" s="1" t="s">
        <v>16</v>
      </c>
      <c r="E681" s="1" t="s">
        <v>27</v>
      </c>
      <c r="F681" s="1" t="s">
        <v>19</v>
      </c>
      <c r="G681" s="1" t="s">
        <v>20</v>
      </c>
      <c r="H681" t="s">
        <v>21</v>
      </c>
      <c r="I681" s="1" t="s">
        <v>22</v>
      </c>
      <c r="J681" s="2">
        <v>43531.321782407409</v>
      </c>
      <c r="K681" s="2">
        <v>43531.321782407409</v>
      </c>
      <c r="L681" s="2">
        <v>43537.321782407409</v>
      </c>
      <c r="M681" s="1">
        <f>_xlfn.DAYS(Table1[[#This Row],[actual_delivery_date]],Table1[[#This Row],[dispatch_date]])</f>
        <v>0</v>
      </c>
      <c r="N681">
        <v>0</v>
      </c>
      <c r="O681">
        <f>Table1[[#This Row],[transit_storage_cost]] * (1-'What -if Analysis'!$D$26)</f>
        <v>0</v>
      </c>
      <c r="P681">
        <v>123</v>
      </c>
      <c r="Q681">
        <v>1577.6698667268131</v>
      </c>
    </row>
    <row r="682" spans="1:17" x14ac:dyDescent="0.3">
      <c r="A682">
        <v>509770</v>
      </c>
      <c r="B682" s="1" t="s">
        <v>38</v>
      </c>
      <c r="C682" s="1" t="s">
        <v>23</v>
      </c>
      <c r="D682" s="1" t="s">
        <v>32</v>
      </c>
      <c r="E682" s="1" t="s">
        <v>33</v>
      </c>
      <c r="F682" s="1" t="s">
        <v>31</v>
      </c>
      <c r="G682" s="1" t="s">
        <v>20</v>
      </c>
      <c r="H682" t="s">
        <v>21</v>
      </c>
      <c r="I682" s="1" t="s">
        <v>22</v>
      </c>
      <c r="J682" s="2">
        <v>43526.325914351852</v>
      </c>
      <c r="K682" s="2">
        <v>43531.325914351852</v>
      </c>
      <c r="L682" s="2">
        <v>43531.325914351852</v>
      </c>
      <c r="M682" s="1">
        <f>_xlfn.DAYS(Table1[[#This Row],[actual_delivery_date]],Table1[[#This Row],[dispatch_date]])</f>
        <v>5</v>
      </c>
      <c r="N682">
        <v>47</v>
      </c>
      <c r="O682">
        <f>Table1[[#This Row],[transit_storage_cost]] * (1-'What -if Analysis'!$D$26)</f>
        <v>47</v>
      </c>
      <c r="P682">
        <v>112</v>
      </c>
      <c r="Q682">
        <v>1751.8925663924506</v>
      </c>
    </row>
    <row r="683" spans="1:17" x14ac:dyDescent="0.3">
      <c r="A683">
        <v>178766</v>
      </c>
      <c r="B683" s="1" t="s">
        <v>37</v>
      </c>
      <c r="C683" s="1" t="s">
        <v>16</v>
      </c>
      <c r="D683" s="1" t="s">
        <v>24</v>
      </c>
      <c r="E683" s="1" t="s">
        <v>25</v>
      </c>
      <c r="F683" s="1" t="s">
        <v>31</v>
      </c>
      <c r="G683" s="1" t="s">
        <v>20</v>
      </c>
      <c r="H683" t="s">
        <v>21</v>
      </c>
      <c r="I683" s="1" t="s">
        <v>22</v>
      </c>
      <c r="J683" s="2">
        <v>43528.346956018519</v>
      </c>
      <c r="K683" s="2">
        <v>43531.346956018519</v>
      </c>
      <c r="L683" s="2">
        <v>43533.346956018519</v>
      </c>
      <c r="M683" s="1">
        <f>_xlfn.DAYS(Table1[[#This Row],[actual_delivery_date]],Table1[[#This Row],[dispatch_date]])</f>
        <v>3</v>
      </c>
      <c r="N683">
        <v>40</v>
      </c>
      <c r="O683">
        <f>Table1[[#This Row],[transit_storage_cost]] * (1-'What -if Analysis'!$D$26)</f>
        <v>40</v>
      </c>
      <c r="P683">
        <v>129</v>
      </c>
      <c r="Q683">
        <v>2329.8470297236513</v>
      </c>
    </row>
    <row r="684" spans="1:17" x14ac:dyDescent="0.3">
      <c r="A684">
        <v>562475</v>
      </c>
      <c r="B684" s="1" t="s">
        <v>15</v>
      </c>
      <c r="C684" s="1" t="s">
        <v>23</v>
      </c>
      <c r="D684" s="1" t="s">
        <v>24</v>
      </c>
      <c r="E684" s="1" t="s">
        <v>25</v>
      </c>
      <c r="F684" s="1" t="s">
        <v>29</v>
      </c>
      <c r="G684" s="1" t="s">
        <v>20</v>
      </c>
      <c r="H684" t="s">
        <v>30</v>
      </c>
      <c r="I684" s="1" t="s">
        <v>22</v>
      </c>
      <c r="J684" s="2">
        <v>43527.349826388891</v>
      </c>
      <c r="K684" s="2">
        <v>43531.349826388891</v>
      </c>
      <c r="L684" s="2">
        <v>43530.349826388891</v>
      </c>
      <c r="M684" s="1">
        <f>_xlfn.DAYS(Table1[[#This Row],[actual_delivery_date]],Table1[[#This Row],[dispatch_date]])</f>
        <v>4</v>
      </c>
      <c r="N684">
        <v>50</v>
      </c>
      <c r="O684">
        <f>Table1[[#This Row],[transit_storage_cost]] * (1-'What -if Analysis'!$D$26)</f>
        <v>50</v>
      </c>
      <c r="P684">
        <v>121</v>
      </c>
      <c r="Q684">
        <v>1665.4675308422986</v>
      </c>
    </row>
    <row r="685" spans="1:17" x14ac:dyDescent="0.3">
      <c r="A685">
        <v>24828</v>
      </c>
      <c r="B685" s="1" t="s">
        <v>39</v>
      </c>
      <c r="C685" s="1" t="s">
        <v>23</v>
      </c>
      <c r="D685" s="1" t="s">
        <v>17</v>
      </c>
      <c r="E685" s="1" t="s">
        <v>18</v>
      </c>
      <c r="F685" s="1" t="s">
        <v>19</v>
      </c>
      <c r="G685" s="1" t="s">
        <v>20</v>
      </c>
      <c r="H685" t="s">
        <v>21</v>
      </c>
      <c r="I685" s="1" t="s">
        <v>26</v>
      </c>
      <c r="J685" s="2">
        <v>43529.356458333335</v>
      </c>
      <c r="K685" s="2">
        <v>43531.356458333335</v>
      </c>
      <c r="L685" s="2">
        <v>43536.356458333335</v>
      </c>
      <c r="M685" s="1">
        <f>_xlfn.DAYS(Table1[[#This Row],[actual_delivery_date]],Table1[[#This Row],[dispatch_date]])</f>
        <v>2</v>
      </c>
      <c r="N685">
        <v>41</v>
      </c>
      <c r="O685">
        <f>Table1[[#This Row],[transit_storage_cost]] * (1-'What -if Analysis'!$D$26)</f>
        <v>41</v>
      </c>
      <c r="P685">
        <v>107</v>
      </c>
      <c r="Q685">
        <v>1579.7</v>
      </c>
    </row>
    <row r="686" spans="1:17" x14ac:dyDescent="0.3">
      <c r="A686">
        <v>196178</v>
      </c>
      <c r="B686" s="1" t="s">
        <v>38</v>
      </c>
      <c r="C686" s="1" t="s">
        <v>23</v>
      </c>
      <c r="D686" s="1" t="s">
        <v>23</v>
      </c>
      <c r="E686" s="1" t="s">
        <v>28</v>
      </c>
      <c r="F686" s="1" t="s">
        <v>31</v>
      </c>
      <c r="G686" s="1" t="s">
        <v>20</v>
      </c>
      <c r="H686" t="s">
        <v>21</v>
      </c>
      <c r="I686" s="1" t="s">
        <v>22</v>
      </c>
      <c r="J686" s="2">
        <v>43531.358923611115</v>
      </c>
      <c r="K686" s="2">
        <v>43531.358923611115</v>
      </c>
      <c r="L686" s="2">
        <v>43536.358923611115</v>
      </c>
      <c r="M686" s="1">
        <f>_xlfn.DAYS(Table1[[#This Row],[actual_delivery_date]],Table1[[#This Row],[dispatch_date]])</f>
        <v>0</v>
      </c>
      <c r="N686">
        <v>0</v>
      </c>
      <c r="O686">
        <f>Table1[[#This Row],[transit_storage_cost]] * (1-'What -if Analysis'!$D$26)</f>
        <v>0</v>
      </c>
      <c r="P686">
        <v>126</v>
      </c>
      <c r="Q686">
        <v>3718.4666150265966</v>
      </c>
    </row>
    <row r="687" spans="1:17" x14ac:dyDescent="0.3">
      <c r="A687">
        <v>147063</v>
      </c>
      <c r="B687" s="1" t="s">
        <v>40</v>
      </c>
      <c r="C687" s="1" t="s">
        <v>16</v>
      </c>
      <c r="D687" s="1" t="s">
        <v>17</v>
      </c>
      <c r="E687" s="1" t="s">
        <v>18</v>
      </c>
      <c r="F687" s="1" t="s">
        <v>29</v>
      </c>
      <c r="G687" s="1" t="s">
        <v>20</v>
      </c>
      <c r="H687" t="s">
        <v>34</v>
      </c>
      <c r="I687" s="1" t="s">
        <v>26</v>
      </c>
      <c r="J687" s="2">
        <v>43528.360868055555</v>
      </c>
      <c r="K687" s="2">
        <v>43531.360868055555</v>
      </c>
      <c r="L687" s="2">
        <v>43535.360868055555</v>
      </c>
      <c r="M687" s="1">
        <f>_xlfn.DAYS(Table1[[#This Row],[actual_delivery_date]],Table1[[#This Row],[dispatch_date]])</f>
        <v>3</v>
      </c>
      <c r="N687">
        <v>38</v>
      </c>
      <c r="O687">
        <f>Table1[[#This Row],[transit_storage_cost]] * (1-'What -if Analysis'!$D$26)</f>
        <v>38</v>
      </c>
      <c r="P687">
        <v>114</v>
      </c>
      <c r="Q687">
        <v>2664.3</v>
      </c>
    </row>
    <row r="688" spans="1:17" x14ac:dyDescent="0.3">
      <c r="A688">
        <v>113262</v>
      </c>
      <c r="B688" s="1" t="s">
        <v>38</v>
      </c>
      <c r="C688" s="1" t="s">
        <v>23</v>
      </c>
      <c r="D688" s="1" t="s">
        <v>17</v>
      </c>
      <c r="E688" s="1" t="s">
        <v>18</v>
      </c>
      <c r="F688" s="1" t="s">
        <v>31</v>
      </c>
      <c r="G688" s="1" t="s">
        <v>20</v>
      </c>
      <c r="H688" t="s">
        <v>21</v>
      </c>
      <c r="I688" s="1" t="s">
        <v>26</v>
      </c>
      <c r="J688" s="2">
        <v>43528.364131944443</v>
      </c>
      <c r="K688" s="2">
        <v>43531.364131944443</v>
      </c>
      <c r="L688" s="2">
        <v>43532.364131944443</v>
      </c>
      <c r="M688" s="1">
        <f>_xlfn.DAYS(Table1[[#This Row],[actual_delivery_date]],Table1[[#This Row],[dispatch_date]])</f>
        <v>3</v>
      </c>
      <c r="N688">
        <v>44</v>
      </c>
      <c r="O688">
        <f>Table1[[#This Row],[transit_storage_cost]] * (1-'What -if Analysis'!$D$26)</f>
        <v>44</v>
      </c>
      <c r="P688">
        <v>115</v>
      </c>
      <c r="Q688">
        <v>2784.28</v>
      </c>
    </row>
    <row r="689" spans="1:17" x14ac:dyDescent="0.3">
      <c r="A689">
        <v>618445</v>
      </c>
      <c r="B689" s="1" t="s">
        <v>38</v>
      </c>
      <c r="C689" s="1" t="s">
        <v>23</v>
      </c>
      <c r="D689" s="1" t="s">
        <v>32</v>
      </c>
      <c r="E689" s="1" t="s">
        <v>33</v>
      </c>
      <c r="F689" s="1" t="s">
        <v>29</v>
      </c>
      <c r="G689" s="1" t="s">
        <v>20</v>
      </c>
      <c r="H689" t="s">
        <v>30</v>
      </c>
      <c r="I689" s="1" t="s">
        <v>22</v>
      </c>
      <c r="J689" s="2">
        <v>43526.364768518521</v>
      </c>
      <c r="K689" s="2">
        <v>43531.364768518521</v>
      </c>
      <c r="L689" s="2">
        <v>43529.364768518521</v>
      </c>
      <c r="M689" s="1">
        <f>_xlfn.DAYS(Table1[[#This Row],[actual_delivery_date]],Table1[[#This Row],[dispatch_date]])</f>
        <v>5</v>
      </c>
      <c r="N689">
        <v>38</v>
      </c>
      <c r="O689">
        <f>Table1[[#This Row],[transit_storage_cost]] * (1-'What -if Analysis'!$D$26)</f>
        <v>38</v>
      </c>
      <c r="P689">
        <v>108</v>
      </c>
      <c r="Q689">
        <v>1570.3190655406893</v>
      </c>
    </row>
    <row r="690" spans="1:17" x14ac:dyDescent="0.3">
      <c r="A690">
        <v>935994</v>
      </c>
      <c r="B690" s="1" t="s">
        <v>41</v>
      </c>
      <c r="C690" s="1" t="s">
        <v>23</v>
      </c>
      <c r="D690" s="1" t="s">
        <v>32</v>
      </c>
      <c r="E690" s="1" t="s">
        <v>33</v>
      </c>
      <c r="F690" s="1" t="s">
        <v>31</v>
      </c>
      <c r="G690" s="1" t="s">
        <v>20</v>
      </c>
      <c r="H690" t="s">
        <v>21</v>
      </c>
      <c r="I690" s="1" t="s">
        <v>26</v>
      </c>
      <c r="J690" s="2">
        <v>43527.367152777777</v>
      </c>
      <c r="K690" s="2">
        <v>43531.367152777777</v>
      </c>
      <c r="L690" s="2">
        <v>43534.367152777777</v>
      </c>
      <c r="M690" s="1">
        <f>_xlfn.DAYS(Table1[[#This Row],[actual_delivery_date]],Table1[[#This Row],[dispatch_date]])</f>
        <v>4</v>
      </c>
      <c r="N690">
        <v>45</v>
      </c>
      <c r="O690">
        <f>Table1[[#This Row],[transit_storage_cost]] * (1-'What -if Analysis'!$D$26)</f>
        <v>45</v>
      </c>
      <c r="P690">
        <v>108</v>
      </c>
      <c r="Q690">
        <v>3561.29</v>
      </c>
    </row>
    <row r="691" spans="1:17" x14ac:dyDescent="0.3">
      <c r="A691">
        <v>419142</v>
      </c>
      <c r="B691" s="1" t="s">
        <v>37</v>
      </c>
      <c r="C691" s="1" t="s">
        <v>16</v>
      </c>
      <c r="D691" s="1" t="s">
        <v>16</v>
      </c>
      <c r="E691" s="1" t="s">
        <v>27</v>
      </c>
      <c r="F691" s="1" t="s">
        <v>19</v>
      </c>
      <c r="G691" s="1" t="s">
        <v>20</v>
      </c>
      <c r="H691" t="s">
        <v>21</v>
      </c>
      <c r="I691" s="1" t="s">
        <v>26</v>
      </c>
      <c r="J691" s="2">
        <v>43530.36824074074</v>
      </c>
      <c r="K691" s="2">
        <v>43531.36824074074</v>
      </c>
      <c r="L691" s="2">
        <v>43535.36824074074</v>
      </c>
      <c r="M691" s="1">
        <f>_xlfn.DAYS(Table1[[#This Row],[actual_delivery_date]],Table1[[#This Row],[dispatch_date]])</f>
        <v>1</v>
      </c>
      <c r="N691">
        <v>0</v>
      </c>
      <c r="O691">
        <f>Table1[[#This Row],[transit_storage_cost]] * (1-'What -if Analysis'!$D$26)</f>
        <v>0</v>
      </c>
      <c r="P691">
        <v>106</v>
      </c>
      <c r="Q691">
        <v>1891</v>
      </c>
    </row>
    <row r="692" spans="1:17" x14ac:dyDescent="0.3">
      <c r="A692">
        <v>99598</v>
      </c>
      <c r="B692" s="1" t="s">
        <v>37</v>
      </c>
      <c r="C692" s="1" t="s">
        <v>23</v>
      </c>
      <c r="D692" s="1" t="s">
        <v>16</v>
      </c>
      <c r="E692" s="1" t="s">
        <v>27</v>
      </c>
      <c r="F692" s="1" t="s">
        <v>31</v>
      </c>
      <c r="G692" s="1" t="s">
        <v>20</v>
      </c>
      <c r="H692" t="s">
        <v>21</v>
      </c>
      <c r="I692" s="1" t="s">
        <v>22</v>
      </c>
      <c r="J692" s="2">
        <v>43527.373749999999</v>
      </c>
      <c r="K692" s="2">
        <v>43531.373749999999</v>
      </c>
      <c r="L692" s="2">
        <v>43530.373749999999</v>
      </c>
      <c r="M692" s="1">
        <f>_xlfn.DAYS(Table1[[#This Row],[actual_delivery_date]],Table1[[#This Row],[dispatch_date]])</f>
        <v>4</v>
      </c>
      <c r="N692">
        <v>29</v>
      </c>
      <c r="O692">
        <f>Table1[[#This Row],[transit_storage_cost]] * (1-'What -if Analysis'!$D$26)</f>
        <v>29</v>
      </c>
      <c r="P692">
        <v>125</v>
      </c>
      <c r="Q692">
        <v>1807.4766291863691</v>
      </c>
    </row>
    <row r="693" spans="1:17" x14ac:dyDescent="0.3">
      <c r="A693">
        <v>388880</v>
      </c>
      <c r="B693" s="1" t="s">
        <v>38</v>
      </c>
      <c r="C693" s="1" t="s">
        <v>23</v>
      </c>
      <c r="D693" s="1" t="s">
        <v>17</v>
      </c>
      <c r="E693" s="1" t="s">
        <v>18</v>
      </c>
      <c r="F693" s="1" t="s">
        <v>19</v>
      </c>
      <c r="G693" s="1" t="s">
        <v>20</v>
      </c>
      <c r="H693" t="s">
        <v>21</v>
      </c>
      <c r="I693" s="1" t="s">
        <v>22</v>
      </c>
      <c r="J693" s="2">
        <v>43527.377141203702</v>
      </c>
      <c r="K693" s="2">
        <v>43531.377141203702</v>
      </c>
      <c r="L693" s="2">
        <v>43534.377141203702</v>
      </c>
      <c r="M693" s="1">
        <f>_xlfn.DAYS(Table1[[#This Row],[actual_delivery_date]],Table1[[#This Row],[dispatch_date]])</f>
        <v>4</v>
      </c>
      <c r="N693">
        <v>44</v>
      </c>
      <c r="O693">
        <f>Table1[[#This Row],[transit_storage_cost]] * (1-'What -if Analysis'!$D$26)</f>
        <v>44</v>
      </c>
      <c r="P693">
        <v>110</v>
      </c>
      <c r="Q693">
        <v>3743.5248769922041</v>
      </c>
    </row>
    <row r="694" spans="1:17" x14ac:dyDescent="0.3">
      <c r="A694">
        <v>117982</v>
      </c>
      <c r="B694" s="1" t="s">
        <v>38</v>
      </c>
      <c r="C694" s="1" t="s">
        <v>16</v>
      </c>
      <c r="D694" s="1" t="s">
        <v>16</v>
      </c>
      <c r="E694" s="1" t="s">
        <v>27</v>
      </c>
      <c r="F694" s="1" t="s">
        <v>31</v>
      </c>
      <c r="G694" s="1" t="s">
        <v>20</v>
      </c>
      <c r="H694" t="s">
        <v>21</v>
      </c>
      <c r="I694" s="1" t="s">
        <v>22</v>
      </c>
      <c r="J694" s="2">
        <v>43528.379861111112</v>
      </c>
      <c r="K694" s="2">
        <v>43531.379861111112</v>
      </c>
      <c r="L694" s="2">
        <v>43535.379861111112</v>
      </c>
      <c r="M694" s="1">
        <f>_xlfn.DAYS(Table1[[#This Row],[actual_delivery_date]],Table1[[#This Row],[dispatch_date]])</f>
        <v>3</v>
      </c>
      <c r="N694">
        <v>0</v>
      </c>
      <c r="O694">
        <f>Table1[[#This Row],[transit_storage_cost]] * (1-'What -if Analysis'!$D$26)</f>
        <v>0</v>
      </c>
      <c r="P694">
        <v>126</v>
      </c>
      <c r="Q694">
        <v>3496.1609517751772</v>
      </c>
    </row>
    <row r="695" spans="1:17" x14ac:dyDescent="0.3">
      <c r="A695">
        <v>759550</v>
      </c>
      <c r="B695" s="1" t="s">
        <v>37</v>
      </c>
      <c r="C695" s="1" t="s">
        <v>16</v>
      </c>
      <c r="D695" s="1" t="s">
        <v>16</v>
      </c>
      <c r="E695" s="1" t="s">
        <v>27</v>
      </c>
      <c r="F695" s="1" t="s">
        <v>31</v>
      </c>
      <c r="G695" s="1" t="s">
        <v>36</v>
      </c>
      <c r="H695" t="s">
        <v>21</v>
      </c>
      <c r="I695" s="1" t="s">
        <v>22</v>
      </c>
      <c r="J695" s="2">
        <v>43528.380497685182</v>
      </c>
      <c r="K695" s="2">
        <v>43531.380497685182</v>
      </c>
      <c r="L695" s="2">
        <v>43532.380497685182</v>
      </c>
      <c r="M695" s="1">
        <f>_xlfn.DAYS(Table1[[#This Row],[actual_delivery_date]],Table1[[#This Row],[dispatch_date]])</f>
        <v>3</v>
      </c>
      <c r="N695">
        <v>0</v>
      </c>
      <c r="O695">
        <f>Table1[[#This Row],[transit_storage_cost]] * (1-'What -if Analysis'!$D$26)</f>
        <v>0</v>
      </c>
      <c r="P695">
        <v>122</v>
      </c>
      <c r="Q695">
        <v>1551.9382498822824</v>
      </c>
    </row>
    <row r="696" spans="1:17" x14ac:dyDescent="0.3">
      <c r="A696">
        <v>269508</v>
      </c>
      <c r="B696" s="1" t="s">
        <v>37</v>
      </c>
      <c r="C696" s="1" t="s">
        <v>23</v>
      </c>
      <c r="D696" s="1" t="s">
        <v>16</v>
      </c>
      <c r="E696" s="1" t="s">
        <v>27</v>
      </c>
      <c r="F696" s="1" t="s">
        <v>19</v>
      </c>
      <c r="G696" s="1" t="s">
        <v>20</v>
      </c>
      <c r="H696" t="s">
        <v>21</v>
      </c>
      <c r="I696" s="1" t="s">
        <v>26</v>
      </c>
      <c r="J696" s="2">
        <v>43525.3903587963</v>
      </c>
      <c r="K696" s="2">
        <v>43531.3903587963</v>
      </c>
      <c r="L696" s="2">
        <v>43531.3903587963</v>
      </c>
      <c r="M696" s="1">
        <f>_xlfn.DAYS(Table1[[#This Row],[actual_delivery_date]],Table1[[#This Row],[dispatch_date]])</f>
        <v>6</v>
      </c>
      <c r="N696">
        <v>47</v>
      </c>
      <c r="O696">
        <f>Table1[[#This Row],[transit_storage_cost]] * (1-'What -if Analysis'!$D$26)</f>
        <v>47</v>
      </c>
      <c r="P696">
        <v>125</v>
      </c>
      <c r="Q696">
        <v>297.32</v>
      </c>
    </row>
    <row r="697" spans="1:17" x14ac:dyDescent="0.3">
      <c r="A697">
        <v>69672</v>
      </c>
      <c r="B697" s="1" t="s">
        <v>37</v>
      </c>
      <c r="C697" s="1" t="s">
        <v>23</v>
      </c>
      <c r="D697" s="1" t="s">
        <v>16</v>
      </c>
      <c r="E697" s="1" t="s">
        <v>27</v>
      </c>
      <c r="F697" s="1" t="s">
        <v>19</v>
      </c>
      <c r="G697" s="1" t="s">
        <v>20</v>
      </c>
      <c r="H697" t="s">
        <v>21</v>
      </c>
      <c r="I697" s="1" t="s">
        <v>26</v>
      </c>
      <c r="J697" s="2">
        <v>43525.395671296297</v>
      </c>
      <c r="K697" s="2">
        <v>43531.395671296297</v>
      </c>
      <c r="L697" s="2">
        <v>43530.395671296297</v>
      </c>
      <c r="M697" s="1">
        <f>_xlfn.DAYS(Table1[[#This Row],[actual_delivery_date]],Table1[[#This Row],[dispatch_date]])</f>
        <v>6</v>
      </c>
      <c r="N697">
        <v>73</v>
      </c>
      <c r="O697">
        <f>Table1[[#This Row],[transit_storage_cost]] * (1-'What -if Analysis'!$D$26)</f>
        <v>73</v>
      </c>
      <c r="P697">
        <v>103</v>
      </c>
      <c r="Q697">
        <v>2777.49</v>
      </c>
    </row>
    <row r="698" spans="1:17" x14ac:dyDescent="0.3">
      <c r="A698">
        <v>684887</v>
      </c>
      <c r="B698" s="1" t="s">
        <v>39</v>
      </c>
      <c r="C698" s="1" t="s">
        <v>16</v>
      </c>
      <c r="D698" s="1" t="s">
        <v>17</v>
      </c>
      <c r="E698" s="1" t="s">
        <v>18</v>
      </c>
      <c r="F698" s="1" t="s">
        <v>29</v>
      </c>
      <c r="G698" s="1" t="s">
        <v>20</v>
      </c>
      <c r="H698" t="s">
        <v>34</v>
      </c>
      <c r="I698" s="1" t="s">
        <v>22</v>
      </c>
      <c r="J698" s="2">
        <v>43527.397245370368</v>
      </c>
      <c r="K698" s="2">
        <v>43531.397245370368</v>
      </c>
      <c r="L698" s="2">
        <v>43532.397245370368</v>
      </c>
      <c r="M698" s="1">
        <f>_xlfn.DAYS(Table1[[#This Row],[actual_delivery_date]],Table1[[#This Row],[dispatch_date]])</f>
        <v>4</v>
      </c>
      <c r="N698">
        <v>33</v>
      </c>
      <c r="O698">
        <f>Table1[[#This Row],[transit_storage_cost]] * (1-'What -if Analysis'!$D$26)</f>
        <v>33</v>
      </c>
      <c r="P698">
        <v>115</v>
      </c>
      <c r="Q698">
        <v>475.43718894282824</v>
      </c>
    </row>
    <row r="699" spans="1:17" x14ac:dyDescent="0.3">
      <c r="A699">
        <v>581058</v>
      </c>
      <c r="B699" s="1" t="s">
        <v>38</v>
      </c>
      <c r="C699" s="1" t="s">
        <v>16</v>
      </c>
      <c r="D699" s="1" t="s">
        <v>16</v>
      </c>
      <c r="E699" s="1" t="s">
        <v>27</v>
      </c>
      <c r="F699" s="1" t="s">
        <v>19</v>
      </c>
      <c r="G699" s="1" t="s">
        <v>20</v>
      </c>
      <c r="H699" t="s">
        <v>21</v>
      </c>
      <c r="I699" s="1" t="s">
        <v>26</v>
      </c>
      <c r="J699" s="2">
        <v>43531.398344907408</v>
      </c>
      <c r="K699" s="2">
        <v>43531.398344907408</v>
      </c>
      <c r="L699" s="2">
        <v>43535.398344907408</v>
      </c>
      <c r="M699" s="1">
        <f>_xlfn.DAYS(Table1[[#This Row],[actual_delivery_date]],Table1[[#This Row],[dispatch_date]])</f>
        <v>0</v>
      </c>
      <c r="N699">
        <v>0</v>
      </c>
      <c r="O699">
        <f>Table1[[#This Row],[transit_storage_cost]] * (1-'What -if Analysis'!$D$26)</f>
        <v>0</v>
      </c>
      <c r="P699">
        <v>109</v>
      </c>
      <c r="Q699">
        <v>1565.3479660862272</v>
      </c>
    </row>
    <row r="700" spans="1:17" x14ac:dyDescent="0.3">
      <c r="A700">
        <v>44146</v>
      </c>
      <c r="B700" s="1" t="s">
        <v>37</v>
      </c>
      <c r="C700" s="1" t="s">
        <v>16</v>
      </c>
      <c r="D700" s="1" t="s">
        <v>16</v>
      </c>
      <c r="E700" s="1" t="s">
        <v>27</v>
      </c>
      <c r="F700" s="1" t="s">
        <v>31</v>
      </c>
      <c r="G700" s="1" t="s">
        <v>20</v>
      </c>
      <c r="H700" t="s">
        <v>21</v>
      </c>
      <c r="I700" s="1" t="s">
        <v>22</v>
      </c>
      <c r="J700" s="2">
        <v>43527.407060185185</v>
      </c>
      <c r="K700" s="2">
        <v>43531.407060185185</v>
      </c>
      <c r="L700" s="2">
        <v>43534.407060185185</v>
      </c>
      <c r="M700" s="1">
        <f>_xlfn.DAYS(Table1[[#This Row],[actual_delivery_date]],Table1[[#This Row],[dispatch_date]])</f>
        <v>4</v>
      </c>
      <c r="N700">
        <v>0</v>
      </c>
      <c r="O700">
        <f>Table1[[#This Row],[transit_storage_cost]] * (1-'What -if Analysis'!$D$26)</f>
        <v>0</v>
      </c>
      <c r="P700">
        <v>121</v>
      </c>
      <c r="Q700">
        <v>594.07461886941508</v>
      </c>
    </row>
    <row r="701" spans="1:17" x14ac:dyDescent="0.3">
      <c r="A701">
        <v>404320</v>
      </c>
      <c r="B701" s="1" t="s">
        <v>37</v>
      </c>
      <c r="C701" s="1" t="s">
        <v>16</v>
      </c>
      <c r="D701" s="1" t="s">
        <v>16</v>
      </c>
      <c r="E701" s="1" t="s">
        <v>27</v>
      </c>
      <c r="F701" s="1" t="s">
        <v>19</v>
      </c>
      <c r="G701" s="1" t="s">
        <v>20</v>
      </c>
      <c r="H701" t="s">
        <v>21</v>
      </c>
      <c r="I701" s="1" t="s">
        <v>22</v>
      </c>
      <c r="J701" s="2">
        <v>43527.413541666669</v>
      </c>
      <c r="K701" s="2">
        <v>43531.413541666669</v>
      </c>
      <c r="L701" s="2">
        <v>43530.413541666669</v>
      </c>
      <c r="M701" s="1">
        <f>_xlfn.DAYS(Table1[[#This Row],[actual_delivery_date]],Table1[[#This Row],[dispatch_date]])</f>
        <v>4</v>
      </c>
      <c r="N701">
        <v>0</v>
      </c>
      <c r="O701">
        <f>Table1[[#This Row],[transit_storage_cost]] * (1-'What -if Analysis'!$D$26)</f>
        <v>0</v>
      </c>
      <c r="P701">
        <v>109</v>
      </c>
      <c r="Q701">
        <v>1047.1297648226691</v>
      </c>
    </row>
    <row r="702" spans="1:17" x14ac:dyDescent="0.3">
      <c r="A702">
        <v>107707</v>
      </c>
      <c r="B702" s="1" t="s">
        <v>37</v>
      </c>
      <c r="C702" s="1" t="s">
        <v>23</v>
      </c>
      <c r="D702" s="1" t="s">
        <v>17</v>
      </c>
      <c r="E702" s="1" t="s">
        <v>18</v>
      </c>
      <c r="F702" s="1" t="s">
        <v>29</v>
      </c>
      <c r="G702" s="1" t="s">
        <v>20</v>
      </c>
      <c r="H702" t="s">
        <v>30</v>
      </c>
      <c r="I702" s="1" t="s">
        <v>22</v>
      </c>
      <c r="J702" s="2">
        <v>43527.416354166664</v>
      </c>
      <c r="K702" s="2">
        <v>43531.416354166664</v>
      </c>
      <c r="L702" s="2">
        <v>43534.416354166664</v>
      </c>
      <c r="M702" s="1">
        <f>_xlfn.DAYS(Table1[[#This Row],[actual_delivery_date]],Table1[[#This Row],[dispatch_date]])</f>
        <v>4</v>
      </c>
      <c r="N702">
        <v>45</v>
      </c>
      <c r="O702">
        <f>Table1[[#This Row],[transit_storage_cost]] * (1-'What -if Analysis'!$D$26)</f>
        <v>45</v>
      </c>
      <c r="P702">
        <v>106</v>
      </c>
      <c r="Q702">
        <v>3422.4733670037904</v>
      </c>
    </row>
    <row r="703" spans="1:17" x14ac:dyDescent="0.3">
      <c r="A703">
        <v>685253</v>
      </c>
      <c r="B703" s="1" t="s">
        <v>38</v>
      </c>
      <c r="C703" s="1" t="s">
        <v>16</v>
      </c>
      <c r="D703" s="1" t="s">
        <v>16</v>
      </c>
      <c r="E703" s="1" t="s">
        <v>27</v>
      </c>
      <c r="F703" s="1" t="s">
        <v>29</v>
      </c>
      <c r="G703" s="1" t="s">
        <v>20</v>
      </c>
      <c r="H703" t="s">
        <v>30</v>
      </c>
      <c r="I703" s="1" t="s">
        <v>22</v>
      </c>
      <c r="J703" s="2">
        <v>43527.432071759256</v>
      </c>
      <c r="K703" s="2">
        <v>43531.432071759256</v>
      </c>
      <c r="L703" s="2">
        <v>43534.432071759256</v>
      </c>
      <c r="M703" s="1">
        <f>_xlfn.DAYS(Table1[[#This Row],[actual_delivery_date]],Table1[[#This Row],[dispatch_date]])</f>
        <v>4</v>
      </c>
      <c r="N703">
        <v>0</v>
      </c>
      <c r="O703">
        <f>Table1[[#This Row],[transit_storage_cost]] * (1-'What -if Analysis'!$D$26)</f>
        <v>0</v>
      </c>
      <c r="P703">
        <v>129</v>
      </c>
      <c r="Q703">
        <v>2976.8579771621494</v>
      </c>
    </row>
    <row r="704" spans="1:17" x14ac:dyDescent="0.3">
      <c r="A704">
        <v>584841</v>
      </c>
      <c r="B704" s="1" t="s">
        <v>38</v>
      </c>
      <c r="C704" s="1" t="s">
        <v>23</v>
      </c>
      <c r="D704" s="1" t="s">
        <v>23</v>
      </c>
      <c r="E704" s="1" t="s">
        <v>28</v>
      </c>
      <c r="F704" s="1" t="s">
        <v>29</v>
      </c>
      <c r="G704" s="1" t="s">
        <v>20</v>
      </c>
      <c r="H704" t="s">
        <v>30</v>
      </c>
      <c r="I704" s="1" t="s">
        <v>26</v>
      </c>
      <c r="J704" s="2">
        <v>43525.434560185182</v>
      </c>
      <c r="K704" s="2">
        <v>43531.434560185182</v>
      </c>
      <c r="L704" s="2">
        <v>43530.434560185182</v>
      </c>
      <c r="M704" s="1">
        <f>_xlfn.DAYS(Table1[[#This Row],[actual_delivery_date]],Table1[[#This Row],[dispatch_date]])</f>
        <v>6</v>
      </c>
      <c r="N704">
        <v>0</v>
      </c>
      <c r="O704">
        <f>Table1[[#This Row],[transit_storage_cost]] * (1-'What -if Analysis'!$D$26)</f>
        <v>0</v>
      </c>
      <c r="P704">
        <v>128</v>
      </c>
      <c r="Q704">
        <v>2585.9299999999998</v>
      </c>
    </row>
    <row r="705" spans="1:17" x14ac:dyDescent="0.3">
      <c r="A705">
        <v>758655</v>
      </c>
      <c r="B705" s="1" t="s">
        <v>41</v>
      </c>
      <c r="C705" s="1" t="s">
        <v>16</v>
      </c>
      <c r="D705" s="1" t="s">
        <v>17</v>
      </c>
      <c r="E705" s="1" t="s">
        <v>18</v>
      </c>
      <c r="F705" s="1" t="s">
        <v>29</v>
      </c>
      <c r="G705" s="1" t="s">
        <v>20</v>
      </c>
      <c r="H705" t="s">
        <v>30</v>
      </c>
      <c r="I705" s="1" t="s">
        <v>26</v>
      </c>
      <c r="J705" s="2">
        <v>43526.436678240738</v>
      </c>
      <c r="K705" s="2">
        <v>43531.436678240738</v>
      </c>
      <c r="L705" s="2">
        <v>43531.436678240738</v>
      </c>
      <c r="M705" s="1">
        <f>_xlfn.DAYS(Table1[[#This Row],[actual_delivery_date]],Table1[[#This Row],[dispatch_date]])</f>
        <v>5</v>
      </c>
      <c r="N705">
        <v>31</v>
      </c>
      <c r="O705">
        <f>Table1[[#This Row],[transit_storage_cost]] * (1-'What -if Analysis'!$D$26)</f>
        <v>31</v>
      </c>
      <c r="P705">
        <v>111</v>
      </c>
      <c r="Q705">
        <v>2928.84</v>
      </c>
    </row>
    <row r="706" spans="1:17" x14ac:dyDescent="0.3">
      <c r="A706">
        <v>813471</v>
      </c>
      <c r="B706" s="1" t="s">
        <v>15</v>
      </c>
      <c r="C706" s="1" t="s">
        <v>23</v>
      </c>
      <c r="D706" s="1" t="s">
        <v>23</v>
      </c>
      <c r="E706" s="1" t="s">
        <v>28</v>
      </c>
      <c r="F706" s="1" t="s">
        <v>29</v>
      </c>
      <c r="G706" s="1" t="s">
        <v>20</v>
      </c>
      <c r="H706" t="s">
        <v>30</v>
      </c>
      <c r="I706" s="1" t="s">
        <v>26</v>
      </c>
      <c r="J706" s="2">
        <v>43527.436701388891</v>
      </c>
      <c r="K706" s="2">
        <v>43531.436701388891</v>
      </c>
      <c r="L706" s="2">
        <v>43532.436701388891</v>
      </c>
      <c r="M706" s="1">
        <f>_xlfn.DAYS(Table1[[#This Row],[actual_delivery_date]],Table1[[#This Row],[dispatch_date]])</f>
        <v>4</v>
      </c>
      <c r="N706">
        <v>0</v>
      </c>
      <c r="O706">
        <f>Table1[[#This Row],[transit_storage_cost]] * (1-'What -if Analysis'!$D$26)</f>
        <v>0</v>
      </c>
      <c r="P706">
        <v>127</v>
      </c>
      <c r="Q706">
        <v>644.66</v>
      </c>
    </row>
    <row r="707" spans="1:17" x14ac:dyDescent="0.3">
      <c r="A707">
        <v>484284</v>
      </c>
      <c r="B707" s="1" t="s">
        <v>37</v>
      </c>
      <c r="C707" s="1" t="s">
        <v>16</v>
      </c>
      <c r="D707" s="1" t="s">
        <v>16</v>
      </c>
      <c r="E707" s="1" t="s">
        <v>27</v>
      </c>
      <c r="F707" s="1" t="s">
        <v>19</v>
      </c>
      <c r="G707" s="1" t="s">
        <v>20</v>
      </c>
      <c r="H707" t="s">
        <v>21</v>
      </c>
      <c r="I707" s="1" t="s">
        <v>26</v>
      </c>
      <c r="J707" s="2">
        <v>43531.440405092595</v>
      </c>
      <c r="K707" s="2">
        <v>43531.440405092595</v>
      </c>
      <c r="L707" s="2">
        <v>43535.440405092595</v>
      </c>
      <c r="M707" s="1">
        <f>_xlfn.DAYS(Table1[[#This Row],[actual_delivery_date]],Table1[[#This Row],[dispatch_date]])</f>
        <v>0</v>
      </c>
      <c r="N707">
        <v>0</v>
      </c>
      <c r="O707">
        <f>Table1[[#This Row],[transit_storage_cost]] * (1-'What -if Analysis'!$D$26)</f>
        <v>0</v>
      </c>
      <c r="P707">
        <v>120</v>
      </c>
      <c r="Q707">
        <v>650.1387086720938</v>
      </c>
    </row>
    <row r="708" spans="1:17" x14ac:dyDescent="0.3">
      <c r="A708">
        <v>8835</v>
      </c>
      <c r="B708" s="1" t="s">
        <v>41</v>
      </c>
      <c r="C708" s="1" t="s">
        <v>16</v>
      </c>
      <c r="D708" s="1" t="s">
        <v>23</v>
      </c>
      <c r="E708" s="1" t="s">
        <v>28</v>
      </c>
      <c r="F708" s="1" t="s">
        <v>29</v>
      </c>
      <c r="G708" s="1" t="s">
        <v>20</v>
      </c>
      <c r="H708" t="s">
        <v>30</v>
      </c>
      <c r="I708" s="1" t="s">
        <v>26</v>
      </c>
      <c r="J708" s="2">
        <v>43526.440775462965</v>
      </c>
      <c r="K708" s="2">
        <v>43531.440775462965</v>
      </c>
      <c r="L708" s="2">
        <v>43532.440775462965</v>
      </c>
      <c r="M708" s="1">
        <f>_xlfn.DAYS(Table1[[#This Row],[actual_delivery_date]],Table1[[#This Row],[dispatch_date]])</f>
        <v>5</v>
      </c>
      <c r="N708">
        <v>43</v>
      </c>
      <c r="O708">
        <f>Table1[[#This Row],[transit_storage_cost]] * (1-'What -if Analysis'!$D$26)</f>
        <v>43</v>
      </c>
      <c r="P708">
        <v>123</v>
      </c>
      <c r="Q708">
        <v>1409.56</v>
      </c>
    </row>
    <row r="709" spans="1:17" x14ac:dyDescent="0.3">
      <c r="A709">
        <v>510457</v>
      </c>
      <c r="B709" s="1" t="s">
        <v>38</v>
      </c>
      <c r="C709" s="1" t="s">
        <v>16</v>
      </c>
      <c r="D709" s="1" t="s">
        <v>17</v>
      </c>
      <c r="E709" s="1" t="s">
        <v>18</v>
      </c>
      <c r="F709" s="1" t="s">
        <v>29</v>
      </c>
      <c r="G709" s="1" t="s">
        <v>20</v>
      </c>
      <c r="H709" t="s">
        <v>30</v>
      </c>
      <c r="I709" s="1" t="s">
        <v>22</v>
      </c>
      <c r="J709" s="2">
        <v>43527.444432870368</v>
      </c>
      <c r="K709" s="2">
        <v>43531.444432870368</v>
      </c>
      <c r="L709" s="2">
        <v>43533.444432870368</v>
      </c>
      <c r="M709" s="1">
        <f>_xlfn.DAYS(Table1[[#This Row],[actual_delivery_date]],Table1[[#This Row],[dispatch_date]])</f>
        <v>4</v>
      </c>
      <c r="N709">
        <v>49</v>
      </c>
      <c r="O709">
        <f>Table1[[#This Row],[transit_storage_cost]] * (1-'What -if Analysis'!$D$26)</f>
        <v>49</v>
      </c>
      <c r="P709">
        <v>109</v>
      </c>
      <c r="Q709">
        <v>3475.878141773791</v>
      </c>
    </row>
    <row r="710" spans="1:17" x14ac:dyDescent="0.3">
      <c r="A710">
        <v>448685</v>
      </c>
      <c r="B710" s="1" t="s">
        <v>37</v>
      </c>
      <c r="C710" s="1" t="s">
        <v>23</v>
      </c>
      <c r="D710" s="1" t="s">
        <v>32</v>
      </c>
      <c r="E710" s="1" t="s">
        <v>33</v>
      </c>
      <c r="F710" s="1" t="s">
        <v>29</v>
      </c>
      <c r="G710" s="1" t="s">
        <v>20</v>
      </c>
      <c r="H710" t="s">
        <v>30</v>
      </c>
      <c r="I710" s="1" t="s">
        <v>22</v>
      </c>
      <c r="J710" s="2">
        <v>43529.45003472222</v>
      </c>
      <c r="K710" s="2">
        <v>43531.45003472222</v>
      </c>
      <c r="L710" s="2">
        <v>43533.45003472222</v>
      </c>
      <c r="M710" s="1">
        <f>_xlfn.DAYS(Table1[[#This Row],[actual_delivery_date]],Table1[[#This Row],[dispatch_date]])</f>
        <v>2</v>
      </c>
      <c r="N710">
        <v>31</v>
      </c>
      <c r="O710">
        <f>Table1[[#This Row],[transit_storage_cost]] * (1-'What -if Analysis'!$D$26)</f>
        <v>31</v>
      </c>
      <c r="P710">
        <v>115</v>
      </c>
      <c r="Q710">
        <v>689.69697230576242</v>
      </c>
    </row>
    <row r="711" spans="1:17" x14ac:dyDescent="0.3">
      <c r="A711">
        <v>25414</v>
      </c>
      <c r="B711" s="1" t="s">
        <v>41</v>
      </c>
      <c r="C711" s="1" t="s">
        <v>16</v>
      </c>
      <c r="D711" s="1" t="s">
        <v>16</v>
      </c>
      <c r="E711" s="1" t="s">
        <v>27</v>
      </c>
      <c r="F711" s="1" t="s">
        <v>31</v>
      </c>
      <c r="G711" s="1" t="s">
        <v>20</v>
      </c>
      <c r="H711" t="s">
        <v>21</v>
      </c>
      <c r="I711" s="1" t="s">
        <v>22</v>
      </c>
      <c r="J711" s="2">
        <v>43529.453796296293</v>
      </c>
      <c r="K711" s="2">
        <v>43531.453796296293</v>
      </c>
      <c r="L711" s="2">
        <v>43532.453796296293</v>
      </c>
      <c r="M711" s="1">
        <f>_xlfn.DAYS(Table1[[#This Row],[actual_delivery_date]],Table1[[#This Row],[dispatch_date]])</f>
        <v>2</v>
      </c>
      <c r="N711">
        <v>0</v>
      </c>
      <c r="O711">
        <f>Table1[[#This Row],[transit_storage_cost]] * (1-'What -if Analysis'!$D$26)</f>
        <v>0</v>
      </c>
      <c r="P711">
        <v>130</v>
      </c>
      <c r="Q711">
        <v>1146.8821812243211</v>
      </c>
    </row>
    <row r="712" spans="1:17" x14ac:dyDescent="0.3">
      <c r="A712">
        <v>588364</v>
      </c>
      <c r="B712" s="1" t="s">
        <v>38</v>
      </c>
      <c r="C712" s="1" t="s">
        <v>23</v>
      </c>
      <c r="D712" s="1" t="s">
        <v>32</v>
      </c>
      <c r="E712" s="1" t="s">
        <v>33</v>
      </c>
      <c r="F712" s="1" t="s">
        <v>19</v>
      </c>
      <c r="G712" s="1" t="s">
        <v>20</v>
      </c>
      <c r="H712" t="s">
        <v>21</v>
      </c>
      <c r="I712" s="1" t="s">
        <v>22</v>
      </c>
      <c r="J712" s="2">
        <v>43526.456562500003</v>
      </c>
      <c r="K712" s="2">
        <v>43531.456562500003</v>
      </c>
      <c r="L712" s="2">
        <v>43530.456562500003</v>
      </c>
      <c r="M712" s="1">
        <f>_xlfn.DAYS(Table1[[#This Row],[actual_delivery_date]],Table1[[#This Row],[dispatch_date]])</f>
        <v>5</v>
      </c>
      <c r="N712">
        <v>27</v>
      </c>
      <c r="O712">
        <f>Table1[[#This Row],[transit_storage_cost]] * (1-'What -if Analysis'!$D$26)</f>
        <v>27</v>
      </c>
      <c r="P712">
        <v>105</v>
      </c>
      <c r="Q712">
        <v>3392.3627550407223</v>
      </c>
    </row>
    <row r="713" spans="1:17" x14ac:dyDescent="0.3">
      <c r="A713">
        <v>726485</v>
      </c>
      <c r="B713" s="1" t="s">
        <v>38</v>
      </c>
      <c r="C713" s="1" t="s">
        <v>16</v>
      </c>
      <c r="D713" s="1" t="s">
        <v>16</v>
      </c>
      <c r="E713" s="1" t="s">
        <v>27</v>
      </c>
      <c r="F713" s="1" t="s">
        <v>29</v>
      </c>
      <c r="G713" s="1" t="s">
        <v>20</v>
      </c>
      <c r="H713" t="s">
        <v>30</v>
      </c>
      <c r="I713" s="1" t="s">
        <v>22</v>
      </c>
      <c r="J713" s="2">
        <v>43530.456932870373</v>
      </c>
      <c r="K713" s="2">
        <v>43531.456932870373</v>
      </c>
      <c r="L713" s="2">
        <v>43535.456932870373</v>
      </c>
      <c r="M713" s="1">
        <f>_xlfn.DAYS(Table1[[#This Row],[actual_delivery_date]],Table1[[#This Row],[dispatch_date]])</f>
        <v>1</v>
      </c>
      <c r="N713">
        <v>0</v>
      </c>
      <c r="O713">
        <f>Table1[[#This Row],[transit_storage_cost]] * (1-'What -if Analysis'!$D$26)</f>
        <v>0</v>
      </c>
      <c r="P713">
        <v>130</v>
      </c>
      <c r="Q713">
        <v>602.57836749573596</v>
      </c>
    </row>
    <row r="714" spans="1:17" x14ac:dyDescent="0.3">
      <c r="A714">
        <v>103874</v>
      </c>
      <c r="B714" s="1" t="s">
        <v>37</v>
      </c>
      <c r="C714" s="1" t="s">
        <v>16</v>
      </c>
      <c r="D714" s="1" t="s">
        <v>17</v>
      </c>
      <c r="E714" s="1" t="s">
        <v>18</v>
      </c>
      <c r="F714" s="1" t="s">
        <v>31</v>
      </c>
      <c r="G714" s="1" t="s">
        <v>20</v>
      </c>
      <c r="H714" t="s">
        <v>21</v>
      </c>
      <c r="I714" s="1" t="s">
        <v>22</v>
      </c>
      <c r="J714" s="2">
        <v>43526.459062499998</v>
      </c>
      <c r="K714" s="2">
        <v>43531.459062499998</v>
      </c>
      <c r="L714" s="2">
        <v>43532.459062499998</v>
      </c>
      <c r="M714" s="1">
        <f>_xlfn.DAYS(Table1[[#This Row],[actual_delivery_date]],Table1[[#This Row],[dispatch_date]])</f>
        <v>5</v>
      </c>
      <c r="N714">
        <v>50</v>
      </c>
      <c r="O714">
        <f>Table1[[#This Row],[transit_storage_cost]] * (1-'What -if Analysis'!$D$26)</f>
        <v>50</v>
      </c>
      <c r="P714">
        <v>109</v>
      </c>
      <c r="Q714">
        <v>1015.8518164521512</v>
      </c>
    </row>
    <row r="715" spans="1:17" x14ac:dyDescent="0.3">
      <c r="A715">
        <v>500185</v>
      </c>
      <c r="B715" s="1" t="s">
        <v>38</v>
      </c>
      <c r="C715" s="1" t="s">
        <v>16</v>
      </c>
      <c r="D715" s="1" t="s">
        <v>16</v>
      </c>
      <c r="E715" s="1" t="s">
        <v>27</v>
      </c>
      <c r="F715" s="1" t="s">
        <v>19</v>
      </c>
      <c r="G715" s="1" t="s">
        <v>20</v>
      </c>
      <c r="H715" t="s">
        <v>34</v>
      </c>
      <c r="I715" s="1" t="s">
        <v>22</v>
      </c>
      <c r="J715" s="2">
        <v>43527.463599537034</v>
      </c>
      <c r="K715" s="2">
        <v>43531.463599537034</v>
      </c>
      <c r="L715" s="2">
        <v>43534.463599537034</v>
      </c>
      <c r="M715" s="1">
        <f>_xlfn.DAYS(Table1[[#This Row],[actual_delivery_date]],Table1[[#This Row],[dispatch_date]])</f>
        <v>4</v>
      </c>
      <c r="N715">
        <v>0</v>
      </c>
      <c r="O715">
        <f>Table1[[#This Row],[transit_storage_cost]] * (1-'What -if Analysis'!$D$26)</f>
        <v>0</v>
      </c>
      <c r="P715">
        <v>105</v>
      </c>
      <c r="Q715">
        <v>1857.6500201811623</v>
      </c>
    </row>
    <row r="716" spans="1:17" x14ac:dyDescent="0.3">
      <c r="A716">
        <v>143533</v>
      </c>
      <c r="B716" s="1" t="s">
        <v>38</v>
      </c>
      <c r="C716" s="1" t="s">
        <v>16</v>
      </c>
      <c r="D716" s="1" t="s">
        <v>17</v>
      </c>
      <c r="E716" s="1" t="s">
        <v>18</v>
      </c>
      <c r="F716" s="1" t="s">
        <v>19</v>
      </c>
      <c r="G716" s="1" t="s">
        <v>20</v>
      </c>
      <c r="H716" t="s">
        <v>30</v>
      </c>
      <c r="I716" s="1" t="s">
        <v>22</v>
      </c>
      <c r="J716" s="2">
        <v>43526.465555555558</v>
      </c>
      <c r="K716" s="2">
        <v>43531.465555555558</v>
      </c>
      <c r="L716" s="2">
        <v>43531.465555555558</v>
      </c>
      <c r="M716" s="1">
        <f>_xlfn.DAYS(Table1[[#This Row],[actual_delivery_date]],Table1[[#This Row],[dispatch_date]])</f>
        <v>5</v>
      </c>
      <c r="N716">
        <v>68</v>
      </c>
      <c r="O716">
        <f>Table1[[#This Row],[transit_storage_cost]] * (1-'What -if Analysis'!$D$26)</f>
        <v>68</v>
      </c>
      <c r="P716">
        <v>88</v>
      </c>
      <c r="Q716">
        <v>1305.6443480000994</v>
      </c>
    </row>
    <row r="717" spans="1:17" x14ac:dyDescent="0.3">
      <c r="A717">
        <v>817711</v>
      </c>
      <c r="B717" s="1" t="s">
        <v>41</v>
      </c>
      <c r="C717" s="1" t="s">
        <v>16</v>
      </c>
      <c r="D717" s="1" t="s">
        <v>16</v>
      </c>
      <c r="E717" s="1" t="s">
        <v>27</v>
      </c>
      <c r="F717" s="1" t="s">
        <v>29</v>
      </c>
      <c r="G717" s="1" t="s">
        <v>20</v>
      </c>
      <c r="H717" t="s">
        <v>30</v>
      </c>
      <c r="I717" s="1" t="s">
        <v>22</v>
      </c>
      <c r="J717" s="2">
        <v>43530.467893518522</v>
      </c>
      <c r="K717" s="2">
        <v>43531.467893518522</v>
      </c>
      <c r="L717" s="2">
        <v>43535.467893518522</v>
      </c>
      <c r="M717" s="1">
        <f>_xlfn.DAYS(Table1[[#This Row],[actual_delivery_date]],Table1[[#This Row],[dispatch_date]])</f>
        <v>1</v>
      </c>
      <c r="N717">
        <v>0</v>
      </c>
      <c r="O717">
        <f>Table1[[#This Row],[transit_storage_cost]] * (1-'What -if Analysis'!$D$26)</f>
        <v>0</v>
      </c>
      <c r="P717">
        <v>124</v>
      </c>
      <c r="Q717">
        <v>959.51094564763298</v>
      </c>
    </row>
    <row r="718" spans="1:17" x14ac:dyDescent="0.3">
      <c r="A718">
        <v>326711</v>
      </c>
      <c r="B718" s="1" t="s">
        <v>41</v>
      </c>
      <c r="C718" s="1" t="s">
        <v>16</v>
      </c>
      <c r="D718" s="1" t="s">
        <v>23</v>
      </c>
      <c r="E718" s="1" t="s">
        <v>28</v>
      </c>
      <c r="F718" s="1" t="s">
        <v>29</v>
      </c>
      <c r="G718" s="1" t="s">
        <v>20</v>
      </c>
      <c r="H718" t="s">
        <v>34</v>
      </c>
      <c r="I718" s="1" t="s">
        <v>22</v>
      </c>
      <c r="J718" s="2">
        <v>43527.473865740743</v>
      </c>
      <c r="K718" s="2">
        <v>43531.473865740743</v>
      </c>
      <c r="L718" s="2">
        <v>43532.473865740743</v>
      </c>
      <c r="M718" s="1">
        <f>_xlfn.DAYS(Table1[[#This Row],[actual_delivery_date]],Table1[[#This Row],[dispatch_date]])</f>
        <v>4</v>
      </c>
      <c r="N718">
        <v>43</v>
      </c>
      <c r="O718">
        <f>Table1[[#This Row],[transit_storage_cost]] * (1-'What -if Analysis'!$D$26)</f>
        <v>43</v>
      </c>
      <c r="P718">
        <v>120</v>
      </c>
      <c r="Q718">
        <v>2073.6568636146812</v>
      </c>
    </row>
    <row r="719" spans="1:17" x14ac:dyDescent="0.3">
      <c r="A719">
        <v>33085</v>
      </c>
      <c r="B719" s="1" t="s">
        <v>38</v>
      </c>
      <c r="C719" s="1" t="s">
        <v>23</v>
      </c>
      <c r="D719" s="1" t="s">
        <v>32</v>
      </c>
      <c r="E719" s="1" t="s">
        <v>33</v>
      </c>
      <c r="F719" s="1" t="s">
        <v>29</v>
      </c>
      <c r="G719" s="1" t="s">
        <v>20</v>
      </c>
      <c r="H719" t="s">
        <v>30</v>
      </c>
      <c r="I719" s="1" t="s">
        <v>22</v>
      </c>
      <c r="J719" s="2">
        <v>43527.475034722222</v>
      </c>
      <c r="K719" s="2">
        <v>43531.475034722222</v>
      </c>
      <c r="L719" s="2">
        <v>43530.475034722222</v>
      </c>
      <c r="M719" s="1">
        <f>_xlfn.DAYS(Table1[[#This Row],[actual_delivery_date]],Table1[[#This Row],[dispatch_date]])</f>
        <v>4</v>
      </c>
      <c r="N719">
        <v>33</v>
      </c>
      <c r="O719">
        <f>Table1[[#This Row],[transit_storage_cost]] * (1-'What -if Analysis'!$D$26)</f>
        <v>33</v>
      </c>
      <c r="P719">
        <v>112</v>
      </c>
      <c r="Q719">
        <v>3313.571067553296</v>
      </c>
    </row>
    <row r="720" spans="1:17" x14ac:dyDescent="0.3">
      <c r="A720">
        <v>330104</v>
      </c>
      <c r="B720" s="1" t="s">
        <v>39</v>
      </c>
      <c r="C720" s="1" t="s">
        <v>16</v>
      </c>
      <c r="D720" s="1" t="s">
        <v>17</v>
      </c>
      <c r="E720" s="1" t="s">
        <v>18</v>
      </c>
      <c r="F720" s="1" t="s">
        <v>19</v>
      </c>
      <c r="G720" s="1" t="s">
        <v>20</v>
      </c>
      <c r="H720" t="s">
        <v>21</v>
      </c>
      <c r="I720" s="1" t="s">
        <v>22</v>
      </c>
      <c r="J720" s="2">
        <v>43527.476261574076</v>
      </c>
      <c r="K720" s="2">
        <v>43531.476261574076</v>
      </c>
      <c r="L720" s="2">
        <v>43530.476261574076</v>
      </c>
      <c r="M720" s="1">
        <f>_xlfn.DAYS(Table1[[#This Row],[actual_delivery_date]],Table1[[#This Row],[dispatch_date]])</f>
        <v>4</v>
      </c>
      <c r="N720">
        <v>46</v>
      </c>
      <c r="O720">
        <f>Table1[[#This Row],[transit_storage_cost]] * (1-'What -if Analysis'!$D$26)</f>
        <v>46</v>
      </c>
      <c r="P720">
        <v>112</v>
      </c>
      <c r="Q720">
        <v>1914.6191854701783</v>
      </c>
    </row>
    <row r="721" spans="1:17" x14ac:dyDescent="0.3">
      <c r="A721">
        <v>595640</v>
      </c>
      <c r="B721" s="1" t="s">
        <v>38</v>
      </c>
      <c r="C721" s="1" t="s">
        <v>23</v>
      </c>
      <c r="D721" s="1" t="s">
        <v>16</v>
      </c>
      <c r="E721" s="1" t="s">
        <v>27</v>
      </c>
      <c r="F721" s="1" t="s">
        <v>19</v>
      </c>
      <c r="G721" s="1" t="s">
        <v>20</v>
      </c>
      <c r="H721" t="s">
        <v>21</v>
      </c>
      <c r="I721" s="1" t="s">
        <v>22</v>
      </c>
      <c r="J721" s="2">
        <v>43527.477141203701</v>
      </c>
      <c r="K721" s="2">
        <v>43531.477141203701</v>
      </c>
      <c r="L721" s="2">
        <v>43533.477141203701</v>
      </c>
      <c r="M721" s="1">
        <f>_xlfn.DAYS(Table1[[#This Row],[actual_delivery_date]],Table1[[#This Row],[dispatch_date]])</f>
        <v>4</v>
      </c>
      <c r="N721">
        <v>49</v>
      </c>
      <c r="O721">
        <f>Table1[[#This Row],[transit_storage_cost]] * (1-'What -if Analysis'!$D$26)</f>
        <v>49</v>
      </c>
      <c r="P721">
        <v>123</v>
      </c>
      <c r="Q721">
        <v>2232.615889724922</v>
      </c>
    </row>
    <row r="722" spans="1:17" x14ac:dyDescent="0.3">
      <c r="A722">
        <v>254925</v>
      </c>
      <c r="B722" s="1" t="s">
        <v>37</v>
      </c>
      <c r="C722" s="1" t="s">
        <v>16</v>
      </c>
      <c r="D722" s="1" t="s">
        <v>16</v>
      </c>
      <c r="E722" s="1" t="s">
        <v>27</v>
      </c>
      <c r="F722" s="1" t="s">
        <v>29</v>
      </c>
      <c r="G722" s="1" t="s">
        <v>20</v>
      </c>
      <c r="H722" t="s">
        <v>30</v>
      </c>
      <c r="I722" s="1" t="s">
        <v>26</v>
      </c>
      <c r="J722" s="2">
        <v>43525.480787037035</v>
      </c>
      <c r="K722" s="2">
        <v>43531.480787037035</v>
      </c>
      <c r="L722" s="2">
        <v>43532.480787037035</v>
      </c>
      <c r="M722" s="1">
        <f>_xlfn.DAYS(Table1[[#This Row],[actual_delivery_date]],Table1[[#This Row],[dispatch_date]])</f>
        <v>6</v>
      </c>
      <c r="N722">
        <v>0</v>
      </c>
      <c r="O722">
        <f>Table1[[#This Row],[transit_storage_cost]] * (1-'What -if Analysis'!$D$26)</f>
        <v>0</v>
      </c>
      <c r="P722">
        <v>123</v>
      </c>
      <c r="Q722">
        <v>389.86</v>
      </c>
    </row>
    <row r="723" spans="1:17" x14ac:dyDescent="0.3">
      <c r="A723">
        <v>427218</v>
      </c>
      <c r="B723" s="1" t="s">
        <v>38</v>
      </c>
      <c r="C723" s="1" t="s">
        <v>23</v>
      </c>
      <c r="D723" s="1" t="s">
        <v>16</v>
      </c>
      <c r="E723" s="1" t="s">
        <v>27</v>
      </c>
      <c r="F723" s="1" t="s">
        <v>19</v>
      </c>
      <c r="G723" s="1" t="s">
        <v>20</v>
      </c>
      <c r="H723" t="s">
        <v>21</v>
      </c>
      <c r="I723" s="1" t="s">
        <v>26</v>
      </c>
      <c r="J723" s="2">
        <v>43529.481365740743</v>
      </c>
      <c r="K723" s="2">
        <v>43531.481365740743</v>
      </c>
      <c r="L723" s="2">
        <v>43532.481365740743</v>
      </c>
      <c r="M723" s="1">
        <f>_xlfn.DAYS(Table1[[#This Row],[actual_delivery_date]],Table1[[#This Row],[dispatch_date]])</f>
        <v>2</v>
      </c>
      <c r="N723">
        <v>79</v>
      </c>
      <c r="O723">
        <f>Table1[[#This Row],[transit_storage_cost]] * (1-'What -if Analysis'!$D$26)</f>
        <v>79</v>
      </c>
      <c r="P723">
        <v>105</v>
      </c>
      <c r="Q723">
        <v>1876.59</v>
      </c>
    </row>
    <row r="724" spans="1:17" x14ac:dyDescent="0.3">
      <c r="A724">
        <v>573966</v>
      </c>
      <c r="B724" s="1" t="s">
        <v>41</v>
      </c>
      <c r="C724" s="1" t="s">
        <v>16</v>
      </c>
      <c r="D724" s="1" t="s">
        <v>32</v>
      </c>
      <c r="E724" s="1" t="s">
        <v>33</v>
      </c>
      <c r="F724" s="1" t="s">
        <v>31</v>
      </c>
      <c r="G724" s="1" t="s">
        <v>20</v>
      </c>
      <c r="H724" t="s">
        <v>21</v>
      </c>
      <c r="I724" s="1" t="s">
        <v>26</v>
      </c>
      <c r="J724" s="2">
        <v>43529.482164351852</v>
      </c>
      <c r="K724" s="2">
        <v>43531.482164351852</v>
      </c>
      <c r="L724" s="2">
        <v>43533.482164351852</v>
      </c>
      <c r="M724" s="1">
        <f>_xlfn.DAYS(Table1[[#This Row],[actual_delivery_date]],Table1[[#This Row],[dispatch_date]])</f>
        <v>2</v>
      </c>
      <c r="N724">
        <v>44</v>
      </c>
      <c r="O724">
        <f>Table1[[#This Row],[transit_storage_cost]] * (1-'What -if Analysis'!$D$26)</f>
        <v>44</v>
      </c>
      <c r="P724">
        <v>106</v>
      </c>
      <c r="Q724">
        <v>495.71</v>
      </c>
    </row>
    <row r="725" spans="1:17" x14ac:dyDescent="0.3">
      <c r="A725">
        <v>400721</v>
      </c>
      <c r="B725" s="1" t="s">
        <v>40</v>
      </c>
      <c r="C725" s="1" t="s">
        <v>16</v>
      </c>
      <c r="D725" s="1" t="s">
        <v>24</v>
      </c>
      <c r="E725" s="1" t="s">
        <v>25</v>
      </c>
      <c r="F725" s="1" t="s">
        <v>29</v>
      </c>
      <c r="G725" s="1" t="s">
        <v>20</v>
      </c>
      <c r="H725" t="s">
        <v>30</v>
      </c>
      <c r="I725" s="1" t="s">
        <v>22</v>
      </c>
      <c r="J725" s="2">
        <v>43525.484375</v>
      </c>
      <c r="K725" s="2">
        <v>43531.484375</v>
      </c>
      <c r="L725" s="2">
        <v>43532.484375</v>
      </c>
      <c r="M725" s="1">
        <f>_xlfn.DAYS(Table1[[#This Row],[actual_delivery_date]],Table1[[#This Row],[dispatch_date]])</f>
        <v>6</v>
      </c>
      <c r="N725">
        <v>43</v>
      </c>
      <c r="O725">
        <f>Table1[[#This Row],[transit_storage_cost]] * (1-'What -if Analysis'!$D$26)</f>
        <v>43</v>
      </c>
      <c r="P725">
        <v>121</v>
      </c>
      <c r="Q725">
        <v>1401.8339157645496</v>
      </c>
    </row>
    <row r="726" spans="1:17" x14ac:dyDescent="0.3">
      <c r="A726">
        <v>461954</v>
      </c>
      <c r="B726" s="1" t="s">
        <v>15</v>
      </c>
      <c r="C726" s="1" t="s">
        <v>23</v>
      </c>
      <c r="D726" s="1" t="s">
        <v>23</v>
      </c>
      <c r="E726" s="1" t="s">
        <v>28</v>
      </c>
      <c r="F726" s="1" t="s">
        <v>19</v>
      </c>
      <c r="G726" s="1" t="s">
        <v>20</v>
      </c>
      <c r="H726" t="s">
        <v>21</v>
      </c>
      <c r="I726" s="1" t="s">
        <v>22</v>
      </c>
      <c r="J726" s="2">
        <v>43531.48474537037</v>
      </c>
      <c r="K726" s="2">
        <v>43531.48474537037</v>
      </c>
      <c r="L726" s="2">
        <v>43534.48474537037</v>
      </c>
      <c r="M726" s="1">
        <f>_xlfn.DAYS(Table1[[#This Row],[actual_delivery_date]],Table1[[#This Row],[dispatch_date]])</f>
        <v>0</v>
      </c>
      <c r="N726">
        <v>0</v>
      </c>
      <c r="O726">
        <f>Table1[[#This Row],[transit_storage_cost]] * (1-'What -if Analysis'!$D$26)</f>
        <v>0</v>
      </c>
      <c r="P726">
        <v>108</v>
      </c>
      <c r="Q726">
        <v>2387.2216411237414</v>
      </c>
    </row>
    <row r="727" spans="1:17" x14ac:dyDescent="0.3">
      <c r="A727">
        <v>229711</v>
      </c>
      <c r="B727" s="1" t="s">
        <v>40</v>
      </c>
      <c r="C727" s="1" t="s">
        <v>23</v>
      </c>
      <c r="D727" s="1" t="s">
        <v>17</v>
      </c>
      <c r="E727" s="1" t="s">
        <v>18</v>
      </c>
      <c r="F727" s="1" t="s">
        <v>29</v>
      </c>
      <c r="G727" s="1" t="s">
        <v>20</v>
      </c>
      <c r="H727" t="s">
        <v>30</v>
      </c>
      <c r="I727" s="1" t="s">
        <v>22</v>
      </c>
      <c r="J727" s="2">
        <v>43526.485277777778</v>
      </c>
      <c r="K727" s="2">
        <v>43531.485277777778</v>
      </c>
      <c r="L727" s="2">
        <v>43533.485277777778</v>
      </c>
      <c r="M727" s="1">
        <f>_xlfn.DAYS(Table1[[#This Row],[actual_delivery_date]],Table1[[#This Row],[dispatch_date]])</f>
        <v>5</v>
      </c>
      <c r="N727">
        <v>48</v>
      </c>
      <c r="O727">
        <f>Table1[[#This Row],[transit_storage_cost]] * (1-'What -if Analysis'!$D$26)</f>
        <v>48</v>
      </c>
      <c r="P727">
        <v>110</v>
      </c>
      <c r="Q727">
        <v>1045.6628772070724</v>
      </c>
    </row>
    <row r="728" spans="1:17" x14ac:dyDescent="0.3">
      <c r="A728">
        <v>764473</v>
      </c>
      <c r="B728" s="1" t="s">
        <v>38</v>
      </c>
      <c r="C728" s="1" t="s">
        <v>16</v>
      </c>
      <c r="D728" s="1" t="s">
        <v>32</v>
      </c>
      <c r="E728" s="1" t="s">
        <v>33</v>
      </c>
      <c r="F728" s="1" t="s">
        <v>29</v>
      </c>
      <c r="G728" s="1" t="s">
        <v>20</v>
      </c>
      <c r="H728" t="s">
        <v>30</v>
      </c>
      <c r="I728" s="1" t="s">
        <v>22</v>
      </c>
      <c r="J728" s="2">
        <v>43526.491585648146</v>
      </c>
      <c r="K728" s="2">
        <v>43531.491585648146</v>
      </c>
      <c r="L728" s="2">
        <v>43530.491585648146</v>
      </c>
      <c r="M728" s="1">
        <f>_xlfn.DAYS(Table1[[#This Row],[actual_delivery_date]],Table1[[#This Row],[dispatch_date]])</f>
        <v>5</v>
      </c>
      <c r="N728">
        <v>25</v>
      </c>
      <c r="O728">
        <f>Table1[[#This Row],[transit_storage_cost]] * (1-'What -if Analysis'!$D$26)</f>
        <v>25</v>
      </c>
      <c r="P728">
        <v>108</v>
      </c>
      <c r="Q728">
        <v>3402.1657930803754</v>
      </c>
    </row>
    <row r="729" spans="1:17" x14ac:dyDescent="0.3">
      <c r="A729">
        <v>392298</v>
      </c>
      <c r="B729" s="1" t="s">
        <v>39</v>
      </c>
      <c r="C729" s="1" t="s">
        <v>16</v>
      </c>
      <c r="D729" s="1" t="s">
        <v>17</v>
      </c>
      <c r="E729" s="1" t="s">
        <v>18</v>
      </c>
      <c r="F729" s="1" t="s">
        <v>31</v>
      </c>
      <c r="G729" s="1" t="s">
        <v>20</v>
      </c>
      <c r="H729" t="s">
        <v>21</v>
      </c>
      <c r="I729" s="1" t="s">
        <v>26</v>
      </c>
      <c r="J729" s="2">
        <v>43525.492743055554</v>
      </c>
      <c r="K729" s="2">
        <v>43531.492743055554</v>
      </c>
      <c r="L729" s="2">
        <v>43530.492743055554</v>
      </c>
      <c r="M729" s="1">
        <f>_xlfn.DAYS(Table1[[#This Row],[actual_delivery_date]],Table1[[#This Row],[dispatch_date]])</f>
        <v>6</v>
      </c>
      <c r="N729">
        <v>50</v>
      </c>
      <c r="O729">
        <f>Table1[[#This Row],[transit_storage_cost]] * (1-'What -if Analysis'!$D$26)</f>
        <v>50</v>
      </c>
      <c r="P729">
        <v>112</v>
      </c>
      <c r="Q729">
        <v>3462.93</v>
      </c>
    </row>
    <row r="730" spans="1:17" x14ac:dyDescent="0.3">
      <c r="A730">
        <v>6016</v>
      </c>
      <c r="B730" s="1" t="s">
        <v>37</v>
      </c>
      <c r="C730" s="1" t="s">
        <v>16</v>
      </c>
      <c r="D730" s="1" t="s">
        <v>17</v>
      </c>
      <c r="E730" s="1" t="s">
        <v>18</v>
      </c>
      <c r="F730" s="1" t="s">
        <v>19</v>
      </c>
      <c r="G730" s="1" t="s">
        <v>20</v>
      </c>
      <c r="H730" t="s">
        <v>21</v>
      </c>
      <c r="I730" s="1" t="s">
        <v>22</v>
      </c>
      <c r="J730" s="2">
        <v>43526.496134259258</v>
      </c>
      <c r="K730" s="2">
        <v>43531.496134259258</v>
      </c>
      <c r="L730" s="2">
        <v>43529.496134259258</v>
      </c>
      <c r="M730" s="1">
        <f>_xlfn.DAYS(Table1[[#This Row],[actual_delivery_date]],Table1[[#This Row],[dispatch_date]])</f>
        <v>5</v>
      </c>
      <c r="N730">
        <v>29</v>
      </c>
      <c r="O730">
        <f>Table1[[#This Row],[transit_storage_cost]] * (1-'What -if Analysis'!$D$26)</f>
        <v>29</v>
      </c>
      <c r="P730">
        <v>114</v>
      </c>
      <c r="Q730">
        <v>1981.2472923838641</v>
      </c>
    </row>
    <row r="731" spans="1:17" x14ac:dyDescent="0.3">
      <c r="A731">
        <v>364152</v>
      </c>
      <c r="B731" s="1" t="s">
        <v>15</v>
      </c>
      <c r="C731" s="1" t="s">
        <v>23</v>
      </c>
      <c r="D731" s="1" t="s">
        <v>17</v>
      </c>
      <c r="E731" s="1" t="s">
        <v>18</v>
      </c>
      <c r="F731" s="1" t="s">
        <v>19</v>
      </c>
      <c r="G731" s="1" t="s">
        <v>20</v>
      </c>
      <c r="H731" t="s">
        <v>21</v>
      </c>
      <c r="I731" s="1" t="s">
        <v>26</v>
      </c>
      <c r="J731" s="2">
        <v>43526.508379629631</v>
      </c>
      <c r="K731" s="2">
        <v>43531.508379629631</v>
      </c>
      <c r="L731" s="2">
        <v>43531.508379629631</v>
      </c>
      <c r="M731" s="1">
        <f>_xlfn.DAYS(Table1[[#This Row],[actual_delivery_date]],Table1[[#This Row],[dispatch_date]])</f>
        <v>5</v>
      </c>
      <c r="N731">
        <v>81</v>
      </c>
      <c r="O731">
        <f>Table1[[#This Row],[transit_storage_cost]] * (1-'What -if Analysis'!$D$26)</f>
        <v>81</v>
      </c>
      <c r="P731">
        <v>93</v>
      </c>
      <c r="Q731">
        <v>2863.31</v>
      </c>
    </row>
    <row r="732" spans="1:17" x14ac:dyDescent="0.3">
      <c r="A732">
        <v>823141</v>
      </c>
      <c r="B732" s="1" t="s">
        <v>38</v>
      </c>
      <c r="C732" s="1" t="s">
        <v>23</v>
      </c>
      <c r="D732" s="1" t="s">
        <v>23</v>
      </c>
      <c r="E732" s="1" t="s">
        <v>28</v>
      </c>
      <c r="F732" s="1" t="s">
        <v>29</v>
      </c>
      <c r="G732" s="1" t="s">
        <v>20</v>
      </c>
      <c r="H732" t="s">
        <v>30</v>
      </c>
      <c r="I732" s="1" t="s">
        <v>22</v>
      </c>
      <c r="J732" s="2">
        <v>43530.51116898148</v>
      </c>
      <c r="K732" s="2">
        <v>43531.51116898148</v>
      </c>
      <c r="L732" s="2">
        <v>43535.51116898148</v>
      </c>
      <c r="M732" s="1">
        <f>_xlfn.DAYS(Table1[[#This Row],[actual_delivery_date]],Table1[[#This Row],[dispatch_date]])</f>
        <v>1</v>
      </c>
      <c r="N732">
        <v>0</v>
      </c>
      <c r="O732">
        <f>Table1[[#This Row],[transit_storage_cost]] * (1-'What -if Analysis'!$D$26)</f>
        <v>0</v>
      </c>
      <c r="P732">
        <v>121</v>
      </c>
      <c r="Q732">
        <v>1855.4913567861013</v>
      </c>
    </row>
    <row r="733" spans="1:17" x14ac:dyDescent="0.3">
      <c r="A733">
        <v>481749</v>
      </c>
      <c r="B733" s="1" t="s">
        <v>38</v>
      </c>
      <c r="C733" s="1" t="s">
        <v>16</v>
      </c>
      <c r="D733" s="1" t="s">
        <v>16</v>
      </c>
      <c r="E733" s="1" t="s">
        <v>27</v>
      </c>
      <c r="F733" s="1" t="s">
        <v>29</v>
      </c>
      <c r="G733" s="1" t="s">
        <v>20</v>
      </c>
      <c r="H733" t="s">
        <v>30</v>
      </c>
      <c r="I733" s="1" t="s">
        <v>26</v>
      </c>
      <c r="J733" s="2">
        <v>43525.512719907405</v>
      </c>
      <c r="K733" s="2">
        <v>43531.512719907405</v>
      </c>
      <c r="L733" s="2">
        <v>43528.512719907405</v>
      </c>
      <c r="M733" s="1">
        <f>_xlfn.DAYS(Table1[[#This Row],[actual_delivery_date]],Table1[[#This Row],[dispatch_date]])</f>
        <v>6</v>
      </c>
      <c r="N733">
        <v>0</v>
      </c>
      <c r="O733">
        <f>Table1[[#This Row],[transit_storage_cost]] * (1-'What -if Analysis'!$D$26)</f>
        <v>0</v>
      </c>
      <c r="P733">
        <v>127</v>
      </c>
      <c r="Q733">
        <v>3289.93</v>
      </c>
    </row>
    <row r="734" spans="1:17" x14ac:dyDescent="0.3">
      <c r="A734">
        <v>475016</v>
      </c>
      <c r="B734" s="1" t="s">
        <v>37</v>
      </c>
      <c r="C734" s="1" t="s">
        <v>23</v>
      </c>
      <c r="D734" s="1" t="s">
        <v>16</v>
      </c>
      <c r="E734" s="1" t="s">
        <v>27</v>
      </c>
      <c r="F734" s="1" t="s">
        <v>19</v>
      </c>
      <c r="G734" s="1" t="s">
        <v>20</v>
      </c>
      <c r="H734" t="s">
        <v>21</v>
      </c>
      <c r="I734" s="1" t="s">
        <v>22</v>
      </c>
      <c r="J734" s="2">
        <v>43529.513506944444</v>
      </c>
      <c r="K734" s="2">
        <v>43531.513506944444</v>
      </c>
      <c r="L734" s="2">
        <v>43536.513506944444</v>
      </c>
      <c r="M734" s="1">
        <f>_xlfn.DAYS(Table1[[#This Row],[actual_delivery_date]],Table1[[#This Row],[dispatch_date]])</f>
        <v>2</v>
      </c>
      <c r="N734">
        <v>63</v>
      </c>
      <c r="O734">
        <f>Table1[[#This Row],[transit_storage_cost]] * (1-'What -if Analysis'!$D$26)</f>
        <v>63</v>
      </c>
      <c r="P734">
        <v>104</v>
      </c>
      <c r="Q734">
        <v>976.66594112021914</v>
      </c>
    </row>
    <row r="735" spans="1:17" x14ac:dyDescent="0.3">
      <c r="A735">
        <v>200848</v>
      </c>
      <c r="B735" s="1" t="s">
        <v>41</v>
      </c>
      <c r="C735" s="1" t="s">
        <v>16</v>
      </c>
      <c r="D735" s="1" t="s">
        <v>32</v>
      </c>
      <c r="E735" s="1" t="s">
        <v>33</v>
      </c>
      <c r="F735" s="1" t="s">
        <v>19</v>
      </c>
      <c r="G735" s="1" t="s">
        <v>20</v>
      </c>
      <c r="H735" t="s">
        <v>21</v>
      </c>
      <c r="I735" s="1" t="s">
        <v>22</v>
      </c>
      <c r="J735" s="2">
        <v>43526.514236111114</v>
      </c>
      <c r="K735" s="2">
        <v>43531.514236111114</v>
      </c>
      <c r="L735" s="2">
        <v>43531.514236111114</v>
      </c>
      <c r="M735" s="1">
        <f>_xlfn.DAYS(Table1[[#This Row],[actual_delivery_date]],Table1[[#This Row],[dispatch_date]])</f>
        <v>5</v>
      </c>
      <c r="N735">
        <v>29</v>
      </c>
      <c r="O735">
        <f>Table1[[#This Row],[transit_storage_cost]] * (1-'What -if Analysis'!$D$26)</f>
        <v>29</v>
      </c>
      <c r="P735">
        <v>114</v>
      </c>
      <c r="Q735">
        <v>1928.4975340872145</v>
      </c>
    </row>
    <row r="736" spans="1:17" x14ac:dyDescent="0.3">
      <c r="A736">
        <v>567405</v>
      </c>
      <c r="B736" s="1" t="s">
        <v>38</v>
      </c>
      <c r="C736" s="1" t="s">
        <v>23</v>
      </c>
      <c r="D736" s="1" t="s">
        <v>23</v>
      </c>
      <c r="E736" s="1" t="s">
        <v>28</v>
      </c>
      <c r="F736" s="1" t="s">
        <v>19</v>
      </c>
      <c r="G736" s="1" t="s">
        <v>20</v>
      </c>
      <c r="H736" t="s">
        <v>30</v>
      </c>
      <c r="I736" s="1" t="s">
        <v>26</v>
      </c>
      <c r="J736" s="2">
        <v>43527.516655092593</v>
      </c>
      <c r="K736" s="2">
        <v>43531.516655092593</v>
      </c>
      <c r="L736" s="2">
        <v>43534.516655092593</v>
      </c>
      <c r="M736" s="1">
        <f>_xlfn.DAYS(Table1[[#This Row],[actual_delivery_date]],Table1[[#This Row],[dispatch_date]])</f>
        <v>4</v>
      </c>
      <c r="N736">
        <v>0</v>
      </c>
      <c r="O736">
        <f>Table1[[#This Row],[transit_storage_cost]] * (1-'What -if Analysis'!$D$26)</f>
        <v>0</v>
      </c>
      <c r="P736">
        <v>108</v>
      </c>
      <c r="Q736">
        <v>801.9</v>
      </c>
    </row>
    <row r="737" spans="1:17" x14ac:dyDescent="0.3">
      <c r="A737">
        <v>581019</v>
      </c>
      <c r="B737" s="1" t="s">
        <v>37</v>
      </c>
      <c r="C737" s="1" t="s">
        <v>16</v>
      </c>
      <c r="D737" s="1" t="s">
        <v>16</v>
      </c>
      <c r="E737" s="1" t="s">
        <v>27</v>
      </c>
      <c r="F737" s="1" t="s">
        <v>29</v>
      </c>
      <c r="G737" s="1" t="s">
        <v>20</v>
      </c>
      <c r="H737" t="s">
        <v>30</v>
      </c>
      <c r="I737" s="1" t="s">
        <v>26</v>
      </c>
      <c r="J737" s="2">
        <v>43526.516701388886</v>
      </c>
      <c r="K737" s="2">
        <v>43531.516701388886</v>
      </c>
      <c r="L737" s="2">
        <v>43532.516701388886</v>
      </c>
      <c r="M737" s="1">
        <f>_xlfn.DAYS(Table1[[#This Row],[actual_delivery_date]],Table1[[#This Row],[dispatch_date]])</f>
        <v>5</v>
      </c>
      <c r="N737">
        <v>0</v>
      </c>
      <c r="O737">
        <f>Table1[[#This Row],[transit_storage_cost]] * (1-'What -if Analysis'!$D$26)</f>
        <v>0</v>
      </c>
      <c r="P737">
        <v>129</v>
      </c>
      <c r="Q737">
        <v>2623.5</v>
      </c>
    </row>
    <row r="738" spans="1:17" x14ac:dyDescent="0.3">
      <c r="A738">
        <v>961764</v>
      </c>
      <c r="B738" s="1" t="s">
        <v>38</v>
      </c>
      <c r="C738" s="1" t="s">
        <v>16</v>
      </c>
      <c r="D738" s="1" t="s">
        <v>16</v>
      </c>
      <c r="E738" s="1" t="s">
        <v>27</v>
      </c>
      <c r="F738" s="1" t="s">
        <v>19</v>
      </c>
      <c r="G738" s="1" t="s">
        <v>20</v>
      </c>
      <c r="H738" t="s">
        <v>21</v>
      </c>
      <c r="I738" s="1" t="s">
        <v>26</v>
      </c>
      <c r="J738" s="2">
        <v>43528.517893518518</v>
      </c>
      <c r="K738" s="2">
        <v>43531.517893518518</v>
      </c>
      <c r="L738" s="2">
        <v>43533.517893518518</v>
      </c>
      <c r="M738" s="1">
        <f>_xlfn.DAYS(Table1[[#This Row],[actual_delivery_date]],Table1[[#This Row],[dispatch_date]])</f>
        <v>3</v>
      </c>
      <c r="N738">
        <v>0</v>
      </c>
      <c r="O738">
        <f>Table1[[#This Row],[transit_storage_cost]] * (1-'What -if Analysis'!$D$26)</f>
        <v>0</v>
      </c>
      <c r="P738">
        <v>127</v>
      </c>
      <c r="Q738">
        <v>2014.55</v>
      </c>
    </row>
    <row r="739" spans="1:17" x14ac:dyDescent="0.3">
      <c r="A739">
        <v>990525</v>
      </c>
      <c r="B739" s="1" t="s">
        <v>38</v>
      </c>
      <c r="C739" s="1" t="s">
        <v>23</v>
      </c>
      <c r="D739" s="1" t="s">
        <v>32</v>
      </c>
      <c r="E739" s="1" t="s">
        <v>33</v>
      </c>
      <c r="F739" s="1" t="s">
        <v>19</v>
      </c>
      <c r="G739" s="1" t="s">
        <v>20</v>
      </c>
      <c r="H739" t="s">
        <v>30</v>
      </c>
      <c r="I739" s="1" t="s">
        <v>26</v>
      </c>
      <c r="J739" s="2">
        <v>43527.519305555557</v>
      </c>
      <c r="K739" s="2">
        <v>43531.519305555557</v>
      </c>
      <c r="L739" s="2">
        <v>43534.519305555557</v>
      </c>
      <c r="M739" s="1">
        <f>_xlfn.DAYS(Table1[[#This Row],[actual_delivery_date]],Table1[[#This Row],[dispatch_date]])</f>
        <v>4</v>
      </c>
      <c r="N739">
        <v>70</v>
      </c>
      <c r="O739">
        <f>Table1[[#This Row],[transit_storage_cost]] * (1-'What -if Analysis'!$D$26)</f>
        <v>70</v>
      </c>
      <c r="P739">
        <v>88</v>
      </c>
      <c r="Q739">
        <v>2778.05</v>
      </c>
    </row>
    <row r="740" spans="1:17" x14ac:dyDescent="0.3">
      <c r="A740">
        <v>199403</v>
      </c>
      <c r="B740" s="1" t="s">
        <v>38</v>
      </c>
      <c r="C740" s="1" t="s">
        <v>16</v>
      </c>
      <c r="D740" s="1" t="s">
        <v>23</v>
      </c>
      <c r="E740" s="1" t="s">
        <v>28</v>
      </c>
      <c r="F740" s="1" t="s">
        <v>29</v>
      </c>
      <c r="G740" s="1" t="s">
        <v>20</v>
      </c>
      <c r="H740" t="s">
        <v>30</v>
      </c>
      <c r="I740" s="1" t="s">
        <v>22</v>
      </c>
      <c r="J740" s="2">
        <v>43525.523645833331</v>
      </c>
      <c r="K740" s="2">
        <v>43531.523645833331</v>
      </c>
      <c r="L740" s="2">
        <v>43528.523645833331</v>
      </c>
      <c r="M740" s="1">
        <f>_xlfn.DAYS(Table1[[#This Row],[actual_delivery_date]],Table1[[#This Row],[dispatch_date]])</f>
        <v>6</v>
      </c>
      <c r="N740">
        <v>50</v>
      </c>
      <c r="O740">
        <f>Table1[[#This Row],[transit_storage_cost]] * (1-'What -if Analysis'!$D$26)</f>
        <v>50</v>
      </c>
      <c r="P740">
        <v>123</v>
      </c>
      <c r="Q740">
        <v>1127.2167494618018</v>
      </c>
    </row>
    <row r="741" spans="1:17" x14ac:dyDescent="0.3">
      <c r="A741">
        <v>102325</v>
      </c>
      <c r="B741" s="1" t="s">
        <v>41</v>
      </c>
      <c r="C741" s="1" t="s">
        <v>16</v>
      </c>
      <c r="D741" s="1" t="s">
        <v>17</v>
      </c>
      <c r="E741" s="1" t="s">
        <v>18</v>
      </c>
      <c r="F741" s="1" t="s">
        <v>29</v>
      </c>
      <c r="G741" s="1" t="s">
        <v>20</v>
      </c>
      <c r="H741" t="s">
        <v>30</v>
      </c>
      <c r="I741" s="1" t="s">
        <v>22</v>
      </c>
      <c r="J741" s="2">
        <v>43527.540671296294</v>
      </c>
      <c r="K741" s="2">
        <v>43531.540671296294</v>
      </c>
      <c r="L741" s="2">
        <v>43532.540671296294</v>
      </c>
      <c r="M741" s="1">
        <f>_xlfn.DAYS(Table1[[#This Row],[actual_delivery_date]],Table1[[#This Row],[dispatch_date]])</f>
        <v>4</v>
      </c>
      <c r="N741">
        <v>26</v>
      </c>
      <c r="O741">
        <f>Table1[[#This Row],[transit_storage_cost]] * (1-'What -if Analysis'!$D$26)</f>
        <v>26</v>
      </c>
      <c r="P741">
        <v>109</v>
      </c>
      <c r="Q741">
        <v>1552.4243996944883</v>
      </c>
    </row>
    <row r="742" spans="1:17" x14ac:dyDescent="0.3">
      <c r="A742">
        <v>411259</v>
      </c>
      <c r="B742" s="1" t="s">
        <v>38</v>
      </c>
      <c r="C742" s="1" t="s">
        <v>23</v>
      </c>
      <c r="D742" s="1" t="s">
        <v>16</v>
      </c>
      <c r="E742" s="1" t="s">
        <v>27</v>
      </c>
      <c r="F742" s="1" t="s">
        <v>29</v>
      </c>
      <c r="G742" s="1" t="s">
        <v>20</v>
      </c>
      <c r="H742" t="s">
        <v>30</v>
      </c>
      <c r="I742" s="1" t="s">
        <v>22</v>
      </c>
      <c r="J742" s="2">
        <v>43526.540682870371</v>
      </c>
      <c r="K742" s="2">
        <v>43531.540682870371</v>
      </c>
      <c r="L742" s="2">
        <v>43533.540682870371</v>
      </c>
      <c r="M742" s="1">
        <f>_xlfn.DAYS(Table1[[#This Row],[actual_delivery_date]],Table1[[#This Row],[dispatch_date]])</f>
        <v>5</v>
      </c>
      <c r="N742">
        <v>34</v>
      </c>
      <c r="O742">
        <f>Table1[[#This Row],[transit_storage_cost]] * (1-'What -if Analysis'!$D$26)</f>
        <v>34</v>
      </c>
      <c r="P742">
        <v>124</v>
      </c>
      <c r="Q742">
        <v>1177.0250410308829</v>
      </c>
    </row>
    <row r="743" spans="1:17" x14ac:dyDescent="0.3">
      <c r="A743">
        <v>206522</v>
      </c>
      <c r="B743" s="1" t="s">
        <v>41</v>
      </c>
      <c r="C743" s="1" t="s">
        <v>16</v>
      </c>
      <c r="D743" s="1" t="s">
        <v>23</v>
      </c>
      <c r="E743" s="1" t="s">
        <v>28</v>
      </c>
      <c r="F743" s="1" t="s">
        <v>19</v>
      </c>
      <c r="G743" s="1" t="s">
        <v>20</v>
      </c>
      <c r="H743" t="s">
        <v>21</v>
      </c>
      <c r="I743" s="1" t="s">
        <v>22</v>
      </c>
      <c r="J743" s="2">
        <v>43528.546180555553</v>
      </c>
      <c r="K743" s="2">
        <v>43531.546180555553</v>
      </c>
      <c r="L743" s="2">
        <v>43535.546180555553</v>
      </c>
      <c r="M743" s="1">
        <f>_xlfn.DAYS(Table1[[#This Row],[actual_delivery_date]],Table1[[#This Row],[dispatch_date]])</f>
        <v>3</v>
      </c>
      <c r="N743">
        <v>58</v>
      </c>
      <c r="O743">
        <f>Table1[[#This Row],[transit_storage_cost]] * (1-'What -if Analysis'!$D$26)</f>
        <v>58</v>
      </c>
      <c r="P743">
        <v>107</v>
      </c>
      <c r="Q743">
        <v>836.94478192573922</v>
      </c>
    </row>
    <row r="744" spans="1:17" x14ac:dyDescent="0.3">
      <c r="A744">
        <v>676736</v>
      </c>
      <c r="B744" s="1" t="s">
        <v>40</v>
      </c>
      <c r="C744" s="1" t="s">
        <v>23</v>
      </c>
      <c r="D744" s="1" t="s">
        <v>16</v>
      </c>
      <c r="E744" s="1" t="s">
        <v>27</v>
      </c>
      <c r="F744" s="1" t="s">
        <v>19</v>
      </c>
      <c r="G744" s="1" t="s">
        <v>20</v>
      </c>
      <c r="H744" t="s">
        <v>21</v>
      </c>
      <c r="I744" s="1" t="s">
        <v>22</v>
      </c>
      <c r="J744" s="2">
        <v>43525.548263888886</v>
      </c>
      <c r="K744" s="2">
        <v>43531.548263888886</v>
      </c>
      <c r="L744" s="2">
        <v>43529.548263888886</v>
      </c>
      <c r="M744" s="1">
        <f>_xlfn.DAYS(Table1[[#This Row],[actual_delivery_date]],Table1[[#This Row],[dispatch_date]])</f>
        <v>6</v>
      </c>
      <c r="N744">
        <v>63</v>
      </c>
      <c r="O744">
        <f>Table1[[#This Row],[transit_storage_cost]] * (1-'What -if Analysis'!$D$26)</f>
        <v>63</v>
      </c>
      <c r="P744">
        <v>101</v>
      </c>
      <c r="Q744">
        <v>3110.7364595441259</v>
      </c>
    </row>
    <row r="745" spans="1:17" x14ac:dyDescent="0.3">
      <c r="A745">
        <v>956162</v>
      </c>
      <c r="B745" s="1" t="s">
        <v>39</v>
      </c>
      <c r="C745" s="1" t="s">
        <v>23</v>
      </c>
      <c r="D745" s="1" t="s">
        <v>24</v>
      </c>
      <c r="E745" s="1" t="s">
        <v>25</v>
      </c>
      <c r="F745" s="1" t="s">
        <v>31</v>
      </c>
      <c r="G745" s="1" t="s">
        <v>20</v>
      </c>
      <c r="H745" t="s">
        <v>21</v>
      </c>
      <c r="I745" s="1" t="s">
        <v>22</v>
      </c>
      <c r="J745" s="2">
        <v>43525.548495370371</v>
      </c>
      <c r="K745" s="2">
        <v>43531.548495370371</v>
      </c>
      <c r="L745" s="2">
        <v>43531.548495370371</v>
      </c>
      <c r="M745" s="1">
        <f>_xlfn.DAYS(Table1[[#This Row],[actual_delivery_date]],Table1[[#This Row],[dispatch_date]])</f>
        <v>6</v>
      </c>
      <c r="N745">
        <v>43</v>
      </c>
      <c r="O745">
        <f>Table1[[#This Row],[transit_storage_cost]] * (1-'What -if Analysis'!$D$26)</f>
        <v>43</v>
      </c>
      <c r="P745">
        <v>123</v>
      </c>
      <c r="Q745">
        <v>939.64583189549637</v>
      </c>
    </row>
    <row r="746" spans="1:17" x14ac:dyDescent="0.3">
      <c r="A746">
        <v>292052</v>
      </c>
      <c r="B746" s="1" t="s">
        <v>41</v>
      </c>
      <c r="C746" s="1" t="s">
        <v>16</v>
      </c>
      <c r="D746" s="1" t="s">
        <v>32</v>
      </c>
      <c r="E746" s="1" t="s">
        <v>33</v>
      </c>
      <c r="F746" s="1" t="s">
        <v>19</v>
      </c>
      <c r="G746" s="1" t="s">
        <v>20</v>
      </c>
      <c r="H746" t="s">
        <v>21</v>
      </c>
      <c r="I746" s="1" t="s">
        <v>22</v>
      </c>
      <c r="J746" s="2">
        <v>43525.550011574072</v>
      </c>
      <c r="K746" s="2">
        <v>43531.550011574072</v>
      </c>
      <c r="L746" s="2">
        <v>43532.550011574072</v>
      </c>
      <c r="M746" s="1">
        <f>_xlfn.DAYS(Table1[[#This Row],[actual_delivery_date]],Table1[[#This Row],[dispatch_date]])</f>
        <v>6</v>
      </c>
      <c r="N746">
        <v>32</v>
      </c>
      <c r="O746">
        <f>Table1[[#This Row],[transit_storage_cost]] * (1-'What -if Analysis'!$D$26)</f>
        <v>32</v>
      </c>
      <c r="P746">
        <v>105</v>
      </c>
      <c r="Q746">
        <v>1117.2343487844396</v>
      </c>
    </row>
    <row r="747" spans="1:17" x14ac:dyDescent="0.3">
      <c r="A747">
        <v>335857</v>
      </c>
      <c r="B747" s="1" t="s">
        <v>37</v>
      </c>
      <c r="C747" s="1" t="s">
        <v>16</v>
      </c>
      <c r="D747" s="1" t="s">
        <v>17</v>
      </c>
      <c r="E747" s="1" t="s">
        <v>18</v>
      </c>
      <c r="F747" s="1" t="s">
        <v>29</v>
      </c>
      <c r="G747" s="1" t="s">
        <v>20</v>
      </c>
      <c r="H747" t="s">
        <v>30</v>
      </c>
      <c r="I747" s="1" t="s">
        <v>22</v>
      </c>
      <c r="J747" s="2">
        <v>43525.550578703704</v>
      </c>
      <c r="K747" s="2">
        <v>43531.550578703704</v>
      </c>
      <c r="L747" s="2">
        <v>43529.550578703704</v>
      </c>
      <c r="M747" s="1">
        <f>_xlfn.DAYS(Table1[[#This Row],[actual_delivery_date]],Table1[[#This Row],[dispatch_date]])</f>
        <v>6</v>
      </c>
      <c r="N747">
        <v>42</v>
      </c>
      <c r="O747">
        <f>Table1[[#This Row],[transit_storage_cost]] * (1-'What -if Analysis'!$D$26)</f>
        <v>42</v>
      </c>
      <c r="P747">
        <v>115</v>
      </c>
      <c r="Q747">
        <v>655.23589678129906</v>
      </c>
    </row>
    <row r="748" spans="1:17" x14ac:dyDescent="0.3">
      <c r="A748">
        <v>159219</v>
      </c>
      <c r="B748" s="1" t="s">
        <v>41</v>
      </c>
      <c r="C748" s="1" t="s">
        <v>16</v>
      </c>
      <c r="D748" s="1" t="s">
        <v>32</v>
      </c>
      <c r="E748" s="1" t="s">
        <v>33</v>
      </c>
      <c r="F748" s="1" t="s">
        <v>29</v>
      </c>
      <c r="G748" s="1" t="s">
        <v>20</v>
      </c>
      <c r="H748" t="s">
        <v>30</v>
      </c>
      <c r="I748" s="1" t="s">
        <v>26</v>
      </c>
      <c r="J748" s="2">
        <v>43526.555428240739</v>
      </c>
      <c r="K748" s="2">
        <v>43531.555428240739</v>
      </c>
      <c r="L748" s="2">
        <v>43531.555428240739</v>
      </c>
      <c r="M748" s="1">
        <f>_xlfn.DAYS(Table1[[#This Row],[actual_delivery_date]],Table1[[#This Row],[dispatch_date]])</f>
        <v>5</v>
      </c>
      <c r="N748">
        <v>45</v>
      </c>
      <c r="O748">
        <f>Table1[[#This Row],[transit_storage_cost]] * (1-'What -if Analysis'!$D$26)</f>
        <v>45</v>
      </c>
      <c r="P748">
        <v>106</v>
      </c>
      <c r="Q748">
        <v>2206.52</v>
      </c>
    </row>
    <row r="749" spans="1:17" x14ac:dyDescent="0.3">
      <c r="A749">
        <v>86736</v>
      </c>
      <c r="B749" s="1" t="s">
        <v>40</v>
      </c>
      <c r="C749" s="1" t="s">
        <v>16</v>
      </c>
      <c r="D749" s="1" t="s">
        <v>17</v>
      </c>
      <c r="E749" s="1" t="s">
        <v>18</v>
      </c>
      <c r="F749" s="1" t="s">
        <v>19</v>
      </c>
      <c r="G749" s="1" t="s">
        <v>20</v>
      </c>
      <c r="H749" t="s">
        <v>21</v>
      </c>
      <c r="I749" s="1" t="s">
        <v>26</v>
      </c>
      <c r="J749" s="2">
        <v>43529.556921296295</v>
      </c>
      <c r="K749" s="2">
        <v>43531.556921296295</v>
      </c>
      <c r="L749" s="2">
        <v>43534.556921296295</v>
      </c>
      <c r="M749" s="1">
        <f>_xlfn.DAYS(Table1[[#This Row],[actual_delivery_date]],Table1[[#This Row],[dispatch_date]])</f>
        <v>2</v>
      </c>
      <c r="N749">
        <v>44</v>
      </c>
      <c r="O749">
        <f>Table1[[#This Row],[transit_storage_cost]] * (1-'What -if Analysis'!$D$26)</f>
        <v>44</v>
      </c>
      <c r="P749">
        <v>113</v>
      </c>
      <c r="Q749">
        <v>689.76</v>
      </c>
    </row>
    <row r="750" spans="1:17" x14ac:dyDescent="0.3">
      <c r="A750">
        <v>642847</v>
      </c>
      <c r="B750" s="1" t="s">
        <v>41</v>
      </c>
      <c r="C750" s="1" t="s">
        <v>23</v>
      </c>
      <c r="D750" s="1" t="s">
        <v>17</v>
      </c>
      <c r="E750" s="1" t="s">
        <v>18</v>
      </c>
      <c r="F750" s="1" t="s">
        <v>29</v>
      </c>
      <c r="G750" s="1" t="s">
        <v>20</v>
      </c>
      <c r="H750" t="s">
        <v>30</v>
      </c>
      <c r="I750" s="1" t="s">
        <v>22</v>
      </c>
      <c r="J750" s="2">
        <v>43527.557881944442</v>
      </c>
      <c r="K750" s="2">
        <v>43531.557881944442</v>
      </c>
      <c r="L750" s="2">
        <v>43534.557881944442</v>
      </c>
      <c r="M750" s="1">
        <f>_xlfn.DAYS(Table1[[#This Row],[actual_delivery_date]],Table1[[#This Row],[dispatch_date]])</f>
        <v>4</v>
      </c>
      <c r="N750">
        <v>47</v>
      </c>
      <c r="O750">
        <f>Table1[[#This Row],[transit_storage_cost]] * (1-'What -if Analysis'!$D$26)</f>
        <v>47</v>
      </c>
      <c r="P750">
        <v>108</v>
      </c>
      <c r="Q750">
        <v>2908.9893077245006</v>
      </c>
    </row>
    <row r="751" spans="1:17" x14ac:dyDescent="0.3">
      <c r="A751">
        <v>759844</v>
      </c>
      <c r="B751" s="1" t="s">
        <v>37</v>
      </c>
      <c r="C751" s="1" t="s">
        <v>16</v>
      </c>
      <c r="D751" s="1" t="s">
        <v>16</v>
      </c>
      <c r="E751" s="1" t="s">
        <v>27</v>
      </c>
      <c r="F751" s="1" t="s">
        <v>19</v>
      </c>
      <c r="G751" s="1" t="s">
        <v>20</v>
      </c>
      <c r="H751" t="s">
        <v>21</v>
      </c>
      <c r="I751" s="1" t="s">
        <v>22</v>
      </c>
      <c r="J751" s="2">
        <v>43527.568298611113</v>
      </c>
      <c r="K751" s="2">
        <v>43531.568298611113</v>
      </c>
      <c r="L751" s="2">
        <v>43532.568298611113</v>
      </c>
      <c r="M751" s="1">
        <f>_xlfn.DAYS(Table1[[#This Row],[actual_delivery_date]],Table1[[#This Row],[dispatch_date]])</f>
        <v>4</v>
      </c>
      <c r="N751">
        <v>0</v>
      </c>
      <c r="O751">
        <f>Table1[[#This Row],[transit_storage_cost]] * (1-'What -if Analysis'!$D$26)</f>
        <v>0</v>
      </c>
      <c r="P751">
        <v>106</v>
      </c>
      <c r="Q751">
        <v>3197.0785001791705</v>
      </c>
    </row>
    <row r="752" spans="1:17" x14ac:dyDescent="0.3">
      <c r="A752">
        <v>458791</v>
      </c>
      <c r="B752" s="1" t="s">
        <v>37</v>
      </c>
      <c r="C752" s="1" t="s">
        <v>16</v>
      </c>
      <c r="D752" s="1" t="s">
        <v>17</v>
      </c>
      <c r="E752" s="1" t="s">
        <v>18</v>
      </c>
      <c r="F752" s="1" t="s">
        <v>29</v>
      </c>
      <c r="G752" s="1" t="s">
        <v>20</v>
      </c>
      <c r="H752" t="s">
        <v>30</v>
      </c>
      <c r="I752" s="1" t="s">
        <v>22</v>
      </c>
      <c r="J752" s="2">
        <v>43526.569108796299</v>
      </c>
      <c r="K752" s="2">
        <v>43531.569108796299</v>
      </c>
      <c r="L752" s="2">
        <v>43532.569108796299</v>
      </c>
      <c r="M752" s="1">
        <f>_xlfn.DAYS(Table1[[#This Row],[actual_delivery_date]],Table1[[#This Row],[dispatch_date]])</f>
        <v>5</v>
      </c>
      <c r="N752">
        <v>42</v>
      </c>
      <c r="O752">
        <f>Table1[[#This Row],[transit_storage_cost]] * (1-'What -if Analysis'!$D$26)</f>
        <v>42</v>
      </c>
      <c r="P752">
        <v>114</v>
      </c>
      <c r="Q752">
        <v>1832.9751428365801</v>
      </c>
    </row>
    <row r="753" spans="1:17" x14ac:dyDescent="0.3">
      <c r="A753">
        <v>276564</v>
      </c>
      <c r="B753" s="1" t="s">
        <v>37</v>
      </c>
      <c r="C753" s="1" t="s">
        <v>16</v>
      </c>
      <c r="D753" s="1" t="s">
        <v>16</v>
      </c>
      <c r="E753" s="1" t="s">
        <v>27</v>
      </c>
      <c r="F753" s="1" t="s">
        <v>19</v>
      </c>
      <c r="G753" s="1" t="s">
        <v>20</v>
      </c>
      <c r="H753" t="s">
        <v>21</v>
      </c>
      <c r="I753" s="1" t="s">
        <v>26</v>
      </c>
      <c r="J753" s="2">
        <v>43527.571759259263</v>
      </c>
      <c r="K753" s="2">
        <v>43531.571759259263</v>
      </c>
      <c r="L753" s="2">
        <v>43530.571759259263</v>
      </c>
      <c r="M753" s="1">
        <f>_xlfn.DAYS(Table1[[#This Row],[actual_delivery_date]],Table1[[#This Row],[dispatch_date]])</f>
        <v>4</v>
      </c>
      <c r="N753">
        <v>0</v>
      </c>
      <c r="O753">
        <f>Table1[[#This Row],[transit_storage_cost]] * (1-'What -if Analysis'!$D$26)</f>
        <v>0</v>
      </c>
      <c r="P753">
        <v>121</v>
      </c>
      <c r="Q753">
        <v>229.17</v>
      </c>
    </row>
    <row r="754" spans="1:17" x14ac:dyDescent="0.3">
      <c r="A754">
        <v>722336</v>
      </c>
      <c r="B754" s="1" t="s">
        <v>39</v>
      </c>
      <c r="C754" s="1" t="s">
        <v>16</v>
      </c>
      <c r="D754" s="1" t="s">
        <v>23</v>
      </c>
      <c r="E754" s="1" t="s">
        <v>28</v>
      </c>
      <c r="F754" s="1" t="s">
        <v>19</v>
      </c>
      <c r="G754" s="1" t="s">
        <v>20</v>
      </c>
      <c r="H754" t="s">
        <v>21</v>
      </c>
      <c r="I754" s="1" t="s">
        <v>22</v>
      </c>
      <c r="J754" s="2">
        <v>43526.575428240743</v>
      </c>
      <c r="K754" s="2">
        <v>43531.575428240743</v>
      </c>
      <c r="L754" s="2">
        <v>43531.575428240743</v>
      </c>
      <c r="M754" s="1">
        <f>_xlfn.DAYS(Table1[[#This Row],[actual_delivery_date]],Table1[[#This Row],[dispatch_date]])</f>
        <v>5</v>
      </c>
      <c r="N754">
        <v>66</v>
      </c>
      <c r="O754">
        <f>Table1[[#This Row],[transit_storage_cost]] * (1-'What -if Analysis'!$D$26)</f>
        <v>66</v>
      </c>
      <c r="P754">
        <v>109</v>
      </c>
      <c r="Q754">
        <v>1227.4860855195775</v>
      </c>
    </row>
    <row r="755" spans="1:17" x14ac:dyDescent="0.3">
      <c r="A755">
        <v>347773</v>
      </c>
      <c r="B755" s="1" t="s">
        <v>37</v>
      </c>
      <c r="C755" s="1" t="s">
        <v>16</v>
      </c>
      <c r="D755" s="1" t="s">
        <v>16</v>
      </c>
      <c r="E755" s="1" t="s">
        <v>27</v>
      </c>
      <c r="F755" s="1" t="s">
        <v>29</v>
      </c>
      <c r="G755" s="1" t="s">
        <v>20</v>
      </c>
      <c r="H755" t="s">
        <v>30</v>
      </c>
      <c r="I755" s="1" t="s">
        <v>22</v>
      </c>
      <c r="J755" s="2">
        <v>43527.580509259256</v>
      </c>
      <c r="K755" s="2">
        <v>43531.580509259256</v>
      </c>
      <c r="L755" s="2">
        <v>43531.580509259256</v>
      </c>
      <c r="M755" s="1">
        <f>_xlfn.DAYS(Table1[[#This Row],[actual_delivery_date]],Table1[[#This Row],[dispatch_date]])</f>
        <v>4</v>
      </c>
      <c r="N755">
        <v>0</v>
      </c>
      <c r="O755">
        <f>Table1[[#This Row],[transit_storage_cost]] * (1-'What -if Analysis'!$D$26)</f>
        <v>0</v>
      </c>
      <c r="P755">
        <v>121</v>
      </c>
      <c r="Q755">
        <v>1356.0835531858224</v>
      </c>
    </row>
    <row r="756" spans="1:17" x14ac:dyDescent="0.3">
      <c r="A756">
        <v>732729</v>
      </c>
      <c r="B756" s="1" t="s">
        <v>41</v>
      </c>
      <c r="C756" s="1" t="s">
        <v>16</v>
      </c>
      <c r="D756" s="1" t="s">
        <v>17</v>
      </c>
      <c r="E756" s="1" t="s">
        <v>18</v>
      </c>
      <c r="F756" s="1" t="s">
        <v>19</v>
      </c>
      <c r="G756" s="1" t="s">
        <v>20</v>
      </c>
      <c r="H756" t="s">
        <v>30</v>
      </c>
      <c r="I756" s="1" t="s">
        <v>26</v>
      </c>
      <c r="J756" s="2">
        <v>43528.587731481479</v>
      </c>
      <c r="K756" s="2">
        <v>43531.587731481479</v>
      </c>
      <c r="L756" s="2">
        <v>43534.587731481479</v>
      </c>
      <c r="M756" s="1">
        <f>_xlfn.DAYS(Table1[[#This Row],[actual_delivery_date]],Table1[[#This Row],[dispatch_date]])</f>
        <v>3</v>
      </c>
      <c r="N756">
        <v>67</v>
      </c>
      <c r="O756">
        <f>Table1[[#This Row],[transit_storage_cost]] * (1-'What -if Analysis'!$D$26)</f>
        <v>67</v>
      </c>
      <c r="P756">
        <v>88</v>
      </c>
      <c r="Q756">
        <v>1644.75</v>
      </c>
    </row>
    <row r="757" spans="1:17" x14ac:dyDescent="0.3">
      <c r="A757">
        <v>890694</v>
      </c>
      <c r="B757" s="1" t="s">
        <v>38</v>
      </c>
      <c r="C757" s="1" t="s">
        <v>16</v>
      </c>
      <c r="D757" s="1" t="s">
        <v>32</v>
      </c>
      <c r="E757" s="1" t="s">
        <v>33</v>
      </c>
      <c r="F757" s="1" t="s">
        <v>31</v>
      </c>
      <c r="G757" s="1" t="s">
        <v>20</v>
      </c>
      <c r="H757" t="s">
        <v>21</v>
      </c>
      <c r="I757" s="1" t="s">
        <v>26</v>
      </c>
      <c r="J757" s="2">
        <v>43527.595717592594</v>
      </c>
      <c r="K757" s="2">
        <v>43531.595717592594</v>
      </c>
      <c r="L757" s="2">
        <v>43530.595717592594</v>
      </c>
      <c r="M757" s="1">
        <f>_xlfn.DAYS(Table1[[#This Row],[actual_delivery_date]],Table1[[#This Row],[dispatch_date]])</f>
        <v>4</v>
      </c>
      <c r="N757">
        <v>43</v>
      </c>
      <c r="O757">
        <f>Table1[[#This Row],[transit_storage_cost]] * (1-'What -if Analysis'!$D$26)</f>
        <v>43</v>
      </c>
      <c r="P757">
        <v>106</v>
      </c>
      <c r="Q757">
        <v>322.48</v>
      </c>
    </row>
    <row r="758" spans="1:17" x14ac:dyDescent="0.3">
      <c r="A758">
        <v>74022</v>
      </c>
      <c r="B758" s="1" t="s">
        <v>38</v>
      </c>
      <c r="C758" s="1" t="s">
        <v>16</v>
      </c>
      <c r="D758" s="1" t="s">
        <v>16</v>
      </c>
      <c r="E758" s="1" t="s">
        <v>27</v>
      </c>
      <c r="F758" s="1" t="s">
        <v>19</v>
      </c>
      <c r="G758" s="1" t="s">
        <v>20</v>
      </c>
      <c r="H758" t="s">
        <v>21</v>
      </c>
      <c r="I758" s="1" t="s">
        <v>26</v>
      </c>
      <c r="J758" s="2">
        <v>43528.598402777781</v>
      </c>
      <c r="K758" s="2">
        <v>43531.598402777781</v>
      </c>
      <c r="L758" s="2">
        <v>43534.598402777781</v>
      </c>
      <c r="M758" s="1">
        <f>_xlfn.DAYS(Table1[[#This Row],[actual_delivery_date]],Table1[[#This Row],[dispatch_date]])</f>
        <v>3</v>
      </c>
      <c r="N758">
        <v>0</v>
      </c>
      <c r="O758">
        <f>Table1[[#This Row],[transit_storage_cost]] * (1-'What -if Analysis'!$D$26)</f>
        <v>0</v>
      </c>
      <c r="P758">
        <v>109</v>
      </c>
      <c r="Q758">
        <v>2017.22</v>
      </c>
    </row>
    <row r="759" spans="1:17" x14ac:dyDescent="0.3">
      <c r="A759">
        <v>26305</v>
      </c>
      <c r="B759" s="1" t="s">
        <v>37</v>
      </c>
      <c r="C759" s="1" t="s">
        <v>23</v>
      </c>
      <c r="D759" s="1" t="s">
        <v>23</v>
      </c>
      <c r="E759" s="1" t="s">
        <v>28</v>
      </c>
      <c r="F759" s="1" t="s">
        <v>29</v>
      </c>
      <c r="G759" s="1" t="s">
        <v>20</v>
      </c>
      <c r="H759" t="s">
        <v>30</v>
      </c>
      <c r="I759" s="1" t="s">
        <v>22</v>
      </c>
      <c r="J759" s="2">
        <v>43527.598599537036</v>
      </c>
      <c r="K759" s="2">
        <v>43531.598599537036</v>
      </c>
      <c r="L759" s="2">
        <v>43530.598599537036</v>
      </c>
      <c r="M759" s="1">
        <f>_xlfn.DAYS(Table1[[#This Row],[actual_delivery_date]],Table1[[#This Row],[dispatch_date]])</f>
        <v>4</v>
      </c>
      <c r="N759">
        <v>0</v>
      </c>
      <c r="O759">
        <f>Table1[[#This Row],[transit_storage_cost]] * (1-'What -if Analysis'!$D$26)</f>
        <v>0</v>
      </c>
      <c r="P759">
        <v>121</v>
      </c>
      <c r="Q759">
        <v>2900.7627359324101</v>
      </c>
    </row>
    <row r="760" spans="1:17" x14ac:dyDescent="0.3">
      <c r="A760">
        <v>941057</v>
      </c>
      <c r="B760" s="1" t="s">
        <v>40</v>
      </c>
      <c r="C760" s="1" t="s">
        <v>16</v>
      </c>
      <c r="D760" s="1" t="s">
        <v>24</v>
      </c>
      <c r="E760" s="1" t="s">
        <v>25</v>
      </c>
      <c r="F760" s="1" t="s">
        <v>29</v>
      </c>
      <c r="G760" s="1" t="s">
        <v>20</v>
      </c>
      <c r="H760" t="s">
        <v>30</v>
      </c>
      <c r="I760" s="1" t="s">
        <v>22</v>
      </c>
      <c r="J760" s="2">
        <v>43529.599270833336</v>
      </c>
      <c r="K760" s="2">
        <v>43531.599270833336</v>
      </c>
      <c r="L760" s="2">
        <v>43534.599270833336</v>
      </c>
      <c r="M760" s="1">
        <f>_xlfn.DAYS(Table1[[#This Row],[actual_delivery_date]],Table1[[#This Row],[dispatch_date]])</f>
        <v>2</v>
      </c>
      <c r="N760">
        <v>45</v>
      </c>
      <c r="O760">
        <f>Table1[[#This Row],[transit_storage_cost]] * (1-'What -if Analysis'!$D$26)</f>
        <v>45</v>
      </c>
      <c r="P760">
        <v>122</v>
      </c>
      <c r="Q760">
        <v>3671.6495475223264</v>
      </c>
    </row>
    <row r="761" spans="1:17" x14ac:dyDescent="0.3">
      <c r="A761">
        <v>42556</v>
      </c>
      <c r="B761" s="1" t="s">
        <v>37</v>
      </c>
      <c r="C761" s="1" t="s">
        <v>16</v>
      </c>
      <c r="D761" s="1" t="s">
        <v>17</v>
      </c>
      <c r="E761" s="1" t="s">
        <v>18</v>
      </c>
      <c r="F761" s="1" t="s">
        <v>19</v>
      </c>
      <c r="G761" s="1" t="s">
        <v>20</v>
      </c>
      <c r="H761" t="s">
        <v>21</v>
      </c>
      <c r="I761" s="1" t="s">
        <v>22</v>
      </c>
      <c r="J761" s="2">
        <v>43526.600173611114</v>
      </c>
      <c r="K761" s="2">
        <v>43531.600173611114</v>
      </c>
      <c r="L761" s="2">
        <v>43529.600173611114</v>
      </c>
      <c r="M761" s="1">
        <f>_xlfn.DAYS(Table1[[#This Row],[actual_delivery_date]],Table1[[#This Row],[dispatch_date]])</f>
        <v>5</v>
      </c>
      <c r="N761">
        <v>31</v>
      </c>
      <c r="O761">
        <f>Table1[[#This Row],[transit_storage_cost]] * (1-'What -if Analysis'!$D$26)</f>
        <v>31</v>
      </c>
      <c r="P761">
        <v>110</v>
      </c>
      <c r="Q761">
        <v>302.27700493962811</v>
      </c>
    </row>
    <row r="762" spans="1:17" x14ac:dyDescent="0.3">
      <c r="A762">
        <v>379691</v>
      </c>
      <c r="B762" s="1" t="s">
        <v>37</v>
      </c>
      <c r="C762" s="1" t="s">
        <v>23</v>
      </c>
      <c r="D762" s="1" t="s">
        <v>17</v>
      </c>
      <c r="E762" s="1" t="s">
        <v>18</v>
      </c>
      <c r="F762" s="1" t="s">
        <v>19</v>
      </c>
      <c r="G762" s="1" t="s">
        <v>20</v>
      </c>
      <c r="H762" t="s">
        <v>30</v>
      </c>
      <c r="I762" s="1" t="s">
        <v>22</v>
      </c>
      <c r="J762" s="2">
        <v>43529.606435185182</v>
      </c>
      <c r="K762" s="2">
        <v>43531.606435185182</v>
      </c>
      <c r="L762" s="2">
        <v>43534.606435185182</v>
      </c>
      <c r="M762" s="1">
        <f>_xlfn.DAYS(Table1[[#This Row],[actual_delivery_date]],Table1[[#This Row],[dispatch_date]])</f>
        <v>2</v>
      </c>
      <c r="N762">
        <v>80</v>
      </c>
      <c r="O762">
        <f>Table1[[#This Row],[transit_storage_cost]] * (1-'What -if Analysis'!$D$26)</f>
        <v>80</v>
      </c>
      <c r="P762">
        <v>85</v>
      </c>
      <c r="Q762">
        <v>1302.2763225304525</v>
      </c>
    </row>
    <row r="763" spans="1:17" x14ac:dyDescent="0.3">
      <c r="A763">
        <v>229138</v>
      </c>
      <c r="B763" s="1" t="s">
        <v>39</v>
      </c>
      <c r="C763" s="1" t="s">
        <v>16</v>
      </c>
      <c r="D763" s="1" t="s">
        <v>16</v>
      </c>
      <c r="E763" s="1" t="s">
        <v>27</v>
      </c>
      <c r="F763" s="1" t="s">
        <v>31</v>
      </c>
      <c r="G763" s="1" t="s">
        <v>20</v>
      </c>
      <c r="H763" t="s">
        <v>21</v>
      </c>
      <c r="I763" s="1" t="s">
        <v>22</v>
      </c>
      <c r="J763" s="2">
        <v>43529.613009259258</v>
      </c>
      <c r="K763" s="2">
        <v>43531.613009259258</v>
      </c>
      <c r="L763" s="2">
        <v>43536.613009259258</v>
      </c>
      <c r="M763" s="1">
        <f>_xlfn.DAYS(Table1[[#This Row],[actual_delivery_date]],Table1[[#This Row],[dispatch_date]])</f>
        <v>2</v>
      </c>
      <c r="N763">
        <v>0</v>
      </c>
      <c r="O763">
        <f>Table1[[#This Row],[transit_storage_cost]] * (1-'What -if Analysis'!$D$26)</f>
        <v>0</v>
      </c>
      <c r="P763">
        <v>120</v>
      </c>
      <c r="Q763">
        <v>1940.2818125712272</v>
      </c>
    </row>
    <row r="764" spans="1:17" x14ac:dyDescent="0.3">
      <c r="A764">
        <v>526103</v>
      </c>
      <c r="B764" s="1" t="s">
        <v>41</v>
      </c>
      <c r="C764" s="1" t="s">
        <v>23</v>
      </c>
      <c r="D764" s="1" t="s">
        <v>17</v>
      </c>
      <c r="E764" s="1" t="s">
        <v>18</v>
      </c>
      <c r="F764" s="1" t="s">
        <v>19</v>
      </c>
      <c r="G764" s="1" t="s">
        <v>20</v>
      </c>
      <c r="H764" t="s">
        <v>30</v>
      </c>
      <c r="I764" s="1" t="s">
        <v>22</v>
      </c>
      <c r="J764" s="2">
        <v>43526.624351851853</v>
      </c>
      <c r="K764" s="2">
        <v>43531.624351851853</v>
      </c>
      <c r="L764" s="2">
        <v>43529.624351851853</v>
      </c>
      <c r="M764" s="1">
        <f>_xlfn.DAYS(Table1[[#This Row],[actual_delivery_date]],Table1[[#This Row],[dispatch_date]])</f>
        <v>5</v>
      </c>
      <c r="N764">
        <v>70</v>
      </c>
      <c r="O764">
        <f>Table1[[#This Row],[transit_storage_cost]] * (1-'What -if Analysis'!$D$26)</f>
        <v>70</v>
      </c>
      <c r="P764">
        <v>91</v>
      </c>
      <c r="Q764">
        <v>3504.4735670144701</v>
      </c>
    </row>
    <row r="765" spans="1:17" x14ac:dyDescent="0.3">
      <c r="A765">
        <v>850357</v>
      </c>
      <c r="B765" s="1" t="s">
        <v>38</v>
      </c>
      <c r="C765" s="1" t="s">
        <v>16</v>
      </c>
      <c r="D765" s="1" t="s">
        <v>32</v>
      </c>
      <c r="E765" s="1" t="s">
        <v>33</v>
      </c>
      <c r="F765" s="1" t="s">
        <v>29</v>
      </c>
      <c r="G765" s="1" t="s">
        <v>20</v>
      </c>
      <c r="H765" t="s">
        <v>30</v>
      </c>
      <c r="I765" s="1" t="s">
        <v>22</v>
      </c>
      <c r="J765" s="2">
        <v>43526.625138888892</v>
      </c>
      <c r="K765" s="2">
        <v>43531.625138888892</v>
      </c>
      <c r="L765" s="2">
        <v>43530.625138888892</v>
      </c>
      <c r="M765" s="1">
        <f>_xlfn.DAYS(Table1[[#This Row],[actual_delivery_date]],Table1[[#This Row],[dispatch_date]])</f>
        <v>5</v>
      </c>
      <c r="N765">
        <v>44</v>
      </c>
      <c r="O765">
        <f>Table1[[#This Row],[transit_storage_cost]] * (1-'What -if Analysis'!$D$26)</f>
        <v>44</v>
      </c>
      <c r="P765">
        <v>114</v>
      </c>
      <c r="Q765">
        <v>1360.6946099998925</v>
      </c>
    </row>
    <row r="766" spans="1:17" x14ac:dyDescent="0.3">
      <c r="A766">
        <v>286789</v>
      </c>
      <c r="B766" s="1" t="s">
        <v>41</v>
      </c>
      <c r="C766" s="1" t="s">
        <v>16</v>
      </c>
      <c r="D766" s="1" t="s">
        <v>32</v>
      </c>
      <c r="E766" s="1" t="s">
        <v>33</v>
      </c>
      <c r="F766" s="1" t="s">
        <v>19</v>
      </c>
      <c r="G766" s="1" t="s">
        <v>20</v>
      </c>
      <c r="H766" t="s">
        <v>30</v>
      </c>
      <c r="I766" s="1" t="s">
        <v>22</v>
      </c>
      <c r="J766" s="2">
        <v>43526.630393518521</v>
      </c>
      <c r="K766" s="2">
        <v>43531.630393518521</v>
      </c>
      <c r="L766" s="2">
        <v>43529.630393518521</v>
      </c>
      <c r="M766" s="1">
        <f>_xlfn.DAYS(Table1[[#This Row],[actual_delivery_date]],Table1[[#This Row],[dispatch_date]])</f>
        <v>5</v>
      </c>
      <c r="N766">
        <v>74</v>
      </c>
      <c r="O766">
        <f>Table1[[#This Row],[transit_storage_cost]] * (1-'What -if Analysis'!$D$26)</f>
        <v>74</v>
      </c>
      <c r="P766">
        <v>87</v>
      </c>
      <c r="Q766">
        <v>1384.3419505482511</v>
      </c>
    </row>
    <row r="767" spans="1:17" x14ac:dyDescent="0.3">
      <c r="A767">
        <v>540548</v>
      </c>
      <c r="B767" s="1" t="s">
        <v>37</v>
      </c>
      <c r="C767" s="1" t="s">
        <v>16</v>
      </c>
      <c r="D767" s="1" t="s">
        <v>24</v>
      </c>
      <c r="E767" s="1" t="s">
        <v>25</v>
      </c>
      <c r="F767" s="1" t="s">
        <v>19</v>
      </c>
      <c r="G767" s="1" t="s">
        <v>20</v>
      </c>
      <c r="H767" t="s">
        <v>21</v>
      </c>
      <c r="I767" s="1" t="s">
        <v>22</v>
      </c>
      <c r="J767" s="2">
        <v>43526.635254629633</v>
      </c>
      <c r="K767" s="2">
        <v>43531.635254629633</v>
      </c>
      <c r="L767" s="2">
        <v>43532.635254629633</v>
      </c>
      <c r="M767" s="1">
        <f>_xlfn.DAYS(Table1[[#This Row],[actual_delivery_date]],Table1[[#This Row],[dispatch_date]])</f>
        <v>5</v>
      </c>
      <c r="N767">
        <v>43</v>
      </c>
      <c r="O767">
        <f>Table1[[#This Row],[transit_storage_cost]] * (1-'What -if Analysis'!$D$26)</f>
        <v>43</v>
      </c>
      <c r="P767">
        <v>120</v>
      </c>
      <c r="Q767">
        <v>1990.8845406201831</v>
      </c>
    </row>
    <row r="768" spans="1:17" x14ac:dyDescent="0.3">
      <c r="A768">
        <v>960824</v>
      </c>
      <c r="B768" s="1" t="s">
        <v>41</v>
      </c>
      <c r="C768" s="1" t="s">
        <v>23</v>
      </c>
      <c r="D768" s="1" t="s">
        <v>17</v>
      </c>
      <c r="E768" s="1" t="s">
        <v>18</v>
      </c>
      <c r="F768" s="1" t="s">
        <v>19</v>
      </c>
      <c r="G768" s="1" t="s">
        <v>20</v>
      </c>
      <c r="H768" t="s">
        <v>21</v>
      </c>
      <c r="I768" s="1" t="s">
        <v>22</v>
      </c>
      <c r="J768" s="2">
        <v>43525.638287037036</v>
      </c>
      <c r="K768" s="2">
        <v>43531.638287037036</v>
      </c>
      <c r="L768" s="2">
        <v>43529.638287037036</v>
      </c>
      <c r="M768" s="1">
        <f>_xlfn.DAYS(Table1[[#This Row],[actual_delivery_date]],Table1[[#This Row],[dispatch_date]])</f>
        <v>6</v>
      </c>
      <c r="N768">
        <v>63</v>
      </c>
      <c r="O768">
        <f>Table1[[#This Row],[transit_storage_cost]] * (1-'What -if Analysis'!$D$26)</f>
        <v>63</v>
      </c>
      <c r="P768">
        <v>86</v>
      </c>
      <c r="Q768">
        <v>1199.8876907028375</v>
      </c>
    </row>
    <row r="769" spans="1:17" x14ac:dyDescent="0.3">
      <c r="A769">
        <v>993923</v>
      </c>
      <c r="B769" s="1" t="s">
        <v>37</v>
      </c>
      <c r="C769" s="1" t="s">
        <v>23</v>
      </c>
      <c r="D769" s="1" t="s">
        <v>32</v>
      </c>
      <c r="E769" s="1" t="s">
        <v>33</v>
      </c>
      <c r="F769" s="1" t="s">
        <v>29</v>
      </c>
      <c r="G769" s="1" t="s">
        <v>20</v>
      </c>
      <c r="H769" t="s">
        <v>34</v>
      </c>
      <c r="I769" s="1" t="s">
        <v>22</v>
      </c>
      <c r="J769" s="2">
        <v>43529.638472222221</v>
      </c>
      <c r="K769" s="2">
        <v>43531.638472222221</v>
      </c>
      <c r="L769" s="2">
        <v>43533.638472222221</v>
      </c>
      <c r="M769" s="1">
        <f>_xlfn.DAYS(Table1[[#This Row],[actual_delivery_date]],Table1[[#This Row],[dispatch_date]])</f>
        <v>2</v>
      </c>
      <c r="N769">
        <v>47</v>
      </c>
      <c r="O769">
        <f>Table1[[#This Row],[transit_storage_cost]] * (1-'What -if Analysis'!$D$26)</f>
        <v>47</v>
      </c>
      <c r="P769">
        <v>108</v>
      </c>
      <c r="Q769">
        <v>1902.4123158764037</v>
      </c>
    </row>
    <row r="770" spans="1:17" x14ac:dyDescent="0.3">
      <c r="A770">
        <v>139062</v>
      </c>
      <c r="B770" s="1" t="s">
        <v>37</v>
      </c>
      <c r="C770" s="1" t="s">
        <v>16</v>
      </c>
      <c r="D770" s="1" t="s">
        <v>16</v>
      </c>
      <c r="E770" s="1" t="s">
        <v>27</v>
      </c>
      <c r="F770" s="1" t="s">
        <v>31</v>
      </c>
      <c r="G770" s="1" t="s">
        <v>20</v>
      </c>
      <c r="H770" t="s">
        <v>21</v>
      </c>
      <c r="I770" s="1" t="s">
        <v>26</v>
      </c>
      <c r="J770" s="2">
        <v>43527.63989583333</v>
      </c>
      <c r="K770" s="2">
        <v>43531.63989583333</v>
      </c>
      <c r="L770" s="2">
        <v>43532.63989583333</v>
      </c>
      <c r="M770" s="1">
        <f>_xlfn.DAYS(Table1[[#This Row],[actual_delivery_date]],Table1[[#This Row],[dispatch_date]])</f>
        <v>4</v>
      </c>
      <c r="N770">
        <v>9999</v>
      </c>
      <c r="O770">
        <f>Table1[[#This Row],[transit_storage_cost]] * (1-'What -if Analysis'!$D$26)</f>
        <v>9999</v>
      </c>
      <c r="P770">
        <v>125</v>
      </c>
      <c r="Q770">
        <v>353.07</v>
      </c>
    </row>
    <row r="771" spans="1:17" x14ac:dyDescent="0.3">
      <c r="A771">
        <v>346572</v>
      </c>
      <c r="B771" s="1" t="s">
        <v>37</v>
      </c>
      <c r="C771" s="1" t="s">
        <v>16</v>
      </c>
      <c r="D771" s="1" t="s">
        <v>23</v>
      </c>
      <c r="E771" s="1" t="s">
        <v>28</v>
      </c>
      <c r="F771" s="1" t="s">
        <v>19</v>
      </c>
      <c r="G771" s="1" t="s">
        <v>20</v>
      </c>
      <c r="H771" t="s">
        <v>21</v>
      </c>
      <c r="I771" s="1" t="s">
        <v>26</v>
      </c>
      <c r="J771" s="2">
        <v>43529.647916666669</v>
      </c>
      <c r="K771" s="2">
        <v>43531.647916666669</v>
      </c>
      <c r="L771" s="2">
        <v>43532.647916666669</v>
      </c>
      <c r="M771" s="1">
        <f>_xlfn.DAYS(Table1[[#This Row],[actual_delivery_date]],Table1[[#This Row],[dispatch_date]])</f>
        <v>2</v>
      </c>
      <c r="N771">
        <v>43</v>
      </c>
      <c r="O771">
        <f>Table1[[#This Row],[transit_storage_cost]] * (1-'What -if Analysis'!$D$26)</f>
        <v>43</v>
      </c>
      <c r="P771">
        <v>125</v>
      </c>
      <c r="Q771">
        <v>567.49</v>
      </c>
    </row>
    <row r="772" spans="1:17" x14ac:dyDescent="0.3">
      <c r="A772">
        <v>912301</v>
      </c>
      <c r="B772" s="1" t="s">
        <v>39</v>
      </c>
      <c r="C772" s="1" t="s">
        <v>16</v>
      </c>
      <c r="D772" s="1" t="s">
        <v>23</v>
      </c>
      <c r="E772" s="1" t="s">
        <v>28</v>
      </c>
      <c r="F772" s="1" t="s">
        <v>29</v>
      </c>
      <c r="G772" s="1" t="s">
        <v>20</v>
      </c>
      <c r="H772" t="s">
        <v>30</v>
      </c>
      <c r="I772" s="1" t="s">
        <v>22</v>
      </c>
      <c r="J772" s="2">
        <v>43527.649363425924</v>
      </c>
      <c r="K772" s="2">
        <v>43531.649363425924</v>
      </c>
      <c r="L772" s="2">
        <v>43530.649363425924</v>
      </c>
      <c r="M772" s="1">
        <f>_xlfn.DAYS(Table1[[#This Row],[actual_delivery_date]],Table1[[#This Row],[dispatch_date]])</f>
        <v>4</v>
      </c>
      <c r="N772">
        <v>38</v>
      </c>
      <c r="O772">
        <f>Table1[[#This Row],[transit_storage_cost]] * (1-'What -if Analysis'!$D$26)</f>
        <v>38</v>
      </c>
      <c r="P772">
        <v>125</v>
      </c>
      <c r="Q772">
        <v>3066.58635472162</v>
      </c>
    </row>
    <row r="773" spans="1:17" x14ac:dyDescent="0.3">
      <c r="A773">
        <v>645790</v>
      </c>
      <c r="B773" s="1" t="s">
        <v>40</v>
      </c>
      <c r="C773" s="1" t="s">
        <v>23</v>
      </c>
      <c r="D773" s="1" t="s">
        <v>23</v>
      </c>
      <c r="E773" s="1" t="s">
        <v>28</v>
      </c>
      <c r="F773" s="1" t="s">
        <v>31</v>
      </c>
      <c r="G773" s="1" t="s">
        <v>20</v>
      </c>
      <c r="H773" t="s">
        <v>21</v>
      </c>
      <c r="I773" s="1" t="s">
        <v>22</v>
      </c>
      <c r="J773" s="2">
        <v>43526.654097222221</v>
      </c>
      <c r="K773" s="2">
        <v>43531.654097222221</v>
      </c>
      <c r="L773" s="2">
        <v>43529.654097222221</v>
      </c>
      <c r="M773" s="1">
        <f>_xlfn.DAYS(Table1[[#This Row],[actual_delivery_date]],Table1[[#This Row],[dispatch_date]])</f>
        <v>5</v>
      </c>
      <c r="N773">
        <v>0</v>
      </c>
      <c r="O773">
        <f>Table1[[#This Row],[transit_storage_cost]] * (1-'What -if Analysis'!$D$26)</f>
        <v>0</v>
      </c>
      <c r="P773">
        <v>126</v>
      </c>
      <c r="Q773">
        <v>2954.0099733018728</v>
      </c>
    </row>
    <row r="774" spans="1:17" x14ac:dyDescent="0.3">
      <c r="A774">
        <v>370860</v>
      </c>
      <c r="B774" s="1" t="s">
        <v>15</v>
      </c>
      <c r="C774" s="1" t="s">
        <v>16</v>
      </c>
      <c r="D774" s="1" t="s">
        <v>17</v>
      </c>
      <c r="E774" s="1" t="s">
        <v>18</v>
      </c>
      <c r="F774" s="1" t="s">
        <v>19</v>
      </c>
      <c r="G774" s="1" t="s">
        <v>20</v>
      </c>
      <c r="H774" t="s">
        <v>21</v>
      </c>
      <c r="I774" s="1" t="s">
        <v>26</v>
      </c>
      <c r="J774" s="2">
        <v>43528.655127314814</v>
      </c>
      <c r="K774" s="2">
        <v>43531.655127314814</v>
      </c>
      <c r="L774" s="2">
        <v>43535.655127314814</v>
      </c>
      <c r="M774" s="1">
        <f>_xlfn.DAYS(Table1[[#This Row],[actual_delivery_date]],Table1[[#This Row],[dispatch_date]])</f>
        <v>3</v>
      </c>
      <c r="N774">
        <v>36</v>
      </c>
      <c r="O774">
        <f>Table1[[#This Row],[transit_storage_cost]] * (1-'What -if Analysis'!$D$26)</f>
        <v>36</v>
      </c>
      <c r="P774">
        <v>113</v>
      </c>
      <c r="Q774">
        <v>1499.45</v>
      </c>
    </row>
    <row r="775" spans="1:17" x14ac:dyDescent="0.3">
      <c r="A775">
        <v>498850</v>
      </c>
      <c r="B775" s="1" t="s">
        <v>37</v>
      </c>
      <c r="C775" s="1" t="s">
        <v>16</v>
      </c>
      <c r="D775" s="1" t="s">
        <v>24</v>
      </c>
      <c r="E775" s="1" t="s">
        <v>25</v>
      </c>
      <c r="F775" s="1" t="s">
        <v>31</v>
      </c>
      <c r="G775" s="1" t="s">
        <v>20</v>
      </c>
      <c r="H775" t="s">
        <v>21</v>
      </c>
      <c r="I775" s="1" t="s">
        <v>22</v>
      </c>
      <c r="J775" s="2">
        <v>43529.664351851854</v>
      </c>
      <c r="K775" s="2">
        <v>43531.664351851854</v>
      </c>
      <c r="L775" s="2">
        <v>43535.664351851854</v>
      </c>
      <c r="M775" s="1">
        <f>_xlfn.DAYS(Table1[[#This Row],[actual_delivery_date]],Table1[[#This Row],[dispatch_date]])</f>
        <v>2</v>
      </c>
      <c r="N775">
        <v>49</v>
      </c>
      <c r="O775">
        <f>Table1[[#This Row],[transit_storage_cost]] * (1-'What -if Analysis'!$D$26)</f>
        <v>49</v>
      </c>
      <c r="P775">
        <v>123</v>
      </c>
      <c r="Q775">
        <v>2894.894241610697</v>
      </c>
    </row>
    <row r="776" spans="1:17" x14ac:dyDescent="0.3">
      <c r="A776">
        <v>338911</v>
      </c>
      <c r="B776" s="1" t="s">
        <v>39</v>
      </c>
      <c r="C776" s="1" t="s">
        <v>16</v>
      </c>
      <c r="D776" s="1" t="s">
        <v>16</v>
      </c>
      <c r="E776" s="1" t="s">
        <v>27</v>
      </c>
      <c r="F776" s="1" t="s">
        <v>29</v>
      </c>
      <c r="G776" s="1" t="s">
        <v>20</v>
      </c>
      <c r="H776" t="s">
        <v>30</v>
      </c>
      <c r="I776" s="1" t="s">
        <v>22</v>
      </c>
      <c r="J776" s="2">
        <v>43525.667928240742</v>
      </c>
      <c r="K776" s="2">
        <v>43531.667928240742</v>
      </c>
      <c r="L776" s="2">
        <v>43530.667928240742</v>
      </c>
      <c r="M776" s="1">
        <f>_xlfn.DAYS(Table1[[#This Row],[actual_delivery_date]],Table1[[#This Row],[dispatch_date]])</f>
        <v>6</v>
      </c>
      <c r="N776">
        <v>0</v>
      </c>
      <c r="O776">
        <f>Table1[[#This Row],[transit_storage_cost]] * (1-'What -if Analysis'!$D$26)</f>
        <v>0</v>
      </c>
      <c r="P776">
        <v>123</v>
      </c>
      <c r="Q776">
        <v>413.74526498835985</v>
      </c>
    </row>
    <row r="777" spans="1:17" x14ac:dyDescent="0.3">
      <c r="A777">
        <v>302549</v>
      </c>
      <c r="B777" s="1" t="s">
        <v>37</v>
      </c>
      <c r="C777" s="1" t="s">
        <v>23</v>
      </c>
      <c r="D777" s="1" t="s">
        <v>17</v>
      </c>
      <c r="E777" s="1" t="s">
        <v>18</v>
      </c>
      <c r="F777" s="1" t="s">
        <v>29</v>
      </c>
      <c r="G777" s="1" t="s">
        <v>20</v>
      </c>
      <c r="H777" t="s">
        <v>30</v>
      </c>
      <c r="I777" s="1" t="s">
        <v>22</v>
      </c>
      <c r="J777" s="2">
        <v>43526.671307870369</v>
      </c>
      <c r="K777" s="2">
        <v>43531.671307870369</v>
      </c>
      <c r="L777" s="2">
        <v>43529.671307870369</v>
      </c>
      <c r="M777" s="1">
        <f>_xlfn.DAYS(Table1[[#This Row],[actual_delivery_date]],Table1[[#This Row],[dispatch_date]])</f>
        <v>5</v>
      </c>
      <c r="N777">
        <v>26</v>
      </c>
      <c r="O777">
        <f>Table1[[#This Row],[transit_storage_cost]] * (1-'What -if Analysis'!$D$26)</f>
        <v>26</v>
      </c>
      <c r="P777">
        <v>113</v>
      </c>
      <c r="Q777">
        <v>3347.7256966616046</v>
      </c>
    </row>
    <row r="778" spans="1:17" x14ac:dyDescent="0.3">
      <c r="A778">
        <v>666630</v>
      </c>
      <c r="B778" s="1" t="s">
        <v>39</v>
      </c>
      <c r="C778" s="1" t="s">
        <v>16</v>
      </c>
      <c r="D778" s="1" t="s">
        <v>16</v>
      </c>
      <c r="E778" s="1" t="s">
        <v>27</v>
      </c>
      <c r="F778" s="1" t="s">
        <v>31</v>
      </c>
      <c r="G778" s="1" t="s">
        <v>20</v>
      </c>
      <c r="H778" t="s">
        <v>21</v>
      </c>
      <c r="I778" s="1" t="s">
        <v>26</v>
      </c>
      <c r="J778" s="2">
        <v>43528.672719907408</v>
      </c>
      <c r="K778" s="2">
        <v>43531.672719907408</v>
      </c>
      <c r="L778" s="2">
        <v>43533.672719907408</v>
      </c>
      <c r="M778" s="1">
        <f>_xlfn.DAYS(Table1[[#This Row],[actual_delivery_date]],Table1[[#This Row],[dispatch_date]])</f>
        <v>3</v>
      </c>
      <c r="N778">
        <v>0</v>
      </c>
      <c r="O778">
        <f>Table1[[#This Row],[transit_storage_cost]] * (1-'What -if Analysis'!$D$26)</f>
        <v>0</v>
      </c>
      <c r="P778">
        <v>129</v>
      </c>
      <c r="Q778">
        <v>1838.47</v>
      </c>
    </row>
    <row r="779" spans="1:17" x14ac:dyDescent="0.3">
      <c r="A779">
        <v>932501</v>
      </c>
      <c r="B779" s="1" t="s">
        <v>38</v>
      </c>
      <c r="C779" s="1" t="s">
        <v>16</v>
      </c>
      <c r="D779" s="1" t="s">
        <v>17</v>
      </c>
      <c r="E779" s="1" t="s">
        <v>18</v>
      </c>
      <c r="F779" s="1" t="s">
        <v>19</v>
      </c>
      <c r="G779" s="1" t="s">
        <v>20</v>
      </c>
      <c r="H779" t="s">
        <v>30</v>
      </c>
      <c r="I779" s="1" t="s">
        <v>22</v>
      </c>
      <c r="J779" s="2">
        <v>43529.674814814818</v>
      </c>
      <c r="K779" s="2">
        <v>43531.674814814818</v>
      </c>
      <c r="L779" s="2">
        <v>43533.674814814818</v>
      </c>
      <c r="M779" s="1">
        <f>_xlfn.DAYS(Table1[[#This Row],[actual_delivery_date]],Table1[[#This Row],[dispatch_date]])</f>
        <v>2</v>
      </c>
      <c r="N779">
        <v>79</v>
      </c>
      <c r="O779">
        <f>Table1[[#This Row],[transit_storage_cost]] * (1-'What -if Analysis'!$D$26)</f>
        <v>79</v>
      </c>
      <c r="P779">
        <v>86</v>
      </c>
      <c r="Q779">
        <v>2194.5716549429126</v>
      </c>
    </row>
    <row r="780" spans="1:17" x14ac:dyDescent="0.3">
      <c r="A780">
        <v>273218</v>
      </c>
      <c r="B780" s="1" t="s">
        <v>41</v>
      </c>
      <c r="C780" s="1" t="s">
        <v>16</v>
      </c>
      <c r="D780" s="1" t="s">
        <v>16</v>
      </c>
      <c r="E780" s="1" t="s">
        <v>27</v>
      </c>
      <c r="F780" s="1" t="s">
        <v>19</v>
      </c>
      <c r="G780" s="1" t="s">
        <v>20</v>
      </c>
      <c r="H780" t="s">
        <v>21</v>
      </c>
      <c r="I780" s="1" t="s">
        <v>22</v>
      </c>
      <c r="J780" s="2">
        <v>43531.690891203703</v>
      </c>
      <c r="K780" s="2">
        <v>43531.690891203703</v>
      </c>
      <c r="L780" s="2">
        <v>43534.690891203703</v>
      </c>
      <c r="M780" s="1">
        <f>_xlfn.DAYS(Table1[[#This Row],[actual_delivery_date]],Table1[[#This Row],[dispatch_date]])</f>
        <v>0</v>
      </c>
      <c r="N780">
        <v>0</v>
      </c>
      <c r="O780">
        <f>Table1[[#This Row],[transit_storage_cost]] * (1-'What -if Analysis'!$D$26)</f>
        <v>0</v>
      </c>
      <c r="P780">
        <v>102</v>
      </c>
      <c r="Q780">
        <v>1689.9447895273952</v>
      </c>
    </row>
    <row r="781" spans="1:17" x14ac:dyDescent="0.3">
      <c r="A781">
        <v>547023</v>
      </c>
      <c r="B781" s="1" t="s">
        <v>40</v>
      </c>
      <c r="C781" s="1" t="s">
        <v>23</v>
      </c>
      <c r="D781" s="1" t="s">
        <v>16</v>
      </c>
      <c r="E781" s="1" t="s">
        <v>27</v>
      </c>
      <c r="F781" s="1" t="s">
        <v>29</v>
      </c>
      <c r="G781" s="1" t="s">
        <v>20</v>
      </c>
      <c r="H781" t="s">
        <v>30</v>
      </c>
      <c r="I781" s="1" t="s">
        <v>26</v>
      </c>
      <c r="J781" s="2">
        <v>43526.696458333332</v>
      </c>
      <c r="K781" s="2">
        <v>43531.696458333332</v>
      </c>
      <c r="L781" s="2">
        <v>43533.696458333332</v>
      </c>
      <c r="M781" s="1">
        <f>_xlfn.DAYS(Table1[[#This Row],[actual_delivery_date]],Table1[[#This Row],[dispatch_date]])</f>
        <v>5</v>
      </c>
      <c r="N781">
        <v>32</v>
      </c>
      <c r="O781">
        <f>Table1[[#This Row],[transit_storage_cost]] * (1-'What -if Analysis'!$D$26)</f>
        <v>32</v>
      </c>
      <c r="P781">
        <v>123</v>
      </c>
      <c r="Q781">
        <v>843.89</v>
      </c>
    </row>
    <row r="782" spans="1:17" x14ac:dyDescent="0.3">
      <c r="A782">
        <v>512105</v>
      </c>
      <c r="B782" s="1" t="s">
        <v>41</v>
      </c>
      <c r="C782" s="1" t="s">
        <v>23</v>
      </c>
      <c r="D782" s="1" t="s">
        <v>23</v>
      </c>
      <c r="E782" s="1" t="s">
        <v>28</v>
      </c>
      <c r="F782" s="1" t="s">
        <v>29</v>
      </c>
      <c r="G782" s="1" t="s">
        <v>20</v>
      </c>
      <c r="H782" t="s">
        <v>30</v>
      </c>
      <c r="I782" s="1" t="s">
        <v>22</v>
      </c>
      <c r="J782" s="2">
        <v>43526.700659722221</v>
      </c>
      <c r="K782" s="2">
        <v>43531.700659722221</v>
      </c>
      <c r="L782" s="2">
        <v>43532.700659722221</v>
      </c>
      <c r="M782" s="1">
        <f>_xlfn.DAYS(Table1[[#This Row],[actual_delivery_date]],Table1[[#This Row],[dispatch_date]])</f>
        <v>5</v>
      </c>
      <c r="N782">
        <v>0</v>
      </c>
      <c r="O782">
        <f>Table1[[#This Row],[transit_storage_cost]] * (1-'What -if Analysis'!$D$26)</f>
        <v>0</v>
      </c>
      <c r="P782">
        <v>120</v>
      </c>
      <c r="Q782">
        <v>3594.0945491254329</v>
      </c>
    </row>
    <row r="783" spans="1:17" x14ac:dyDescent="0.3">
      <c r="A783">
        <v>570002</v>
      </c>
      <c r="B783" s="1" t="s">
        <v>37</v>
      </c>
      <c r="C783" s="1" t="s">
        <v>16</v>
      </c>
      <c r="D783" s="1" t="s">
        <v>17</v>
      </c>
      <c r="E783" s="1" t="s">
        <v>18</v>
      </c>
      <c r="F783" s="1" t="s">
        <v>19</v>
      </c>
      <c r="G783" s="1" t="s">
        <v>20</v>
      </c>
      <c r="H783" t="s">
        <v>21</v>
      </c>
      <c r="I783" s="1" t="s">
        <v>22</v>
      </c>
      <c r="J783" s="2">
        <v>43529.702847222223</v>
      </c>
      <c r="K783" s="2">
        <v>43531.702847222223</v>
      </c>
      <c r="L783" s="2">
        <v>43534.702847222223</v>
      </c>
      <c r="M783" s="1">
        <f>_xlfn.DAYS(Table1[[#This Row],[actual_delivery_date]],Table1[[#This Row],[dispatch_date]])</f>
        <v>2</v>
      </c>
      <c r="N783">
        <v>65</v>
      </c>
      <c r="O783">
        <f>Table1[[#This Row],[transit_storage_cost]] * (1-'What -if Analysis'!$D$26)</f>
        <v>65</v>
      </c>
      <c r="P783">
        <v>93</v>
      </c>
      <c r="Q783">
        <v>725.34949733042959</v>
      </c>
    </row>
    <row r="784" spans="1:17" x14ac:dyDescent="0.3">
      <c r="A784">
        <v>528451</v>
      </c>
      <c r="B784" s="1" t="s">
        <v>37</v>
      </c>
      <c r="C784" s="1" t="s">
        <v>23</v>
      </c>
      <c r="D784" s="1" t="s">
        <v>23</v>
      </c>
      <c r="E784" s="1" t="s">
        <v>28</v>
      </c>
      <c r="F784" s="1" t="s">
        <v>19</v>
      </c>
      <c r="G784" s="1" t="s">
        <v>20</v>
      </c>
      <c r="H784" t="s">
        <v>34</v>
      </c>
      <c r="I784" s="1" t="s">
        <v>22</v>
      </c>
      <c r="J784" s="2">
        <v>43531.704050925924</v>
      </c>
      <c r="K784" s="2">
        <v>43531.704050925924</v>
      </c>
      <c r="L784" s="2">
        <v>43535.704050925924</v>
      </c>
      <c r="M784" s="1">
        <f>_xlfn.DAYS(Table1[[#This Row],[actual_delivery_date]],Table1[[#This Row],[dispatch_date]])</f>
        <v>0</v>
      </c>
      <c r="N784">
        <v>0</v>
      </c>
      <c r="O784">
        <f>Table1[[#This Row],[transit_storage_cost]] * (1-'What -if Analysis'!$D$26)</f>
        <v>0</v>
      </c>
      <c r="P784">
        <v>107</v>
      </c>
      <c r="Q784">
        <v>1629.3811243485748</v>
      </c>
    </row>
    <row r="785" spans="1:17" x14ac:dyDescent="0.3">
      <c r="A785">
        <v>50700</v>
      </c>
      <c r="B785" s="1" t="s">
        <v>38</v>
      </c>
      <c r="C785" s="1" t="s">
        <v>16</v>
      </c>
      <c r="D785" s="1" t="s">
        <v>23</v>
      </c>
      <c r="E785" s="1" t="s">
        <v>28</v>
      </c>
      <c r="F785" s="1" t="s">
        <v>19</v>
      </c>
      <c r="G785" s="1" t="s">
        <v>20</v>
      </c>
      <c r="H785" t="s">
        <v>21</v>
      </c>
      <c r="I785" s="1" t="s">
        <v>26</v>
      </c>
      <c r="J785" s="2">
        <v>43526.706192129626</v>
      </c>
      <c r="K785" s="2">
        <v>43531.706192129626</v>
      </c>
      <c r="L785" s="2">
        <v>43531.706192129626</v>
      </c>
      <c r="M785" s="1">
        <f>_xlfn.DAYS(Table1[[#This Row],[actual_delivery_date]],Table1[[#This Row],[dispatch_date]])</f>
        <v>5</v>
      </c>
      <c r="N785">
        <v>37</v>
      </c>
      <c r="O785">
        <f>Table1[[#This Row],[transit_storage_cost]] * (1-'What -if Analysis'!$D$26)</f>
        <v>37</v>
      </c>
      <c r="P785">
        <v>121</v>
      </c>
      <c r="Q785">
        <v>2129.7199999999998</v>
      </c>
    </row>
    <row r="786" spans="1:17" x14ac:dyDescent="0.3">
      <c r="A786">
        <v>963280</v>
      </c>
      <c r="B786" s="1" t="s">
        <v>37</v>
      </c>
      <c r="C786" s="1" t="s">
        <v>16</v>
      </c>
      <c r="D786" s="1" t="s">
        <v>23</v>
      </c>
      <c r="E786" s="1" t="s">
        <v>28</v>
      </c>
      <c r="F786" s="1" t="s">
        <v>19</v>
      </c>
      <c r="G786" s="1" t="s">
        <v>20</v>
      </c>
      <c r="H786" t="s">
        <v>21</v>
      </c>
      <c r="I786" s="1" t="s">
        <v>22</v>
      </c>
      <c r="J786" s="2">
        <v>43529.70721064815</v>
      </c>
      <c r="K786" s="2">
        <v>43531.70721064815</v>
      </c>
      <c r="L786" s="2">
        <v>43534.70721064815</v>
      </c>
      <c r="M786" s="1">
        <f>_xlfn.DAYS(Table1[[#This Row],[actual_delivery_date]],Table1[[#This Row],[dispatch_date]])</f>
        <v>2</v>
      </c>
      <c r="N786">
        <v>49</v>
      </c>
      <c r="O786">
        <f>Table1[[#This Row],[transit_storage_cost]] * (1-'What -if Analysis'!$D$26)</f>
        <v>49</v>
      </c>
      <c r="P786">
        <v>125</v>
      </c>
      <c r="Q786">
        <v>2194.7781203396594</v>
      </c>
    </row>
    <row r="787" spans="1:17" x14ac:dyDescent="0.3">
      <c r="A787">
        <v>869927</v>
      </c>
      <c r="B787" s="1" t="s">
        <v>40</v>
      </c>
      <c r="C787" s="1" t="s">
        <v>16</v>
      </c>
      <c r="D787" s="1" t="s">
        <v>17</v>
      </c>
      <c r="E787" s="1" t="s">
        <v>18</v>
      </c>
      <c r="F787" s="1" t="s">
        <v>29</v>
      </c>
      <c r="G787" s="1" t="s">
        <v>20</v>
      </c>
      <c r="H787" t="s">
        <v>30</v>
      </c>
      <c r="I787" s="1" t="s">
        <v>22</v>
      </c>
      <c r="J787" s="2">
        <v>43526.72552083333</v>
      </c>
      <c r="K787" s="2">
        <v>43531.72552083333</v>
      </c>
      <c r="L787" s="2">
        <v>43529.72552083333</v>
      </c>
      <c r="M787" s="1">
        <f>_xlfn.DAYS(Table1[[#This Row],[actual_delivery_date]],Table1[[#This Row],[dispatch_date]])</f>
        <v>5</v>
      </c>
      <c r="N787">
        <v>42</v>
      </c>
      <c r="O787">
        <f>Table1[[#This Row],[transit_storage_cost]] * (1-'What -if Analysis'!$D$26)</f>
        <v>42</v>
      </c>
      <c r="P787">
        <v>113</v>
      </c>
      <c r="Q787">
        <v>586.95954660202085</v>
      </c>
    </row>
    <row r="788" spans="1:17" x14ac:dyDescent="0.3">
      <c r="A788">
        <v>664364</v>
      </c>
      <c r="B788" s="1" t="s">
        <v>41</v>
      </c>
      <c r="C788" s="1" t="s">
        <v>16</v>
      </c>
      <c r="D788" s="1" t="s">
        <v>23</v>
      </c>
      <c r="E788" s="1" t="s">
        <v>28</v>
      </c>
      <c r="F788" s="1" t="s">
        <v>19</v>
      </c>
      <c r="G788" s="1" t="s">
        <v>20</v>
      </c>
      <c r="H788" t="s">
        <v>21</v>
      </c>
      <c r="I788" s="1" t="s">
        <v>22</v>
      </c>
      <c r="J788" s="2">
        <v>43528.726111111115</v>
      </c>
      <c r="K788" s="2">
        <v>43531.726111111115</v>
      </c>
      <c r="L788" s="2">
        <v>43535.726111111115</v>
      </c>
      <c r="M788" s="1">
        <f>_xlfn.DAYS(Table1[[#This Row],[actual_delivery_date]],Table1[[#This Row],[dispatch_date]])</f>
        <v>3</v>
      </c>
      <c r="N788">
        <v>40</v>
      </c>
      <c r="O788">
        <f>Table1[[#This Row],[transit_storage_cost]] * (1-'What -if Analysis'!$D$26)</f>
        <v>40</v>
      </c>
      <c r="P788">
        <v>127</v>
      </c>
      <c r="Q788">
        <v>3738.0423952944175</v>
      </c>
    </row>
    <row r="789" spans="1:17" x14ac:dyDescent="0.3">
      <c r="A789">
        <v>166624</v>
      </c>
      <c r="B789" s="1" t="s">
        <v>38</v>
      </c>
      <c r="C789" s="1" t="s">
        <v>23</v>
      </c>
      <c r="D789" s="1" t="s">
        <v>23</v>
      </c>
      <c r="E789" s="1" t="s">
        <v>28</v>
      </c>
      <c r="F789" s="1" t="s">
        <v>19</v>
      </c>
      <c r="G789" s="1" t="s">
        <v>20</v>
      </c>
      <c r="H789" t="s">
        <v>21</v>
      </c>
      <c r="I789" s="1" t="s">
        <v>22</v>
      </c>
      <c r="J789" s="2">
        <v>43529.735613425924</v>
      </c>
      <c r="K789" s="2">
        <v>43531.735613425924</v>
      </c>
      <c r="L789" s="2">
        <v>43536.735613425924</v>
      </c>
      <c r="M789" s="1">
        <f>_xlfn.DAYS(Table1[[#This Row],[actual_delivery_date]],Table1[[#This Row],[dispatch_date]])</f>
        <v>2</v>
      </c>
      <c r="N789">
        <v>0</v>
      </c>
      <c r="O789">
        <f>Table1[[#This Row],[transit_storage_cost]] * (1-'What -if Analysis'!$D$26)</f>
        <v>0</v>
      </c>
      <c r="P789">
        <v>127</v>
      </c>
      <c r="Q789">
        <v>2450.0174591199466</v>
      </c>
    </row>
    <row r="790" spans="1:17" x14ac:dyDescent="0.3">
      <c r="A790">
        <v>216088</v>
      </c>
      <c r="B790" s="1" t="s">
        <v>15</v>
      </c>
      <c r="C790" s="1" t="s">
        <v>16</v>
      </c>
      <c r="D790" s="1" t="s">
        <v>16</v>
      </c>
      <c r="E790" s="1" t="s">
        <v>27</v>
      </c>
      <c r="F790" s="1" t="s">
        <v>19</v>
      </c>
      <c r="G790" s="1" t="s">
        <v>20</v>
      </c>
      <c r="H790" t="s">
        <v>21</v>
      </c>
      <c r="I790" s="1" t="s">
        <v>22</v>
      </c>
      <c r="J790" s="2">
        <v>43531.735925925925</v>
      </c>
      <c r="K790" s="2">
        <v>43531.735925925925</v>
      </c>
      <c r="L790" s="2">
        <v>43536.735925925925</v>
      </c>
      <c r="M790" s="1">
        <f>_xlfn.DAYS(Table1[[#This Row],[actual_delivery_date]],Table1[[#This Row],[dispatch_date]])</f>
        <v>0</v>
      </c>
      <c r="N790">
        <v>0</v>
      </c>
      <c r="O790">
        <f>Table1[[#This Row],[transit_storage_cost]] * (1-'What -if Analysis'!$D$26)</f>
        <v>0</v>
      </c>
      <c r="P790">
        <v>123</v>
      </c>
      <c r="Q790">
        <v>2801.7318549770198</v>
      </c>
    </row>
    <row r="791" spans="1:17" x14ac:dyDescent="0.3">
      <c r="A791">
        <v>186354</v>
      </c>
      <c r="B791" s="1" t="s">
        <v>15</v>
      </c>
      <c r="C791" s="1" t="s">
        <v>16</v>
      </c>
      <c r="D791" s="1" t="s">
        <v>23</v>
      </c>
      <c r="E791" s="1" t="s">
        <v>28</v>
      </c>
      <c r="F791" s="1" t="s">
        <v>19</v>
      </c>
      <c r="G791" s="1" t="s">
        <v>20</v>
      </c>
      <c r="H791" t="s">
        <v>21</v>
      </c>
      <c r="I791" s="1" t="s">
        <v>26</v>
      </c>
      <c r="J791" s="2">
        <v>43529.738749999997</v>
      </c>
      <c r="K791" s="2">
        <v>43531.738749999997</v>
      </c>
      <c r="L791" s="2">
        <v>43533.738749999997</v>
      </c>
      <c r="M791" s="1">
        <f>_xlfn.DAYS(Table1[[#This Row],[actual_delivery_date]],Table1[[#This Row],[dispatch_date]])</f>
        <v>2</v>
      </c>
      <c r="N791">
        <v>59</v>
      </c>
      <c r="O791">
        <f>Table1[[#This Row],[transit_storage_cost]] * (1-'What -if Analysis'!$D$26)</f>
        <v>59</v>
      </c>
      <c r="P791">
        <v>102</v>
      </c>
      <c r="Q791">
        <v>392.13</v>
      </c>
    </row>
    <row r="792" spans="1:17" x14ac:dyDescent="0.3">
      <c r="A792">
        <v>827509</v>
      </c>
      <c r="B792" s="1" t="s">
        <v>38</v>
      </c>
      <c r="C792" s="1" t="s">
        <v>23</v>
      </c>
      <c r="D792" s="1" t="s">
        <v>16</v>
      </c>
      <c r="E792" s="1" t="s">
        <v>27</v>
      </c>
      <c r="F792" s="1" t="s">
        <v>29</v>
      </c>
      <c r="G792" s="1" t="s">
        <v>20</v>
      </c>
      <c r="H792" t="s">
        <v>30</v>
      </c>
      <c r="I792" s="1" t="s">
        <v>22</v>
      </c>
      <c r="J792" s="2">
        <v>43526.74050925926</v>
      </c>
      <c r="K792" s="2">
        <v>43531.74050925926</v>
      </c>
      <c r="L792" s="2">
        <v>43529.74050925926</v>
      </c>
      <c r="M792" s="1">
        <f>_xlfn.DAYS(Table1[[#This Row],[actual_delivery_date]],Table1[[#This Row],[dispatch_date]])</f>
        <v>5</v>
      </c>
      <c r="N792">
        <v>49</v>
      </c>
      <c r="O792">
        <f>Table1[[#This Row],[transit_storage_cost]] * (1-'What -if Analysis'!$D$26)</f>
        <v>49</v>
      </c>
      <c r="P792">
        <v>129</v>
      </c>
      <c r="Q792">
        <v>1317.1239418822065</v>
      </c>
    </row>
    <row r="793" spans="1:17" x14ac:dyDescent="0.3">
      <c r="A793">
        <v>189261</v>
      </c>
      <c r="B793" s="1" t="s">
        <v>40</v>
      </c>
      <c r="C793" s="1" t="s">
        <v>23</v>
      </c>
      <c r="D793" s="1" t="s">
        <v>17</v>
      </c>
      <c r="E793" s="1" t="s">
        <v>18</v>
      </c>
      <c r="F793" s="1" t="s">
        <v>19</v>
      </c>
      <c r="G793" s="1" t="s">
        <v>20</v>
      </c>
      <c r="H793" t="s">
        <v>30</v>
      </c>
      <c r="I793" s="1" t="s">
        <v>26</v>
      </c>
      <c r="J793" s="2">
        <v>43529.744618055556</v>
      </c>
      <c r="K793" s="2">
        <v>43531.744618055556</v>
      </c>
      <c r="L793" s="2">
        <v>43532.744618055556</v>
      </c>
      <c r="M793" s="1">
        <f>_xlfn.DAYS(Table1[[#This Row],[actual_delivery_date]],Table1[[#This Row],[dispatch_date]])</f>
        <v>2</v>
      </c>
      <c r="N793">
        <v>70</v>
      </c>
      <c r="O793">
        <f>Table1[[#This Row],[transit_storage_cost]] * (1-'What -if Analysis'!$D$26)</f>
        <v>70</v>
      </c>
      <c r="P793">
        <v>94</v>
      </c>
      <c r="Q793">
        <v>3227.48</v>
      </c>
    </row>
    <row r="794" spans="1:17" x14ac:dyDescent="0.3">
      <c r="A794">
        <v>723907</v>
      </c>
      <c r="B794" s="1" t="s">
        <v>38</v>
      </c>
      <c r="C794" s="1" t="s">
        <v>16</v>
      </c>
      <c r="D794" s="1" t="s">
        <v>16</v>
      </c>
      <c r="E794" s="1" t="s">
        <v>27</v>
      </c>
      <c r="F794" s="1" t="s">
        <v>29</v>
      </c>
      <c r="G794" s="1" t="s">
        <v>20</v>
      </c>
      <c r="H794" t="s">
        <v>30</v>
      </c>
      <c r="I794" s="1" t="s">
        <v>22</v>
      </c>
      <c r="J794" s="2">
        <v>43527.747002314813</v>
      </c>
      <c r="K794" s="2">
        <v>43531.747002314813</v>
      </c>
      <c r="L794" s="2">
        <v>43534.747002314813</v>
      </c>
      <c r="M794" s="1">
        <f>_xlfn.DAYS(Table1[[#This Row],[actual_delivery_date]],Table1[[#This Row],[dispatch_date]])</f>
        <v>4</v>
      </c>
      <c r="N794">
        <v>0</v>
      </c>
      <c r="O794">
        <f>Table1[[#This Row],[transit_storage_cost]] * (1-'What -if Analysis'!$D$26)</f>
        <v>0</v>
      </c>
      <c r="P794">
        <v>128</v>
      </c>
      <c r="Q794">
        <v>949.90989681131077</v>
      </c>
    </row>
    <row r="795" spans="1:17" x14ac:dyDescent="0.3">
      <c r="A795">
        <v>954235</v>
      </c>
      <c r="B795" s="1" t="s">
        <v>40</v>
      </c>
      <c r="C795" s="1" t="s">
        <v>16</v>
      </c>
      <c r="D795" s="1" t="s">
        <v>17</v>
      </c>
      <c r="E795" s="1" t="s">
        <v>18</v>
      </c>
      <c r="F795" s="1" t="s">
        <v>19</v>
      </c>
      <c r="G795" s="1" t="s">
        <v>20</v>
      </c>
      <c r="H795" t="s">
        <v>30</v>
      </c>
      <c r="I795" s="1" t="s">
        <v>22</v>
      </c>
      <c r="J795" s="2">
        <v>43529.751261574071</v>
      </c>
      <c r="K795" s="2">
        <v>43531.751261574071</v>
      </c>
      <c r="L795" s="2">
        <v>43535.751261574071</v>
      </c>
      <c r="M795" s="1">
        <f>_xlfn.DAYS(Table1[[#This Row],[actual_delivery_date]],Table1[[#This Row],[dispatch_date]])</f>
        <v>2</v>
      </c>
      <c r="N795">
        <v>82</v>
      </c>
      <c r="O795">
        <f>Table1[[#This Row],[transit_storage_cost]] * (1-'What -if Analysis'!$D$26)</f>
        <v>82</v>
      </c>
      <c r="P795">
        <v>92</v>
      </c>
      <c r="Q795">
        <v>2520.0115353452338</v>
      </c>
    </row>
    <row r="796" spans="1:17" x14ac:dyDescent="0.3">
      <c r="A796">
        <v>775402</v>
      </c>
      <c r="B796" s="1" t="s">
        <v>37</v>
      </c>
      <c r="C796" s="1" t="s">
        <v>16</v>
      </c>
      <c r="D796" s="1" t="s">
        <v>17</v>
      </c>
      <c r="E796" s="1" t="s">
        <v>18</v>
      </c>
      <c r="F796" s="1" t="s">
        <v>19</v>
      </c>
      <c r="G796" s="1" t="s">
        <v>20</v>
      </c>
      <c r="H796" t="s">
        <v>21</v>
      </c>
      <c r="I796" s="1" t="s">
        <v>22</v>
      </c>
      <c r="J796" s="2">
        <v>43525.754594907405</v>
      </c>
      <c r="K796" s="2">
        <v>43531.754594907405</v>
      </c>
      <c r="L796" s="2">
        <v>43532.754594907405</v>
      </c>
      <c r="M796" s="1">
        <f>_xlfn.DAYS(Table1[[#This Row],[actual_delivery_date]],Table1[[#This Row],[dispatch_date]])</f>
        <v>6</v>
      </c>
      <c r="N796">
        <v>76</v>
      </c>
      <c r="O796">
        <f>Table1[[#This Row],[transit_storage_cost]] * (1-'What -if Analysis'!$D$26)</f>
        <v>76</v>
      </c>
      <c r="P796">
        <v>91</v>
      </c>
      <c r="Q796">
        <v>714.05699349381928</v>
      </c>
    </row>
    <row r="797" spans="1:17" x14ac:dyDescent="0.3">
      <c r="A797">
        <v>829821</v>
      </c>
      <c r="B797" s="1" t="s">
        <v>39</v>
      </c>
      <c r="C797" s="1" t="s">
        <v>23</v>
      </c>
      <c r="D797" s="1" t="s">
        <v>17</v>
      </c>
      <c r="E797" s="1" t="s">
        <v>18</v>
      </c>
      <c r="F797" s="1" t="s">
        <v>29</v>
      </c>
      <c r="G797" s="1" t="s">
        <v>20</v>
      </c>
      <c r="H797" t="s">
        <v>30</v>
      </c>
      <c r="I797" s="1" t="s">
        <v>26</v>
      </c>
      <c r="J797" s="2">
        <v>43527.755474537036</v>
      </c>
      <c r="K797" s="2">
        <v>43531.755474537036</v>
      </c>
      <c r="L797" s="2">
        <v>43532.755474537036</v>
      </c>
      <c r="M797" s="1">
        <f>_xlfn.DAYS(Table1[[#This Row],[actual_delivery_date]],Table1[[#This Row],[dispatch_date]])</f>
        <v>4</v>
      </c>
      <c r="N797">
        <v>48</v>
      </c>
      <c r="O797">
        <f>Table1[[#This Row],[transit_storage_cost]] * (1-'What -if Analysis'!$D$26)</f>
        <v>48</v>
      </c>
      <c r="P797">
        <v>110</v>
      </c>
      <c r="Q797">
        <v>2150.38</v>
      </c>
    </row>
    <row r="798" spans="1:17" x14ac:dyDescent="0.3">
      <c r="A798">
        <v>742919</v>
      </c>
      <c r="B798" s="1" t="s">
        <v>38</v>
      </c>
      <c r="C798" s="1" t="s">
        <v>16</v>
      </c>
      <c r="D798" s="1" t="s">
        <v>17</v>
      </c>
      <c r="E798" s="1" t="s">
        <v>18</v>
      </c>
      <c r="F798" s="1" t="s">
        <v>19</v>
      </c>
      <c r="G798" s="1" t="s">
        <v>20</v>
      </c>
      <c r="H798" t="s">
        <v>30</v>
      </c>
      <c r="I798" s="1" t="s">
        <v>22</v>
      </c>
      <c r="J798" s="2">
        <v>43528.761956018519</v>
      </c>
      <c r="K798" s="2">
        <v>43531.761956018519</v>
      </c>
      <c r="L798" s="2">
        <v>43535.761956018519</v>
      </c>
      <c r="M798" s="1">
        <f>_xlfn.DAYS(Table1[[#This Row],[actual_delivery_date]],Table1[[#This Row],[dispatch_date]])</f>
        <v>3</v>
      </c>
      <c r="N798">
        <v>69</v>
      </c>
      <c r="O798">
        <f>Table1[[#This Row],[transit_storage_cost]] * (1-'What -if Analysis'!$D$26)</f>
        <v>69</v>
      </c>
      <c r="P798">
        <v>89</v>
      </c>
      <c r="Q798">
        <v>3620.652963269431</v>
      </c>
    </row>
    <row r="799" spans="1:17" x14ac:dyDescent="0.3">
      <c r="A799">
        <v>436919</v>
      </c>
      <c r="B799" s="1" t="s">
        <v>40</v>
      </c>
      <c r="C799" s="1" t="s">
        <v>16</v>
      </c>
      <c r="D799" s="1" t="s">
        <v>23</v>
      </c>
      <c r="E799" s="1" t="s">
        <v>28</v>
      </c>
      <c r="F799" s="1" t="s">
        <v>29</v>
      </c>
      <c r="G799" s="1" t="s">
        <v>20</v>
      </c>
      <c r="H799" t="s">
        <v>34</v>
      </c>
      <c r="I799" s="1" t="s">
        <v>22</v>
      </c>
      <c r="J799" s="2">
        <v>43526.762303240743</v>
      </c>
      <c r="K799" s="2">
        <v>43531.762303240743</v>
      </c>
      <c r="L799" s="2">
        <v>43529.762303240743</v>
      </c>
      <c r="M799" s="1">
        <f>_xlfn.DAYS(Table1[[#This Row],[actual_delivery_date]],Table1[[#This Row],[dispatch_date]])</f>
        <v>5</v>
      </c>
      <c r="N799">
        <v>37</v>
      </c>
      <c r="O799">
        <f>Table1[[#This Row],[transit_storage_cost]] * (1-'What -if Analysis'!$D$26)</f>
        <v>37</v>
      </c>
      <c r="P799">
        <v>121</v>
      </c>
      <c r="Q799">
        <v>2773.7011671634136</v>
      </c>
    </row>
    <row r="800" spans="1:17" x14ac:dyDescent="0.3">
      <c r="A800">
        <v>404844</v>
      </c>
      <c r="B800" s="1" t="s">
        <v>37</v>
      </c>
      <c r="C800" s="1" t="s">
        <v>16</v>
      </c>
      <c r="D800" s="1" t="s">
        <v>17</v>
      </c>
      <c r="E800" s="1" t="s">
        <v>18</v>
      </c>
      <c r="F800" s="1" t="s">
        <v>19</v>
      </c>
      <c r="G800" s="1" t="s">
        <v>20</v>
      </c>
      <c r="H800" t="s">
        <v>21</v>
      </c>
      <c r="I800" s="1" t="s">
        <v>26</v>
      </c>
      <c r="J800" s="2">
        <v>43529.763356481482</v>
      </c>
      <c r="K800" s="2">
        <v>43531.763356481482</v>
      </c>
      <c r="L800" s="2">
        <v>43535.763356481482</v>
      </c>
      <c r="M800" s="1">
        <f>_xlfn.DAYS(Table1[[#This Row],[actual_delivery_date]],Table1[[#This Row],[dispatch_date]])</f>
        <v>2</v>
      </c>
      <c r="N800">
        <v>26</v>
      </c>
      <c r="O800">
        <f>Table1[[#This Row],[transit_storage_cost]] * (1-'What -if Analysis'!$D$26)</f>
        <v>26</v>
      </c>
      <c r="P800">
        <v>109</v>
      </c>
      <c r="Q800">
        <v>1338.05</v>
      </c>
    </row>
    <row r="801" spans="1:17" x14ac:dyDescent="0.3">
      <c r="A801">
        <v>389064</v>
      </c>
      <c r="B801" s="1" t="s">
        <v>37</v>
      </c>
      <c r="C801" s="1" t="s">
        <v>16</v>
      </c>
      <c r="D801" s="1" t="s">
        <v>16</v>
      </c>
      <c r="E801" s="1" t="s">
        <v>27</v>
      </c>
      <c r="F801" s="1" t="s">
        <v>19</v>
      </c>
      <c r="G801" s="1" t="s">
        <v>20</v>
      </c>
      <c r="H801" t="s">
        <v>21</v>
      </c>
      <c r="I801" s="1" t="s">
        <v>26</v>
      </c>
      <c r="J801" s="2">
        <v>43528.7656712963</v>
      </c>
      <c r="K801" s="2">
        <v>43531.7656712963</v>
      </c>
      <c r="L801" s="2">
        <v>43531.7656712963</v>
      </c>
      <c r="M801" s="1">
        <f>_xlfn.DAYS(Table1[[#This Row],[actual_delivery_date]],Table1[[#This Row],[dispatch_date]])</f>
        <v>3</v>
      </c>
      <c r="N801">
        <v>0</v>
      </c>
      <c r="O801">
        <f>Table1[[#This Row],[transit_storage_cost]] * (1-'What -if Analysis'!$D$26)</f>
        <v>0</v>
      </c>
      <c r="P801">
        <v>130</v>
      </c>
      <c r="Q801">
        <v>376.19</v>
      </c>
    </row>
    <row r="802" spans="1:17" x14ac:dyDescent="0.3">
      <c r="A802">
        <v>179264</v>
      </c>
      <c r="B802" s="1" t="s">
        <v>38</v>
      </c>
      <c r="C802" s="1" t="s">
        <v>23</v>
      </c>
      <c r="D802" s="1" t="s">
        <v>24</v>
      </c>
      <c r="E802" s="1" t="s">
        <v>25</v>
      </c>
      <c r="F802" s="1" t="s">
        <v>19</v>
      </c>
      <c r="G802" s="1" t="s">
        <v>20</v>
      </c>
      <c r="H802" t="s">
        <v>21</v>
      </c>
      <c r="I802" s="1" t="s">
        <v>22</v>
      </c>
      <c r="J802" s="2">
        <v>43525.767685185187</v>
      </c>
      <c r="K802" s="2">
        <v>43531.767685185187</v>
      </c>
      <c r="L802" s="2">
        <v>43529.767685185187</v>
      </c>
      <c r="M802" s="1">
        <f>_xlfn.DAYS(Table1[[#This Row],[actual_delivery_date]],Table1[[#This Row],[dispatch_date]])</f>
        <v>6</v>
      </c>
      <c r="N802">
        <v>30</v>
      </c>
      <c r="O802">
        <f>Table1[[#This Row],[transit_storage_cost]] * (1-'What -if Analysis'!$D$26)</f>
        <v>30</v>
      </c>
      <c r="P802">
        <v>129</v>
      </c>
      <c r="Q802">
        <v>1901.4094949189544</v>
      </c>
    </row>
    <row r="803" spans="1:17" x14ac:dyDescent="0.3">
      <c r="A803">
        <v>855594</v>
      </c>
      <c r="B803" s="1" t="s">
        <v>37</v>
      </c>
      <c r="C803" s="1" t="s">
        <v>16</v>
      </c>
      <c r="D803" s="1" t="s">
        <v>24</v>
      </c>
      <c r="E803" s="1" t="s">
        <v>25</v>
      </c>
      <c r="F803" s="1" t="s">
        <v>31</v>
      </c>
      <c r="G803" s="1" t="s">
        <v>20</v>
      </c>
      <c r="H803" t="s">
        <v>21</v>
      </c>
      <c r="I803" s="1" t="s">
        <v>26</v>
      </c>
      <c r="J803" s="2">
        <v>43529.772233796299</v>
      </c>
      <c r="K803" s="2">
        <v>43531.772233796299</v>
      </c>
      <c r="L803" s="2">
        <v>43533.772233796299</v>
      </c>
      <c r="M803" s="1">
        <f>_xlfn.DAYS(Table1[[#This Row],[actual_delivery_date]],Table1[[#This Row],[dispatch_date]])</f>
        <v>2</v>
      </c>
      <c r="N803">
        <v>41</v>
      </c>
      <c r="O803">
        <f>Table1[[#This Row],[transit_storage_cost]] * (1-'What -if Analysis'!$D$26)</f>
        <v>41</v>
      </c>
      <c r="P803">
        <v>127</v>
      </c>
      <c r="Q803">
        <v>348.92</v>
      </c>
    </row>
    <row r="804" spans="1:17" x14ac:dyDescent="0.3">
      <c r="A804">
        <v>56451</v>
      </c>
      <c r="B804" s="1" t="s">
        <v>38</v>
      </c>
      <c r="C804" s="1" t="s">
        <v>23</v>
      </c>
      <c r="D804" s="1" t="s">
        <v>23</v>
      </c>
      <c r="E804" s="1" t="s">
        <v>28</v>
      </c>
      <c r="F804" s="1" t="s">
        <v>29</v>
      </c>
      <c r="G804" s="1" t="s">
        <v>20</v>
      </c>
      <c r="H804" t="s">
        <v>30</v>
      </c>
      <c r="I804" s="1" t="s">
        <v>26</v>
      </c>
      <c r="J804" s="2">
        <v>43530.77480324074</v>
      </c>
      <c r="K804" s="2">
        <v>43531.77480324074</v>
      </c>
      <c r="L804" s="2">
        <v>43536.77480324074</v>
      </c>
      <c r="M804" s="1">
        <f>_xlfn.DAYS(Table1[[#This Row],[actual_delivery_date]],Table1[[#This Row],[dispatch_date]])</f>
        <v>1</v>
      </c>
      <c r="N804">
        <v>0</v>
      </c>
      <c r="O804">
        <f>Table1[[#This Row],[transit_storage_cost]] * (1-'What -if Analysis'!$D$26)</f>
        <v>0</v>
      </c>
      <c r="P804">
        <v>126</v>
      </c>
      <c r="Q804">
        <v>647.81502083337512</v>
      </c>
    </row>
    <row r="805" spans="1:17" x14ac:dyDescent="0.3">
      <c r="A805">
        <v>591852</v>
      </c>
      <c r="B805" s="1" t="s">
        <v>37</v>
      </c>
      <c r="C805" s="1" t="s">
        <v>16</v>
      </c>
      <c r="D805" s="1" t="s">
        <v>16</v>
      </c>
      <c r="E805" s="1" t="s">
        <v>27</v>
      </c>
      <c r="F805" s="1" t="s">
        <v>19</v>
      </c>
      <c r="G805" s="1" t="s">
        <v>20</v>
      </c>
      <c r="H805" t="s">
        <v>21</v>
      </c>
      <c r="I805" s="1" t="s">
        <v>26</v>
      </c>
      <c r="J805" s="2">
        <v>43531.77615740741</v>
      </c>
      <c r="K805" s="2">
        <v>43531.77615740741</v>
      </c>
      <c r="L805" s="2">
        <v>43536.77615740741</v>
      </c>
      <c r="M805" s="1">
        <f>_xlfn.DAYS(Table1[[#This Row],[actual_delivery_date]],Table1[[#This Row],[dispatch_date]])</f>
        <v>0</v>
      </c>
      <c r="N805">
        <v>0</v>
      </c>
      <c r="O805">
        <f>Table1[[#This Row],[transit_storage_cost]] * (1-'What -if Analysis'!$D$26)</f>
        <v>0</v>
      </c>
      <c r="P805">
        <v>102</v>
      </c>
      <c r="Q805">
        <v>1245</v>
      </c>
    </row>
    <row r="806" spans="1:17" x14ac:dyDescent="0.3">
      <c r="A806">
        <v>521457</v>
      </c>
      <c r="B806" s="1" t="s">
        <v>38</v>
      </c>
      <c r="C806" s="1" t="s">
        <v>16</v>
      </c>
      <c r="D806" s="1" t="s">
        <v>16</v>
      </c>
      <c r="E806" s="1" t="s">
        <v>27</v>
      </c>
      <c r="F806" s="1" t="s">
        <v>29</v>
      </c>
      <c r="G806" s="1" t="s">
        <v>20</v>
      </c>
      <c r="H806" t="s">
        <v>30</v>
      </c>
      <c r="I806" s="1" t="s">
        <v>26</v>
      </c>
      <c r="J806" s="2">
        <v>43527.786712962959</v>
      </c>
      <c r="K806" s="2">
        <v>43531.786712962959</v>
      </c>
      <c r="L806" s="2">
        <v>43534.786712962959</v>
      </c>
      <c r="M806" s="1">
        <f>_xlfn.DAYS(Table1[[#This Row],[actual_delivery_date]],Table1[[#This Row],[dispatch_date]])</f>
        <v>4</v>
      </c>
      <c r="N806">
        <v>0</v>
      </c>
      <c r="O806">
        <f>Table1[[#This Row],[transit_storage_cost]] * (1-'What -if Analysis'!$D$26)</f>
        <v>0</v>
      </c>
      <c r="P806">
        <v>127</v>
      </c>
      <c r="Q806">
        <v>3126.02</v>
      </c>
    </row>
    <row r="807" spans="1:17" x14ac:dyDescent="0.3">
      <c r="A807">
        <v>376852</v>
      </c>
      <c r="B807" s="1" t="s">
        <v>40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20</v>
      </c>
      <c r="H807" t="s">
        <v>21</v>
      </c>
      <c r="I807" s="1" t="s">
        <v>22</v>
      </c>
      <c r="J807" s="2">
        <v>43527.790763888886</v>
      </c>
      <c r="K807" s="2">
        <v>43531.790763888886</v>
      </c>
      <c r="L807" s="2">
        <v>43534.790763888886</v>
      </c>
      <c r="M807" s="1">
        <f>_xlfn.DAYS(Table1[[#This Row],[actual_delivery_date]],Table1[[#This Row],[dispatch_date]])</f>
        <v>4</v>
      </c>
      <c r="N807">
        <v>9999</v>
      </c>
      <c r="O807">
        <f>Table1[[#This Row],[transit_storage_cost]] * (1-'What -if Analysis'!$D$26)</f>
        <v>9999</v>
      </c>
      <c r="P807">
        <v>108</v>
      </c>
      <c r="Q807">
        <v>1464.0142123970593</v>
      </c>
    </row>
    <row r="808" spans="1:17" x14ac:dyDescent="0.3">
      <c r="A808">
        <v>666912</v>
      </c>
      <c r="B808" s="1" t="s">
        <v>38</v>
      </c>
      <c r="C808" s="1" t="s">
        <v>23</v>
      </c>
      <c r="D808" s="1" t="s">
        <v>16</v>
      </c>
      <c r="E808" s="1" t="s">
        <v>27</v>
      </c>
      <c r="F808" s="1" t="s">
        <v>19</v>
      </c>
      <c r="G808" s="1" t="s">
        <v>20</v>
      </c>
      <c r="H808" t="s">
        <v>21</v>
      </c>
      <c r="I808" s="1" t="s">
        <v>26</v>
      </c>
      <c r="J808" s="2">
        <v>43528.796307870369</v>
      </c>
      <c r="K808" s="2">
        <v>43531.796307870369</v>
      </c>
      <c r="L808" s="2">
        <v>43531.796307870369</v>
      </c>
      <c r="M808" s="1">
        <f>_xlfn.DAYS(Table1[[#This Row],[actual_delivery_date]],Table1[[#This Row],[dispatch_date]])</f>
        <v>3</v>
      </c>
      <c r="N808">
        <v>26</v>
      </c>
      <c r="O808">
        <f>Table1[[#This Row],[transit_storage_cost]] * (1-'What -if Analysis'!$D$26)</f>
        <v>26</v>
      </c>
      <c r="P808">
        <v>124</v>
      </c>
      <c r="Q808">
        <v>616.57000000000005</v>
      </c>
    </row>
    <row r="809" spans="1:17" x14ac:dyDescent="0.3">
      <c r="A809">
        <v>553522</v>
      </c>
      <c r="B809" s="1" t="s">
        <v>37</v>
      </c>
      <c r="C809" s="1" t="s">
        <v>16</v>
      </c>
      <c r="D809" s="1" t="s">
        <v>32</v>
      </c>
      <c r="E809" s="1" t="s">
        <v>33</v>
      </c>
      <c r="F809" s="1" t="s">
        <v>19</v>
      </c>
      <c r="G809" s="1" t="s">
        <v>20</v>
      </c>
      <c r="H809" t="s">
        <v>21</v>
      </c>
      <c r="I809" s="1" t="s">
        <v>22</v>
      </c>
      <c r="J809" s="2">
        <v>43528.81559027778</v>
      </c>
      <c r="K809" s="2">
        <v>43531.81559027778</v>
      </c>
      <c r="L809" s="2">
        <v>43532.81559027778</v>
      </c>
      <c r="M809" s="1">
        <f>_xlfn.DAYS(Table1[[#This Row],[actual_delivery_date]],Table1[[#This Row],[dispatch_date]])</f>
        <v>3</v>
      </c>
      <c r="N809">
        <v>58</v>
      </c>
      <c r="O809">
        <f>Table1[[#This Row],[transit_storage_cost]] * (1-'What -if Analysis'!$D$26)</f>
        <v>58</v>
      </c>
      <c r="P809">
        <v>93</v>
      </c>
      <c r="Q809">
        <v>3445.9798583308343</v>
      </c>
    </row>
    <row r="810" spans="1:17" x14ac:dyDescent="0.3">
      <c r="A810">
        <v>447957</v>
      </c>
      <c r="B810" s="1" t="s">
        <v>38</v>
      </c>
      <c r="C810" s="1" t="s">
        <v>16</v>
      </c>
      <c r="D810" s="1" t="s">
        <v>16</v>
      </c>
      <c r="E810" s="1" t="s">
        <v>27</v>
      </c>
      <c r="F810" s="1" t="s">
        <v>19</v>
      </c>
      <c r="G810" s="1" t="s">
        <v>20</v>
      </c>
      <c r="H810" t="s">
        <v>30</v>
      </c>
      <c r="I810" s="1" t="s">
        <v>26</v>
      </c>
      <c r="J810" s="2">
        <v>43531.817280092589</v>
      </c>
      <c r="K810" s="2">
        <v>43531.817280092589</v>
      </c>
      <c r="L810" s="2">
        <v>43536.817280092589</v>
      </c>
      <c r="M810" s="1">
        <f>_xlfn.DAYS(Table1[[#This Row],[actual_delivery_date]],Table1[[#This Row],[dispatch_date]])</f>
        <v>0</v>
      </c>
      <c r="N810">
        <v>0</v>
      </c>
      <c r="O810">
        <f>Table1[[#This Row],[transit_storage_cost]] * (1-'What -if Analysis'!$D$26)</f>
        <v>0</v>
      </c>
      <c r="P810">
        <v>105</v>
      </c>
      <c r="Q810">
        <v>2991.3167822427072</v>
      </c>
    </row>
    <row r="811" spans="1:17" x14ac:dyDescent="0.3">
      <c r="A811">
        <v>192812</v>
      </c>
      <c r="B811" s="1" t="s">
        <v>39</v>
      </c>
      <c r="C811" s="1" t="s">
        <v>23</v>
      </c>
      <c r="D811" s="1" t="s">
        <v>23</v>
      </c>
      <c r="E811" s="1" t="s">
        <v>28</v>
      </c>
      <c r="F811" s="1" t="s">
        <v>19</v>
      </c>
      <c r="G811" s="1" t="s">
        <v>20</v>
      </c>
      <c r="H811" t="s">
        <v>21</v>
      </c>
      <c r="I811" s="1" t="s">
        <v>22</v>
      </c>
      <c r="J811" s="2">
        <v>43529.827245370368</v>
      </c>
      <c r="K811" s="2">
        <v>43531.827245370368</v>
      </c>
      <c r="L811" s="2">
        <v>43536.827245370368</v>
      </c>
      <c r="M811" s="1">
        <f>_xlfn.DAYS(Table1[[#This Row],[actual_delivery_date]],Table1[[#This Row],[dispatch_date]])</f>
        <v>2</v>
      </c>
      <c r="N811">
        <v>0</v>
      </c>
      <c r="O811">
        <f>Table1[[#This Row],[transit_storage_cost]] * (1-'What -if Analysis'!$D$26)</f>
        <v>0</v>
      </c>
      <c r="P811">
        <v>121</v>
      </c>
      <c r="Q811">
        <v>3319.2591521386998</v>
      </c>
    </row>
    <row r="812" spans="1:17" x14ac:dyDescent="0.3">
      <c r="A812">
        <v>435718</v>
      </c>
      <c r="B812" s="1" t="s">
        <v>38</v>
      </c>
      <c r="C812" s="1" t="s">
        <v>23</v>
      </c>
      <c r="D812" s="1" t="s">
        <v>24</v>
      </c>
      <c r="E812" s="1" t="s">
        <v>25</v>
      </c>
      <c r="F812" s="1" t="s">
        <v>31</v>
      </c>
      <c r="G812" s="1" t="s">
        <v>20</v>
      </c>
      <c r="H812" t="s">
        <v>21</v>
      </c>
      <c r="I812" s="1" t="s">
        <v>22</v>
      </c>
      <c r="J812" s="2">
        <v>43525.827268518522</v>
      </c>
      <c r="K812" s="2">
        <v>43531.827268518522</v>
      </c>
      <c r="L812" s="2">
        <v>43531.827268518522</v>
      </c>
      <c r="M812" s="1">
        <f>_xlfn.DAYS(Table1[[#This Row],[actual_delivery_date]],Table1[[#This Row],[dispatch_date]])</f>
        <v>6</v>
      </c>
      <c r="N812">
        <v>38</v>
      </c>
      <c r="O812">
        <f>Table1[[#This Row],[transit_storage_cost]] * (1-'What -if Analysis'!$D$26)</f>
        <v>38</v>
      </c>
      <c r="P812">
        <v>125</v>
      </c>
      <c r="Q812">
        <v>1568.7186429144183</v>
      </c>
    </row>
    <row r="813" spans="1:17" x14ac:dyDescent="0.3">
      <c r="A813">
        <v>380730</v>
      </c>
      <c r="B813" s="1" t="s">
        <v>40</v>
      </c>
      <c r="C813" s="1" t="s">
        <v>23</v>
      </c>
      <c r="D813" s="1" t="s">
        <v>23</v>
      </c>
      <c r="E813" s="1" t="s">
        <v>28</v>
      </c>
      <c r="F813" s="1" t="s">
        <v>31</v>
      </c>
      <c r="G813" s="1" t="s">
        <v>20</v>
      </c>
      <c r="H813" t="s">
        <v>21</v>
      </c>
      <c r="I813" s="1" t="s">
        <v>26</v>
      </c>
      <c r="J813" s="2">
        <v>43529.827951388892</v>
      </c>
      <c r="K813" s="2">
        <v>43531.827951388892</v>
      </c>
      <c r="L813" s="2">
        <v>43536.827951388892</v>
      </c>
      <c r="M813" s="1">
        <f>_xlfn.DAYS(Table1[[#This Row],[actual_delivery_date]],Table1[[#This Row],[dispatch_date]])</f>
        <v>2</v>
      </c>
      <c r="N813">
        <v>0</v>
      </c>
      <c r="O813">
        <f>Table1[[#This Row],[transit_storage_cost]] * (1-'What -if Analysis'!$D$26)</f>
        <v>0</v>
      </c>
      <c r="P813">
        <v>129</v>
      </c>
      <c r="Q813">
        <v>1875.78</v>
      </c>
    </row>
    <row r="814" spans="1:17" x14ac:dyDescent="0.3">
      <c r="A814">
        <v>504853</v>
      </c>
      <c r="B814" s="1" t="s">
        <v>39</v>
      </c>
      <c r="C814" s="1" t="s">
        <v>23</v>
      </c>
      <c r="D814" s="1" t="s">
        <v>16</v>
      </c>
      <c r="E814" s="1" t="s">
        <v>27</v>
      </c>
      <c r="F814" s="1" t="s">
        <v>29</v>
      </c>
      <c r="G814" s="1" t="s">
        <v>20</v>
      </c>
      <c r="H814" t="s">
        <v>30</v>
      </c>
      <c r="I814" s="1" t="s">
        <v>22</v>
      </c>
      <c r="J814" s="2">
        <v>43526.833391203705</v>
      </c>
      <c r="K814" s="2">
        <v>43531.833391203705</v>
      </c>
      <c r="L814" s="2">
        <v>43529.833391203705</v>
      </c>
      <c r="M814" s="1">
        <f>_xlfn.DAYS(Table1[[#This Row],[actual_delivery_date]],Table1[[#This Row],[dispatch_date]])</f>
        <v>5</v>
      </c>
      <c r="N814">
        <v>39</v>
      </c>
      <c r="O814">
        <f>Table1[[#This Row],[transit_storage_cost]] * (1-'What -if Analysis'!$D$26)</f>
        <v>39</v>
      </c>
      <c r="P814">
        <v>129</v>
      </c>
      <c r="Q814">
        <v>1538.671940302045</v>
      </c>
    </row>
    <row r="815" spans="1:17" x14ac:dyDescent="0.3">
      <c r="A815">
        <v>731862</v>
      </c>
      <c r="B815" s="1" t="s">
        <v>38</v>
      </c>
      <c r="C815" s="1" t="s">
        <v>23</v>
      </c>
      <c r="D815" s="1" t="s">
        <v>17</v>
      </c>
      <c r="E815" s="1" t="s">
        <v>18</v>
      </c>
      <c r="F815" s="1" t="s">
        <v>31</v>
      </c>
      <c r="G815" s="1" t="s">
        <v>20</v>
      </c>
      <c r="H815" t="s">
        <v>21</v>
      </c>
      <c r="I815" s="1" t="s">
        <v>26</v>
      </c>
      <c r="J815" s="2">
        <v>43527.845150462963</v>
      </c>
      <c r="K815" s="2">
        <v>43531.845150462963</v>
      </c>
      <c r="L815" s="2">
        <v>43531.845150462963</v>
      </c>
      <c r="M815" s="1">
        <f>_xlfn.DAYS(Table1[[#This Row],[actual_delivery_date]],Table1[[#This Row],[dispatch_date]])</f>
        <v>4</v>
      </c>
      <c r="N815">
        <v>47</v>
      </c>
      <c r="O815">
        <f>Table1[[#This Row],[transit_storage_cost]] * (1-'What -if Analysis'!$D$26)</f>
        <v>47</v>
      </c>
      <c r="P815">
        <v>112</v>
      </c>
      <c r="Q815">
        <v>2738.44</v>
      </c>
    </row>
    <row r="816" spans="1:17" x14ac:dyDescent="0.3">
      <c r="A816">
        <v>579298</v>
      </c>
      <c r="B816" s="1" t="s">
        <v>38</v>
      </c>
      <c r="C816" s="1" t="s">
        <v>16</v>
      </c>
      <c r="D816" s="1" t="s">
        <v>16</v>
      </c>
      <c r="E816" s="1" t="s">
        <v>27</v>
      </c>
      <c r="F816" s="1" t="s">
        <v>19</v>
      </c>
      <c r="G816" s="1" t="s">
        <v>20</v>
      </c>
      <c r="H816" t="s">
        <v>21</v>
      </c>
      <c r="I816" s="1" t="s">
        <v>22</v>
      </c>
      <c r="J816" s="2">
        <v>43527.857557870368</v>
      </c>
      <c r="K816" s="2">
        <v>43531.857557870368</v>
      </c>
      <c r="L816" s="2">
        <v>43531.857557870368</v>
      </c>
      <c r="M816" s="1">
        <f>_xlfn.DAYS(Table1[[#This Row],[actual_delivery_date]],Table1[[#This Row],[dispatch_date]])</f>
        <v>4</v>
      </c>
      <c r="N816">
        <v>0</v>
      </c>
      <c r="O816">
        <f>Table1[[#This Row],[transit_storage_cost]] * (1-'What -if Analysis'!$D$26)</f>
        <v>0</v>
      </c>
      <c r="P816">
        <v>102</v>
      </c>
      <c r="Q816">
        <v>3350.6192797752037</v>
      </c>
    </row>
    <row r="817" spans="1:17" x14ac:dyDescent="0.3">
      <c r="A817">
        <v>981385</v>
      </c>
      <c r="B817" s="1" t="s">
        <v>37</v>
      </c>
      <c r="C817" s="1" t="s">
        <v>23</v>
      </c>
      <c r="D817" s="1" t="s">
        <v>17</v>
      </c>
      <c r="E817" s="1" t="s">
        <v>18</v>
      </c>
      <c r="F817" s="1" t="s">
        <v>29</v>
      </c>
      <c r="G817" s="1" t="s">
        <v>20</v>
      </c>
      <c r="H817" t="s">
        <v>30</v>
      </c>
      <c r="I817" s="1" t="s">
        <v>22</v>
      </c>
      <c r="J817" s="2">
        <v>43527.859571759262</v>
      </c>
      <c r="K817" s="2">
        <v>43531.859571759262</v>
      </c>
      <c r="L817" s="2">
        <v>43534.859571759262</v>
      </c>
      <c r="M817" s="1">
        <f>_xlfn.DAYS(Table1[[#This Row],[actual_delivery_date]],Table1[[#This Row],[dispatch_date]])</f>
        <v>4</v>
      </c>
      <c r="N817">
        <v>37</v>
      </c>
      <c r="O817">
        <f>Table1[[#This Row],[transit_storage_cost]] * (1-'What -if Analysis'!$D$26)</f>
        <v>37</v>
      </c>
      <c r="P817">
        <v>108</v>
      </c>
      <c r="Q817">
        <v>1986.591910498516</v>
      </c>
    </row>
    <row r="818" spans="1:17" x14ac:dyDescent="0.3">
      <c r="A818">
        <v>104012</v>
      </c>
      <c r="B818" s="1" t="s">
        <v>15</v>
      </c>
      <c r="C818" s="1" t="s">
        <v>16</v>
      </c>
      <c r="D818" s="1" t="s">
        <v>23</v>
      </c>
      <c r="E818" s="1" t="s">
        <v>28</v>
      </c>
      <c r="F818" s="1" t="s">
        <v>19</v>
      </c>
      <c r="G818" s="1" t="s">
        <v>20</v>
      </c>
      <c r="H818" t="s">
        <v>21</v>
      </c>
      <c r="I818" s="1" t="s">
        <v>22</v>
      </c>
      <c r="J818" s="2">
        <v>43527.863726851851</v>
      </c>
      <c r="K818" s="2">
        <v>43531.863726851851</v>
      </c>
      <c r="L818" s="2">
        <v>43530.863726851851</v>
      </c>
      <c r="M818" s="1">
        <f>_xlfn.DAYS(Table1[[#This Row],[actual_delivery_date]],Table1[[#This Row],[dispatch_date]])</f>
        <v>4</v>
      </c>
      <c r="N818">
        <v>71</v>
      </c>
      <c r="O818">
        <f>Table1[[#This Row],[transit_storage_cost]] * (1-'What -if Analysis'!$D$26)</f>
        <v>71</v>
      </c>
      <c r="P818">
        <v>107</v>
      </c>
      <c r="Q818">
        <v>2395.4318176177653</v>
      </c>
    </row>
    <row r="819" spans="1:17" x14ac:dyDescent="0.3">
      <c r="A819">
        <v>141851</v>
      </c>
      <c r="B819" s="1" t="s">
        <v>15</v>
      </c>
      <c r="C819" s="1" t="s">
        <v>23</v>
      </c>
      <c r="D819" s="1" t="s">
        <v>24</v>
      </c>
      <c r="E819" s="1" t="s">
        <v>25</v>
      </c>
      <c r="F819" s="1" t="s">
        <v>29</v>
      </c>
      <c r="G819" s="1" t="s">
        <v>20</v>
      </c>
      <c r="H819" t="s">
        <v>30</v>
      </c>
      <c r="I819" s="1" t="s">
        <v>22</v>
      </c>
      <c r="J819" s="2">
        <v>43529.863946759258</v>
      </c>
      <c r="K819" s="2">
        <v>43531.863946759258</v>
      </c>
      <c r="L819" s="2">
        <v>43535.863946759258</v>
      </c>
      <c r="M819" s="1">
        <f>_xlfn.DAYS(Table1[[#This Row],[actual_delivery_date]],Table1[[#This Row],[dispatch_date]])</f>
        <v>2</v>
      </c>
      <c r="N819">
        <v>36</v>
      </c>
      <c r="O819">
        <f>Table1[[#This Row],[transit_storage_cost]] * (1-'What -if Analysis'!$D$26)</f>
        <v>36</v>
      </c>
      <c r="P819">
        <v>121</v>
      </c>
      <c r="Q819">
        <v>2248.095195128074</v>
      </c>
    </row>
    <row r="820" spans="1:17" x14ac:dyDescent="0.3">
      <c r="A820">
        <v>264498</v>
      </c>
      <c r="B820" s="1" t="s">
        <v>38</v>
      </c>
      <c r="C820" s="1" t="s">
        <v>16</v>
      </c>
      <c r="D820" s="1" t="s">
        <v>23</v>
      </c>
      <c r="E820" s="1" t="s">
        <v>28</v>
      </c>
      <c r="F820" s="1" t="s">
        <v>19</v>
      </c>
      <c r="G820" s="1" t="s">
        <v>20</v>
      </c>
      <c r="H820" t="s">
        <v>21</v>
      </c>
      <c r="I820" s="1" t="s">
        <v>26</v>
      </c>
      <c r="J820" s="2">
        <v>43529.875011574077</v>
      </c>
      <c r="K820" s="2">
        <v>43531.875011574077</v>
      </c>
      <c r="L820" s="2">
        <v>43532.875011574077</v>
      </c>
      <c r="M820" s="1">
        <f>_xlfn.DAYS(Table1[[#This Row],[actual_delivery_date]],Table1[[#This Row],[dispatch_date]])</f>
        <v>2</v>
      </c>
      <c r="N820">
        <v>80</v>
      </c>
      <c r="O820">
        <f>Table1[[#This Row],[transit_storage_cost]] * (1-'What -if Analysis'!$D$26)</f>
        <v>80</v>
      </c>
      <c r="P820">
        <v>104</v>
      </c>
      <c r="Q820">
        <v>248.66</v>
      </c>
    </row>
    <row r="821" spans="1:17" x14ac:dyDescent="0.3">
      <c r="A821">
        <v>780430</v>
      </c>
      <c r="B821" s="1" t="s">
        <v>40</v>
      </c>
      <c r="C821" s="1" t="s">
        <v>16</v>
      </c>
      <c r="D821" s="1" t="s">
        <v>24</v>
      </c>
      <c r="E821" s="1" t="s">
        <v>25</v>
      </c>
      <c r="F821" s="1" t="s">
        <v>31</v>
      </c>
      <c r="G821" s="1" t="s">
        <v>20</v>
      </c>
      <c r="H821" t="s">
        <v>21</v>
      </c>
      <c r="I821" s="1" t="s">
        <v>22</v>
      </c>
      <c r="J821" s="2">
        <v>43526.880578703705</v>
      </c>
      <c r="K821" s="2">
        <v>43531.880578703705</v>
      </c>
      <c r="L821" s="2">
        <v>43532.880578703705</v>
      </c>
      <c r="M821" s="1">
        <f>_xlfn.DAYS(Table1[[#This Row],[actual_delivery_date]],Table1[[#This Row],[dispatch_date]])</f>
        <v>5</v>
      </c>
      <c r="N821">
        <v>28</v>
      </c>
      <c r="O821">
        <f>Table1[[#This Row],[transit_storage_cost]] * (1-'What -if Analysis'!$D$26)</f>
        <v>28</v>
      </c>
      <c r="P821">
        <v>129</v>
      </c>
      <c r="Q821">
        <v>1105.9675575781732</v>
      </c>
    </row>
    <row r="822" spans="1:17" x14ac:dyDescent="0.3">
      <c r="A822">
        <v>704883</v>
      </c>
      <c r="B822" s="1" t="s">
        <v>38</v>
      </c>
      <c r="C822" s="1" t="s">
        <v>23</v>
      </c>
      <c r="D822" s="1" t="s">
        <v>17</v>
      </c>
      <c r="E822" s="1" t="s">
        <v>18</v>
      </c>
      <c r="F822" s="1" t="s">
        <v>29</v>
      </c>
      <c r="G822" s="1" t="s">
        <v>20</v>
      </c>
      <c r="H822" t="s">
        <v>30</v>
      </c>
      <c r="I822" s="1" t="s">
        <v>26</v>
      </c>
      <c r="J822" s="2">
        <v>43525.883379629631</v>
      </c>
      <c r="K822" s="2">
        <v>43531.883379629631</v>
      </c>
      <c r="L822" s="2">
        <v>43531.883379629631</v>
      </c>
      <c r="M822" s="1">
        <f>_xlfn.DAYS(Table1[[#This Row],[actual_delivery_date]],Table1[[#This Row],[dispatch_date]])</f>
        <v>6</v>
      </c>
      <c r="N822">
        <v>44</v>
      </c>
      <c r="O822">
        <f>Table1[[#This Row],[transit_storage_cost]] * (1-'What -if Analysis'!$D$26)</f>
        <v>44</v>
      </c>
      <c r="P822">
        <v>113</v>
      </c>
      <c r="Q822">
        <v>1794.48</v>
      </c>
    </row>
    <row r="823" spans="1:17" x14ac:dyDescent="0.3">
      <c r="A823">
        <v>847236</v>
      </c>
      <c r="B823" s="1" t="s">
        <v>37</v>
      </c>
      <c r="C823" s="1" t="s">
        <v>23</v>
      </c>
      <c r="D823" s="1" t="s">
        <v>23</v>
      </c>
      <c r="E823" s="1" t="s">
        <v>28</v>
      </c>
      <c r="F823" s="1" t="s">
        <v>19</v>
      </c>
      <c r="G823" s="1" t="s">
        <v>20</v>
      </c>
      <c r="H823" t="s">
        <v>21</v>
      </c>
      <c r="I823" s="1" t="s">
        <v>26</v>
      </c>
      <c r="J823" s="2">
        <v>43527.887141203704</v>
      </c>
      <c r="K823" s="2">
        <v>43531.887141203704</v>
      </c>
      <c r="L823" s="2">
        <v>43530.887141203704</v>
      </c>
      <c r="M823" s="1">
        <f>_xlfn.DAYS(Table1[[#This Row],[actual_delivery_date]],Table1[[#This Row],[dispatch_date]])</f>
        <v>4</v>
      </c>
      <c r="N823">
        <v>0</v>
      </c>
      <c r="O823">
        <f>Table1[[#This Row],[transit_storage_cost]] * (1-'What -if Analysis'!$D$26)</f>
        <v>0</v>
      </c>
      <c r="P823">
        <v>121</v>
      </c>
      <c r="Q823">
        <v>1299.31</v>
      </c>
    </row>
    <row r="824" spans="1:17" x14ac:dyDescent="0.3">
      <c r="A824">
        <v>705929</v>
      </c>
      <c r="B824" s="1" t="s">
        <v>38</v>
      </c>
      <c r="C824" s="1" t="s">
        <v>16</v>
      </c>
      <c r="D824" s="1" t="s">
        <v>23</v>
      </c>
      <c r="E824" s="1" t="s">
        <v>28</v>
      </c>
      <c r="F824" s="1" t="s">
        <v>19</v>
      </c>
      <c r="G824" s="1" t="s">
        <v>20</v>
      </c>
      <c r="H824" t="s">
        <v>34</v>
      </c>
      <c r="I824" s="1" t="s">
        <v>22</v>
      </c>
      <c r="J824" s="2">
        <v>43528.889479166668</v>
      </c>
      <c r="K824" s="2">
        <v>43531.889479166668</v>
      </c>
      <c r="L824" s="2">
        <v>43534.889479166668</v>
      </c>
      <c r="M824" s="1">
        <f>_xlfn.DAYS(Table1[[#This Row],[actual_delivery_date]],Table1[[#This Row],[dispatch_date]])</f>
        <v>3</v>
      </c>
      <c r="N824">
        <v>73</v>
      </c>
      <c r="O824">
        <f>Table1[[#This Row],[transit_storage_cost]] * (1-'What -if Analysis'!$D$26)</f>
        <v>73</v>
      </c>
      <c r="P824">
        <v>100</v>
      </c>
      <c r="Q824">
        <v>1659.1905609959804</v>
      </c>
    </row>
    <row r="825" spans="1:17" x14ac:dyDescent="0.3">
      <c r="A825">
        <v>807889</v>
      </c>
      <c r="B825" s="1" t="s">
        <v>39</v>
      </c>
      <c r="C825" s="1" t="s">
        <v>16</v>
      </c>
      <c r="D825" s="1" t="s">
        <v>16</v>
      </c>
      <c r="E825" s="1" t="s">
        <v>27</v>
      </c>
      <c r="F825" s="1" t="s">
        <v>29</v>
      </c>
      <c r="G825" s="1" t="s">
        <v>20</v>
      </c>
      <c r="H825" t="s">
        <v>30</v>
      </c>
      <c r="I825" s="1" t="s">
        <v>22</v>
      </c>
      <c r="J825" s="2">
        <v>43528.910381944443</v>
      </c>
      <c r="K825" s="2">
        <v>43531.910381944443</v>
      </c>
      <c r="L825" s="2">
        <v>43532.910381944443</v>
      </c>
      <c r="M825" s="1">
        <f>_xlfn.DAYS(Table1[[#This Row],[actual_delivery_date]],Table1[[#This Row],[dispatch_date]])</f>
        <v>3</v>
      </c>
      <c r="N825">
        <v>0</v>
      </c>
      <c r="O825">
        <f>Table1[[#This Row],[transit_storage_cost]] * (1-'What -if Analysis'!$D$26)</f>
        <v>0</v>
      </c>
      <c r="P825">
        <v>122</v>
      </c>
      <c r="Q825">
        <v>663.66624298941815</v>
      </c>
    </row>
    <row r="826" spans="1:17" x14ac:dyDescent="0.3">
      <c r="A826">
        <v>561784</v>
      </c>
      <c r="B826" s="1" t="s">
        <v>40</v>
      </c>
      <c r="C826" s="1" t="s">
        <v>16</v>
      </c>
      <c r="D826" s="1" t="s">
        <v>17</v>
      </c>
      <c r="E826" s="1" t="s">
        <v>18</v>
      </c>
      <c r="F826" s="1" t="s">
        <v>19</v>
      </c>
      <c r="G826" s="1" t="s">
        <v>20</v>
      </c>
      <c r="H826" t="s">
        <v>21</v>
      </c>
      <c r="I826" s="1" t="s">
        <v>22</v>
      </c>
      <c r="J826" s="2">
        <v>43529.915995370371</v>
      </c>
      <c r="K826" s="2">
        <v>43531.915995370371</v>
      </c>
      <c r="L826" s="2">
        <v>43535.915995370371</v>
      </c>
      <c r="M826" s="1">
        <f>_xlfn.DAYS(Table1[[#This Row],[actual_delivery_date]],Table1[[#This Row],[dispatch_date]])</f>
        <v>2</v>
      </c>
      <c r="N826">
        <v>78</v>
      </c>
      <c r="O826">
        <f>Table1[[#This Row],[transit_storage_cost]] * (1-'What -if Analysis'!$D$26)</f>
        <v>78</v>
      </c>
      <c r="P826">
        <v>94</v>
      </c>
      <c r="Q826">
        <v>3705.2741628971889</v>
      </c>
    </row>
    <row r="827" spans="1:17" x14ac:dyDescent="0.3">
      <c r="A827">
        <v>837451</v>
      </c>
      <c r="B827" s="1" t="s">
        <v>39</v>
      </c>
      <c r="C827" s="1" t="s">
        <v>16</v>
      </c>
      <c r="D827" s="1" t="s">
        <v>17</v>
      </c>
      <c r="E827" s="1" t="s">
        <v>18</v>
      </c>
      <c r="F827" s="1" t="s">
        <v>19</v>
      </c>
      <c r="G827" s="1" t="s">
        <v>20</v>
      </c>
      <c r="H827" t="s">
        <v>30</v>
      </c>
      <c r="I827" s="1" t="s">
        <v>22</v>
      </c>
      <c r="J827" s="2">
        <v>43529.91846064815</v>
      </c>
      <c r="K827" s="2">
        <v>43531.91846064815</v>
      </c>
      <c r="L827" s="2">
        <v>43534.91846064815</v>
      </c>
      <c r="M827" s="1">
        <f>_xlfn.DAYS(Table1[[#This Row],[actual_delivery_date]],Table1[[#This Row],[dispatch_date]])</f>
        <v>2</v>
      </c>
      <c r="N827">
        <v>79</v>
      </c>
      <c r="O827">
        <f>Table1[[#This Row],[transit_storage_cost]] * (1-'What -if Analysis'!$D$26)</f>
        <v>79</v>
      </c>
      <c r="P827">
        <v>92</v>
      </c>
      <c r="Q827">
        <v>2738.0856607087071</v>
      </c>
    </row>
    <row r="828" spans="1:17" x14ac:dyDescent="0.3">
      <c r="A828">
        <v>742614</v>
      </c>
      <c r="B828" s="1" t="s">
        <v>38</v>
      </c>
      <c r="C828" s="1" t="s">
        <v>16</v>
      </c>
      <c r="D828" s="1" t="s">
        <v>16</v>
      </c>
      <c r="E828" s="1" t="s">
        <v>27</v>
      </c>
      <c r="F828" s="1" t="s">
        <v>19</v>
      </c>
      <c r="G828" s="1" t="s">
        <v>20</v>
      </c>
      <c r="H828" t="s">
        <v>21</v>
      </c>
      <c r="I828" s="1" t="s">
        <v>26</v>
      </c>
      <c r="J828" s="2">
        <v>43529.921435185184</v>
      </c>
      <c r="K828" s="2">
        <v>43531.921435185184</v>
      </c>
      <c r="L828" s="2">
        <v>43532.921435185184</v>
      </c>
      <c r="M828" s="1">
        <f>_xlfn.DAYS(Table1[[#This Row],[actual_delivery_date]],Table1[[#This Row],[dispatch_date]])</f>
        <v>2</v>
      </c>
      <c r="N828">
        <v>0</v>
      </c>
      <c r="O828">
        <f>Table1[[#This Row],[transit_storage_cost]] * (1-'What -if Analysis'!$D$26)</f>
        <v>0</v>
      </c>
      <c r="P828">
        <v>100</v>
      </c>
      <c r="Q828">
        <v>3178.76</v>
      </c>
    </row>
    <row r="829" spans="1:17" x14ac:dyDescent="0.3">
      <c r="A829">
        <v>129090</v>
      </c>
      <c r="B829" s="1" t="s">
        <v>38</v>
      </c>
      <c r="C829" s="1" t="s">
        <v>23</v>
      </c>
      <c r="D829" s="1" t="s">
        <v>23</v>
      </c>
      <c r="E829" s="1" t="s">
        <v>28</v>
      </c>
      <c r="F829" s="1" t="s">
        <v>31</v>
      </c>
      <c r="G829" s="1" t="s">
        <v>20</v>
      </c>
      <c r="H829" t="s">
        <v>21</v>
      </c>
      <c r="I829" s="1" t="s">
        <v>26</v>
      </c>
      <c r="J829" s="2">
        <v>43525.923182870371</v>
      </c>
      <c r="K829" s="2">
        <v>43531.923182870371</v>
      </c>
      <c r="L829" s="2">
        <v>43530.923182870371</v>
      </c>
      <c r="M829" s="1">
        <f>_xlfn.DAYS(Table1[[#This Row],[actual_delivery_date]],Table1[[#This Row],[dispatch_date]])</f>
        <v>6</v>
      </c>
      <c r="N829">
        <v>0</v>
      </c>
      <c r="O829">
        <f>Table1[[#This Row],[transit_storage_cost]] * (1-'What -if Analysis'!$D$26)</f>
        <v>0</v>
      </c>
      <c r="P829">
        <v>129</v>
      </c>
      <c r="Q829">
        <v>1575.12</v>
      </c>
    </row>
    <row r="830" spans="1:17" x14ac:dyDescent="0.3">
      <c r="A830">
        <v>625283</v>
      </c>
      <c r="B830" s="1" t="s">
        <v>39</v>
      </c>
      <c r="C830" s="1" t="s">
        <v>16</v>
      </c>
      <c r="D830" s="1" t="s">
        <v>17</v>
      </c>
      <c r="E830" s="1" t="s">
        <v>18</v>
      </c>
      <c r="F830" s="1" t="s">
        <v>19</v>
      </c>
      <c r="G830" s="1" t="s">
        <v>20</v>
      </c>
      <c r="H830" t="s">
        <v>30</v>
      </c>
      <c r="I830" s="1" t="s">
        <v>22</v>
      </c>
      <c r="J830" s="2">
        <v>43525.929050925923</v>
      </c>
      <c r="K830" s="2">
        <v>43531.929050925923</v>
      </c>
      <c r="L830" s="2">
        <v>43528.929050925923</v>
      </c>
      <c r="M830" s="1">
        <f>_xlfn.DAYS(Table1[[#This Row],[actual_delivery_date]],Table1[[#This Row],[dispatch_date]])</f>
        <v>6</v>
      </c>
      <c r="N830">
        <v>87</v>
      </c>
      <c r="O830">
        <f>Table1[[#This Row],[transit_storage_cost]] * (1-'What -if Analysis'!$D$26)</f>
        <v>87</v>
      </c>
      <c r="P830">
        <v>92</v>
      </c>
      <c r="Q830">
        <v>314.74039443477437</v>
      </c>
    </row>
    <row r="831" spans="1:17" x14ac:dyDescent="0.3">
      <c r="A831">
        <v>295679</v>
      </c>
      <c r="B831" s="1" t="s">
        <v>38</v>
      </c>
      <c r="C831" s="1" t="s">
        <v>16</v>
      </c>
      <c r="D831" s="1" t="s">
        <v>17</v>
      </c>
      <c r="E831" s="1" t="s">
        <v>18</v>
      </c>
      <c r="F831" s="1" t="s">
        <v>19</v>
      </c>
      <c r="G831" s="1" t="s">
        <v>20</v>
      </c>
      <c r="H831" t="s">
        <v>30</v>
      </c>
      <c r="I831" s="1" t="s">
        <v>22</v>
      </c>
      <c r="J831" s="2">
        <v>43527.933865740742</v>
      </c>
      <c r="K831" s="2">
        <v>43531.933865740742</v>
      </c>
      <c r="L831" s="2">
        <v>43530.933865740742</v>
      </c>
      <c r="M831" s="1">
        <f>_xlfn.DAYS(Table1[[#This Row],[actual_delivery_date]],Table1[[#This Row],[dispatch_date]])</f>
        <v>4</v>
      </c>
      <c r="N831">
        <v>80</v>
      </c>
      <c r="O831">
        <f>Table1[[#This Row],[transit_storage_cost]] * (1-'What -if Analysis'!$D$26)</f>
        <v>80</v>
      </c>
      <c r="P831">
        <v>90</v>
      </c>
      <c r="Q831">
        <v>1558.6616083925396</v>
      </c>
    </row>
    <row r="832" spans="1:17" x14ac:dyDescent="0.3">
      <c r="A832">
        <v>506341</v>
      </c>
      <c r="B832" s="1" t="s">
        <v>37</v>
      </c>
      <c r="C832" s="1" t="s">
        <v>23</v>
      </c>
      <c r="D832" s="1" t="s">
        <v>23</v>
      </c>
      <c r="E832" s="1" t="s">
        <v>28</v>
      </c>
      <c r="F832" s="1" t="s">
        <v>19</v>
      </c>
      <c r="G832" s="1" t="s">
        <v>20</v>
      </c>
      <c r="H832" t="s">
        <v>30</v>
      </c>
      <c r="I832" s="1" t="s">
        <v>22</v>
      </c>
      <c r="J832" s="2">
        <v>43526.940625000003</v>
      </c>
      <c r="K832" s="2">
        <v>43531.940625000003</v>
      </c>
      <c r="L832" s="2">
        <v>43530.940625000003</v>
      </c>
      <c r="M832" s="1">
        <f>_xlfn.DAYS(Table1[[#This Row],[actual_delivery_date]],Table1[[#This Row],[dispatch_date]])</f>
        <v>5</v>
      </c>
      <c r="N832">
        <v>0</v>
      </c>
      <c r="O832">
        <f>Table1[[#This Row],[transit_storage_cost]] * (1-'What -if Analysis'!$D$26)</f>
        <v>0</v>
      </c>
      <c r="P832">
        <v>107</v>
      </c>
      <c r="Q832">
        <v>1119.3601599842432</v>
      </c>
    </row>
    <row r="833" spans="1:17" x14ac:dyDescent="0.3">
      <c r="A833">
        <v>945109</v>
      </c>
      <c r="B833" s="1" t="s">
        <v>39</v>
      </c>
      <c r="C833" s="1" t="s">
        <v>16</v>
      </c>
      <c r="D833" s="1" t="s">
        <v>17</v>
      </c>
      <c r="E833" s="1" t="s">
        <v>18</v>
      </c>
      <c r="F833" s="1" t="s">
        <v>29</v>
      </c>
      <c r="G833" s="1" t="s">
        <v>20</v>
      </c>
      <c r="H833" t="s">
        <v>30</v>
      </c>
      <c r="I833" s="1" t="s">
        <v>22</v>
      </c>
      <c r="J833" s="2">
        <v>43526.943576388891</v>
      </c>
      <c r="K833" s="2">
        <v>43531.943576388891</v>
      </c>
      <c r="L833" s="2">
        <v>43533.943576388891</v>
      </c>
      <c r="M833" s="1">
        <f>_xlfn.DAYS(Table1[[#This Row],[actual_delivery_date]],Table1[[#This Row],[dispatch_date]])</f>
        <v>5</v>
      </c>
      <c r="N833">
        <v>28</v>
      </c>
      <c r="O833">
        <f>Table1[[#This Row],[transit_storage_cost]] * (1-'What -if Analysis'!$D$26)</f>
        <v>28</v>
      </c>
      <c r="P833">
        <v>114</v>
      </c>
      <c r="Q833">
        <v>924.68508285792484</v>
      </c>
    </row>
    <row r="834" spans="1:17" x14ac:dyDescent="0.3">
      <c r="A834">
        <v>123295</v>
      </c>
      <c r="B834" s="1" t="s">
        <v>41</v>
      </c>
      <c r="C834" s="1" t="s">
        <v>23</v>
      </c>
      <c r="D834" s="1" t="s">
        <v>17</v>
      </c>
      <c r="E834" s="1" t="s">
        <v>18</v>
      </c>
      <c r="F834" s="1" t="s">
        <v>29</v>
      </c>
      <c r="G834" s="1" t="s">
        <v>20</v>
      </c>
      <c r="H834" t="s">
        <v>30</v>
      </c>
      <c r="I834" s="1" t="s">
        <v>22</v>
      </c>
      <c r="J834" s="2">
        <v>43526.945486111108</v>
      </c>
      <c r="K834" s="2">
        <v>43531.945486111108</v>
      </c>
      <c r="L834" s="2">
        <v>43529.945486111108</v>
      </c>
      <c r="M834" s="1">
        <f>_xlfn.DAYS(Table1[[#This Row],[actual_delivery_date]],Table1[[#This Row],[dispatch_date]])</f>
        <v>5</v>
      </c>
      <c r="N834">
        <v>36</v>
      </c>
      <c r="O834">
        <f>Table1[[#This Row],[transit_storage_cost]] * (1-'What -if Analysis'!$D$26)</f>
        <v>36</v>
      </c>
      <c r="P834">
        <v>108</v>
      </c>
      <c r="Q834">
        <v>1273.8940388946503</v>
      </c>
    </row>
    <row r="835" spans="1:17" x14ac:dyDescent="0.3">
      <c r="A835">
        <v>921489</v>
      </c>
      <c r="B835" s="1" t="s">
        <v>37</v>
      </c>
      <c r="C835" s="1" t="s">
        <v>23</v>
      </c>
      <c r="D835" s="1" t="s">
        <v>16</v>
      </c>
      <c r="E835" s="1" t="s">
        <v>27</v>
      </c>
      <c r="F835" s="1" t="s">
        <v>29</v>
      </c>
      <c r="G835" s="1" t="s">
        <v>20</v>
      </c>
      <c r="H835" t="s">
        <v>30</v>
      </c>
      <c r="I835" s="1" t="s">
        <v>26</v>
      </c>
      <c r="J835" s="2">
        <v>43526.951122685183</v>
      </c>
      <c r="K835" s="2">
        <v>43531.951122685183</v>
      </c>
      <c r="L835" s="2">
        <v>43530.951122685183</v>
      </c>
      <c r="M835" s="1">
        <f>_xlfn.DAYS(Table1[[#This Row],[actual_delivery_date]],Table1[[#This Row],[dispatch_date]])</f>
        <v>5</v>
      </c>
      <c r="N835">
        <v>27</v>
      </c>
      <c r="O835">
        <f>Table1[[#This Row],[transit_storage_cost]] * (1-'What -if Analysis'!$D$26)</f>
        <v>27</v>
      </c>
      <c r="P835">
        <v>124</v>
      </c>
      <c r="Q835">
        <v>720.12</v>
      </c>
    </row>
    <row r="836" spans="1:17" x14ac:dyDescent="0.3">
      <c r="A836">
        <v>12037</v>
      </c>
      <c r="B836" s="1" t="s">
        <v>41</v>
      </c>
      <c r="C836" s="1" t="s">
        <v>16</v>
      </c>
      <c r="D836" s="1" t="s">
        <v>17</v>
      </c>
      <c r="E836" s="1" t="s">
        <v>18</v>
      </c>
      <c r="F836" s="1" t="s">
        <v>29</v>
      </c>
      <c r="G836" s="1" t="s">
        <v>20</v>
      </c>
      <c r="H836" t="s">
        <v>30</v>
      </c>
      <c r="I836" s="1" t="s">
        <v>22</v>
      </c>
      <c r="J836" s="2">
        <v>43526.951249999998</v>
      </c>
      <c r="K836" s="2">
        <v>43531.951249999998</v>
      </c>
      <c r="L836" s="2">
        <v>43530.951249999998</v>
      </c>
      <c r="M836" s="1">
        <f>_xlfn.DAYS(Table1[[#This Row],[actual_delivery_date]],Table1[[#This Row],[dispatch_date]])</f>
        <v>5</v>
      </c>
      <c r="N836">
        <v>45</v>
      </c>
      <c r="O836">
        <f>Table1[[#This Row],[transit_storage_cost]] * (1-'What -if Analysis'!$D$26)</f>
        <v>45</v>
      </c>
      <c r="P836">
        <v>111</v>
      </c>
      <c r="Q836">
        <v>836.39268395923148</v>
      </c>
    </row>
    <row r="837" spans="1:17" x14ac:dyDescent="0.3">
      <c r="A837">
        <v>949472</v>
      </c>
      <c r="B837" s="1" t="s">
        <v>40</v>
      </c>
      <c r="C837" s="1" t="s">
        <v>16</v>
      </c>
      <c r="D837" s="1" t="s">
        <v>23</v>
      </c>
      <c r="E837" s="1" t="s">
        <v>28</v>
      </c>
      <c r="F837" s="1" t="s">
        <v>19</v>
      </c>
      <c r="G837" s="1" t="s">
        <v>20</v>
      </c>
      <c r="H837" t="s">
        <v>21</v>
      </c>
      <c r="I837" s="1" t="s">
        <v>22</v>
      </c>
      <c r="J837" s="2">
        <v>43525.952569444446</v>
      </c>
      <c r="K837" s="2">
        <v>43531.952569444446</v>
      </c>
      <c r="L837" s="2">
        <v>43529.952569444446</v>
      </c>
      <c r="M837" s="1">
        <f>_xlfn.DAYS(Table1[[#This Row],[actual_delivery_date]],Table1[[#This Row],[dispatch_date]])</f>
        <v>6</v>
      </c>
      <c r="N837">
        <v>27</v>
      </c>
      <c r="O837">
        <f>Table1[[#This Row],[transit_storage_cost]] * (1-'What -if Analysis'!$D$26)</f>
        <v>27</v>
      </c>
      <c r="P837">
        <v>124</v>
      </c>
      <c r="Q837">
        <v>1555.3724781987612</v>
      </c>
    </row>
    <row r="838" spans="1:17" x14ac:dyDescent="0.3">
      <c r="A838">
        <v>9482</v>
      </c>
      <c r="B838" s="1" t="s">
        <v>40</v>
      </c>
      <c r="C838" s="1" t="s">
        <v>16</v>
      </c>
      <c r="D838" s="1" t="s">
        <v>17</v>
      </c>
      <c r="E838" s="1" t="s">
        <v>18</v>
      </c>
      <c r="F838" s="1" t="s">
        <v>31</v>
      </c>
      <c r="G838" s="1" t="s">
        <v>20</v>
      </c>
      <c r="H838" t="s">
        <v>21</v>
      </c>
      <c r="I838" s="1" t="s">
        <v>22</v>
      </c>
      <c r="J838" s="2">
        <v>43528.952731481484</v>
      </c>
      <c r="K838" s="2">
        <v>43531.952731481484</v>
      </c>
      <c r="L838" s="2">
        <v>43532.952731481484</v>
      </c>
      <c r="M838" s="1">
        <f>_xlfn.DAYS(Table1[[#This Row],[actual_delivery_date]],Table1[[#This Row],[dispatch_date]])</f>
        <v>3</v>
      </c>
      <c r="N838">
        <v>44</v>
      </c>
      <c r="O838">
        <f>Table1[[#This Row],[transit_storage_cost]] * (1-'What -if Analysis'!$D$26)</f>
        <v>44</v>
      </c>
      <c r="P838">
        <v>108</v>
      </c>
      <c r="Q838">
        <v>3307.3616527122003</v>
      </c>
    </row>
    <row r="839" spans="1:17" x14ac:dyDescent="0.3">
      <c r="A839">
        <v>68187</v>
      </c>
      <c r="B839" s="1" t="s">
        <v>37</v>
      </c>
      <c r="C839" s="1" t="s">
        <v>23</v>
      </c>
      <c r="D839" s="1" t="s">
        <v>23</v>
      </c>
      <c r="E839" s="1" t="s">
        <v>28</v>
      </c>
      <c r="F839" s="1" t="s">
        <v>29</v>
      </c>
      <c r="G839" s="1" t="s">
        <v>20</v>
      </c>
      <c r="H839" t="s">
        <v>34</v>
      </c>
      <c r="I839" s="1" t="s">
        <v>26</v>
      </c>
      <c r="J839" s="2">
        <v>43529.9612037037</v>
      </c>
      <c r="K839" s="2">
        <v>43531.9612037037</v>
      </c>
      <c r="L839" s="2">
        <v>43533.9612037037</v>
      </c>
      <c r="M839" s="1">
        <f>_xlfn.DAYS(Table1[[#This Row],[actual_delivery_date]],Table1[[#This Row],[dispatch_date]])</f>
        <v>2</v>
      </c>
      <c r="N839">
        <v>0</v>
      </c>
      <c r="O839">
        <f>Table1[[#This Row],[transit_storage_cost]] * (1-'What -if Analysis'!$D$26)</f>
        <v>0</v>
      </c>
      <c r="P839">
        <v>122</v>
      </c>
      <c r="Q839">
        <v>2016.76</v>
      </c>
    </row>
    <row r="840" spans="1:17" x14ac:dyDescent="0.3">
      <c r="A840">
        <v>702624</v>
      </c>
      <c r="B840" s="1" t="s">
        <v>38</v>
      </c>
      <c r="C840" s="1" t="s">
        <v>16</v>
      </c>
      <c r="D840" s="1" t="s">
        <v>16</v>
      </c>
      <c r="E840" s="1" t="s">
        <v>27</v>
      </c>
      <c r="F840" s="1" t="s">
        <v>19</v>
      </c>
      <c r="G840" s="1" t="s">
        <v>20</v>
      </c>
      <c r="H840" t="s">
        <v>21</v>
      </c>
      <c r="I840" s="1" t="s">
        <v>26</v>
      </c>
      <c r="J840" s="2">
        <v>43529.966273148151</v>
      </c>
      <c r="K840" s="2">
        <v>43531.966273148151</v>
      </c>
      <c r="L840" s="2">
        <v>43533.966273148151</v>
      </c>
      <c r="M840" s="1">
        <f>_xlfn.DAYS(Table1[[#This Row],[actual_delivery_date]],Table1[[#This Row],[dispatch_date]])</f>
        <v>2</v>
      </c>
      <c r="N840">
        <v>0</v>
      </c>
      <c r="O840">
        <f>Table1[[#This Row],[transit_storage_cost]] * (1-'What -if Analysis'!$D$26)</f>
        <v>0</v>
      </c>
      <c r="P840">
        <v>128</v>
      </c>
      <c r="Q840">
        <v>2539.08</v>
      </c>
    </row>
    <row r="841" spans="1:17" x14ac:dyDescent="0.3">
      <c r="A841">
        <v>953625</v>
      </c>
      <c r="B841" s="1" t="s">
        <v>37</v>
      </c>
      <c r="C841" s="1" t="s">
        <v>16</v>
      </c>
      <c r="D841" s="1" t="s">
        <v>24</v>
      </c>
      <c r="E841" s="1" t="s">
        <v>25</v>
      </c>
      <c r="F841" s="1" t="s">
        <v>29</v>
      </c>
      <c r="G841" s="1" t="s">
        <v>20</v>
      </c>
      <c r="H841" t="s">
        <v>30</v>
      </c>
      <c r="I841" s="1" t="s">
        <v>26</v>
      </c>
      <c r="J841" s="2">
        <v>43528.970196759263</v>
      </c>
      <c r="K841" s="2">
        <v>43531.970196759263</v>
      </c>
      <c r="L841" s="2">
        <v>43532.970196759263</v>
      </c>
      <c r="M841" s="1">
        <f>_xlfn.DAYS(Table1[[#This Row],[actual_delivery_date]],Table1[[#This Row],[dispatch_date]])</f>
        <v>3</v>
      </c>
      <c r="N841">
        <v>36</v>
      </c>
      <c r="O841">
        <f>Table1[[#This Row],[transit_storage_cost]] * (1-'What -if Analysis'!$D$26)</f>
        <v>36</v>
      </c>
      <c r="P841">
        <v>121</v>
      </c>
      <c r="Q841">
        <v>952.12</v>
      </c>
    </row>
    <row r="842" spans="1:17" x14ac:dyDescent="0.3">
      <c r="A842">
        <v>489252</v>
      </c>
      <c r="B842" s="1" t="s">
        <v>38</v>
      </c>
      <c r="C842" s="1" t="s">
        <v>23</v>
      </c>
      <c r="D842" s="1" t="s">
        <v>17</v>
      </c>
      <c r="E842" s="1" t="s">
        <v>18</v>
      </c>
      <c r="F842" s="1" t="s">
        <v>19</v>
      </c>
      <c r="G842" s="1" t="s">
        <v>20</v>
      </c>
      <c r="H842" t="s">
        <v>21</v>
      </c>
      <c r="I842" s="1" t="s">
        <v>26</v>
      </c>
      <c r="J842" s="2">
        <v>43528.973275462966</v>
      </c>
      <c r="K842" s="2">
        <v>43531.973275462966</v>
      </c>
      <c r="L842" s="2">
        <v>43533.973275462966</v>
      </c>
      <c r="M842" s="1">
        <f>_xlfn.DAYS(Table1[[#This Row],[actual_delivery_date]],Table1[[#This Row],[dispatch_date]])</f>
        <v>3</v>
      </c>
      <c r="N842">
        <v>45</v>
      </c>
      <c r="O842">
        <f>Table1[[#This Row],[transit_storage_cost]] * (1-'What -if Analysis'!$D$26)</f>
        <v>45</v>
      </c>
      <c r="P842">
        <v>107</v>
      </c>
      <c r="Q842">
        <v>1808.42</v>
      </c>
    </row>
    <row r="843" spans="1:17" x14ac:dyDescent="0.3">
      <c r="A843">
        <v>554678</v>
      </c>
      <c r="B843" s="1" t="s">
        <v>37</v>
      </c>
      <c r="C843" s="1" t="s">
        <v>16</v>
      </c>
      <c r="D843" s="1" t="s">
        <v>23</v>
      </c>
      <c r="E843" s="1" t="s">
        <v>28</v>
      </c>
      <c r="F843" s="1" t="s">
        <v>19</v>
      </c>
      <c r="G843" s="1" t="s">
        <v>20</v>
      </c>
      <c r="H843" t="s">
        <v>21</v>
      </c>
      <c r="I843" s="1" t="s">
        <v>22</v>
      </c>
      <c r="J843" s="2">
        <v>43525.97415509259</v>
      </c>
      <c r="K843" s="2">
        <v>43531.97415509259</v>
      </c>
      <c r="L843" s="2">
        <v>43532.97415509259</v>
      </c>
      <c r="M843" s="1">
        <f>_xlfn.DAYS(Table1[[#This Row],[actual_delivery_date]],Table1[[#This Row],[dispatch_date]])</f>
        <v>6</v>
      </c>
      <c r="N843">
        <v>68</v>
      </c>
      <c r="O843">
        <f>Table1[[#This Row],[transit_storage_cost]] * (1-'What -if Analysis'!$D$26)</f>
        <v>68</v>
      </c>
      <c r="P843">
        <v>108</v>
      </c>
      <c r="Q843">
        <v>3575.6181887727553</v>
      </c>
    </row>
    <row r="844" spans="1:17" x14ac:dyDescent="0.3">
      <c r="A844">
        <v>662017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29</v>
      </c>
      <c r="G844" s="1" t="s">
        <v>20</v>
      </c>
      <c r="H844" t="s">
        <v>30</v>
      </c>
      <c r="I844" s="1" t="s">
        <v>22</v>
      </c>
      <c r="J844" s="2">
        <v>43526.976331018515</v>
      </c>
      <c r="K844" s="2">
        <v>43531.976331018515</v>
      </c>
      <c r="L844" s="2">
        <v>43529.976331018515</v>
      </c>
      <c r="M844" s="1">
        <f>_xlfn.DAYS(Table1[[#This Row],[actual_delivery_date]],Table1[[#This Row],[dispatch_date]])</f>
        <v>5</v>
      </c>
      <c r="N844">
        <v>25</v>
      </c>
      <c r="O844">
        <f>Table1[[#This Row],[transit_storage_cost]] * (1-'What -if Analysis'!$D$26)</f>
        <v>25</v>
      </c>
      <c r="P844">
        <v>115</v>
      </c>
      <c r="Q844">
        <v>3086.9786542952502</v>
      </c>
    </row>
    <row r="845" spans="1:17" x14ac:dyDescent="0.3">
      <c r="A845">
        <v>247206</v>
      </c>
      <c r="B845" s="1" t="s">
        <v>41</v>
      </c>
      <c r="C845" s="1" t="s">
        <v>16</v>
      </c>
      <c r="D845" s="1" t="s">
        <v>17</v>
      </c>
      <c r="E845" s="1" t="s">
        <v>18</v>
      </c>
      <c r="F845" s="1" t="s">
        <v>31</v>
      </c>
      <c r="G845" s="1" t="s">
        <v>20</v>
      </c>
      <c r="H845" t="s">
        <v>21</v>
      </c>
      <c r="I845" s="1" t="s">
        <v>26</v>
      </c>
      <c r="J845" s="2">
        <v>43527.979548611111</v>
      </c>
      <c r="K845" s="2">
        <v>43531.979548611111</v>
      </c>
      <c r="L845" s="2">
        <v>43533.979548611111</v>
      </c>
      <c r="M845" s="1">
        <f>_xlfn.DAYS(Table1[[#This Row],[actual_delivery_date]],Table1[[#This Row],[dispatch_date]])</f>
        <v>4</v>
      </c>
      <c r="N845">
        <v>43</v>
      </c>
      <c r="O845">
        <f>Table1[[#This Row],[transit_storage_cost]] * (1-'What -if Analysis'!$D$26)</f>
        <v>43</v>
      </c>
      <c r="P845">
        <v>110</v>
      </c>
      <c r="Q845">
        <v>738.16</v>
      </c>
    </row>
    <row r="846" spans="1:17" x14ac:dyDescent="0.3">
      <c r="A846">
        <v>394790</v>
      </c>
      <c r="B846" s="1" t="s">
        <v>37</v>
      </c>
      <c r="C846" s="1" t="s">
        <v>16</v>
      </c>
      <c r="D846" s="1" t="s">
        <v>16</v>
      </c>
      <c r="E846" s="1" t="s">
        <v>27</v>
      </c>
      <c r="F846" s="1" t="s">
        <v>19</v>
      </c>
      <c r="G846" s="1" t="s">
        <v>20</v>
      </c>
      <c r="H846" t="s">
        <v>21</v>
      </c>
      <c r="I846" s="1" t="s">
        <v>22</v>
      </c>
      <c r="J846" s="2">
        <v>43530.980902777781</v>
      </c>
      <c r="K846" s="2">
        <v>43531.980902777781</v>
      </c>
      <c r="L846" s="2">
        <v>43536.980902777781</v>
      </c>
      <c r="M846" s="1">
        <f>_xlfn.DAYS(Table1[[#This Row],[actual_delivery_date]],Table1[[#This Row],[dispatch_date]])</f>
        <v>1</v>
      </c>
      <c r="N846">
        <v>0</v>
      </c>
      <c r="O846">
        <f>Table1[[#This Row],[transit_storage_cost]] * (1-'What -if Analysis'!$D$26)</f>
        <v>0</v>
      </c>
      <c r="P846">
        <v>104</v>
      </c>
      <c r="Q846">
        <v>2355.2606633489222</v>
      </c>
    </row>
    <row r="847" spans="1:17" x14ac:dyDescent="0.3">
      <c r="A847">
        <v>523461</v>
      </c>
      <c r="B847" s="1" t="s">
        <v>15</v>
      </c>
      <c r="C847" s="1" t="s">
        <v>23</v>
      </c>
      <c r="D847" s="1" t="s">
        <v>24</v>
      </c>
      <c r="E847" s="1" t="s">
        <v>25</v>
      </c>
      <c r="F847" s="1" t="s">
        <v>29</v>
      </c>
      <c r="G847" s="1" t="s">
        <v>20</v>
      </c>
      <c r="H847" t="s">
        <v>30</v>
      </c>
      <c r="I847" s="1" t="s">
        <v>26</v>
      </c>
      <c r="J847" s="2">
        <v>43525.985115740739</v>
      </c>
      <c r="K847" s="2">
        <v>43531.985115740739</v>
      </c>
      <c r="L847" s="2">
        <v>43529.985115740739</v>
      </c>
      <c r="M847" s="1">
        <f>_xlfn.DAYS(Table1[[#This Row],[actual_delivery_date]],Table1[[#This Row],[dispatch_date]])</f>
        <v>6</v>
      </c>
      <c r="N847">
        <v>46</v>
      </c>
      <c r="O847">
        <f>Table1[[#This Row],[transit_storage_cost]] * (1-'What -if Analysis'!$D$26)</f>
        <v>46</v>
      </c>
      <c r="P847">
        <v>128</v>
      </c>
      <c r="Q847">
        <v>2977.18</v>
      </c>
    </row>
    <row r="848" spans="1:17" x14ac:dyDescent="0.3">
      <c r="A848">
        <v>481040</v>
      </c>
      <c r="B848" s="1" t="s">
        <v>38</v>
      </c>
      <c r="C848" s="1" t="s">
        <v>16</v>
      </c>
      <c r="D848" s="1" t="s">
        <v>17</v>
      </c>
      <c r="E848" s="1" t="s">
        <v>18</v>
      </c>
      <c r="F848" s="1" t="s">
        <v>19</v>
      </c>
      <c r="G848" s="1" t="s">
        <v>20</v>
      </c>
      <c r="H848" t="s">
        <v>21</v>
      </c>
      <c r="I848" s="1" t="s">
        <v>22</v>
      </c>
      <c r="J848" s="2">
        <v>43527.994351851848</v>
      </c>
      <c r="K848" s="2">
        <v>43531.994351851848</v>
      </c>
      <c r="L848" s="2">
        <v>43531.994351851848</v>
      </c>
      <c r="M848" s="1">
        <f>_xlfn.DAYS(Table1[[#This Row],[actual_delivery_date]],Table1[[#This Row],[dispatch_date]])</f>
        <v>4</v>
      </c>
      <c r="N848">
        <v>74</v>
      </c>
      <c r="O848">
        <f>Table1[[#This Row],[transit_storage_cost]] * (1-'What -if Analysis'!$D$26)</f>
        <v>74</v>
      </c>
      <c r="P848">
        <v>93</v>
      </c>
      <c r="Q848">
        <v>1802.906250277405</v>
      </c>
    </row>
    <row r="849" spans="1:17" x14ac:dyDescent="0.3">
      <c r="A849">
        <v>2305</v>
      </c>
      <c r="B849" s="1" t="s">
        <v>38</v>
      </c>
      <c r="C849" s="1" t="s">
        <v>23</v>
      </c>
      <c r="D849" s="1" t="s">
        <v>24</v>
      </c>
      <c r="E849" s="1" t="s">
        <v>25</v>
      </c>
      <c r="F849" s="1" t="s">
        <v>29</v>
      </c>
      <c r="G849" s="1" t="s">
        <v>20</v>
      </c>
      <c r="H849" t="s">
        <v>30</v>
      </c>
      <c r="I849" s="1" t="s">
        <v>22</v>
      </c>
      <c r="J849" s="2">
        <v>43526.994872685187</v>
      </c>
      <c r="K849" s="2">
        <v>43531.994872685187</v>
      </c>
      <c r="L849" s="2">
        <v>43530.994872685187</v>
      </c>
      <c r="M849" s="1">
        <f>_xlfn.DAYS(Table1[[#This Row],[actual_delivery_date]],Table1[[#This Row],[dispatch_date]])</f>
        <v>5</v>
      </c>
      <c r="N849">
        <v>36</v>
      </c>
      <c r="O849">
        <f>Table1[[#This Row],[transit_storage_cost]] * (1-'What -if Analysis'!$D$26)</f>
        <v>36</v>
      </c>
      <c r="P849">
        <v>124</v>
      </c>
      <c r="Q849">
        <v>1354.283836877159</v>
      </c>
    </row>
    <row r="850" spans="1:17" x14ac:dyDescent="0.3">
      <c r="A850">
        <v>603066</v>
      </c>
      <c r="B850" s="1" t="s">
        <v>38</v>
      </c>
      <c r="C850" s="1" t="s">
        <v>23</v>
      </c>
      <c r="D850" s="1" t="s">
        <v>16</v>
      </c>
      <c r="E850" s="1" t="s">
        <v>27</v>
      </c>
      <c r="F850" s="1" t="s">
        <v>31</v>
      </c>
      <c r="G850" s="1" t="s">
        <v>20</v>
      </c>
      <c r="H850" t="s">
        <v>21</v>
      </c>
      <c r="I850" s="1" t="s">
        <v>26</v>
      </c>
      <c r="J850" s="2">
        <v>43525.997233796297</v>
      </c>
      <c r="K850" s="2">
        <v>43531.997233796297</v>
      </c>
      <c r="L850" s="2">
        <v>43530.997233796297</v>
      </c>
      <c r="M850" s="1">
        <f>_xlfn.DAYS(Table1[[#This Row],[actual_delivery_date]],Table1[[#This Row],[dispatch_date]])</f>
        <v>6</v>
      </c>
      <c r="N850">
        <v>27</v>
      </c>
      <c r="O850">
        <f>Table1[[#This Row],[transit_storage_cost]] * (1-'What -if Analysis'!$D$26)</f>
        <v>27</v>
      </c>
      <c r="P850">
        <v>122</v>
      </c>
      <c r="Q850">
        <v>626.46</v>
      </c>
    </row>
    <row r="851" spans="1:17" x14ac:dyDescent="0.3">
      <c r="A851">
        <v>189912</v>
      </c>
      <c r="B851" s="1" t="s">
        <v>38</v>
      </c>
      <c r="C851" s="1" t="s">
        <v>16</v>
      </c>
      <c r="D851" s="1" t="s">
        <v>23</v>
      </c>
      <c r="E851" s="1" t="s">
        <v>28</v>
      </c>
      <c r="F851" s="1" t="s">
        <v>19</v>
      </c>
      <c r="G851" s="1" t="s">
        <v>20</v>
      </c>
      <c r="H851" t="s">
        <v>21</v>
      </c>
      <c r="I851" s="1" t="s">
        <v>26</v>
      </c>
      <c r="J851" s="2">
        <v>43529.998831018522</v>
      </c>
      <c r="K851" s="2">
        <v>43531.998831018522</v>
      </c>
      <c r="L851" s="2">
        <v>43535.998831018522</v>
      </c>
      <c r="M851" s="1">
        <f>_xlfn.DAYS(Table1[[#This Row],[actual_delivery_date]],Table1[[#This Row],[dispatch_date]])</f>
        <v>2</v>
      </c>
      <c r="N851">
        <v>64</v>
      </c>
      <c r="O851">
        <f>Table1[[#This Row],[transit_storage_cost]] * (1-'What -if Analysis'!$D$26)</f>
        <v>64</v>
      </c>
      <c r="P851">
        <v>107</v>
      </c>
      <c r="Q851">
        <v>2176.5700000000002</v>
      </c>
    </row>
    <row r="852" spans="1:17" x14ac:dyDescent="0.3">
      <c r="A852">
        <v>960976</v>
      </c>
      <c r="B852" s="1" t="s">
        <v>38</v>
      </c>
      <c r="C852" s="1" t="s">
        <v>23</v>
      </c>
      <c r="D852" s="1" t="s">
        <v>16</v>
      </c>
      <c r="E852" s="1" t="s">
        <v>27</v>
      </c>
      <c r="F852" s="1" t="s">
        <v>19</v>
      </c>
      <c r="G852" s="1" t="s">
        <v>20</v>
      </c>
      <c r="H852" t="s">
        <v>21</v>
      </c>
      <c r="I852" s="1" t="s">
        <v>22</v>
      </c>
      <c r="J852" s="2">
        <v>43530.004027777781</v>
      </c>
      <c r="K852" s="2">
        <v>43532.004027777781</v>
      </c>
      <c r="L852" s="2">
        <v>43537.004027777781</v>
      </c>
      <c r="M852" s="1">
        <f>_xlfn.DAYS(Table1[[#This Row],[actual_delivery_date]],Table1[[#This Row],[dispatch_date]])</f>
        <v>2</v>
      </c>
      <c r="N852">
        <v>70</v>
      </c>
      <c r="O852">
        <f>Table1[[#This Row],[transit_storage_cost]] * (1-'What -if Analysis'!$D$26)</f>
        <v>70</v>
      </c>
      <c r="P852">
        <v>109</v>
      </c>
      <c r="Q852">
        <v>2250.7875421174608</v>
      </c>
    </row>
    <row r="853" spans="1:17" x14ac:dyDescent="0.3">
      <c r="A853">
        <v>933310</v>
      </c>
      <c r="B853" s="1" t="s">
        <v>38</v>
      </c>
      <c r="C853" s="1" t="s">
        <v>23</v>
      </c>
      <c r="D853" s="1" t="s">
        <v>23</v>
      </c>
      <c r="E853" s="1" t="s">
        <v>28</v>
      </c>
      <c r="F853" s="1" t="s">
        <v>31</v>
      </c>
      <c r="G853" s="1" t="s">
        <v>20</v>
      </c>
      <c r="H853" t="s">
        <v>21</v>
      </c>
      <c r="I853" s="1" t="s">
        <v>22</v>
      </c>
      <c r="J853" s="2">
        <v>43528.005868055552</v>
      </c>
      <c r="K853" s="2">
        <v>43532.005868055552</v>
      </c>
      <c r="L853" s="2">
        <v>43531.005868055552</v>
      </c>
      <c r="M853" s="1">
        <f>_xlfn.DAYS(Table1[[#This Row],[actual_delivery_date]],Table1[[#This Row],[dispatch_date]])</f>
        <v>4</v>
      </c>
      <c r="N853">
        <v>0</v>
      </c>
      <c r="O853">
        <f>Table1[[#This Row],[transit_storage_cost]] * (1-'What -if Analysis'!$D$26)</f>
        <v>0</v>
      </c>
      <c r="P853">
        <v>128</v>
      </c>
      <c r="Q853">
        <v>652.88934160879171</v>
      </c>
    </row>
    <row r="854" spans="1:17" x14ac:dyDescent="0.3">
      <c r="A854">
        <v>671716</v>
      </c>
      <c r="B854" s="1" t="s">
        <v>37</v>
      </c>
      <c r="C854" s="1" t="s">
        <v>16</v>
      </c>
      <c r="D854" s="1" t="s">
        <v>23</v>
      </c>
      <c r="E854" s="1" t="s">
        <v>28</v>
      </c>
      <c r="F854" s="1" t="s">
        <v>19</v>
      </c>
      <c r="G854" s="1" t="s">
        <v>20</v>
      </c>
      <c r="H854" t="s">
        <v>21</v>
      </c>
      <c r="I854" s="1" t="s">
        <v>22</v>
      </c>
      <c r="J854" s="2">
        <v>43530.021493055552</v>
      </c>
      <c r="K854" s="2">
        <v>43532.021493055552</v>
      </c>
      <c r="L854" s="2">
        <v>43535.021493055552</v>
      </c>
      <c r="M854" s="1">
        <f>_xlfn.DAYS(Table1[[#This Row],[actual_delivery_date]],Table1[[#This Row],[dispatch_date]])</f>
        <v>2</v>
      </c>
      <c r="N854">
        <v>81</v>
      </c>
      <c r="O854">
        <f>Table1[[#This Row],[transit_storage_cost]] * (1-'What -if Analysis'!$D$26)</f>
        <v>81</v>
      </c>
      <c r="P854">
        <v>101</v>
      </c>
      <c r="Q854">
        <v>3091.9275776636191</v>
      </c>
    </row>
    <row r="855" spans="1:17" x14ac:dyDescent="0.3">
      <c r="A855">
        <v>724824</v>
      </c>
      <c r="B855" s="1" t="s">
        <v>15</v>
      </c>
      <c r="C855" s="1" t="s">
        <v>16</v>
      </c>
      <c r="D855" s="1" t="s">
        <v>23</v>
      </c>
      <c r="E855" s="1" t="s">
        <v>28</v>
      </c>
      <c r="F855" s="1" t="s">
        <v>19</v>
      </c>
      <c r="G855" s="1" t="s">
        <v>20</v>
      </c>
      <c r="H855" t="s">
        <v>21</v>
      </c>
      <c r="I855" s="1" t="s">
        <v>26</v>
      </c>
      <c r="J855" s="2">
        <v>43527.0233912037</v>
      </c>
      <c r="K855" s="2">
        <v>43532.0233912037</v>
      </c>
      <c r="L855" s="2">
        <v>43530.0233912037</v>
      </c>
      <c r="M855" s="1">
        <f>_xlfn.DAYS(Table1[[#This Row],[actual_delivery_date]],Table1[[#This Row],[dispatch_date]])</f>
        <v>5</v>
      </c>
      <c r="N855">
        <v>77</v>
      </c>
      <c r="O855">
        <f>Table1[[#This Row],[transit_storage_cost]] * (1-'What -if Analysis'!$D$26)</f>
        <v>77</v>
      </c>
      <c r="P855">
        <v>101</v>
      </c>
      <c r="Q855">
        <v>2780.49</v>
      </c>
    </row>
    <row r="856" spans="1:17" x14ac:dyDescent="0.3">
      <c r="A856">
        <v>885932</v>
      </c>
      <c r="B856" s="1" t="s">
        <v>39</v>
      </c>
      <c r="C856" s="1" t="s">
        <v>16</v>
      </c>
      <c r="D856" s="1" t="s">
        <v>23</v>
      </c>
      <c r="E856" s="1" t="s">
        <v>28</v>
      </c>
      <c r="F856" s="1" t="s">
        <v>19</v>
      </c>
      <c r="G856" s="1" t="s">
        <v>20</v>
      </c>
      <c r="H856" t="s">
        <v>21</v>
      </c>
      <c r="I856" s="1" t="s">
        <v>22</v>
      </c>
      <c r="J856" s="2">
        <v>43529.027951388889</v>
      </c>
      <c r="K856" s="2">
        <v>43532.027951388889</v>
      </c>
      <c r="L856" s="2">
        <v>43536.027951388889</v>
      </c>
      <c r="M856" s="1">
        <f>_xlfn.DAYS(Table1[[#This Row],[actual_delivery_date]],Table1[[#This Row],[dispatch_date]])</f>
        <v>3</v>
      </c>
      <c r="N856">
        <v>32</v>
      </c>
      <c r="O856">
        <f>Table1[[#This Row],[transit_storage_cost]] * (1-'What -if Analysis'!$D$26)</f>
        <v>32</v>
      </c>
      <c r="P856">
        <v>120</v>
      </c>
      <c r="Q856">
        <v>3379.7430205370574</v>
      </c>
    </row>
    <row r="857" spans="1:17" x14ac:dyDescent="0.3">
      <c r="A857">
        <v>504420</v>
      </c>
      <c r="B857" s="1" t="s">
        <v>38</v>
      </c>
      <c r="C857" s="1" t="s">
        <v>16</v>
      </c>
      <c r="D857" s="1" t="s">
        <v>24</v>
      </c>
      <c r="E857" s="1" t="s">
        <v>25</v>
      </c>
      <c r="F857" s="1" t="s">
        <v>19</v>
      </c>
      <c r="G857" s="1" t="s">
        <v>20</v>
      </c>
      <c r="H857" t="s">
        <v>21</v>
      </c>
      <c r="I857" s="1" t="s">
        <v>26</v>
      </c>
      <c r="J857" s="2">
        <v>43527.033692129633</v>
      </c>
      <c r="K857" s="2">
        <v>43532.033692129633</v>
      </c>
      <c r="L857" s="2">
        <v>43534.033692129633</v>
      </c>
      <c r="M857" s="1">
        <f>_xlfn.DAYS(Table1[[#This Row],[actual_delivery_date]],Table1[[#This Row],[dispatch_date]])</f>
        <v>5</v>
      </c>
      <c r="N857">
        <v>78</v>
      </c>
      <c r="O857">
        <f>Table1[[#This Row],[transit_storage_cost]] * (1-'What -if Analysis'!$D$26)</f>
        <v>78</v>
      </c>
      <c r="P857">
        <v>109</v>
      </c>
      <c r="Q857">
        <v>2995.96</v>
      </c>
    </row>
    <row r="858" spans="1:17" x14ac:dyDescent="0.3">
      <c r="A858">
        <v>820132</v>
      </c>
      <c r="B858" s="1" t="s">
        <v>15</v>
      </c>
      <c r="C858" s="1" t="s">
        <v>16</v>
      </c>
      <c r="D858" s="1" t="s">
        <v>16</v>
      </c>
      <c r="E858" s="1" t="s">
        <v>27</v>
      </c>
      <c r="F858" s="1" t="s">
        <v>19</v>
      </c>
      <c r="G858" s="1" t="s">
        <v>20</v>
      </c>
      <c r="H858" t="s">
        <v>21</v>
      </c>
      <c r="I858" s="1" t="s">
        <v>22</v>
      </c>
      <c r="J858" s="2">
        <v>43532.034490740742</v>
      </c>
      <c r="K858" s="2">
        <v>43532.034490740742</v>
      </c>
      <c r="L858" s="2">
        <v>43539.034490740742</v>
      </c>
      <c r="M858" s="1">
        <f>_xlfn.DAYS(Table1[[#This Row],[actual_delivery_date]],Table1[[#This Row],[dispatch_date]])</f>
        <v>0</v>
      </c>
      <c r="N858">
        <v>0</v>
      </c>
      <c r="O858">
        <f>Table1[[#This Row],[transit_storage_cost]] * (1-'What -if Analysis'!$D$26)</f>
        <v>0</v>
      </c>
      <c r="P858">
        <v>123</v>
      </c>
      <c r="Q858">
        <v>1732.4172687325429</v>
      </c>
    </row>
    <row r="859" spans="1:17" x14ac:dyDescent="0.3">
      <c r="A859">
        <v>749960</v>
      </c>
      <c r="B859" s="1" t="s">
        <v>39</v>
      </c>
      <c r="C859" s="1" t="s">
        <v>16</v>
      </c>
      <c r="D859" s="1" t="s">
        <v>16</v>
      </c>
      <c r="E859" s="1" t="s">
        <v>27</v>
      </c>
      <c r="F859" s="1" t="s">
        <v>19</v>
      </c>
      <c r="G859" s="1" t="s">
        <v>20</v>
      </c>
      <c r="H859" t="s">
        <v>21</v>
      </c>
      <c r="I859" s="1" t="s">
        <v>22</v>
      </c>
      <c r="J859" s="2">
        <v>43528.037673611114</v>
      </c>
      <c r="K859" s="2">
        <v>43532.037673611114</v>
      </c>
      <c r="L859" s="2">
        <v>43533.037673611114</v>
      </c>
      <c r="M859" s="1">
        <f>_xlfn.DAYS(Table1[[#This Row],[actual_delivery_date]],Table1[[#This Row],[dispatch_date]])</f>
        <v>4</v>
      </c>
      <c r="N859">
        <v>0</v>
      </c>
      <c r="O859">
        <f>Table1[[#This Row],[transit_storage_cost]] * (1-'What -if Analysis'!$D$26)</f>
        <v>0</v>
      </c>
      <c r="P859">
        <v>103</v>
      </c>
      <c r="Q859">
        <v>3181.4846345537094</v>
      </c>
    </row>
    <row r="860" spans="1:17" x14ac:dyDescent="0.3">
      <c r="A860">
        <v>548313</v>
      </c>
      <c r="B860" s="1" t="s">
        <v>37</v>
      </c>
      <c r="C860" s="1" t="s">
        <v>16</v>
      </c>
      <c r="D860" s="1" t="s">
        <v>23</v>
      </c>
      <c r="E860" s="1" t="s">
        <v>28</v>
      </c>
      <c r="F860" s="1" t="s">
        <v>19</v>
      </c>
      <c r="G860" s="1" t="s">
        <v>20</v>
      </c>
      <c r="H860" t="s">
        <v>30</v>
      </c>
      <c r="I860" s="1" t="s">
        <v>26</v>
      </c>
      <c r="J860" s="2">
        <v>43530.038182870368</v>
      </c>
      <c r="K860" s="2">
        <v>43532.038182870368</v>
      </c>
      <c r="L860" s="2">
        <v>43537.038182870368</v>
      </c>
      <c r="M860" s="1">
        <f>_xlfn.DAYS(Table1[[#This Row],[actual_delivery_date]],Table1[[#This Row],[dispatch_date]])</f>
        <v>2</v>
      </c>
      <c r="N860">
        <v>69</v>
      </c>
      <c r="O860">
        <f>Table1[[#This Row],[transit_storage_cost]] * (1-'What -if Analysis'!$D$26)</f>
        <v>69</v>
      </c>
      <c r="P860">
        <v>101</v>
      </c>
      <c r="Q860">
        <v>2109.5</v>
      </c>
    </row>
    <row r="861" spans="1:17" x14ac:dyDescent="0.3">
      <c r="A861">
        <v>914650</v>
      </c>
      <c r="B861" s="1" t="s">
        <v>15</v>
      </c>
      <c r="C861" s="1" t="s">
        <v>16</v>
      </c>
      <c r="D861" s="1" t="s">
        <v>24</v>
      </c>
      <c r="E861" s="1" t="s">
        <v>25</v>
      </c>
      <c r="F861" s="1" t="s">
        <v>31</v>
      </c>
      <c r="G861" s="1" t="s">
        <v>20</v>
      </c>
      <c r="H861" t="s">
        <v>21</v>
      </c>
      <c r="I861" s="1" t="s">
        <v>22</v>
      </c>
      <c r="J861" s="2">
        <v>43530.043171296296</v>
      </c>
      <c r="K861" s="2">
        <v>43532.043171296296</v>
      </c>
      <c r="L861" s="2">
        <v>43535.043171296296</v>
      </c>
      <c r="M861" s="1">
        <f>_xlfn.DAYS(Table1[[#This Row],[actual_delivery_date]],Table1[[#This Row],[dispatch_date]])</f>
        <v>2</v>
      </c>
      <c r="N861">
        <v>46</v>
      </c>
      <c r="O861">
        <f>Table1[[#This Row],[transit_storage_cost]] * (1-'What -if Analysis'!$D$26)</f>
        <v>46</v>
      </c>
      <c r="P861">
        <v>122</v>
      </c>
      <c r="Q861">
        <v>1241.6802902968377</v>
      </c>
    </row>
    <row r="862" spans="1:17" x14ac:dyDescent="0.3">
      <c r="A862">
        <v>462206</v>
      </c>
      <c r="B862" s="1" t="s">
        <v>38</v>
      </c>
      <c r="C862" s="1" t="s">
        <v>23</v>
      </c>
      <c r="D862" s="1" t="s">
        <v>17</v>
      </c>
      <c r="E862" s="1" t="s">
        <v>18</v>
      </c>
      <c r="F862" s="1" t="s">
        <v>31</v>
      </c>
      <c r="G862" s="1" t="s">
        <v>20</v>
      </c>
      <c r="H862" t="s">
        <v>21</v>
      </c>
      <c r="I862" s="1" t="s">
        <v>22</v>
      </c>
      <c r="J862" s="2">
        <v>43529.049849537034</v>
      </c>
      <c r="K862" s="2">
        <v>43532.049849537034</v>
      </c>
      <c r="L862" s="2">
        <v>43536.049849537034</v>
      </c>
      <c r="M862" s="1">
        <f>_xlfn.DAYS(Table1[[#This Row],[actual_delivery_date]],Table1[[#This Row],[dispatch_date]])</f>
        <v>3</v>
      </c>
      <c r="N862">
        <v>27</v>
      </c>
      <c r="O862">
        <f>Table1[[#This Row],[transit_storage_cost]] * (1-'What -if Analysis'!$D$26)</f>
        <v>27</v>
      </c>
      <c r="P862">
        <v>108</v>
      </c>
      <c r="Q862">
        <v>839.4159507631424</v>
      </c>
    </row>
    <row r="863" spans="1:17" x14ac:dyDescent="0.3">
      <c r="A863">
        <v>127389</v>
      </c>
      <c r="B863" s="1" t="s">
        <v>39</v>
      </c>
      <c r="C863" s="1" t="s">
        <v>16</v>
      </c>
      <c r="D863" s="1" t="s">
        <v>16</v>
      </c>
      <c r="E863" s="1" t="s">
        <v>27</v>
      </c>
      <c r="F863" s="1" t="s">
        <v>29</v>
      </c>
      <c r="G863" s="1" t="s">
        <v>20</v>
      </c>
      <c r="H863" t="s">
        <v>30</v>
      </c>
      <c r="I863" s="1" t="s">
        <v>26</v>
      </c>
      <c r="J863" s="2">
        <v>43531.051493055558</v>
      </c>
      <c r="K863" s="2">
        <v>43532.051493055558</v>
      </c>
      <c r="L863" s="2">
        <v>43535.051493055558</v>
      </c>
      <c r="M863" s="1">
        <f>_xlfn.DAYS(Table1[[#This Row],[actual_delivery_date]],Table1[[#This Row],[dispatch_date]])</f>
        <v>1</v>
      </c>
      <c r="N863">
        <v>0</v>
      </c>
      <c r="O863">
        <f>Table1[[#This Row],[transit_storage_cost]] * (1-'What -if Analysis'!$D$26)</f>
        <v>0</v>
      </c>
      <c r="P863">
        <v>126</v>
      </c>
      <c r="Q863">
        <v>1505.3555049444194</v>
      </c>
    </row>
    <row r="864" spans="1:17" x14ac:dyDescent="0.3">
      <c r="A864">
        <v>764120</v>
      </c>
      <c r="B864" s="1" t="s">
        <v>39</v>
      </c>
      <c r="C864" s="1" t="s">
        <v>16</v>
      </c>
      <c r="D864" s="1" t="s">
        <v>24</v>
      </c>
      <c r="E864" s="1" t="s">
        <v>25</v>
      </c>
      <c r="F864" s="1" t="s">
        <v>19</v>
      </c>
      <c r="G864" s="1" t="s">
        <v>20</v>
      </c>
      <c r="H864" t="s">
        <v>21</v>
      </c>
      <c r="I864" s="1" t="s">
        <v>22</v>
      </c>
      <c r="J864" s="2">
        <v>43527.052708333336</v>
      </c>
      <c r="K864" s="2">
        <v>43532.052708333336</v>
      </c>
      <c r="L864" s="2">
        <v>43534.052708333336</v>
      </c>
      <c r="M864" s="1">
        <f>_xlfn.DAYS(Table1[[#This Row],[actual_delivery_date]],Table1[[#This Row],[dispatch_date]])</f>
        <v>5</v>
      </c>
      <c r="N864">
        <v>30</v>
      </c>
      <c r="O864">
        <f>Table1[[#This Row],[transit_storage_cost]] * (1-'What -if Analysis'!$D$26)</f>
        <v>30</v>
      </c>
      <c r="P864">
        <v>124</v>
      </c>
      <c r="Q864">
        <v>2531.0798566890771</v>
      </c>
    </row>
    <row r="865" spans="1:17" x14ac:dyDescent="0.3">
      <c r="A865">
        <v>601913</v>
      </c>
      <c r="B865" s="1" t="s">
        <v>40</v>
      </c>
      <c r="C865" s="1" t="s">
        <v>23</v>
      </c>
      <c r="D865" s="1" t="s">
        <v>16</v>
      </c>
      <c r="E865" s="1" t="s">
        <v>27</v>
      </c>
      <c r="F865" s="1" t="s">
        <v>19</v>
      </c>
      <c r="G865" s="1" t="s">
        <v>20</v>
      </c>
      <c r="H865" t="s">
        <v>30</v>
      </c>
      <c r="I865" s="1" t="s">
        <v>22</v>
      </c>
      <c r="J865" s="2">
        <v>43530.05736111111</v>
      </c>
      <c r="K865" s="2">
        <v>43532.05736111111</v>
      </c>
      <c r="L865" s="2">
        <v>43534.05736111111</v>
      </c>
      <c r="M865" s="1">
        <f>_xlfn.DAYS(Table1[[#This Row],[actual_delivery_date]],Table1[[#This Row],[dispatch_date]])</f>
        <v>2</v>
      </c>
      <c r="N865">
        <v>66</v>
      </c>
      <c r="O865">
        <f>Table1[[#This Row],[transit_storage_cost]] * (1-'What -if Analysis'!$D$26)</f>
        <v>66</v>
      </c>
      <c r="P865">
        <v>102</v>
      </c>
      <c r="Q865">
        <v>2866.3856807825546</v>
      </c>
    </row>
    <row r="866" spans="1:17" x14ac:dyDescent="0.3">
      <c r="A866">
        <v>632690</v>
      </c>
      <c r="B866" s="1" t="s">
        <v>41</v>
      </c>
      <c r="C866" s="1" t="s">
        <v>23</v>
      </c>
      <c r="D866" s="1" t="s">
        <v>23</v>
      </c>
      <c r="E866" s="1" t="s">
        <v>28</v>
      </c>
      <c r="F866" s="1" t="s">
        <v>31</v>
      </c>
      <c r="G866" s="1" t="s">
        <v>20</v>
      </c>
      <c r="H866" t="s">
        <v>21</v>
      </c>
      <c r="I866" s="1" t="s">
        <v>22</v>
      </c>
      <c r="J866" s="2">
        <v>43527.065925925926</v>
      </c>
      <c r="K866" s="2">
        <v>43532.065925925926</v>
      </c>
      <c r="L866" s="2">
        <v>43533.065925925926</v>
      </c>
      <c r="M866" s="1">
        <f>_xlfn.DAYS(Table1[[#This Row],[actual_delivery_date]],Table1[[#This Row],[dispatch_date]])</f>
        <v>5</v>
      </c>
      <c r="N866">
        <v>0</v>
      </c>
      <c r="O866">
        <f>Table1[[#This Row],[transit_storage_cost]] * (1-'What -if Analysis'!$D$26)</f>
        <v>0</v>
      </c>
      <c r="P866">
        <v>129</v>
      </c>
      <c r="Q866">
        <v>2261.2249455641459</v>
      </c>
    </row>
    <row r="867" spans="1:17" x14ac:dyDescent="0.3">
      <c r="A867">
        <v>143268</v>
      </c>
      <c r="B867" s="1" t="s">
        <v>15</v>
      </c>
      <c r="C867" s="1" t="s">
        <v>23</v>
      </c>
      <c r="D867" s="1" t="s">
        <v>16</v>
      </c>
      <c r="E867" s="1" t="s">
        <v>27</v>
      </c>
      <c r="F867" s="1" t="s">
        <v>19</v>
      </c>
      <c r="G867" s="1" t="s">
        <v>20</v>
      </c>
      <c r="H867" t="s">
        <v>21</v>
      </c>
      <c r="I867" s="1" t="s">
        <v>26</v>
      </c>
      <c r="J867" s="2">
        <v>43530.071076388886</v>
      </c>
      <c r="K867" s="2">
        <v>43532.071076388886</v>
      </c>
      <c r="L867" s="2">
        <v>43535.071076388886</v>
      </c>
      <c r="M867" s="1">
        <f>_xlfn.DAYS(Table1[[#This Row],[actual_delivery_date]],Table1[[#This Row],[dispatch_date]])</f>
        <v>2</v>
      </c>
      <c r="N867">
        <v>49</v>
      </c>
      <c r="O867">
        <f>Table1[[#This Row],[transit_storage_cost]] * (1-'What -if Analysis'!$D$26)</f>
        <v>49</v>
      </c>
      <c r="P867">
        <v>124</v>
      </c>
      <c r="Q867">
        <v>2518.59</v>
      </c>
    </row>
    <row r="868" spans="1:17" x14ac:dyDescent="0.3">
      <c r="A868">
        <v>406146</v>
      </c>
      <c r="B868" s="1" t="s">
        <v>37</v>
      </c>
      <c r="C868" s="1" t="s">
        <v>23</v>
      </c>
      <c r="D868" s="1" t="s">
        <v>16</v>
      </c>
      <c r="E868" s="1" t="s">
        <v>27</v>
      </c>
      <c r="F868" s="1" t="s">
        <v>31</v>
      </c>
      <c r="G868" s="1" t="s">
        <v>36</v>
      </c>
      <c r="H868" t="s">
        <v>21</v>
      </c>
      <c r="I868" s="1" t="s">
        <v>26</v>
      </c>
      <c r="J868" s="2">
        <v>43525.071377314816</v>
      </c>
      <c r="K868" s="2">
        <v>43532.071377314816</v>
      </c>
      <c r="L868" s="2">
        <v>43528.071377314816</v>
      </c>
      <c r="M868" s="1">
        <f>_xlfn.DAYS(Table1[[#This Row],[actual_delivery_date]],Table1[[#This Row],[dispatch_date]])</f>
        <v>7</v>
      </c>
      <c r="N868">
        <v>41</v>
      </c>
      <c r="O868">
        <f>Table1[[#This Row],[transit_storage_cost]] * (1-'What -if Analysis'!$D$26)</f>
        <v>41</v>
      </c>
      <c r="P868">
        <v>121</v>
      </c>
      <c r="Q868">
        <v>919.47829556170109</v>
      </c>
    </row>
    <row r="869" spans="1:17" x14ac:dyDescent="0.3">
      <c r="A869">
        <v>346152</v>
      </c>
      <c r="B869" s="1" t="s">
        <v>38</v>
      </c>
      <c r="C869" s="1" t="s">
        <v>23</v>
      </c>
      <c r="D869" s="1" t="s">
        <v>17</v>
      </c>
      <c r="E869" s="1" t="s">
        <v>18</v>
      </c>
      <c r="F869" s="1" t="s">
        <v>19</v>
      </c>
      <c r="G869" s="1" t="s">
        <v>20</v>
      </c>
      <c r="H869" t="s">
        <v>21</v>
      </c>
      <c r="I869" s="1" t="s">
        <v>26</v>
      </c>
      <c r="J869" s="2">
        <v>43527.080891203703</v>
      </c>
      <c r="K869" s="2">
        <v>43532.080891203703</v>
      </c>
      <c r="L869" s="2">
        <v>43533.080891203703</v>
      </c>
      <c r="M869" s="1">
        <f>_xlfn.DAYS(Table1[[#This Row],[actual_delivery_date]],Table1[[#This Row],[dispatch_date]])</f>
        <v>5</v>
      </c>
      <c r="N869">
        <v>66</v>
      </c>
      <c r="O869">
        <f>Table1[[#This Row],[transit_storage_cost]] * (1-'What -if Analysis'!$D$26)</f>
        <v>66</v>
      </c>
      <c r="P869">
        <v>88</v>
      </c>
      <c r="Q869">
        <v>3156.99</v>
      </c>
    </row>
    <row r="870" spans="1:17" x14ac:dyDescent="0.3">
      <c r="A870">
        <v>383203</v>
      </c>
      <c r="B870" s="1" t="s">
        <v>39</v>
      </c>
      <c r="C870" s="1" t="s">
        <v>23</v>
      </c>
      <c r="D870" s="1" t="s">
        <v>16</v>
      </c>
      <c r="E870" s="1" t="s">
        <v>27</v>
      </c>
      <c r="F870" s="1" t="s">
        <v>29</v>
      </c>
      <c r="G870" s="1" t="s">
        <v>20</v>
      </c>
      <c r="H870" t="s">
        <v>30</v>
      </c>
      <c r="I870" s="1" t="s">
        <v>22</v>
      </c>
      <c r="J870" s="2">
        <v>43526.081122685187</v>
      </c>
      <c r="K870" s="2">
        <v>43532.081122685187</v>
      </c>
      <c r="L870" s="2">
        <v>43531.081122685187</v>
      </c>
      <c r="M870" s="1">
        <f>_xlfn.DAYS(Table1[[#This Row],[actual_delivery_date]],Table1[[#This Row],[dispatch_date]])</f>
        <v>6</v>
      </c>
      <c r="N870">
        <v>39</v>
      </c>
      <c r="O870">
        <f>Table1[[#This Row],[transit_storage_cost]] * (1-'What -if Analysis'!$D$26)</f>
        <v>39</v>
      </c>
      <c r="P870">
        <v>125</v>
      </c>
      <c r="Q870">
        <v>3443.4548761458564</v>
      </c>
    </row>
    <row r="871" spans="1:17" x14ac:dyDescent="0.3">
      <c r="A871">
        <v>481579</v>
      </c>
      <c r="B871" s="1" t="s">
        <v>41</v>
      </c>
      <c r="C871" s="1" t="s">
        <v>16</v>
      </c>
      <c r="D871" s="1" t="s">
        <v>17</v>
      </c>
      <c r="E871" s="1" t="s">
        <v>18</v>
      </c>
      <c r="F871" s="1" t="s">
        <v>29</v>
      </c>
      <c r="G871" s="1" t="s">
        <v>20</v>
      </c>
      <c r="H871" t="s">
        <v>34</v>
      </c>
      <c r="I871" s="1" t="s">
        <v>22</v>
      </c>
      <c r="J871" s="2">
        <v>43528.087696759256</v>
      </c>
      <c r="K871" s="2">
        <v>43532.087696759256</v>
      </c>
      <c r="L871" s="2">
        <v>43532.087696759256</v>
      </c>
      <c r="M871" s="1">
        <f>_xlfn.DAYS(Table1[[#This Row],[actual_delivery_date]],Table1[[#This Row],[dispatch_date]])</f>
        <v>4</v>
      </c>
      <c r="N871">
        <v>37</v>
      </c>
      <c r="O871">
        <f>Table1[[#This Row],[transit_storage_cost]] * (1-'What -if Analysis'!$D$26)</f>
        <v>37</v>
      </c>
      <c r="P871">
        <v>108</v>
      </c>
      <c r="Q871">
        <v>3728.4281903213041</v>
      </c>
    </row>
    <row r="872" spans="1:17" x14ac:dyDescent="0.3">
      <c r="A872">
        <v>587728</v>
      </c>
      <c r="B872" s="1" t="s">
        <v>40</v>
      </c>
      <c r="C872" s="1" t="s">
        <v>23</v>
      </c>
      <c r="D872" s="1" t="s">
        <v>17</v>
      </c>
      <c r="E872" s="1" t="s">
        <v>18</v>
      </c>
      <c r="F872" s="1" t="s">
        <v>19</v>
      </c>
      <c r="G872" s="1" t="s">
        <v>20</v>
      </c>
      <c r="H872" t="s">
        <v>21</v>
      </c>
      <c r="I872" s="1" t="s">
        <v>22</v>
      </c>
      <c r="J872" s="2">
        <v>43528.088946759257</v>
      </c>
      <c r="K872" s="2">
        <v>43532.088946759257</v>
      </c>
      <c r="L872" s="2">
        <v>43532.088946759257</v>
      </c>
      <c r="M872" s="1">
        <f>_xlfn.DAYS(Table1[[#This Row],[actual_delivery_date]],Table1[[#This Row],[dispatch_date]])</f>
        <v>4</v>
      </c>
      <c r="N872">
        <v>49</v>
      </c>
      <c r="O872">
        <f>Table1[[#This Row],[transit_storage_cost]] * (1-'What -if Analysis'!$D$26)</f>
        <v>49</v>
      </c>
      <c r="P872">
        <v>113</v>
      </c>
      <c r="Q872">
        <v>3572.422168106109</v>
      </c>
    </row>
    <row r="873" spans="1:17" x14ac:dyDescent="0.3">
      <c r="A873">
        <v>248542</v>
      </c>
      <c r="B873" s="1" t="s">
        <v>40</v>
      </c>
      <c r="C873" s="1" t="s">
        <v>23</v>
      </c>
      <c r="D873" s="1" t="s">
        <v>24</v>
      </c>
      <c r="E873" s="1" t="s">
        <v>25</v>
      </c>
      <c r="F873" s="1" t="s">
        <v>31</v>
      </c>
      <c r="G873" s="1" t="s">
        <v>20</v>
      </c>
      <c r="H873" t="s">
        <v>21</v>
      </c>
      <c r="I873" s="1" t="s">
        <v>22</v>
      </c>
      <c r="J873" s="2">
        <v>43530.093414351853</v>
      </c>
      <c r="K873" s="2">
        <v>43532.093414351853</v>
      </c>
      <c r="L873" s="2">
        <v>43533.093414351853</v>
      </c>
      <c r="M873" s="1">
        <f>_xlfn.DAYS(Table1[[#This Row],[actual_delivery_date]],Table1[[#This Row],[dispatch_date]])</f>
        <v>2</v>
      </c>
      <c r="N873">
        <v>29</v>
      </c>
      <c r="O873">
        <f>Table1[[#This Row],[transit_storage_cost]] * (1-'What -if Analysis'!$D$26)</f>
        <v>29</v>
      </c>
      <c r="P873">
        <v>122</v>
      </c>
      <c r="Q873">
        <v>1988.4188450850736</v>
      </c>
    </row>
    <row r="874" spans="1:17" x14ac:dyDescent="0.3">
      <c r="A874">
        <v>581821</v>
      </c>
      <c r="B874" s="1" t="s">
        <v>15</v>
      </c>
      <c r="C874" s="1" t="s">
        <v>16</v>
      </c>
      <c r="D874" s="1" t="s">
        <v>16</v>
      </c>
      <c r="E874" s="1" t="s">
        <v>27</v>
      </c>
      <c r="F874" s="1" t="s">
        <v>19</v>
      </c>
      <c r="G874" s="1" t="s">
        <v>20</v>
      </c>
      <c r="H874" t="s">
        <v>30</v>
      </c>
      <c r="I874" s="1" t="s">
        <v>22</v>
      </c>
      <c r="J874" s="2">
        <v>43532.095902777779</v>
      </c>
      <c r="K874" s="2">
        <v>43532.095902777779</v>
      </c>
      <c r="L874" s="2">
        <v>43539.095902777779</v>
      </c>
      <c r="M874" s="1">
        <f>_xlfn.DAYS(Table1[[#This Row],[actual_delivery_date]],Table1[[#This Row],[dispatch_date]])</f>
        <v>0</v>
      </c>
      <c r="N874">
        <v>0</v>
      </c>
      <c r="O874">
        <f>Table1[[#This Row],[transit_storage_cost]] * (1-'What -if Analysis'!$D$26)</f>
        <v>0</v>
      </c>
      <c r="P874">
        <v>108</v>
      </c>
      <c r="Q874">
        <v>2349.5084169747456</v>
      </c>
    </row>
    <row r="875" spans="1:17" x14ac:dyDescent="0.3">
      <c r="A875">
        <v>387089</v>
      </c>
      <c r="B875" s="1" t="s">
        <v>40</v>
      </c>
      <c r="C875" s="1" t="s">
        <v>23</v>
      </c>
      <c r="D875" s="1" t="s">
        <v>16</v>
      </c>
      <c r="E875" s="1" t="s">
        <v>27</v>
      </c>
      <c r="F875" s="1" t="s">
        <v>29</v>
      </c>
      <c r="G875" s="1" t="s">
        <v>20</v>
      </c>
      <c r="H875" t="s">
        <v>30</v>
      </c>
      <c r="I875" s="1" t="s">
        <v>22</v>
      </c>
      <c r="J875" s="2">
        <v>43526.108773148146</v>
      </c>
      <c r="K875" s="2">
        <v>43532.108773148146</v>
      </c>
      <c r="L875" s="2">
        <v>43531.108773148146</v>
      </c>
      <c r="M875" s="1">
        <f>_xlfn.DAYS(Table1[[#This Row],[actual_delivery_date]],Table1[[#This Row],[dispatch_date]])</f>
        <v>6</v>
      </c>
      <c r="N875">
        <v>50</v>
      </c>
      <c r="O875">
        <f>Table1[[#This Row],[transit_storage_cost]] * (1-'What -if Analysis'!$D$26)</f>
        <v>50</v>
      </c>
      <c r="P875">
        <v>125</v>
      </c>
      <c r="Q875">
        <v>3741.7868019317607</v>
      </c>
    </row>
    <row r="876" spans="1:17" x14ac:dyDescent="0.3">
      <c r="A876">
        <v>759526</v>
      </c>
      <c r="B876" s="1" t="s">
        <v>37</v>
      </c>
      <c r="C876" s="1" t="s">
        <v>16</v>
      </c>
      <c r="D876" s="1" t="s">
        <v>17</v>
      </c>
      <c r="E876" s="1" t="s">
        <v>18</v>
      </c>
      <c r="F876" s="1" t="s">
        <v>19</v>
      </c>
      <c r="G876" s="1" t="s">
        <v>20</v>
      </c>
      <c r="H876" t="s">
        <v>21</v>
      </c>
      <c r="I876" s="1" t="s">
        <v>22</v>
      </c>
      <c r="J876" s="2">
        <v>43526.111944444441</v>
      </c>
      <c r="K876" s="2">
        <v>43532.111944444441</v>
      </c>
      <c r="L876" s="2">
        <v>43530.111944444441</v>
      </c>
      <c r="M876" s="1">
        <f>_xlfn.DAYS(Table1[[#This Row],[actual_delivery_date]],Table1[[#This Row],[dispatch_date]])</f>
        <v>6</v>
      </c>
      <c r="N876">
        <v>60</v>
      </c>
      <c r="O876">
        <f>Table1[[#This Row],[transit_storage_cost]] * (1-'What -if Analysis'!$D$26)</f>
        <v>60</v>
      </c>
      <c r="P876">
        <v>86</v>
      </c>
      <c r="Q876">
        <v>2903.3618964734478</v>
      </c>
    </row>
    <row r="877" spans="1:17" x14ac:dyDescent="0.3">
      <c r="A877">
        <v>596669</v>
      </c>
      <c r="B877" s="1" t="s">
        <v>38</v>
      </c>
      <c r="C877" s="1" t="s">
        <v>16</v>
      </c>
      <c r="D877" s="1" t="s">
        <v>32</v>
      </c>
      <c r="E877" s="1" t="s">
        <v>33</v>
      </c>
      <c r="F877" s="1" t="s">
        <v>29</v>
      </c>
      <c r="G877" s="1" t="s">
        <v>20</v>
      </c>
      <c r="H877" t="s">
        <v>30</v>
      </c>
      <c r="I877" s="1" t="s">
        <v>22</v>
      </c>
      <c r="J877" s="2">
        <v>43528.112696759257</v>
      </c>
      <c r="K877" s="2">
        <v>43532.112696759257</v>
      </c>
      <c r="L877" s="2">
        <v>43533.112696759257</v>
      </c>
      <c r="M877" s="1">
        <f>_xlfn.DAYS(Table1[[#This Row],[actual_delivery_date]],Table1[[#This Row],[dispatch_date]])</f>
        <v>4</v>
      </c>
      <c r="N877">
        <v>39</v>
      </c>
      <c r="O877">
        <f>Table1[[#This Row],[transit_storage_cost]] * (1-'What -if Analysis'!$D$26)</f>
        <v>39</v>
      </c>
      <c r="P877">
        <v>115</v>
      </c>
      <c r="Q877">
        <v>367.21787261671602</v>
      </c>
    </row>
    <row r="878" spans="1:17" x14ac:dyDescent="0.3">
      <c r="A878">
        <v>530295</v>
      </c>
      <c r="B878" s="1" t="s">
        <v>40</v>
      </c>
      <c r="C878" s="1" t="s">
        <v>16</v>
      </c>
      <c r="D878" s="1" t="s">
        <v>24</v>
      </c>
      <c r="E878" s="1" t="s">
        <v>25</v>
      </c>
      <c r="F878" s="1" t="s">
        <v>29</v>
      </c>
      <c r="G878" s="1" t="s">
        <v>20</v>
      </c>
      <c r="H878" t="s">
        <v>30</v>
      </c>
      <c r="I878" s="1" t="s">
        <v>26</v>
      </c>
      <c r="J878" s="2">
        <v>43530.112905092596</v>
      </c>
      <c r="K878" s="2">
        <v>43532.112905092596</v>
      </c>
      <c r="L878" s="2">
        <v>43533.112905092596</v>
      </c>
      <c r="M878" s="1">
        <f>_xlfn.DAYS(Table1[[#This Row],[actual_delivery_date]],Table1[[#This Row],[dispatch_date]])</f>
        <v>2</v>
      </c>
      <c r="N878">
        <v>34</v>
      </c>
      <c r="O878">
        <f>Table1[[#This Row],[transit_storage_cost]] * (1-'What -if Analysis'!$D$26)</f>
        <v>34</v>
      </c>
      <c r="P878">
        <v>127</v>
      </c>
      <c r="Q878">
        <v>1608.94</v>
      </c>
    </row>
    <row r="879" spans="1:17" x14ac:dyDescent="0.3">
      <c r="A879">
        <v>687699</v>
      </c>
      <c r="B879" s="1" t="s">
        <v>15</v>
      </c>
      <c r="C879" s="1" t="s">
        <v>23</v>
      </c>
      <c r="D879" s="1" t="s">
        <v>32</v>
      </c>
      <c r="E879" s="1" t="s">
        <v>33</v>
      </c>
      <c r="F879" s="1" t="s">
        <v>29</v>
      </c>
      <c r="G879" s="1" t="s">
        <v>20</v>
      </c>
      <c r="H879" t="s">
        <v>30</v>
      </c>
      <c r="I879" s="1" t="s">
        <v>26</v>
      </c>
      <c r="J879" s="2">
        <v>43526.114999999998</v>
      </c>
      <c r="K879" s="2">
        <v>43532.114999999998</v>
      </c>
      <c r="L879" s="2">
        <v>43532.114999999998</v>
      </c>
      <c r="M879" s="1">
        <f>_xlfn.DAYS(Table1[[#This Row],[actual_delivery_date]],Table1[[#This Row],[dispatch_date]])</f>
        <v>6</v>
      </c>
      <c r="N879">
        <v>30</v>
      </c>
      <c r="O879">
        <f>Table1[[#This Row],[transit_storage_cost]] * (1-'What -if Analysis'!$D$26)</f>
        <v>30</v>
      </c>
      <c r="P879">
        <v>111</v>
      </c>
      <c r="Q879">
        <v>926.61</v>
      </c>
    </row>
    <row r="880" spans="1:17" x14ac:dyDescent="0.3">
      <c r="A880">
        <v>431413</v>
      </c>
      <c r="B880" s="1" t="s">
        <v>41</v>
      </c>
      <c r="C880" s="1" t="s">
        <v>16</v>
      </c>
      <c r="D880" s="1" t="s">
        <v>32</v>
      </c>
      <c r="E880" s="1" t="s">
        <v>33</v>
      </c>
      <c r="F880" s="1" t="s">
        <v>29</v>
      </c>
      <c r="G880" s="1" t="s">
        <v>20</v>
      </c>
      <c r="H880" t="s">
        <v>30</v>
      </c>
      <c r="I880" s="1" t="s">
        <v>22</v>
      </c>
      <c r="J880" s="2">
        <v>43526.116678240738</v>
      </c>
      <c r="K880" s="2">
        <v>43532.116678240738</v>
      </c>
      <c r="L880" s="2">
        <v>43532.116678240738</v>
      </c>
      <c r="M880" s="1">
        <f>_xlfn.DAYS(Table1[[#This Row],[actual_delivery_date]],Table1[[#This Row],[dispatch_date]])</f>
        <v>6</v>
      </c>
      <c r="N880">
        <v>27</v>
      </c>
      <c r="O880">
        <f>Table1[[#This Row],[transit_storage_cost]] * (1-'What -if Analysis'!$D$26)</f>
        <v>27</v>
      </c>
      <c r="P880">
        <v>107</v>
      </c>
      <c r="Q880">
        <v>1116.9528609328852</v>
      </c>
    </row>
    <row r="881" spans="1:17" x14ac:dyDescent="0.3">
      <c r="A881">
        <v>647697</v>
      </c>
      <c r="B881" s="1" t="s">
        <v>37</v>
      </c>
      <c r="C881" s="1" t="s">
        <v>16</v>
      </c>
      <c r="D881" s="1" t="s">
        <v>16</v>
      </c>
      <c r="E881" s="1" t="s">
        <v>27</v>
      </c>
      <c r="F881" s="1" t="s">
        <v>29</v>
      </c>
      <c r="G881" s="1" t="s">
        <v>20</v>
      </c>
      <c r="H881" t="s">
        <v>30</v>
      </c>
      <c r="I881" s="1" t="s">
        <v>26</v>
      </c>
      <c r="J881" s="2">
        <v>43529.128796296296</v>
      </c>
      <c r="K881" s="2">
        <v>43532.128796296296</v>
      </c>
      <c r="L881" s="2">
        <v>43536.128796296296</v>
      </c>
      <c r="M881" s="1">
        <f>_xlfn.DAYS(Table1[[#This Row],[actual_delivery_date]],Table1[[#This Row],[dispatch_date]])</f>
        <v>3</v>
      </c>
      <c r="N881">
        <v>0</v>
      </c>
      <c r="O881">
        <f>Table1[[#This Row],[transit_storage_cost]] * (1-'What -if Analysis'!$D$26)</f>
        <v>0</v>
      </c>
      <c r="P881">
        <v>127</v>
      </c>
      <c r="Q881">
        <v>2877.19</v>
      </c>
    </row>
    <row r="882" spans="1:17" x14ac:dyDescent="0.3">
      <c r="A882">
        <v>869740</v>
      </c>
      <c r="B882" s="1" t="s">
        <v>39</v>
      </c>
      <c r="C882" s="1" t="s">
        <v>23</v>
      </c>
      <c r="D882" s="1" t="s">
        <v>23</v>
      </c>
      <c r="E882" s="1" t="s">
        <v>28</v>
      </c>
      <c r="F882" s="1" t="s">
        <v>19</v>
      </c>
      <c r="G882" s="1" t="s">
        <v>36</v>
      </c>
      <c r="H882" t="s">
        <v>21</v>
      </c>
      <c r="I882" s="1" t="s">
        <v>22</v>
      </c>
      <c r="J882" s="2">
        <v>43532.130671296298</v>
      </c>
      <c r="K882" s="2">
        <v>43532.130671296298</v>
      </c>
      <c r="L882" s="2">
        <v>43538.130671296298</v>
      </c>
      <c r="M882" s="1">
        <f>_xlfn.DAYS(Table1[[#This Row],[actual_delivery_date]],Table1[[#This Row],[dispatch_date]])</f>
        <v>0</v>
      </c>
      <c r="N882">
        <v>0</v>
      </c>
      <c r="O882">
        <f>Table1[[#This Row],[transit_storage_cost]] * (1-'What -if Analysis'!$D$26)</f>
        <v>0</v>
      </c>
      <c r="P882">
        <v>123</v>
      </c>
      <c r="Q882">
        <v>1069.8714964781498</v>
      </c>
    </row>
    <row r="883" spans="1:17" x14ac:dyDescent="0.3">
      <c r="A883">
        <v>845351</v>
      </c>
      <c r="B883" s="1" t="s">
        <v>38</v>
      </c>
      <c r="C883" s="1" t="s">
        <v>23</v>
      </c>
      <c r="D883" s="1" t="s">
        <v>17</v>
      </c>
      <c r="E883" s="1" t="s">
        <v>18</v>
      </c>
      <c r="F883" s="1" t="s">
        <v>19</v>
      </c>
      <c r="G883" s="1" t="s">
        <v>20</v>
      </c>
      <c r="H883" t="s">
        <v>30</v>
      </c>
      <c r="I883" s="1" t="s">
        <v>22</v>
      </c>
      <c r="J883" s="2">
        <v>43530.130682870367</v>
      </c>
      <c r="K883" s="2">
        <v>43532.130682870367</v>
      </c>
      <c r="L883" s="2">
        <v>43536.130682870367</v>
      </c>
      <c r="M883" s="1">
        <f>_xlfn.DAYS(Table1[[#This Row],[actual_delivery_date]],Table1[[#This Row],[dispatch_date]])</f>
        <v>2</v>
      </c>
      <c r="N883">
        <v>74</v>
      </c>
      <c r="O883">
        <f>Table1[[#This Row],[transit_storage_cost]] * (1-'What -if Analysis'!$D$26)</f>
        <v>74</v>
      </c>
      <c r="P883">
        <v>94</v>
      </c>
      <c r="Q883">
        <v>897.76865199097131</v>
      </c>
    </row>
    <row r="884" spans="1:17" x14ac:dyDescent="0.3">
      <c r="A884">
        <v>919658</v>
      </c>
      <c r="B884" s="1" t="s">
        <v>39</v>
      </c>
      <c r="C884" s="1" t="s">
        <v>23</v>
      </c>
      <c r="D884" s="1" t="s">
        <v>24</v>
      </c>
      <c r="E884" s="1" t="s">
        <v>25</v>
      </c>
      <c r="F884" s="1" t="s">
        <v>31</v>
      </c>
      <c r="G884" s="1" t="s">
        <v>20</v>
      </c>
      <c r="H884" t="s">
        <v>21</v>
      </c>
      <c r="I884" s="1" t="s">
        <v>22</v>
      </c>
      <c r="J884" s="2">
        <v>43530.137002314812</v>
      </c>
      <c r="K884" s="2">
        <v>43532.137002314812</v>
      </c>
      <c r="L884" s="2">
        <v>43537.137002314812</v>
      </c>
      <c r="M884" s="1">
        <f>_xlfn.DAYS(Table1[[#This Row],[actual_delivery_date]],Table1[[#This Row],[dispatch_date]])</f>
        <v>2</v>
      </c>
      <c r="N884">
        <v>34</v>
      </c>
      <c r="O884">
        <f>Table1[[#This Row],[transit_storage_cost]] * (1-'What -if Analysis'!$D$26)</f>
        <v>34</v>
      </c>
      <c r="P884">
        <v>128</v>
      </c>
      <c r="Q884">
        <v>724.96504892600421</v>
      </c>
    </row>
    <row r="885" spans="1:17" x14ac:dyDescent="0.3">
      <c r="A885">
        <v>127767</v>
      </c>
      <c r="B885" s="1" t="s">
        <v>37</v>
      </c>
      <c r="C885" s="1" t="s">
        <v>16</v>
      </c>
      <c r="D885" s="1" t="s">
        <v>16</v>
      </c>
      <c r="E885" s="1" t="s">
        <v>27</v>
      </c>
      <c r="F885" s="1" t="s">
        <v>19</v>
      </c>
      <c r="G885" s="1" t="s">
        <v>20</v>
      </c>
      <c r="H885" t="s">
        <v>30</v>
      </c>
      <c r="I885" s="1" t="s">
        <v>26</v>
      </c>
      <c r="J885" s="2">
        <v>43531.142881944441</v>
      </c>
      <c r="K885" s="2">
        <v>43532.142881944441</v>
      </c>
      <c r="L885" s="2">
        <v>43538.142881944441</v>
      </c>
      <c r="M885" s="1">
        <f>_xlfn.DAYS(Table1[[#This Row],[actual_delivery_date]],Table1[[#This Row],[dispatch_date]])</f>
        <v>1</v>
      </c>
      <c r="N885">
        <v>0</v>
      </c>
      <c r="O885">
        <f>Table1[[#This Row],[transit_storage_cost]] * (1-'What -if Analysis'!$D$26)</f>
        <v>0</v>
      </c>
      <c r="P885">
        <v>100</v>
      </c>
      <c r="Q885">
        <v>1829.5683757360712</v>
      </c>
    </row>
    <row r="886" spans="1:17" x14ac:dyDescent="0.3">
      <c r="A886">
        <v>235653</v>
      </c>
      <c r="B886" s="1" t="s">
        <v>37</v>
      </c>
      <c r="C886" s="1" t="s">
        <v>16</v>
      </c>
      <c r="D886" s="1" t="s">
        <v>32</v>
      </c>
      <c r="E886" s="1" t="s">
        <v>33</v>
      </c>
      <c r="F886" s="1" t="s">
        <v>29</v>
      </c>
      <c r="G886" s="1" t="s">
        <v>20</v>
      </c>
      <c r="H886" t="s">
        <v>30</v>
      </c>
      <c r="I886" s="1" t="s">
        <v>26</v>
      </c>
      <c r="J886" s="2">
        <v>43529.143495370372</v>
      </c>
      <c r="K886" s="2">
        <v>43532.143495370372</v>
      </c>
      <c r="L886" s="2">
        <v>43532.143495370372</v>
      </c>
      <c r="M886" s="1">
        <f>_xlfn.DAYS(Table1[[#This Row],[actual_delivery_date]],Table1[[#This Row],[dispatch_date]])</f>
        <v>3</v>
      </c>
      <c r="N886">
        <v>39</v>
      </c>
      <c r="O886">
        <f>Table1[[#This Row],[transit_storage_cost]] * (1-'What -if Analysis'!$D$26)</f>
        <v>39</v>
      </c>
      <c r="P886">
        <v>105</v>
      </c>
      <c r="Q886">
        <v>1532.8</v>
      </c>
    </row>
    <row r="887" spans="1:17" x14ac:dyDescent="0.3">
      <c r="A887">
        <v>392086</v>
      </c>
      <c r="B887" s="1" t="s">
        <v>38</v>
      </c>
      <c r="C887" s="1" t="s">
        <v>23</v>
      </c>
      <c r="D887" s="1" t="s">
        <v>32</v>
      </c>
      <c r="E887" s="1" t="s">
        <v>33</v>
      </c>
      <c r="F887" s="1" t="s">
        <v>31</v>
      </c>
      <c r="G887" s="1" t="s">
        <v>20</v>
      </c>
      <c r="H887" t="s">
        <v>21</v>
      </c>
      <c r="I887" s="1" t="s">
        <v>22</v>
      </c>
      <c r="J887" s="2">
        <v>43530.145833333336</v>
      </c>
      <c r="K887" s="2">
        <v>43532.145833333336</v>
      </c>
      <c r="L887" s="2">
        <v>43533.145833333336</v>
      </c>
      <c r="M887" s="1">
        <f>_xlfn.DAYS(Table1[[#This Row],[actual_delivery_date]],Table1[[#This Row],[dispatch_date]])</f>
        <v>2</v>
      </c>
      <c r="N887">
        <v>26</v>
      </c>
      <c r="O887">
        <f>Table1[[#This Row],[transit_storage_cost]] * (1-'What -if Analysis'!$D$26)</f>
        <v>26</v>
      </c>
      <c r="P887">
        <v>107</v>
      </c>
      <c r="Q887">
        <v>412.14484672567278</v>
      </c>
    </row>
    <row r="888" spans="1:17" x14ac:dyDescent="0.3">
      <c r="A888">
        <v>441381</v>
      </c>
      <c r="B888" s="1" t="s">
        <v>38</v>
      </c>
      <c r="C888" s="1" t="s">
        <v>16</v>
      </c>
      <c r="D888" s="1" t="s">
        <v>23</v>
      </c>
      <c r="E888" s="1" t="s">
        <v>28</v>
      </c>
      <c r="F888" s="1" t="s">
        <v>19</v>
      </c>
      <c r="G888" s="1" t="s">
        <v>20</v>
      </c>
      <c r="H888" t="s">
        <v>30</v>
      </c>
      <c r="I888" s="1" t="s">
        <v>26</v>
      </c>
      <c r="J888" s="2">
        <v>43529.148854166669</v>
      </c>
      <c r="K888" s="2">
        <v>43532.148854166669</v>
      </c>
      <c r="L888" s="2">
        <v>43534.148854166669</v>
      </c>
      <c r="M888" s="1">
        <f>_xlfn.DAYS(Table1[[#This Row],[actual_delivery_date]],Table1[[#This Row],[dispatch_date]])</f>
        <v>3</v>
      </c>
      <c r="N888">
        <v>61</v>
      </c>
      <c r="O888">
        <f>Table1[[#This Row],[transit_storage_cost]] * (1-'What -if Analysis'!$D$26)</f>
        <v>61</v>
      </c>
      <c r="P888">
        <v>105</v>
      </c>
      <c r="Q888">
        <v>2294.54</v>
      </c>
    </row>
    <row r="889" spans="1:17" x14ac:dyDescent="0.3">
      <c r="A889">
        <v>661035</v>
      </c>
      <c r="B889" s="1" t="s">
        <v>40</v>
      </c>
      <c r="C889" s="1" t="s">
        <v>23</v>
      </c>
      <c r="D889" s="1" t="s">
        <v>32</v>
      </c>
      <c r="E889" s="1" t="s">
        <v>33</v>
      </c>
      <c r="F889" s="1" t="s">
        <v>29</v>
      </c>
      <c r="G889" s="1" t="s">
        <v>20</v>
      </c>
      <c r="H889" t="s">
        <v>30</v>
      </c>
      <c r="I889" s="1" t="s">
        <v>26</v>
      </c>
      <c r="J889" s="2">
        <v>43528.154340277775</v>
      </c>
      <c r="K889" s="2">
        <v>43532.154340277775</v>
      </c>
      <c r="L889" s="2">
        <v>43533.154340277775</v>
      </c>
      <c r="M889" s="1">
        <f>_xlfn.DAYS(Table1[[#This Row],[actual_delivery_date]],Table1[[#This Row],[dispatch_date]])</f>
        <v>4</v>
      </c>
      <c r="N889">
        <v>45</v>
      </c>
      <c r="O889">
        <f>Table1[[#This Row],[transit_storage_cost]] * (1-'What -if Analysis'!$D$26)</f>
        <v>45</v>
      </c>
      <c r="P889">
        <v>112</v>
      </c>
      <c r="Q889">
        <v>1044.0999999999999</v>
      </c>
    </row>
    <row r="890" spans="1:17" x14ac:dyDescent="0.3">
      <c r="A890">
        <v>979474</v>
      </c>
      <c r="B890" s="1" t="s">
        <v>38</v>
      </c>
      <c r="C890" s="1" t="s">
        <v>23</v>
      </c>
      <c r="D890" s="1" t="s">
        <v>32</v>
      </c>
      <c r="E890" s="1" t="s">
        <v>33</v>
      </c>
      <c r="F890" s="1" t="s">
        <v>31</v>
      </c>
      <c r="G890" s="1" t="s">
        <v>20</v>
      </c>
      <c r="H890" t="s">
        <v>21</v>
      </c>
      <c r="I890" s="1" t="s">
        <v>22</v>
      </c>
      <c r="J890" s="2">
        <v>43529.155706018515</v>
      </c>
      <c r="K890" s="2">
        <v>43532.155706018515</v>
      </c>
      <c r="L890" s="2">
        <v>43536.155706018515</v>
      </c>
      <c r="M890" s="1">
        <f>_xlfn.DAYS(Table1[[#This Row],[actual_delivery_date]],Table1[[#This Row],[dispatch_date]])</f>
        <v>3</v>
      </c>
      <c r="N890">
        <v>27</v>
      </c>
      <c r="O890">
        <f>Table1[[#This Row],[transit_storage_cost]] * (1-'What -if Analysis'!$D$26)</f>
        <v>27</v>
      </c>
      <c r="P890">
        <v>111</v>
      </c>
      <c r="Q890">
        <v>742.94170453084644</v>
      </c>
    </row>
    <row r="891" spans="1:17" x14ac:dyDescent="0.3">
      <c r="A891">
        <v>850659</v>
      </c>
      <c r="B891" s="1" t="s">
        <v>38</v>
      </c>
      <c r="C891" s="1" t="s">
        <v>16</v>
      </c>
      <c r="D891" s="1" t="s">
        <v>16</v>
      </c>
      <c r="E891" s="1" t="s">
        <v>27</v>
      </c>
      <c r="F891" s="1" t="s">
        <v>29</v>
      </c>
      <c r="G891" s="1" t="s">
        <v>20</v>
      </c>
      <c r="H891" t="s">
        <v>30</v>
      </c>
      <c r="I891" s="1" t="s">
        <v>26</v>
      </c>
      <c r="J891" s="2">
        <v>43525.158379629633</v>
      </c>
      <c r="K891" s="2">
        <v>43532.158379629633</v>
      </c>
      <c r="L891" s="2">
        <v>43532.158379629633</v>
      </c>
      <c r="M891" s="1">
        <f>_xlfn.DAYS(Table1[[#This Row],[actual_delivery_date]],Table1[[#This Row],[dispatch_date]])</f>
        <v>7</v>
      </c>
      <c r="N891">
        <v>0</v>
      </c>
      <c r="O891">
        <f>Table1[[#This Row],[transit_storage_cost]] * (1-'What -if Analysis'!$D$26)</f>
        <v>0</v>
      </c>
      <c r="P891">
        <v>122</v>
      </c>
      <c r="Q891">
        <v>847.43</v>
      </c>
    </row>
    <row r="892" spans="1:17" x14ac:dyDescent="0.3">
      <c r="A892">
        <v>505350</v>
      </c>
      <c r="B892" s="1" t="s">
        <v>38</v>
      </c>
      <c r="C892" s="1" t="s">
        <v>23</v>
      </c>
      <c r="D892" s="1" t="s">
        <v>16</v>
      </c>
      <c r="E892" s="1" t="s">
        <v>27</v>
      </c>
      <c r="F892" s="1" t="s">
        <v>31</v>
      </c>
      <c r="G892" s="1" t="s">
        <v>20</v>
      </c>
      <c r="H892" t="s">
        <v>21</v>
      </c>
      <c r="I892" s="1" t="s">
        <v>26</v>
      </c>
      <c r="J892" s="2">
        <v>43527.160393518519</v>
      </c>
      <c r="K892" s="2">
        <v>43532.160393518519</v>
      </c>
      <c r="L892" s="2">
        <v>43531.160393518519</v>
      </c>
      <c r="M892" s="1">
        <f>_xlfn.DAYS(Table1[[#This Row],[actual_delivery_date]],Table1[[#This Row],[dispatch_date]])</f>
        <v>5</v>
      </c>
      <c r="N892">
        <v>35</v>
      </c>
      <c r="O892">
        <f>Table1[[#This Row],[transit_storage_cost]] * (1-'What -if Analysis'!$D$26)</f>
        <v>35</v>
      </c>
      <c r="P892">
        <v>124</v>
      </c>
      <c r="Q892">
        <v>3306.45</v>
      </c>
    </row>
    <row r="893" spans="1:17" x14ac:dyDescent="0.3">
      <c r="A893">
        <v>491820</v>
      </c>
      <c r="B893" s="1" t="s">
        <v>40</v>
      </c>
      <c r="C893" s="1" t="s">
        <v>23</v>
      </c>
      <c r="D893" s="1" t="s">
        <v>17</v>
      </c>
      <c r="E893" s="1" t="s">
        <v>18</v>
      </c>
      <c r="F893" s="1" t="s">
        <v>19</v>
      </c>
      <c r="G893" s="1" t="s">
        <v>20</v>
      </c>
      <c r="H893" t="s">
        <v>21</v>
      </c>
      <c r="I893" s="1" t="s">
        <v>26</v>
      </c>
      <c r="J893" s="2">
        <v>43528.160624999997</v>
      </c>
      <c r="K893" s="2">
        <v>43532.160624999997</v>
      </c>
      <c r="L893" s="2">
        <v>43535.160624999997</v>
      </c>
      <c r="M893" s="1">
        <f>_xlfn.DAYS(Table1[[#This Row],[actual_delivery_date]],Table1[[#This Row],[dispatch_date]])</f>
        <v>4</v>
      </c>
      <c r="N893">
        <v>43</v>
      </c>
      <c r="O893">
        <f>Table1[[#This Row],[transit_storage_cost]] * (1-'What -if Analysis'!$D$26)</f>
        <v>43</v>
      </c>
      <c r="P893">
        <v>106</v>
      </c>
      <c r="Q893">
        <v>2693.06</v>
      </c>
    </row>
    <row r="894" spans="1:17" x14ac:dyDescent="0.3">
      <c r="A894">
        <v>270233</v>
      </c>
      <c r="B894" s="1" t="s">
        <v>41</v>
      </c>
      <c r="C894" s="1" t="s">
        <v>16</v>
      </c>
      <c r="D894" s="1" t="s">
        <v>32</v>
      </c>
      <c r="E894" s="1" t="s">
        <v>33</v>
      </c>
      <c r="F894" s="1" t="s">
        <v>29</v>
      </c>
      <c r="G894" s="1" t="s">
        <v>20</v>
      </c>
      <c r="H894" t="s">
        <v>30</v>
      </c>
      <c r="I894" s="1" t="s">
        <v>22</v>
      </c>
      <c r="J894" s="2">
        <v>43525.16065972222</v>
      </c>
      <c r="K894" s="2">
        <v>43532.16065972222</v>
      </c>
      <c r="L894" s="2">
        <v>43532.16065972222</v>
      </c>
      <c r="M894" s="1">
        <f>_xlfn.DAYS(Table1[[#This Row],[actual_delivery_date]],Table1[[#This Row],[dispatch_date]])</f>
        <v>7</v>
      </c>
      <c r="N894">
        <v>28</v>
      </c>
      <c r="O894">
        <f>Table1[[#This Row],[transit_storage_cost]] * (1-'What -if Analysis'!$D$26)</f>
        <v>28</v>
      </c>
      <c r="P894">
        <v>109</v>
      </c>
      <c r="Q894">
        <v>3486.6303963344722</v>
      </c>
    </row>
    <row r="895" spans="1:17" x14ac:dyDescent="0.3">
      <c r="A895">
        <v>613331</v>
      </c>
      <c r="B895" s="1" t="s">
        <v>38</v>
      </c>
      <c r="C895" s="1" t="s">
        <v>16</v>
      </c>
      <c r="D895" s="1" t="s">
        <v>32</v>
      </c>
      <c r="E895" s="1" t="s">
        <v>33</v>
      </c>
      <c r="F895" s="1" t="s">
        <v>29</v>
      </c>
      <c r="G895" s="1" t="s">
        <v>20</v>
      </c>
      <c r="H895" t="s">
        <v>30</v>
      </c>
      <c r="I895" s="1" t="s">
        <v>22</v>
      </c>
      <c r="J895" s="2">
        <v>43529.168310185189</v>
      </c>
      <c r="K895" s="2">
        <v>43532.168310185189</v>
      </c>
      <c r="L895" s="2">
        <v>43533.168310185189</v>
      </c>
      <c r="M895" s="1">
        <f>_xlfn.DAYS(Table1[[#This Row],[actual_delivery_date]],Table1[[#This Row],[dispatch_date]])</f>
        <v>3</v>
      </c>
      <c r="N895">
        <v>41</v>
      </c>
      <c r="O895">
        <f>Table1[[#This Row],[transit_storage_cost]] * (1-'What -if Analysis'!$D$26)</f>
        <v>41</v>
      </c>
      <c r="P895">
        <v>109</v>
      </c>
      <c r="Q895">
        <v>2208.8660846395578</v>
      </c>
    </row>
    <row r="896" spans="1:17" x14ac:dyDescent="0.3">
      <c r="A896">
        <v>868986</v>
      </c>
      <c r="B896" s="1" t="s">
        <v>37</v>
      </c>
      <c r="C896" s="1" t="s">
        <v>16</v>
      </c>
      <c r="D896" s="1" t="s">
        <v>32</v>
      </c>
      <c r="E896" s="1" t="s">
        <v>33</v>
      </c>
      <c r="F896" s="1" t="s">
        <v>31</v>
      </c>
      <c r="G896" s="1" t="s">
        <v>20</v>
      </c>
      <c r="H896" t="s">
        <v>21</v>
      </c>
      <c r="I896" s="1" t="s">
        <v>26</v>
      </c>
      <c r="J896" s="2">
        <v>43527.174016203702</v>
      </c>
      <c r="K896" s="2">
        <v>43532.174016203702</v>
      </c>
      <c r="L896" s="2">
        <v>43532.174016203702</v>
      </c>
      <c r="M896" s="1">
        <f>_xlfn.DAYS(Table1[[#This Row],[actual_delivery_date]],Table1[[#This Row],[dispatch_date]])</f>
        <v>5</v>
      </c>
      <c r="N896">
        <v>38</v>
      </c>
      <c r="O896">
        <f>Table1[[#This Row],[transit_storage_cost]] * (1-'What -if Analysis'!$D$26)</f>
        <v>38</v>
      </c>
      <c r="P896">
        <v>110</v>
      </c>
      <c r="Q896">
        <v>3434.13</v>
      </c>
    </row>
    <row r="897" spans="1:17" x14ac:dyDescent="0.3">
      <c r="A897">
        <v>206665</v>
      </c>
      <c r="B897" s="1" t="s">
        <v>40</v>
      </c>
      <c r="C897" s="1" t="s">
        <v>23</v>
      </c>
      <c r="D897" s="1" t="s">
        <v>17</v>
      </c>
      <c r="E897" s="1" t="s">
        <v>18</v>
      </c>
      <c r="F897" s="1" t="s">
        <v>29</v>
      </c>
      <c r="G897" s="1" t="s">
        <v>20</v>
      </c>
      <c r="H897" t="s">
        <v>30</v>
      </c>
      <c r="I897" s="1" t="s">
        <v>22</v>
      </c>
      <c r="J897" s="2">
        <v>43527.176655092589</v>
      </c>
      <c r="K897" s="2">
        <v>43532.176655092589</v>
      </c>
      <c r="L897" s="2">
        <v>43532.176655092589</v>
      </c>
      <c r="M897" s="1">
        <f>_xlfn.DAYS(Table1[[#This Row],[actual_delivery_date]],Table1[[#This Row],[dispatch_date]])</f>
        <v>5</v>
      </c>
      <c r="N897">
        <v>39</v>
      </c>
      <c r="O897">
        <f>Table1[[#This Row],[transit_storage_cost]] * (1-'What -if Analysis'!$D$26)</f>
        <v>39</v>
      </c>
      <c r="P897">
        <v>113</v>
      </c>
      <c r="Q897">
        <v>607.63044203826416</v>
      </c>
    </row>
    <row r="898" spans="1:17" x14ac:dyDescent="0.3">
      <c r="A898">
        <v>634324</v>
      </c>
      <c r="B898" s="1" t="s">
        <v>39</v>
      </c>
      <c r="C898" s="1" t="s">
        <v>16</v>
      </c>
      <c r="D898" s="1" t="s">
        <v>23</v>
      </c>
      <c r="E898" s="1" t="s">
        <v>28</v>
      </c>
      <c r="F898" s="1" t="s">
        <v>19</v>
      </c>
      <c r="G898" s="1" t="s">
        <v>20</v>
      </c>
      <c r="H898" t="s">
        <v>21</v>
      </c>
      <c r="I898" s="1" t="s">
        <v>22</v>
      </c>
      <c r="J898" s="2">
        <v>43530.183206018519</v>
      </c>
      <c r="K898" s="2">
        <v>43532.183206018519</v>
      </c>
      <c r="L898" s="2">
        <v>43533.183206018519</v>
      </c>
      <c r="M898" s="1">
        <f>_xlfn.DAYS(Table1[[#This Row],[actual_delivery_date]],Table1[[#This Row],[dispatch_date]])</f>
        <v>2</v>
      </c>
      <c r="N898">
        <v>36</v>
      </c>
      <c r="O898">
        <f>Table1[[#This Row],[transit_storage_cost]] * (1-'What -if Analysis'!$D$26)</f>
        <v>36</v>
      </c>
      <c r="P898">
        <v>121</v>
      </c>
      <c r="Q898">
        <v>1225.2809576000927</v>
      </c>
    </row>
    <row r="899" spans="1:17" x14ac:dyDescent="0.3">
      <c r="A899">
        <v>538488</v>
      </c>
      <c r="B899" s="1" t="s">
        <v>37</v>
      </c>
      <c r="C899" s="1" t="s">
        <v>23</v>
      </c>
      <c r="D899" s="1" t="s">
        <v>24</v>
      </c>
      <c r="E899" s="1" t="s">
        <v>25</v>
      </c>
      <c r="F899" s="1" t="s">
        <v>19</v>
      </c>
      <c r="G899" s="1" t="s">
        <v>20</v>
      </c>
      <c r="H899" t="s">
        <v>21</v>
      </c>
      <c r="I899" s="1" t="s">
        <v>26</v>
      </c>
      <c r="J899" s="2">
        <v>43525.185659722221</v>
      </c>
      <c r="K899" s="2">
        <v>43532.185659722221</v>
      </c>
      <c r="L899" s="2">
        <v>43528.185659722221</v>
      </c>
      <c r="M899" s="1">
        <f>_xlfn.DAYS(Table1[[#This Row],[actual_delivery_date]],Table1[[#This Row],[dispatch_date]])</f>
        <v>7</v>
      </c>
      <c r="N899">
        <v>76</v>
      </c>
      <c r="O899">
        <f>Table1[[#This Row],[transit_storage_cost]] * (1-'What -if Analysis'!$D$26)</f>
        <v>76</v>
      </c>
      <c r="P899">
        <v>106</v>
      </c>
      <c r="Q899">
        <v>2712.13</v>
      </c>
    </row>
    <row r="900" spans="1:17" x14ac:dyDescent="0.3">
      <c r="A900">
        <v>993304</v>
      </c>
      <c r="B900" s="1" t="s">
        <v>39</v>
      </c>
      <c r="C900" s="1" t="s">
        <v>23</v>
      </c>
      <c r="D900" s="1" t="s">
        <v>23</v>
      </c>
      <c r="E900" s="1" t="s">
        <v>28</v>
      </c>
      <c r="F900" s="1" t="s">
        <v>19</v>
      </c>
      <c r="G900" s="1" t="s">
        <v>20</v>
      </c>
      <c r="H900" t="s">
        <v>21</v>
      </c>
      <c r="I900" s="1" t="s">
        <v>22</v>
      </c>
      <c r="J900" s="2">
        <v>43532.199837962966</v>
      </c>
      <c r="K900" s="2">
        <v>43532.199837962966</v>
      </c>
      <c r="L900" s="2">
        <v>43535.199837962966</v>
      </c>
      <c r="M900" s="1">
        <f>_xlfn.DAYS(Table1[[#This Row],[actual_delivery_date]],Table1[[#This Row],[dispatch_date]])</f>
        <v>0</v>
      </c>
      <c r="N900">
        <v>0</v>
      </c>
      <c r="O900">
        <f>Table1[[#This Row],[transit_storage_cost]] * (1-'What -if Analysis'!$D$26)</f>
        <v>0</v>
      </c>
      <c r="P900">
        <v>122</v>
      </c>
      <c r="Q900">
        <v>2512</v>
      </c>
    </row>
    <row r="901" spans="1:17" x14ac:dyDescent="0.3">
      <c r="A901">
        <v>453526</v>
      </c>
      <c r="B901" s="1" t="s">
        <v>39</v>
      </c>
      <c r="C901" s="1" t="s">
        <v>16</v>
      </c>
      <c r="D901" s="1" t="s">
        <v>24</v>
      </c>
      <c r="E901" s="1" t="s">
        <v>25</v>
      </c>
      <c r="F901" s="1" t="s">
        <v>31</v>
      </c>
      <c r="G901" s="1" t="s">
        <v>20</v>
      </c>
      <c r="H901" t="s">
        <v>21</v>
      </c>
      <c r="I901" s="1" t="s">
        <v>22</v>
      </c>
      <c r="J901" s="2">
        <v>43530.208310185182</v>
      </c>
      <c r="K901" s="2">
        <v>43532.208310185182</v>
      </c>
      <c r="L901" s="2">
        <v>43536.208310185182</v>
      </c>
      <c r="M901" s="1">
        <f>_xlfn.DAYS(Table1[[#This Row],[actual_delivery_date]],Table1[[#This Row],[dispatch_date]])</f>
        <v>2</v>
      </c>
      <c r="N901">
        <v>40</v>
      </c>
      <c r="O901">
        <f>Table1[[#This Row],[transit_storage_cost]] * (1-'What -if Analysis'!$D$26)</f>
        <v>40</v>
      </c>
      <c r="P901">
        <v>122</v>
      </c>
      <c r="Q901">
        <v>2608.8392237599232</v>
      </c>
    </row>
    <row r="902" spans="1:17" x14ac:dyDescent="0.3">
      <c r="A902">
        <v>938521</v>
      </c>
      <c r="B902" s="1" t="s">
        <v>41</v>
      </c>
      <c r="C902" s="1" t="s">
        <v>16</v>
      </c>
      <c r="D902" s="1" t="s">
        <v>32</v>
      </c>
      <c r="E902" s="1" t="s">
        <v>33</v>
      </c>
      <c r="F902" s="1" t="s">
        <v>29</v>
      </c>
      <c r="G902" s="1" t="s">
        <v>20</v>
      </c>
      <c r="H902" t="s">
        <v>30</v>
      </c>
      <c r="I902" s="1" t="s">
        <v>22</v>
      </c>
      <c r="J902" s="2">
        <v>43527.211643518516</v>
      </c>
      <c r="K902" s="2">
        <v>43532.211643518516</v>
      </c>
      <c r="L902" s="2">
        <v>43534.211643518516</v>
      </c>
      <c r="M902" s="1">
        <f>_xlfn.DAYS(Table1[[#This Row],[actual_delivery_date]],Table1[[#This Row],[dispatch_date]])</f>
        <v>5</v>
      </c>
      <c r="N902">
        <v>39</v>
      </c>
      <c r="O902">
        <f>Table1[[#This Row],[transit_storage_cost]] * (1-'What -if Analysis'!$D$26)</f>
        <v>39</v>
      </c>
      <c r="P902">
        <v>111</v>
      </c>
      <c r="Q902">
        <v>994.24307898968891</v>
      </c>
    </row>
    <row r="903" spans="1:17" x14ac:dyDescent="0.3">
      <c r="A903">
        <v>407214</v>
      </c>
      <c r="B903" s="1" t="s">
        <v>37</v>
      </c>
      <c r="C903" s="1" t="s">
        <v>23</v>
      </c>
      <c r="D903" s="1" t="s">
        <v>24</v>
      </c>
      <c r="E903" s="1" t="s">
        <v>25</v>
      </c>
      <c r="F903" s="1" t="s">
        <v>19</v>
      </c>
      <c r="G903" s="1" t="s">
        <v>20</v>
      </c>
      <c r="H903" t="s">
        <v>21</v>
      </c>
      <c r="I903" s="1" t="s">
        <v>26</v>
      </c>
      <c r="J903" s="2">
        <v>43525.211944444447</v>
      </c>
      <c r="K903" s="2">
        <v>43532.211944444447</v>
      </c>
      <c r="L903" s="2">
        <v>43532.211944444447</v>
      </c>
      <c r="M903" s="1">
        <f>_xlfn.DAYS(Table1[[#This Row],[actual_delivery_date]],Table1[[#This Row],[dispatch_date]])</f>
        <v>7</v>
      </c>
      <c r="N903">
        <v>64</v>
      </c>
      <c r="O903">
        <f>Table1[[#This Row],[transit_storage_cost]] * (1-'What -if Analysis'!$D$26)</f>
        <v>64</v>
      </c>
      <c r="P903">
        <v>107</v>
      </c>
      <c r="Q903">
        <v>2651.65</v>
      </c>
    </row>
    <row r="904" spans="1:17" x14ac:dyDescent="0.3">
      <c r="A904">
        <v>816797</v>
      </c>
      <c r="B904" s="1" t="s">
        <v>38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20</v>
      </c>
      <c r="H904" t="s">
        <v>30</v>
      </c>
      <c r="I904" s="1" t="s">
        <v>22</v>
      </c>
      <c r="J904" s="2">
        <v>43526.214629629627</v>
      </c>
      <c r="K904" s="2">
        <v>43532.214629629627</v>
      </c>
      <c r="L904" s="2">
        <v>43529.214629629627</v>
      </c>
      <c r="M904" s="1">
        <f>_xlfn.DAYS(Table1[[#This Row],[actual_delivery_date]],Table1[[#This Row],[dispatch_date]])</f>
        <v>6</v>
      </c>
      <c r="N904">
        <v>82</v>
      </c>
      <c r="O904">
        <f>Table1[[#This Row],[transit_storage_cost]] * (1-'What -if Analysis'!$D$26)</f>
        <v>82</v>
      </c>
      <c r="P904">
        <v>91</v>
      </c>
      <c r="Q904">
        <v>1360.3842644573774</v>
      </c>
    </row>
    <row r="905" spans="1:17" x14ac:dyDescent="0.3">
      <c r="A905">
        <v>561609</v>
      </c>
      <c r="B905" s="1" t="s">
        <v>37</v>
      </c>
      <c r="C905" s="1" t="s">
        <v>16</v>
      </c>
      <c r="D905" s="1" t="s">
        <v>32</v>
      </c>
      <c r="E905" s="1" t="s">
        <v>33</v>
      </c>
      <c r="F905" s="1" t="s">
        <v>29</v>
      </c>
      <c r="G905" s="1" t="s">
        <v>20</v>
      </c>
      <c r="H905" t="s">
        <v>30</v>
      </c>
      <c r="I905" s="1" t="s">
        <v>26</v>
      </c>
      <c r="J905" s="2">
        <v>43529.21533564815</v>
      </c>
      <c r="K905" s="2">
        <v>43532.21533564815</v>
      </c>
      <c r="L905" s="2">
        <v>43532.21533564815</v>
      </c>
      <c r="M905" s="1">
        <f>_xlfn.DAYS(Table1[[#This Row],[actual_delivery_date]],Table1[[#This Row],[dispatch_date]])</f>
        <v>3</v>
      </c>
      <c r="N905">
        <v>41</v>
      </c>
      <c r="O905">
        <f>Table1[[#This Row],[transit_storage_cost]] * (1-'What -if Analysis'!$D$26)</f>
        <v>41</v>
      </c>
      <c r="P905">
        <v>114</v>
      </c>
      <c r="Q905">
        <v>1288.28</v>
      </c>
    </row>
    <row r="906" spans="1:17" x14ac:dyDescent="0.3">
      <c r="A906">
        <v>251433</v>
      </c>
      <c r="B906" s="1" t="s">
        <v>37</v>
      </c>
      <c r="C906" s="1" t="s">
        <v>16</v>
      </c>
      <c r="D906" s="1" t="s">
        <v>32</v>
      </c>
      <c r="E906" s="1" t="s">
        <v>33</v>
      </c>
      <c r="F906" s="1" t="s">
        <v>19</v>
      </c>
      <c r="G906" s="1" t="s">
        <v>20</v>
      </c>
      <c r="H906" t="s">
        <v>34</v>
      </c>
      <c r="I906" s="1" t="s">
        <v>26</v>
      </c>
      <c r="J906" s="2">
        <v>43525.215520833335</v>
      </c>
      <c r="K906" s="2">
        <v>43532.215520833335</v>
      </c>
      <c r="L906" s="2">
        <v>43530.215520833335</v>
      </c>
      <c r="M906" s="1">
        <f>_xlfn.DAYS(Table1[[#This Row],[actual_delivery_date]],Table1[[#This Row],[dispatch_date]])</f>
        <v>7</v>
      </c>
      <c r="N906">
        <v>73</v>
      </c>
      <c r="O906">
        <f>Table1[[#This Row],[transit_storage_cost]] * (1-'What -if Analysis'!$D$26)</f>
        <v>73</v>
      </c>
      <c r="P906">
        <v>93</v>
      </c>
      <c r="Q906">
        <v>1369.74</v>
      </c>
    </row>
    <row r="907" spans="1:17" x14ac:dyDescent="0.3">
      <c r="A907">
        <v>652593</v>
      </c>
      <c r="B907" s="1" t="s">
        <v>40</v>
      </c>
      <c r="C907" s="1" t="s">
        <v>23</v>
      </c>
      <c r="D907" s="1" t="s">
        <v>24</v>
      </c>
      <c r="E907" s="1" t="s">
        <v>25</v>
      </c>
      <c r="F907" s="1" t="s">
        <v>29</v>
      </c>
      <c r="G907" s="1" t="s">
        <v>20</v>
      </c>
      <c r="H907" t="s">
        <v>30</v>
      </c>
      <c r="I907" s="1" t="s">
        <v>26</v>
      </c>
      <c r="J907" s="2">
        <v>43526.215624999997</v>
      </c>
      <c r="K907" s="2">
        <v>43532.215624999997</v>
      </c>
      <c r="L907" s="2">
        <v>43529.215624999997</v>
      </c>
      <c r="M907" s="1">
        <f>_xlfn.DAYS(Table1[[#This Row],[actual_delivery_date]],Table1[[#This Row],[dispatch_date]])</f>
        <v>6</v>
      </c>
      <c r="N907">
        <v>43</v>
      </c>
      <c r="O907">
        <f>Table1[[#This Row],[transit_storage_cost]] * (1-'What -if Analysis'!$D$26)</f>
        <v>43</v>
      </c>
      <c r="P907">
        <v>124</v>
      </c>
      <c r="Q907">
        <v>2300.56</v>
      </c>
    </row>
    <row r="908" spans="1:17" x14ac:dyDescent="0.3">
      <c r="A908">
        <v>422358</v>
      </c>
      <c r="B908" s="1" t="s">
        <v>15</v>
      </c>
      <c r="C908" s="1" t="s">
        <v>16</v>
      </c>
      <c r="D908" s="1" t="s">
        <v>16</v>
      </c>
      <c r="E908" s="1" t="s">
        <v>27</v>
      </c>
      <c r="F908" s="1" t="s">
        <v>31</v>
      </c>
      <c r="G908" s="1" t="s">
        <v>20</v>
      </c>
      <c r="H908" t="s">
        <v>21</v>
      </c>
      <c r="I908" s="1" t="s">
        <v>26</v>
      </c>
      <c r="J908" s="2">
        <v>43530.220289351855</v>
      </c>
      <c r="K908" s="2">
        <v>43532.220289351855</v>
      </c>
      <c r="L908" s="2">
        <v>43535.220289351855</v>
      </c>
      <c r="M908" s="1">
        <f>_xlfn.DAYS(Table1[[#This Row],[actual_delivery_date]],Table1[[#This Row],[dispatch_date]])</f>
        <v>2</v>
      </c>
      <c r="N908">
        <v>0</v>
      </c>
      <c r="O908">
        <f>Table1[[#This Row],[transit_storage_cost]] * (1-'What -if Analysis'!$D$26)</f>
        <v>0</v>
      </c>
      <c r="P908">
        <v>126</v>
      </c>
      <c r="Q908">
        <v>3569.7503695629289</v>
      </c>
    </row>
    <row r="909" spans="1:17" x14ac:dyDescent="0.3">
      <c r="A909">
        <v>783266</v>
      </c>
      <c r="B909" s="1" t="s">
        <v>39</v>
      </c>
      <c r="C909" s="1" t="s">
        <v>23</v>
      </c>
      <c r="D909" s="1" t="s">
        <v>32</v>
      </c>
      <c r="E909" s="1" t="s">
        <v>33</v>
      </c>
      <c r="F909" s="1" t="s">
        <v>31</v>
      </c>
      <c r="G909" s="1" t="s">
        <v>20</v>
      </c>
      <c r="H909" t="s">
        <v>21</v>
      </c>
      <c r="I909" s="1" t="s">
        <v>22</v>
      </c>
      <c r="J909" s="2">
        <v>43529.223506944443</v>
      </c>
      <c r="K909" s="2">
        <v>43532.223506944443</v>
      </c>
      <c r="L909" s="2">
        <v>43535.223506944443</v>
      </c>
      <c r="M909" s="1">
        <f>_xlfn.DAYS(Table1[[#This Row],[actual_delivery_date]],Table1[[#This Row],[dispatch_date]])</f>
        <v>3</v>
      </c>
      <c r="N909">
        <v>50</v>
      </c>
      <c r="O909">
        <f>Table1[[#This Row],[transit_storage_cost]] * (1-'What -if Analysis'!$D$26)</f>
        <v>50</v>
      </c>
      <c r="P909">
        <v>112</v>
      </c>
      <c r="Q909">
        <v>1261.3404496446606</v>
      </c>
    </row>
    <row r="910" spans="1:17" x14ac:dyDescent="0.3">
      <c r="A910">
        <v>746198</v>
      </c>
      <c r="B910" s="1" t="s">
        <v>38</v>
      </c>
      <c r="C910" s="1" t="s">
        <v>16</v>
      </c>
      <c r="D910" s="1" t="s">
        <v>16</v>
      </c>
      <c r="E910" s="1" t="s">
        <v>27</v>
      </c>
      <c r="F910" s="1" t="s">
        <v>19</v>
      </c>
      <c r="G910" s="1" t="s">
        <v>20</v>
      </c>
      <c r="H910" t="s">
        <v>21</v>
      </c>
      <c r="I910" s="1" t="s">
        <v>22</v>
      </c>
      <c r="J910" s="2">
        <v>43531.226400462961</v>
      </c>
      <c r="K910" s="2">
        <v>43532.226400462961</v>
      </c>
      <c r="L910" s="2">
        <v>43536.226400462961</v>
      </c>
      <c r="M910" s="1">
        <f>_xlfn.DAYS(Table1[[#This Row],[actual_delivery_date]],Table1[[#This Row],[dispatch_date]])</f>
        <v>1</v>
      </c>
      <c r="N910">
        <v>0</v>
      </c>
      <c r="O910">
        <f>Table1[[#This Row],[transit_storage_cost]] * (1-'What -if Analysis'!$D$26)</f>
        <v>0</v>
      </c>
      <c r="P910">
        <v>104</v>
      </c>
      <c r="Q910">
        <v>522.62549946489639</v>
      </c>
    </row>
    <row r="911" spans="1:17" x14ac:dyDescent="0.3">
      <c r="A911">
        <v>907874</v>
      </c>
      <c r="B911" s="1" t="s">
        <v>37</v>
      </c>
      <c r="C911" s="1" t="s">
        <v>16</v>
      </c>
      <c r="D911" s="1" t="s">
        <v>16</v>
      </c>
      <c r="E911" s="1" t="s">
        <v>27</v>
      </c>
      <c r="F911" s="1" t="s">
        <v>31</v>
      </c>
      <c r="G911" s="1" t="s">
        <v>36</v>
      </c>
      <c r="H911" t="s">
        <v>21</v>
      </c>
      <c r="I911" s="1" t="s">
        <v>22</v>
      </c>
      <c r="J911" s="2">
        <v>43530.227638888886</v>
      </c>
      <c r="K911" s="2">
        <v>43532.227638888886</v>
      </c>
      <c r="L911" s="2">
        <v>43536.227638888886</v>
      </c>
      <c r="M911" s="1">
        <f>_xlfn.DAYS(Table1[[#This Row],[actual_delivery_date]],Table1[[#This Row],[dispatch_date]])</f>
        <v>2</v>
      </c>
      <c r="N911">
        <v>0</v>
      </c>
      <c r="O911">
        <f>Table1[[#This Row],[transit_storage_cost]] * (1-'What -if Analysis'!$D$26)</f>
        <v>0</v>
      </c>
      <c r="P911">
        <v>129</v>
      </c>
      <c r="Q911">
        <v>1074.741786664069</v>
      </c>
    </row>
    <row r="912" spans="1:17" x14ac:dyDescent="0.3">
      <c r="A912">
        <v>992763</v>
      </c>
      <c r="B912" s="1" t="s">
        <v>38</v>
      </c>
      <c r="C912" s="1" t="s">
        <v>16</v>
      </c>
      <c r="D912" s="1" t="s">
        <v>24</v>
      </c>
      <c r="E912" s="1" t="s">
        <v>25</v>
      </c>
      <c r="F912" s="1" t="s">
        <v>29</v>
      </c>
      <c r="G912" s="1" t="s">
        <v>20</v>
      </c>
      <c r="H912" t="s">
        <v>30</v>
      </c>
      <c r="I912" s="1" t="s">
        <v>26</v>
      </c>
      <c r="J912" s="2">
        <v>43529.23333333333</v>
      </c>
      <c r="K912" s="2">
        <v>43532.23333333333</v>
      </c>
      <c r="L912" s="2">
        <v>43535.23333333333</v>
      </c>
      <c r="M912" s="1">
        <f>_xlfn.DAYS(Table1[[#This Row],[actual_delivery_date]],Table1[[#This Row],[dispatch_date]])</f>
        <v>3</v>
      </c>
      <c r="N912">
        <v>44</v>
      </c>
      <c r="O912">
        <f>Table1[[#This Row],[transit_storage_cost]] * (1-'What -if Analysis'!$D$26)</f>
        <v>44</v>
      </c>
      <c r="P912">
        <v>130</v>
      </c>
      <c r="Q912">
        <v>1703.41</v>
      </c>
    </row>
    <row r="913" spans="1:17" x14ac:dyDescent="0.3">
      <c r="A913">
        <v>305074</v>
      </c>
      <c r="B913" s="1" t="s">
        <v>39</v>
      </c>
      <c r="C913" s="1" t="s">
        <v>23</v>
      </c>
      <c r="D913" s="1" t="s">
        <v>17</v>
      </c>
      <c r="E913" s="1" t="s">
        <v>18</v>
      </c>
      <c r="F913" s="1" t="s">
        <v>19</v>
      </c>
      <c r="G913" s="1" t="s">
        <v>20</v>
      </c>
      <c r="H913" t="s">
        <v>21</v>
      </c>
      <c r="I913" s="1" t="s">
        <v>22</v>
      </c>
      <c r="J913" s="2">
        <v>43530.233576388891</v>
      </c>
      <c r="K913" s="2">
        <v>43532.233576388891</v>
      </c>
      <c r="L913" s="2">
        <v>43533.233576388891</v>
      </c>
      <c r="M913" s="1">
        <f>_xlfn.DAYS(Table1[[#This Row],[actual_delivery_date]],Table1[[#This Row],[dispatch_date]])</f>
        <v>2</v>
      </c>
      <c r="N913">
        <v>87</v>
      </c>
      <c r="O913">
        <f>Table1[[#This Row],[transit_storage_cost]] * (1-'What -if Analysis'!$D$26)</f>
        <v>87</v>
      </c>
      <c r="P913">
        <v>93</v>
      </c>
      <c r="Q913">
        <v>2162</v>
      </c>
    </row>
    <row r="914" spans="1:17" x14ac:dyDescent="0.3">
      <c r="A914">
        <v>494989</v>
      </c>
      <c r="B914" s="1" t="s">
        <v>38</v>
      </c>
      <c r="C914" s="1" t="s">
        <v>16</v>
      </c>
      <c r="D914" s="1" t="s">
        <v>24</v>
      </c>
      <c r="E914" s="1" t="s">
        <v>25</v>
      </c>
      <c r="F914" s="1" t="s">
        <v>29</v>
      </c>
      <c r="G914" s="1" t="s">
        <v>20</v>
      </c>
      <c r="H914" t="s">
        <v>30</v>
      </c>
      <c r="I914" s="1" t="s">
        <v>22</v>
      </c>
      <c r="J914" s="2">
        <v>43525.233796296299</v>
      </c>
      <c r="K914" s="2">
        <v>43532.233796296299</v>
      </c>
      <c r="L914" s="2">
        <v>43532.233796296299</v>
      </c>
      <c r="M914" s="1">
        <f>_xlfn.DAYS(Table1[[#This Row],[actual_delivery_date]],Table1[[#This Row],[dispatch_date]])</f>
        <v>7</v>
      </c>
      <c r="N914">
        <v>41</v>
      </c>
      <c r="O914">
        <f>Table1[[#This Row],[transit_storage_cost]] * (1-'What -if Analysis'!$D$26)</f>
        <v>41</v>
      </c>
      <c r="P914">
        <v>122</v>
      </c>
      <c r="Q914">
        <v>3432.568836527747</v>
      </c>
    </row>
    <row r="915" spans="1:17" x14ac:dyDescent="0.3">
      <c r="A915">
        <v>385988</v>
      </c>
      <c r="B915" s="1" t="s">
        <v>39</v>
      </c>
      <c r="C915" s="1" t="s">
        <v>16</v>
      </c>
      <c r="D915" s="1" t="s">
        <v>16</v>
      </c>
      <c r="E915" s="1" t="s">
        <v>27</v>
      </c>
      <c r="F915" s="1" t="s">
        <v>19</v>
      </c>
      <c r="G915" s="1" t="s">
        <v>20</v>
      </c>
      <c r="H915" t="s">
        <v>21</v>
      </c>
      <c r="I915" s="1" t="s">
        <v>22</v>
      </c>
      <c r="J915" s="2">
        <v>43527.237581018519</v>
      </c>
      <c r="K915" s="2">
        <v>43532.237581018519</v>
      </c>
      <c r="L915" s="2">
        <v>43532.237581018519</v>
      </c>
      <c r="M915" s="1">
        <f>_xlfn.DAYS(Table1[[#This Row],[actual_delivery_date]],Table1[[#This Row],[dispatch_date]])</f>
        <v>5</v>
      </c>
      <c r="N915">
        <v>0</v>
      </c>
      <c r="O915">
        <f>Table1[[#This Row],[transit_storage_cost]] * (1-'What -if Analysis'!$D$26)</f>
        <v>0</v>
      </c>
      <c r="P915">
        <v>124</v>
      </c>
      <c r="Q915">
        <v>2308.413403791581</v>
      </c>
    </row>
    <row r="916" spans="1:17" x14ac:dyDescent="0.3">
      <c r="A916">
        <v>9361</v>
      </c>
      <c r="B916" s="1" t="s">
        <v>38</v>
      </c>
      <c r="C916" s="1" t="s">
        <v>16</v>
      </c>
      <c r="D916" s="1" t="s">
        <v>32</v>
      </c>
      <c r="E916" s="1" t="s">
        <v>33</v>
      </c>
      <c r="F916" s="1" t="s">
        <v>19</v>
      </c>
      <c r="G916" s="1" t="s">
        <v>20</v>
      </c>
      <c r="H916" t="s">
        <v>30</v>
      </c>
      <c r="I916" s="1" t="s">
        <v>22</v>
      </c>
      <c r="J916" s="2">
        <v>43526.2421875</v>
      </c>
      <c r="K916" s="2">
        <v>43532.2421875</v>
      </c>
      <c r="L916" s="2">
        <v>43533.2421875</v>
      </c>
      <c r="M916" s="1">
        <f>_xlfn.DAYS(Table1[[#This Row],[actual_delivery_date]],Table1[[#This Row],[dispatch_date]])</f>
        <v>6</v>
      </c>
      <c r="N916">
        <v>79</v>
      </c>
      <c r="O916">
        <f>Table1[[#This Row],[transit_storage_cost]] * (1-'What -if Analysis'!$D$26)</f>
        <v>79</v>
      </c>
      <c r="P916">
        <v>88</v>
      </c>
      <c r="Q916">
        <v>2173.9079489202823</v>
      </c>
    </row>
    <row r="917" spans="1:17" x14ac:dyDescent="0.3">
      <c r="A917">
        <v>722663</v>
      </c>
      <c r="B917" s="1" t="s">
        <v>38</v>
      </c>
      <c r="C917" s="1" t="s">
        <v>16</v>
      </c>
      <c r="D917" s="1" t="s">
        <v>24</v>
      </c>
      <c r="E917" s="1" t="s">
        <v>25</v>
      </c>
      <c r="F917" s="1" t="s">
        <v>29</v>
      </c>
      <c r="G917" s="1" t="s">
        <v>20</v>
      </c>
      <c r="H917" t="s">
        <v>30</v>
      </c>
      <c r="I917" s="1" t="s">
        <v>22</v>
      </c>
      <c r="J917" s="2">
        <v>43525.245729166665</v>
      </c>
      <c r="K917" s="2">
        <v>43532.245729166665</v>
      </c>
      <c r="L917" s="2">
        <v>43528.245729166665</v>
      </c>
      <c r="M917" s="1">
        <f>_xlfn.DAYS(Table1[[#This Row],[actual_delivery_date]],Table1[[#This Row],[dispatch_date]])</f>
        <v>7</v>
      </c>
      <c r="N917">
        <v>49</v>
      </c>
      <c r="O917">
        <f>Table1[[#This Row],[transit_storage_cost]] * (1-'What -if Analysis'!$D$26)</f>
        <v>49</v>
      </c>
      <c r="P917">
        <v>124</v>
      </c>
      <c r="Q917">
        <v>852.66204704617394</v>
      </c>
    </row>
    <row r="918" spans="1:17" x14ac:dyDescent="0.3">
      <c r="A918">
        <v>30401</v>
      </c>
      <c r="B918" s="1" t="s">
        <v>41</v>
      </c>
      <c r="C918" s="1" t="s">
        <v>23</v>
      </c>
      <c r="D918" s="1" t="s">
        <v>23</v>
      </c>
      <c r="E918" s="1" t="s">
        <v>28</v>
      </c>
      <c r="F918" s="1" t="s">
        <v>29</v>
      </c>
      <c r="G918" s="1" t="s">
        <v>20</v>
      </c>
      <c r="H918" t="s">
        <v>34</v>
      </c>
      <c r="I918" s="1" t="s">
        <v>22</v>
      </c>
      <c r="J918" s="2">
        <v>43525.247013888889</v>
      </c>
      <c r="K918" s="2">
        <v>43532.247013888889</v>
      </c>
      <c r="L918" s="2">
        <v>43531.247013888889</v>
      </c>
      <c r="M918" s="1">
        <f>_xlfn.DAYS(Table1[[#This Row],[actual_delivery_date]],Table1[[#This Row],[dispatch_date]])</f>
        <v>7</v>
      </c>
      <c r="N918">
        <v>9999</v>
      </c>
      <c r="O918">
        <f>Table1[[#This Row],[transit_storage_cost]] * (1-'What -if Analysis'!$D$26)</f>
        <v>9999</v>
      </c>
      <c r="P918">
        <v>123</v>
      </c>
      <c r="Q918">
        <v>2630.7018346069913</v>
      </c>
    </row>
    <row r="919" spans="1:17" x14ac:dyDescent="0.3">
      <c r="A919">
        <v>549679</v>
      </c>
      <c r="B919" s="1" t="s">
        <v>39</v>
      </c>
      <c r="C919" s="1" t="s">
        <v>16</v>
      </c>
      <c r="D919" s="1" t="s">
        <v>24</v>
      </c>
      <c r="E919" s="1" t="s">
        <v>25</v>
      </c>
      <c r="F919" s="1" t="s">
        <v>29</v>
      </c>
      <c r="G919" s="1" t="s">
        <v>20</v>
      </c>
      <c r="H919" t="s">
        <v>30</v>
      </c>
      <c r="I919" s="1" t="s">
        <v>22</v>
      </c>
      <c r="J919" s="2">
        <v>43528.25099537037</v>
      </c>
      <c r="K919" s="2">
        <v>43532.25099537037</v>
      </c>
      <c r="L919" s="2">
        <v>43531.25099537037</v>
      </c>
      <c r="M919" s="1">
        <f>_xlfn.DAYS(Table1[[#This Row],[actual_delivery_date]],Table1[[#This Row],[dispatch_date]])</f>
        <v>4</v>
      </c>
      <c r="N919">
        <v>31</v>
      </c>
      <c r="O919">
        <f>Table1[[#This Row],[transit_storage_cost]] * (1-'What -if Analysis'!$D$26)</f>
        <v>31</v>
      </c>
      <c r="P919">
        <v>124</v>
      </c>
      <c r="Q919">
        <v>1153.8531333617982</v>
      </c>
    </row>
    <row r="920" spans="1:17" x14ac:dyDescent="0.3">
      <c r="A920">
        <v>518458</v>
      </c>
      <c r="B920" s="1" t="s">
        <v>38</v>
      </c>
      <c r="C920" s="1" t="s">
        <v>16</v>
      </c>
      <c r="D920" s="1" t="s">
        <v>24</v>
      </c>
      <c r="E920" s="1" t="s">
        <v>25</v>
      </c>
      <c r="F920" s="1" t="s">
        <v>19</v>
      </c>
      <c r="G920" s="1" t="s">
        <v>20</v>
      </c>
      <c r="H920" t="s">
        <v>21</v>
      </c>
      <c r="I920" s="1" t="s">
        <v>22</v>
      </c>
      <c r="J920" s="2">
        <v>43526.254502314812</v>
      </c>
      <c r="K920" s="2">
        <v>43532.254502314812</v>
      </c>
      <c r="L920" s="2">
        <v>43532.254502314812</v>
      </c>
      <c r="M920" s="1">
        <f>_xlfn.DAYS(Table1[[#This Row],[actual_delivery_date]],Table1[[#This Row],[dispatch_date]])</f>
        <v>6</v>
      </c>
      <c r="N920">
        <v>74</v>
      </c>
      <c r="O920">
        <f>Table1[[#This Row],[transit_storage_cost]] * (1-'What -if Analysis'!$D$26)</f>
        <v>74</v>
      </c>
      <c r="P920">
        <v>103</v>
      </c>
      <c r="Q920">
        <v>2729.4218893373072</v>
      </c>
    </row>
    <row r="921" spans="1:17" x14ac:dyDescent="0.3">
      <c r="A921">
        <v>59176</v>
      </c>
      <c r="B921" s="1" t="s">
        <v>37</v>
      </c>
      <c r="C921" s="1" t="s">
        <v>23</v>
      </c>
      <c r="D921" s="1" t="s">
        <v>17</v>
      </c>
      <c r="E921" s="1" t="s">
        <v>18</v>
      </c>
      <c r="F921" s="1" t="s">
        <v>19</v>
      </c>
      <c r="G921" s="1" t="s">
        <v>20</v>
      </c>
      <c r="H921" t="s">
        <v>21</v>
      </c>
      <c r="I921" s="1" t="s">
        <v>22</v>
      </c>
      <c r="J921" s="2">
        <v>43530.262824074074</v>
      </c>
      <c r="K921" s="2">
        <v>43532.262824074074</v>
      </c>
      <c r="L921" s="2">
        <v>43535.262824074074</v>
      </c>
      <c r="M921" s="1">
        <f>_xlfn.DAYS(Table1[[#This Row],[actual_delivery_date]],Table1[[#This Row],[dispatch_date]])</f>
        <v>2</v>
      </c>
      <c r="N921">
        <v>80</v>
      </c>
      <c r="O921">
        <f>Table1[[#This Row],[transit_storage_cost]] * (1-'What -if Analysis'!$D$26)</f>
        <v>80</v>
      </c>
      <c r="P921">
        <v>86</v>
      </c>
      <c r="Q921">
        <v>713.27020771119896</v>
      </c>
    </row>
    <row r="922" spans="1:17" x14ac:dyDescent="0.3">
      <c r="A922">
        <v>149121</v>
      </c>
      <c r="B922" s="1" t="s">
        <v>37</v>
      </c>
      <c r="C922" s="1" t="s">
        <v>16</v>
      </c>
      <c r="D922" s="1" t="s">
        <v>16</v>
      </c>
      <c r="E922" s="1" t="s">
        <v>27</v>
      </c>
      <c r="F922" s="1" t="s">
        <v>19</v>
      </c>
      <c r="G922" s="1" t="s">
        <v>20</v>
      </c>
      <c r="H922" t="s">
        <v>34</v>
      </c>
      <c r="I922" s="1" t="s">
        <v>26</v>
      </c>
      <c r="J922" s="2">
        <v>43531.268622685187</v>
      </c>
      <c r="K922" s="2">
        <v>43532.268622685187</v>
      </c>
      <c r="L922" s="2">
        <v>43537.268622685187</v>
      </c>
      <c r="M922" s="1">
        <f>_xlfn.DAYS(Table1[[#This Row],[actual_delivery_date]],Table1[[#This Row],[dispatch_date]])</f>
        <v>1</v>
      </c>
      <c r="N922">
        <v>0</v>
      </c>
      <c r="O922">
        <f>Table1[[#This Row],[transit_storage_cost]] * (1-'What -if Analysis'!$D$26)</f>
        <v>0</v>
      </c>
      <c r="P922">
        <v>109</v>
      </c>
      <c r="Q922">
        <v>3107</v>
      </c>
    </row>
    <row r="923" spans="1:17" x14ac:dyDescent="0.3">
      <c r="A923">
        <v>894322</v>
      </c>
      <c r="B923" s="1" t="s">
        <v>37</v>
      </c>
      <c r="C923" s="1" t="s">
        <v>16</v>
      </c>
      <c r="D923" s="1" t="s">
        <v>32</v>
      </c>
      <c r="E923" s="1" t="s">
        <v>33</v>
      </c>
      <c r="F923" s="1" t="s">
        <v>31</v>
      </c>
      <c r="G923" s="1" t="s">
        <v>20</v>
      </c>
      <c r="H923" t="s">
        <v>21</v>
      </c>
      <c r="I923" s="1" t="s">
        <v>22</v>
      </c>
      <c r="J923" s="2">
        <v>43530.269432870373</v>
      </c>
      <c r="K923" s="2">
        <v>43532.269432870373</v>
      </c>
      <c r="L923" s="2">
        <v>43533.269432870373</v>
      </c>
      <c r="M923" s="1">
        <f>_xlfn.DAYS(Table1[[#This Row],[actual_delivery_date]],Table1[[#This Row],[dispatch_date]])</f>
        <v>2</v>
      </c>
      <c r="N923">
        <v>35</v>
      </c>
      <c r="O923">
        <f>Table1[[#This Row],[transit_storage_cost]] * (1-'What -if Analysis'!$D$26)</f>
        <v>35</v>
      </c>
      <c r="P923">
        <v>108</v>
      </c>
      <c r="Q923">
        <v>1848</v>
      </c>
    </row>
    <row r="924" spans="1:17" x14ac:dyDescent="0.3">
      <c r="A924">
        <v>287340</v>
      </c>
      <c r="B924" s="1" t="s">
        <v>38</v>
      </c>
      <c r="C924" s="1" t="s">
        <v>16</v>
      </c>
      <c r="D924" s="1" t="s">
        <v>23</v>
      </c>
      <c r="E924" s="1" t="s">
        <v>28</v>
      </c>
      <c r="F924" s="1" t="s">
        <v>19</v>
      </c>
      <c r="G924" s="1" t="s">
        <v>20</v>
      </c>
      <c r="H924" t="s">
        <v>21</v>
      </c>
      <c r="I924" s="1" t="s">
        <v>26</v>
      </c>
      <c r="J924" s="2">
        <v>43530.271863425929</v>
      </c>
      <c r="K924" s="2">
        <v>43532.271863425929</v>
      </c>
      <c r="L924" s="2">
        <v>43535.271863425929</v>
      </c>
      <c r="M924" s="1">
        <f>_xlfn.DAYS(Table1[[#This Row],[actual_delivery_date]],Table1[[#This Row],[dispatch_date]])</f>
        <v>2</v>
      </c>
      <c r="N924">
        <v>37</v>
      </c>
      <c r="O924">
        <f>Table1[[#This Row],[transit_storage_cost]] * (1-'What -if Analysis'!$D$26)</f>
        <v>37</v>
      </c>
      <c r="P924">
        <v>130</v>
      </c>
      <c r="Q924">
        <v>578.28116303680929</v>
      </c>
    </row>
    <row r="925" spans="1:17" x14ac:dyDescent="0.3">
      <c r="A925">
        <v>319351</v>
      </c>
      <c r="B925" s="1" t="s">
        <v>40</v>
      </c>
      <c r="C925" s="1" t="s">
        <v>16</v>
      </c>
      <c r="D925" s="1" t="s">
        <v>17</v>
      </c>
      <c r="E925" s="1" t="s">
        <v>18</v>
      </c>
      <c r="F925" s="1" t="s">
        <v>19</v>
      </c>
      <c r="G925" s="1" t="s">
        <v>20</v>
      </c>
      <c r="H925" t="s">
        <v>30</v>
      </c>
      <c r="I925" s="1" t="s">
        <v>22</v>
      </c>
      <c r="J925" s="2">
        <v>43530.277916666666</v>
      </c>
      <c r="K925" s="2">
        <v>43532.277916666666</v>
      </c>
      <c r="L925" s="2">
        <v>43533.277916666666</v>
      </c>
      <c r="M925" s="1">
        <f>_xlfn.DAYS(Table1[[#This Row],[actual_delivery_date]],Table1[[#This Row],[dispatch_date]])</f>
        <v>2</v>
      </c>
      <c r="N925">
        <v>81</v>
      </c>
      <c r="O925">
        <f>Table1[[#This Row],[transit_storage_cost]] * (1-'What -if Analysis'!$D$26)</f>
        <v>81</v>
      </c>
      <c r="P925">
        <v>93</v>
      </c>
      <c r="Q925">
        <v>1185.2103279503694</v>
      </c>
    </row>
    <row r="926" spans="1:17" x14ac:dyDescent="0.3">
      <c r="A926">
        <v>197754</v>
      </c>
      <c r="B926" s="1" t="s">
        <v>37</v>
      </c>
      <c r="C926" s="1" t="s">
        <v>16</v>
      </c>
      <c r="D926" s="1" t="s">
        <v>16</v>
      </c>
      <c r="E926" s="1" t="s">
        <v>27</v>
      </c>
      <c r="F926" s="1" t="s">
        <v>31</v>
      </c>
      <c r="G926" s="1" t="s">
        <v>36</v>
      </c>
      <c r="H926" t="s">
        <v>21</v>
      </c>
      <c r="I926" s="1" t="s">
        <v>26</v>
      </c>
      <c r="J926" s="2">
        <v>43530.284675925926</v>
      </c>
      <c r="K926" s="2">
        <v>43532.284675925926</v>
      </c>
      <c r="L926" s="2">
        <v>43536.284675925926</v>
      </c>
      <c r="M926" s="1">
        <f>_xlfn.DAYS(Table1[[#This Row],[actual_delivery_date]],Table1[[#This Row],[dispatch_date]])</f>
        <v>2</v>
      </c>
      <c r="N926">
        <v>0</v>
      </c>
      <c r="O926">
        <f>Table1[[#This Row],[transit_storage_cost]] * (1-'What -if Analysis'!$D$26)</f>
        <v>0</v>
      </c>
      <c r="P926">
        <v>126</v>
      </c>
      <c r="Q926">
        <v>2723.1482181703791</v>
      </c>
    </row>
    <row r="927" spans="1:17" x14ac:dyDescent="0.3">
      <c r="A927">
        <v>441999</v>
      </c>
      <c r="B927" s="1" t="s">
        <v>37</v>
      </c>
      <c r="C927" s="1" t="s">
        <v>23</v>
      </c>
      <c r="D927" s="1" t="s">
        <v>24</v>
      </c>
      <c r="E927" s="1" t="s">
        <v>25</v>
      </c>
      <c r="F927" s="1" t="s">
        <v>19</v>
      </c>
      <c r="G927" s="1" t="s">
        <v>20</v>
      </c>
      <c r="H927" t="s">
        <v>30</v>
      </c>
      <c r="I927" s="1" t="s">
        <v>26</v>
      </c>
      <c r="J927" s="2">
        <v>43528.285937499997</v>
      </c>
      <c r="K927" s="2">
        <v>43532.285937499997</v>
      </c>
      <c r="L927" s="2">
        <v>43534.285937499997</v>
      </c>
      <c r="M927" s="1">
        <f>_xlfn.DAYS(Table1[[#This Row],[actual_delivery_date]],Table1[[#This Row],[dispatch_date]])</f>
        <v>4</v>
      </c>
      <c r="N927">
        <v>0</v>
      </c>
      <c r="O927">
        <f>Table1[[#This Row],[transit_storage_cost]] * (1-'What -if Analysis'!$D$26)</f>
        <v>0</v>
      </c>
      <c r="P927">
        <v>105</v>
      </c>
      <c r="Q927">
        <v>2525.36</v>
      </c>
    </row>
    <row r="928" spans="1:17" x14ac:dyDescent="0.3">
      <c r="A928">
        <v>17581</v>
      </c>
      <c r="B928" s="1" t="s">
        <v>37</v>
      </c>
      <c r="C928" s="1" t="s">
        <v>16</v>
      </c>
      <c r="D928" s="1" t="s">
        <v>17</v>
      </c>
      <c r="E928" s="1" t="s">
        <v>18</v>
      </c>
      <c r="F928" s="1" t="s">
        <v>19</v>
      </c>
      <c r="G928" s="1" t="s">
        <v>20</v>
      </c>
      <c r="H928" t="s">
        <v>30</v>
      </c>
      <c r="I928" s="1" t="s">
        <v>22</v>
      </c>
      <c r="J928" s="2">
        <v>43526.287546296298</v>
      </c>
      <c r="K928" s="2">
        <v>43532.287546296298</v>
      </c>
      <c r="L928" s="2">
        <v>43530.287546296298</v>
      </c>
      <c r="M928" s="1">
        <f>_xlfn.DAYS(Table1[[#This Row],[actual_delivery_date]],Table1[[#This Row],[dispatch_date]])</f>
        <v>6</v>
      </c>
      <c r="N928">
        <v>84</v>
      </c>
      <c r="O928">
        <f>Table1[[#This Row],[transit_storage_cost]] * (1-'What -if Analysis'!$D$26)</f>
        <v>84</v>
      </c>
      <c r="P928">
        <v>87</v>
      </c>
      <c r="Q928">
        <v>1300.6101540994032</v>
      </c>
    </row>
    <row r="929" spans="1:17" x14ac:dyDescent="0.3">
      <c r="A929">
        <v>408672</v>
      </c>
      <c r="B929" s="1" t="s">
        <v>38</v>
      </c>
      <c r="C929" s="1" t="s">
        <v>16</v>
      </c>
      <c r="D929" s="1" t="s">
        <v>16</v>
      </c>
      <c r="E929" s="1" t="s">
        <v>27</v>
      </c>
      <c r="F929" s="1" t="s">
        <v>19</v>
      </c>
      <c r="G929" s="1" t="s">
        <v>20</v>
      </c>
      <c r="H929" t="s">
        <v>21</v>
      </c>
      <c r="I929" s="1" t="s">
        <v>26</v>
      </c>
      <c r="J929" s="2">
        <v>43528.289780092593</v>
      </c>
      <c r="K929" s="2">
        <v>43532.289780092593</v>
      </c>
      <c r="L929" s="2">
        <v>43535.289780092593</v>
      </c>
      <c r="M929" s="1">
        <f>_xlfn.DAYS(Table1[[#This Row],[actual_delivery_date]],Table1[[#This Row],[dispatch_date]])</f>
        <v>4</v>
      </c>
      <c r="N929">
        <v>0</v>
      </c>
      <c r="O929">
        <f>Table1[[#This Row],[transit_storage_cost]] * (1-'What -if Analysis'!$D$26)</f>
        <v>0</v>
      </c>
      <c r="P929">
        <v>106</v>
      </c>
      <c r="Q929">
        <v>983.57</v>
      </c>
    </row>
    <row r="930" spans="1:17" x14ac:dyDescent="0.3">
      <c r="A930">
        <v>32426</v>
      </c>
      <c r="B930" s="1" t="s">
        <v>37</v>
      </c>
      <c r="C930" s="1" t="s">
        <v>23</v>
      </c>
      <c r="D930" s="1" t="s">
        <v>16</v>
      </c>
      <c r="E930" s="1" t="s">
        <v>27</v>
      </c>
      <c r="F930" s="1" t="s">
        <v>31</v>
      </c>
      <c r="G930" s="1" t="s">
        <v>20</v>
      </c>
      <c r="H930" t="s">
        <v>21</v>
      </c>
      <c r="I930" s="1" t="s">
        <v>22</v>
      </c>
      <c r="J930" s="2">
        <v>43528.290486111109</v>
      </c>
      <c r="K930" s="2">
        <v>43532.290486111109</v>
      </c>
      <c r="L930" s="2">
        <v>43534.290486111109</v>
      </c>
      <c r="M930" s="1">
        <f>_xlfn.DAYS(Table1[[#This Row],[actual_delivery_date]],Table1[[#This Row],[dispatch_date]])</f>
        <v>4</v>
      </c>
      <c r="N930">
        <v>26</v>
      </c>
      <c r="O930">
        <f>Table1[[#This Row],[transit_storage_cost]] * (1-'What -if Analysis'!$D$26)</f>
        <v>26</v>
      </c>
      <c r="P930">
        <v>126</v>
      </c>
      <c r="Q930">
        <v>2660.3512460631155</v>
      </c>
    </row>
    <row r="931" spans="1:17" x14ac:dyDescent="0.3">
      <c r="A931">
        <v>881394</v>
      </c>
      <c r="B931" s="1" t="s">
        <v>38</v>
      </c>
      <c r="C931" s="1" t="s">
        <v>16</v>
      </c>
      <c r="D931" s="1" t="s">
        <v>23</v>
      </c>
      <c r="E931" s="1" t="s">
        <v>28</v>
      </c>
      <c r="F931" s="1" t="s">
        <v>31</v>
      </c>
      <c r="G931" s="1" t="s">
        <v>20</v>
      </c>
      <c r="H931" t="s">
        <v>21</v>
      </c>
      <c r="I931" s="1" t="s">
        <v>26</v>
      </c>
      <c r="J931" s="2">
        <v>43526.293773148151</v>
      </c>
      <c r="K931" s="2">
        <v>43532.293773148151</v>
      </c>
      <c r="L931" s="2">
        <v>43532.293773148151</v>
      </c>
      <c r="M931" s="1">
        <f>_xlfn.DAYS(Table1[[#This Row],[actual_delivery_date]],Table1[[#This Row],[dispatch_date]])</f>
        <v>6</v>
      </c>
      <c r="N931">
        <v>47</v>
      </c>
      <c r="O931">
        <f>Table1[[#This Row],[transit_storage_cost]] * (1-'What -if Analysis'!$D$26)</f>
        <v>47</v>
      </c>
      <c r="P931">
        <v>124</v>
      </c>
      <c r="Q931">
        <v>2000.62</v>
      </c>
    </row>
    <row r="932" spans="1:17" x14ac:dyDescent="0.3">
      <c r="A932">
        <v>368617</v>
      </c>
      <c r="B932" s="1" t="s">
        <v>39</v>
      </c>
      <c r="C932" s="1" t="s">
        <v>23</v>
      </c>
      <c r="D932" s="1" t="s">
        <v>17</v>
      </c>
      <c r="E932" s="1" t="s">
        <v>18</v>
      </c>
      <c r="F932" s="1" t="s">
        <v>29</v>
      </c>
      <c r="G932" s="1" t="s">
        <v>20</v>
      </c>
      <c r="H932" t="s">
        <v>30</v>
      </c>
      <c r="I932" s="1" t="s">
        <v>22</v>
      </c>
      <c r="J932" s="2">
        <v>43526.296840277777</v>
      </c>
      <c r="K932" s="2">
        <v>43532.296840277777</v>
      </c>
      <c r="L932" s="2">
        <v>43532.296840277777</v>
      </c>
      <c r="M932" s="1">
        <f>_xlfn.DAYS(Table1[[#This Row],[actual_delivery_date]],Table1[[#This Row],[dispatch_date]])</f>
        <v>6</v>
      </c>
      <c r="N932">
        <v>35</v>
      </c>
      <c r="O932">
        <f>Table1[[#This Row],[transit_storage_cost]] * (1-'What -if Analysis'!$D$26)</f>
        <v>35</v>
      </c>
      <c r="P932">
        <v>115</v>
      </c>
      <c r="Q932">
        <v>1907.6573322609081</v>
      </c>
    </row>
    <row r="933" spans="1:17" x14ac:dyDescent="0.3">
      <c r="A933">
        <v>171977</v>
      </c>
      <c r="B933" s="1" t="s">
        <v>38</v>
      </c>
      <c r="C933" s="1" t="s">
        <v>16</v>
      </c>
      <c r="D933" s="1" t="s">
        <v>32</v>
      </c>
      <c r="E933" s="1" t="s">
        <v>33</v>
      </c>
      <c r="F933" s="1" t="s">
        <v>19</v>
      </c>
      <c r="G933" s="1" t="s">
        <v>20</v>
      </c>
      <c r="H933" t="s">
        <v>30</v>
      </c>
      <c r="I933" s="1" t="s">
        <v>22</v>
      </c>
      <c r="J933" s="2">
        <v>43527.312372685185</v>
      </c>
      <c r="K933" s="2">
        <v>43532.312372685185</v>
      </c>
      <c r="L933" s="2">
        <v>43530.312372685185</v>
      </c>
      <c r="M933" s="1">
        <f>_xlfn.DAYS(Table1[[#This Row],[actual_delivery_date]],Table1[[#This Row],[dispatch_date]])</f>
        <v>5</v>
      </c>
      <c r="N933">
        <v>79</v>
      </c>
      <c r="O933">
        <f>Table1[[#This Row],[transit_storage_cost]] * (1-'What -if Analysis'!$D$26)</f>
        <v>79</v>
      </c>
      <c r="P933">
        <v>95</v>
      </c>
      <c r="Q933">
        <v>3114.9570555178939</v>
      </c>
    </row>
    <row r="934" spans="1:17" x14ac:dyDescent="0.3">
      <c r="A934">
        <v>454739</v>
      </c>
      <c r="B934" s="1" t="s">
        <v>39</v>
      </c>
      <c r="C934" s="1" t="s">
        <v>23</v>
      </c>
      <c r="D934" s="1" t="s">
        <v>16</v>
      </c>
      <c r="E934" s="1" t="s">
        <v>27</v>
      </c>
      <c r="F934" s="1" t="s">
        <v>29</v>
      </c>
      <c r="G934" s="1" t="s">
        <v>20</v>
      </c>
      <c r="H934" t="s">
        <v>30</v>
      </c>
      <c r="I934" s="1" t="s">
        <v>22</v>
      </c>
      <c r="J934" s="2">
        <v>43528.3125</v>
      </c>
      <c r="K934" s="2">
        <v>43532.3125</v>
      </c>
      <c r="L934" s="2">
        <v>43531.3125</v>
      </c>
      <c r="M934" s="1">
        <f>_xlfn.DAYS(Table1[[#This Row],[actual_delivery_date]],Table1[[#This Row],[dispatch_date]])</f>
        <v>4</v>
      </c>
      <c r="N934">
        <v>35</v>
      </c>
      <c r="O934">
        <f>Table1[[#This Row],[transit_storage_cost]] * (1-'What -if Analysis'!$D$26)</f>
        <v>35</v>
      </c>
      <c r="P934">
        <v>125</v>
      </c>
      <c r="Q934">
        <v>1804.7607267517369</v>
      </c>
    </row>
    <row r="935" spans="1:17" x14ac:dyDescent="0.3">
      <c r="A935">
        <v>543275</v>
      </c>
      <c r="B935" s="1" t="s">
        <v>41</v>
      </c>
      <c r="C935" s="1" t="s">
        <v>16</v>
      </c>
      <c r="D935" s="1" t="s">
        <v>17</v>
      </c>
      <c r="E935" s="1" t="s">
        <v>18</v>
      </c>
      <c r="F935" s="1" t="s">
        <v>35</v>
      </c>
      <c r="G935" s="1" t="s">
        <v>20</v>
      </c>
      <c r="H935" t="s">
        <v>30</v>
      </c>
      <c r="I935" s="1" t="s">
        <v>22</v>
      </c>
      <c r="J935" s="2">
        <v>43530.317824074074</v>
      </c>
      <c r="K935" s="2">
        <v>43532.317824074074</v>
      </c>
      <c r="L935" s="2">
        <v>43536.317824074074</v>
      </c>
      <c r="M935" s="1">
        <f>_xlfn.DAYS(Table1[[#This Row],[actual_delivery_date]],Table1[[#This Row],[dispatch_date]])</f>
        <v>2</v>
      </c>
      <c r="N935">
        <v>49</v>
      </c>
      <c r="O935">
        <f>Table1[[#This Row],[transit_storage_cost]] * (1-'What -if Analysis'!$D$26)</f>
        <v>49</v>
      </c>
      <c r="P935">
        <v>111</v>
      </c>
      <c r="Q935">
        <v>2312.7450152939018</v>
      </c>
    </row>
    <row r="936" spans="1:17" x14ac:dyDescent="0.3">
      <c r="A936">
        <v>58385</v>
      </c>
      <c r="B936" s="1" t="s">
        <v>40</v>
      </c>
      <c r="C936" s="1" t="s">
        <v>16</v>
      </c>
      <c r="D936" s="1" t="s">
        <v>24</v>
      </c>
      <c r="E936" s="1" t="s">
        <v>25</v>
      </c>
      <c r="F936" s="1" t="s">
        <v>29</v>
      </c>
      <c r="G936" s="1" t="s">
        <v>20</v>
      </c>
      <c r="H936" t="s">
        <v>30</v>
      </c>
      <c r="I936" s="1" t="s">
        <v>22</v>
      </c>
      <c r="J936" s="2">
        <v>43526.32099537037</v>
      </c>
      <c r="K936" s="2">
        <v>43532.32099537037</v>
      </c>
      <c r="L936" s="2">
        <v>43531.32099537037</v>
      </c>
      <c r="M936" s="1">
        <f>_xlfn.DAYS(Table1[[#This Row],[actual_delivery_date]],Table1[[#This Row],[dispatch_date]])</f>
        <v>6</v>
      </c>
      <c r="N936">
        <v>40</v>
      </c>
      <c r="O936">
        <f>Table1[[#This Row],[transit_storage_cost]] * (1-'What -if Analysis'!$D$26)</f>
        <v>40</v>
      </c>
      <c r="P936">
        <v>123</v>
      </c>
      <c r="Q936">
        <v>3002.883586180028</v>
      </c>
    </row>
    <row r="937" spans="1:17" x14ac:dyDescent="0.3">
      <c r="A937">
        <v>458152</v>
      </c>
      <c r="B937" s="1" t="s">
        <v>39</v>
      </c>
      <c r="C937" s="1" t="s">
        <v>16</v>
      </c>
      <c r="D937" s="1" t="s">
        <v>24</v>
      </c>
      <c r="E937" s="1" t="s">
        <v>25</v>
      </c>
      <c r="F937" s="1" t="s">
        <v>19</v>
      </c>
      <c r="G937" s="1" t="s">
        <v>20</v>
      </c>
      <c r="H937" t="s">
        <v>21</v>
      </c>
      <c r="I937" s="1" t="s">
        <v>22</v>
      </c>
      <c r="J937" s="2">
        <v>43525.325914351852</v>
      </c>
      <c r="K937" s="2">
        <v>43532.325914351852</v>
      </c>
      <c r="L937" s="2">
        <v>43531.325914351852</v>
      </c>
      <c r="M937" s="1">
        <f>_xlfn.DAYS(Table1[[#This Row],[actual_delivery_date]],Table1[[#This Row],[dispatch_date]])</f>
        <v>7</v>
      </c>
      <c r="N937">
        <v>41</v>
      </c>
      <c r="O937">
        <f>Table1[[#This Row],[transit_storage_cost]] * (1-'What -if Analysis'!$D$26)</f>
        <v>41</v>
      </c>
      <c r="P937">
        <v>127</v>
      </c>
      <c r="Q937">
        <v>3365.0038192260467</v>
      </c>
    </row>
    <row r="938" spans="1:17" x14ac:dyDescent="0.3">
      <c r="A938">
        <v>904751</v>
      </c>
      <c r="B938" s="1" t="s">
        <v>37</v>
      </c>
      <c r="C938" s="1" t="s">
        <v>23</v>
      </c>
      <c r="D938" s="1" t="s">
        <v>32</v>
      </c>
      <c r="E938" s="1" t="s">
        <v>33</v>
      </c>
      <c r="F938" s="1" t="s">
        <v>19</v>
      </c>
      <c r="G938" s="1" t="s">
        <v>20</v>
      </c>
      <c r="H938" t="s">
        <v>30</v>
      </c>
      <c r="I938" s="1" t="s">
        <v>22</v>
      </c>
      <c r="J938" s="2">
        <v>43527.326562499999</v>
      </c>
      <c r="K938" s="2">
        <v>43532.326562499999</v>
      </c>
      <c r="L938" s="2">
        <v>43533.326562499999</v>
      </c>
      <c r="M938" s="1">
        <f>_xlfn.DAYS(Table1[[#This Row],[actual_delivery_date]],Table1[[#This Row],[dispatch_date]])</f>
        <v>5</v>
      </c>
      <c r="N938">
        <v>65</v>
      </c>
      <c r="O938">
        <f>Table1[[#This Row],[transit_storage_cost]] * (1-'What -if Analysis'!$D$26)</f>
        <v>65</v>
      </c>
      <c r="P938">
        <v>89</v>
      </c>
      <c r="Q938">
        <v>1011.3207228046712</v>
      </c>
    </row>
    <row r="939" spans="1:17" x14ac:dyDescent="0.3">
      <c r="A939">
        <v>127447</v>
      </c>
      <c r="B939" s="1" t="s">
        <v>40</v>
      </c>
      <c r="C939" s="1" t="s">
        <v>16</v>
      </c>
      <c r="D939" s="1" t="s">
        <v>16</v>
      </c>
      <c r="E939" s="1" t="s">
        <v>27</v>
      </c>
      <c r="F939" s="1" t="s">
        <v>29</v>
      </c>
      <c r="G939" s="1" t="s">
        <v>20</v>
      </c>
      <c r="H939" t="s">
        <v>30</v>
      </c>
      <c r="I939" s="1" t="s">
        <v>22</v>
      </c>
      <c r="J939" s="2">
        <v>43530.336435185185</v>
      </c>
      <c r="K939" s="2">
        <v>43532.336435185185</v>
      </c>
      <c r="L939" s="2">
        <v>43537.336435185185</v>
      </c>
      <c r="M939" s="1">
        <f>_xlfn.DAYS(Table1[[#This Row],[actual_delivery_date]],Table1[[#This Row],[dispatch_date]])</f>
        <v>2</v>
      </c>
      <c r="N939">
        <v>0</v>
      </c>
      <c r="O939">
        <f>Table1[[#This Row],[transit_storage_cost]] * (1-'What -if Analysis'!$D$26)</f>
        <v>0</v>
      </c>
      <c r="P939">
        <v>128</v>
      </c>
      <c r="Q939">
        <v>1440.3299788641705</v>
      </c>
    </row>
    <row r="940" spans="1:17" x14ac:dyDescent="0.3">
      <c r="A940">
        <v>143957</v>
      </c>
      <c r="B940" s="1" t="s">
        <v>39</v>
      </c>
      <c r="C940" s="1" t="s">
        <v>16</v>
      </c>
      <c r="D940" s="1" t="s">
        <v>16</v>
      </c>
      <c r="E940" s="1" t="s">
        <v>27</v>
      </c>
      <c r="F940" s="1" t="s">
        <v>29</v>
      </c>
      <c r="G940" s="1" t="s">
        <v>20</v>
      </c>
      <c r="H940" t="s">
        <v>30</v>
      </c>
      <c r="I940" s="1" t="s">
        <v>22</v>
      </c>
      <c r="J940" s="2">
        <v>43526.339571759258</v>
      </c>
      <c r="K940" s="2">
        <v>43532.339571759258</v>
      </c>
      <c r="L940" s="2">
        <v>43529.339571759258</v>
      </c>
      <c r="M940" s="1">
        <f>_xlfn.DAYS(Table1[[#This Row],[actual_delivery_date]],Table1[[#This Row],[dispatch_date]])</f>
        <v>6</v>
      </c>
      <c r="N940">
        <v>0</v>
      </c>
      <c r="O940">
        <f>Table1[[#This Row],[transit_storage_cost]] * (1-'What -if Analysis'!$D$26)</f>
        <v>0</v>
      </c>
      <c r="P940">
        <v>124</v>
      </c>
      <c r="Q940">
        <v>2165.7016042809855</v>
      </c>
    </row>
    <row r="941" spans="1:17" x14ac:dyDescent="0.3">
      <c r="A941">
        <v>453223</v>
      </c>
      <c r="B941" s="1" t="s">
        <v>41</v>
      </c>
      <c r="C941" s="1" t="s">
        <v>16</v>
      </c>
      <c r="D941" s="1" t="s">
        <v>32</v>
      </c>
      <c r="E941" s="1" t="s">
        <v>33</v>
      </c>
      <c r="F941" s="1" t="s">
        <v>29</v>
      </c>
      <c r="G941" s="1" t="s">
        <v>20</v>
      </c>
      <c r="H941" t="s">
        <v>30</v>
      </c>
      <c r="I941" s="1" t="s">
        <v>22</v>
      </c>
      <c r="J941" s="2">
        <v>43527.344907407409</v>
      </c>
      <c r="K941" s="2">
        <v>43532.344907407409</v>
      </c>
      <c r="L941" s="2">
        <v>43532.344907407409</v>
      </c>
      <c r="M941" s="1">
        <f>_xlfn.DAYS(Table1[[#This Row],[actual_delivery_date]],Table1[[#This Row],[dispatch_date]])</f>
        <v>5</v>
      </c>
      <c r="N941">
        <v>40</v>
      </c>
      <c r="O941">
        <f>Table1[[#This Row],[transit_storage_cost]] * (1-'What -if Analysis'!$D$26)</f>
        <v>40</v>
      </c>
      <c r="P941">
        <v>106</v>
      </c>
      <c r="Q941">
        <v>3325.0128556093623</v>
      </c>
    </row>
    <row r="942" spans="1:17" x14ac:dyDescent="0.3">
      <c r="A942">
        <v>125497</v>
      </c>
      <c r="B942" s="1" t="s">
        <v>39</v>
      </c>
      <c r="C942" s="1" t="s">
        <v>23</v>
      </c>
      <c r="D942" s="1" t="s">
        <v>16</v>
      </c>
      <c r="E942" s="1" t="s">
        <v>27</v>
      </c>
      <c r="F942" s="1" t="s">
        <v>29</v>
      </c>
      <c r="G942" s="1" t="s">
        <v>20</v>
      </c>
      <c r="H942" t="s">
        <v>30</v>
      </c>
      <c r="I942" s="1" t="s">
        <v>22</v>
      </c>
      <c r="J942" s="2">
        <v>43525.345370370371</v>
      </c>
      <c r="K942" s="2">
        <v>43532.345370370371</v>
      </c>
      <c r="L942" s="2">
        <v>43528.345370370371</v>
      </c>
      <c r="M942" s="1">
        <f>_xlfn.DAYS(Table1[[#This Row],[actual_delivery_date]],Table1[[#This Row],[dispatch_date]])</f>
        <v>7</v>
      </c>
      <c r="N942">
        <v>27</v>
      </c>
      <c r="O942">
        <f>Table1[[#This Row],[transit_storage_cost]] * (1-'What -if Analysis'!$D$26)</f>
        <v>27</v>
      </c>
      <c r="P942">
        <v>125</v>
      </c>
      <c r="Q942">
        <v>787.72128790219426</v>
      </c>
    </row>
    <row r="943" spans="1:17" x14ac:dyDescent="0.3">
      <c r="A943">
        <v>64570</v>
      </c>
      <c r="B943" s="1" t="s">
        <v>37</v>
      </c>
      <c r="C943" s="1" t="s">
        <v>23</v>
      </c>
      <c r="D943" s="1" t="s">
        <v>23</v>
      </c>
      <c r="E943" s="1" t="s">
        <v>28</v>
      </c>
      <c r="F943" s="1" t="s">
        <v>19</v>
      </c>
      <c r="G943" s="1" t="s">
        <v>20</v>
      </c>
      <c r="H943" t="s">
        <v>21</v>
      </c>
      <c r="I943" s="1" t="s">
        <v>22</v>
      </c>
      <c r="J943" s="2">
        <v>43528.348495370374</v>
      </c>
      <c r="K943" s="2">
        <v>43532.348495370374</v>
      </c>
      <c r="L943" s="2">
        <v>43534.348495370374</v>
      </c>
      <c r="M943" s="1">
        <f>_xlfn.DAYS(Table1[[#This Row],[actual_delivery_date]],Table1[[#This Row],[dispatch_date]])</f>
        <v>4</v>
      </c>
      <c r="N943">
        <v>0</v>
      </c>
      <c r="O943">
        <f>Table1[[#This Row],[transit_storage_cost]] * (1-'What -if Analysis'!$D$26)</f>
        <v>0</v>
      </c>
      <c r="P943">
        <v>103</v>
      </c>
      <c r="Q943">
        <v>1762.6990237282596</v>
      </c>
    </row>
    <row r="944" spans="1:17" x14ac:dyDescent="0.3">
      <c r="A944">
        <v>854355</v>
      </c>
      <c r="B944" s="1" t="s">
        <v>38</v>
      </c>
      <c r="C944" s="1" t="s">
        <v>16</v>
      </c>
      <c r="D944" s="1" t="s">
        <v>23</v>
      </c>
      <c r="E944" s="1" t="s">
        <v>28</v>
      </c>
      <c r="F944" s="1" t="s">
        <v>19</v>
      </c>
      <c r="G944" s="1" t="s">
        <v>20</v>
      </c>
      <c r="H944" t="s">
        <v>30</v>
      </c>
      <c r="I944" s="1" t="s">
        <v>26</v>
      </c>
      <c r="J944" s="2">
        <v>43530.348587962966</v>
      </c>
      <c r="K944" s="2">
        <v>43532.348587962966</v>
      </c>
      <c r="L944" s="2">
        <v>43537.348587962966</v>
      </c>
      <c r="M944" s="1">
        <f>_xlfn.DAYS(Table1[[#This Row],[actual_delivery_date]],Table1[[#This Row],[dispatch_date]])</f>
        <v>2</v>
      </c>
      <c r="N944">
        <v>61</v>
      </c>
      <c r="O944">
        <f>Table1[[#This Row],[transit_storage_cost]] * (1-'What -if Analysis'!$D$26)</f>
        <v>61</v>
      </c>
      <c r="P944">
        <v>109</v>
      </c>
      <c r="Q944">
        <v>3717.8134918435994</v>
      </c>
    </row>
    <row r="945" spans="1:17" x14ac:dyDescent="0.3">
      <c r="A945">
        <v>101282</v>
      </c>
      <c r="B945" s="1" t="s">
        <v>41</v>
      </c>
      <c r="C945" s="1" t="s">
        <v>16</v>
      </c>
      <c r="D945" s="1" t="s">
        <v>32</v>
      </c>
      <c r="E945" s="1" t="s">
        <v>33</v>
      </c>
      <c r="F945" s="1" t="s">
        <v>31</v>
      </c>
      <c r="G945" s="1" t="s">
        <v>20</v>
      </c>
      <c r="H945" t="s">
        <v>21</v>
      </c>
      <c r="I945" s="1" t="s">
        <v>22</v>
      </c>
      <c r="J945" s="2">
        <v>43527.350393518522</v>
      </c>
      <c r="K945" s="2">
        <v>43532.350393518522</v>
      </c>
      <c r="L945" s="2">
        <v>43533.350393518522</v>
      </c>
      <c r="M945" s="1">
        <f>_xlfn.DAYS(Table1[[#This Row],[actual_delivery_date]],Table1[[#This Row],[dispatch_date]])</f>
        <v>5</v>
      </c>
      <c r="N945">
        <v>31</v>
      </c>
      <c r="O945">
        <f>Table1[[#This Row],[transit_storage_cost]] * (1-'What -if Analysis'!$D$26)</f>
        <v>31</v>
      </c>
      <c r="P945">
        <v>107</v>
      </c>
      <c r="Q945">
        <v>2948.1300919471273</v>
      </c>
    </row>
    <row r="946" spans="1:17" x14ac:dyDescent="0.3">
      <c r="A946">
        <v>478547</v>
      </c>
      <c r="B946" s="1" t="s">
        <v>38</v>
      </c>
      <c r="C946" s="1" t="s">
        <v>16</v>
      </c>
      <c r="D946" s="1" t="s">
        <v>16</v>
      </c>
      <c r="E946" s="1" t="s">
        <v>27</v>
      </c>
      <c r="F946" s="1" t="s">
        <v>19</v>
      </c>
      <c r="G946" s="1" t="s">
        <v>20</v>
      </c>
      <c r="H946" t="s">
        <v>30</v>
      </c>
      <c r="I946" s="1" t="s">
        <v>22</v>
      </c>
      <c r="J946" s="2">
        <v>43527.351261574076</v>
      </c>
      <c r="K946" s="2">
        <v>43532.351261574076</v>
      </c>
      <c r="L946" s="2">
        <v>43533.351261574076</v>
      </c>
      <c r="M946" s="1">
        <f>_xlfn.DAYS(Table1[[#This Row],[actual_delivery_date]],Table1[[#This Row],[dispatch_date]])</f>
        <v>5</v>
      </c>
      <c r="N946">
        <v>0</v>
      </c>
      <c r="O946">
        <f>Table1[[#This Row],[transit_storage_cost]] * (1-'What -if Analysis'!$D$26)</f>
        <v>0</v>
      </c>
      <c r="P946">
        <v>109</v>
      </c>
      <c r="Q946">
        <v>2465.4729790669094</v>
      </c>
    </row>
    <row r="947" spans="1:17" x14ac:dyDescent="0.3">
      <c r="A947">
        <v>352039</v>
      </c>
      <c r="B947" s="1" t="s">
        <v>38</v>
      </c>
      <c r="C947" s="1" t="s">
        <v>16</v>
      </c>
      <c r="D947" s="1" t="s">
        <v>16</v>
      </c>
      <c r="E947" s="1" t="s">
        <v>27</v>
      </c>
      <c r="F947" s="1" t="s">
        <v>29</v>
      </c>
      <c r="G947" s="1" t="s">
        <v>20</v>
      </c>
      <c r="H947" t="s">
        <v>30</v>
      </c>
      <c r="I947" s="1" t="s">
        <v>22</v>
      </c>
      <c r="J947" s="2">
        <v>43529.353946759256</v>
      </c>
      <c r="K947" s="2">
        <v>43532.353946759256</v>
      </c>
      <c r="L947" s="2">
        <v>43533.353946759256</v>
      </c>
      <c r="M947" s="1">
        <f>_xlfn.DAYS(Table1[[#This Row],[actual_delivery_date]],Table1[[#This Row],[dispatch_date]])</f>
        <v>3</v>
      </c>
      <c r="N947">
        <v>0</v>
      </c>
      <c r="O947">
        <f>Table1[[#This Row],[transit_storage_cost]] * (1-'What -if Analysis'!$D$26)</f>
        <v>0</v>
      </c>
      <c r="P947">
        <v>124</v>
      </c>
      <c r="Q947">
        <v>2877.2484878522541</v>
      </c>
    </row>
    <row r="948" spans="1:17" x14ac:dyDescent="0.3">
      <c r="A948">
        <v>879140</v>
      </c>
      <c r="B948" s="1" t="s">
        <v>38</v>
      </c>
      <c r="C948" s="1" t="s">
        <v>23</v>
      </c>
      <c r="D948" s="1" t="s">
        <v>17</v>
      </c>
      <c r="E948" s="1" t="s">
        <v>18</v>
      </c>
      <c r="F948" s="1" t="s">
        <v>19</v>
      </c>
      <c r="G948" s="1" t="s">
        <v>20</v>
      </c>
      <c r="H948" t="s">
        <v>21</v>
      </c>
      <c r="I948" s="1" t="s">
        <v>22</v>
      </c>
      <c r="J948" s="2">
        <v>43530.362581018519</v>
      </c>
      <c r="K948" s="2">
        <v>43532.362581018519</v>
      </c>
      <c r="L948" s="2">
        <v>43533.362581018519</v>
      </c>
      <c r="M948" s="1">
        <f>_xlfn.DAYS(Table1[[#This Row],[actual_delivery_date]],Table1[[#This Row],[dispatch_date]])</f>
        <v>2</v>
      </c>
      <c r="N948">
        <v>75</v>
      </c>
      <c r="O948">
        <f>Table1[[#This Row],[transit_storage_cost]] * (1-'What -if Analysis'!$D$26)</f>
        <v>75</v>
      </c>
      <c r="P948">
        <v>95</v>
      </c>
      <c r="Q948">
        <v>1551.9482932418948</v>
      </c>
    </row>
    <row r="949" spans="1:17" x14ac:dyDescent="0.3">
      <c r="A949">
        <v>475044</v>
      </c>
      <c r="B949" s="1" t="s">
        <v>39</v>
      </c>
      <c r="C949" s="1" t="s">
        <v>16</v>
      </c>
      <c r="D949" s="1" t="s">
        <v>17</v>
      </c>
      <c r="E949" s="1" t="s">
        <v>18</v>
      </c>
      <c r="F949" s="1" t="s">
        <v>19</v>
      </c>
      <c r="G949" s="1" t="s">
        <v>20</v>
      </c>
      <c r="H949" t="s">
        <v>21</v>
      </c>
      <c r="I949" s="1" t="s">
        <v>26</v>
      </c>
      <c r="J949" s="2">
        <v>43527.364236111112</v>
      </c>
      <c r="K949" s="2">
        <v>43532.364236111112</v>
      </c>
      <c r="L949" s="2">
        <v>43534.364236111112</v>
      </c>
      <c r="M949" s="1">
        <f>_xlfn.DAYS(Table1[[#This Row],[actual_delivery_date]],Table1[[#This Row],[dispatch_date]])</f>
        <v>5</v>
      </c>
      <c r="N949">
        <v>41</v>
      </c>
      <c r="O949">
        <f>Table1[[#This Row],[transit_storage_cost]] * (1-'What -if Analysis'!$D$26)</f>
        <v>41</v>
      </c>
      <c r="P949">
        <v>110</v>
      </c>
      <c r="Q949">
        <v>579.33000000000004</v>
      </c>
    </row>
    <row r="950" spans="1:17" x14ac:dyDescent="0.3">
      <c r="A950">
        <v>558755</v>
      </c>
      <c r="B950" s="1" t="s">
        <v>38</v>
      </c>
      <c r="C950" s="1" t="s">
        <v>16</v>
      </c>
      <c r="D950" s="1" t="s">
        <v>17</v>
      </c>
      <c r="E950" s="1" t="s">
        <v>18</v>
      </c>
      <c r="F950" s="1" t="s">
        <v>29</v>
      </c>
      <c r="G950" s="1" t="s">
        <v>20</v>
      </c>
      <c r="H950" t="s">
        <v>30</v>
      </c>
      <c r="I950" s="1" t="s">
        <v>22</v>
      </c>
      <c r="J950" s="2">
        <v>43528.378333333334</v>
      </c>
      <c r="K950" s="2">
        <v>43532.378333333334</v>
      </c>
      <c r="L950" s="2">
        <v>43533.378333333334</v>
      </c>
      <c r="M950" s="1">
        <f>_xlfn.DAYS(Table1[[#This Row],[actual_delivery_date]],Table1[[#This Row],[dispatch_date]])</f>
        <v>4</v>
      </c>
      <c r="N950">
        <v>48</v>
      </c>
      <c r="O950">
        <f>Table1[[#This Row],[transit_storage_cost]] * (1-'What -if Analysis'!$D$26)</f>
        <v>48</v>
      </c>
      <c r="P950">
        <v>115</v>
      </c>
      <c r="Q950">
        <v>2425.9149477496544</v>
      </c>
    </row>
    <row r="951" spans="1:17" x14ac:dyDescent="0.3">
      <c r="A951">
        <v>513949</v>
      </c>
      <c r="B951" s="1" t="s">
        <v>15</v>
      </c>
      <c r="C951" s="1" t="s">
        <v>23</v>
      </c>
      <c r="D951" s="1" t="s">
        <v>23</v>
      </c>
      <c r="E951" s="1" t="s">
        <v>28</v>
      </c>
      <c r="F951" s="1" t="s">
        <v>29</v>
      </c>
      <c r="G951" s="1" t="s">
        <v>20</v>
      </c>
      <c r="H951" t="s">
        <v>30</v>
      </c>
      <c r="I951" s="1" t="s">
        <v>22</v>
      </c>
      <c r="J951" s="2">
        <v>43532.383958333332</v>
      </c>
      <c r="K951" s="2">
        <v>43532.383958333332</v>
      </c>
      <c r="L951" s="2">
        <v>43539.383958333332</v>
      </c>
      <c r="M951" s="1">
        <f>_xlfn.DAYS(Table1[[#This Row],[actual_delivery_date]],Table1[[#This Row],[dispatch_date]])</f>
        <v>0</v>
      </c>
      <c r="N951">
        <v>0</v>
      </c>
      <c r="O951">
        <f>Table1[[#This Row],[transit_storage_cost]] * (1-'What -if Analysis'!$D$26)</f>
        <v>0</v>
      </c>
      <c r="P951">
        <v>125</v>
      </c>
      <c r="Q951">
        <v>2882</v>
      </c>
    </row>
    <row r="952" spans="1:17" x14ac:dyDescent="0.3">
      <c r="A952">
        <v>830421</v>
      </c>
      <c r="B952" s="1" t="s">
        <v>15</v>
      </c>
      <c r="C952" s="1" t="s">
        <v>16</v>
      </c>
      <c r="D952" s="1" t="s">
        <v>32</v>
      </c>
      <c r="E952" s="1" t="s">
        <v>33</v>
      </c>
      <c r="F952" s="1" t="s">
        <v>19</v>
      </c>
      <c r="G952" s="1" t="s">
        <v>20</v>
      </c>
      <c r="H952" t="s">
        <v>30</v>
      </c>
      <c r="I952" s="1" t="s">
        <v>26</v>
      </c>
      <c r="J952" s="2">
        <v>43529.394062500003</v>
      </c>
      <c r="K952" s="2">
        <v>43532.394062500003</v>
      </c>
      <c r="L952" s="2">
        <v>43534.394062500003</v>
      </c>
      <c r="M952" s="1">
        <f>_xlfn.DAYS(Table1[[#This Row],[actual_delivery_date]],Table1[[#This Row],[dispatch_date]])</f>
        <v>3</v>
      </c>
      <c r="N952">
        <v>69</v>
      </c>
      <c r="O952">
        <f>Table1[[#This Row],[transit_storage_cost]] * (1-'What -if Analysis'!$D$26)</f>
        <v>69</v>
      </c>
      <c r="P952">
        <v>87</v>
      </c>
      <c r="Q952">
        <v>3436.18</v>
      </c>
    </row>
    <row r="953" spans="1:17" x14ac:dyDescent="0.3">
      <c r="A953">
        <v>439626</v>
      </c>
      <c r="B953" s="1" t="s">
        <v>40</v>
      </c>
      <c r="C953" s="1" t="s">
        <v>16</v>
      </c>
      <c r="D953" s="1" t="s">
        <v>23</v>
      </c>
      <c r="E953" s="1" t="s">
        <v>28</v>
      </c>
      <c r="F953" s="1" t="s">
        <v>31</v>
      </c>
      <c r="G953" s="1" t="s">
        <v>20</v>
      </c>
      <c r="H953" t="s">
        <v>21</v>
      </c>
      <c r="I953" s="1" t="s">
        <v>26</v>
      </c>
      <c r="J953" s="2">
        <v>43526.395960648151</v>
      </c>
      <c r="K953" s="2">
        <v>43532.395960648151</v>
      </c>
      <c r="L953" s="2">
        <v>43530.395960648151</v>
      </c>
      <c r="M953" s="1">
        <f>_xlfn.DAYS(Table1[[#This Row],[actual_delivery_date]],Table1[[#This Row],[dispatch_date]])</f>
        <v>6</v>
      </c>
      <c r="N953">
        <v>43</v>
      </c>
      <c r="O953">
        <f>Table1[[#This Row],[transit_storage_cost]] * (1-'What -if Analysis'!$D$26)</f>
        <v>43</v>
      </c>
      <c r="P953">
        <v>122</v>
      </c>
      <c r="Q953">
        <v>2522.7199999999998</v>
      </c>
    </row>
    <row r="954" spans="1:17" x14ac:dyDescent="0.3">
      <c r="A954">
        <v>647550</v>
      </c>
      <c r="B954" s="1" t="s">
        <v>37</v>
      </c>
      <c r="C954" s="1" t="s">
        <v>23</v>
      </c>
      <c r="D954" s="1" t="s">
        <v>23</v>
      </c>
      <c r="E954" s="1" t="s">
        <v>28</v>
      </c>
      <c r="F954" s="1" t="s">
        <v>31</v>
      </c>
      <c r="G954" s="1" t="s">
        <v>20</v>
      </c>
      <c r="H954" t="s">
        <v>21</v>
      </c>
      <c r="I954" s="1" t="s">
        <v>26</v>
      </c>
      <c r="J954" s="2">
        <v>43528.396134259259</v>
      </c>
      <c r="K954" s="2">
        <v>43532.396134259259</v>
      </c>
      <c r="L954" s="2">
        <v>43532.396134259259</v>
      </c>
      <c r="M954" s="1">
        <f>_xlfn.DAYS(Table1[[#This Row],[actual_delivery_date]],Table1[[#This Row],[dispatch_date]])</f>
        <v>4</v>
      </c>
      <c r="N954">
        <v>0</v>
      </c>
      <c r="O954">
        <f>Table1[[#This Row],[transit_storage_cost]] * (1-'What -if Analysis'!$D$26)</f>
        <v>0</v>
      </c>
      <c r="P954">
        <v>126</v>
      </c>
      <c r="Q954">
        <v>3068</v>
      </c>
    </row>
    <row r="955" spans="1:17" x14ac:dyDescent="0.3">
      <c r="A955">
        <v>47932</v>
      </c>
      <c r="B955" s="1" t="s">
        <v>37</v>
      </c>
      <c r="C955" s="1" t="s">
        <v>23</v>
      </c>
      <c r="D955" s="1" t="s">
        <v>23</v>
      </c>
      <c r="E955" s="1" t="s">
        <v>28</v>
      </c>
      <c r="F955" s="1" t="s">
        <v>19</v>
      </c>
      <c r="G955" s="1" t="s">
        <v>20</v>
      </c>
      <c r="H955" t="s">
        <v>21</v>
      </c>
      <c r="I955" s="1" t="s">
        <v>22</v>
      </c>
      <c r="J955" s="2">
        <v>43532.408252314817</v>
      </c>
      <c r="K955" s="2">
        <v>43532.408252314817</v>
      </c>
      <c r="L955" s="2">
        <v>43536.408252314817</v>
      </c>
      <c r="M955" s="1">
        <f>_xlfn.DAYS(Table1[[#This Row],[actual_delivery_date]],Table1[[#This Row],[dispatch_date]])</f>
        <v>0</v>
      </c>
      <c r="N955">
        <v>0</v>
      </c>
      <c r="O955">
        <f>Table1[[#This Row],[transit_storage_cost]] * (1-'What -if Analysis'!$D$26)</f>
        <v>0</v>
      </c>
      <c r="P955">
        <v>127</v>
      </c>
      <c r="Q955">
        <v>3627.461482982555</v>
      </c>
    </row>
    <row r="956" spans="1:17" x14ac:dyDescent="0.3">
      <c r="A956">
        <v>753588</v>
      </c>
      <c r="B956" s="1" t="s">
        <v>41</v>
      </c>
      <c r="C956" s="1" t="s">
        <v>23</v>
      </c>
      <c r="D956" s="1" t="s">
        <v>23</v>
      </c>
      <c r="E956" s="1" t="s">
        <v>28</v>
      </c>
      <c r="F956" s="1" t="s">
        <v>19</v>
      </c>
      <c r="G956" s="1" t="s">
        <v>20</v>
      </c>
      <c r="H956" t="s">
        <v>21</v>
      </c>
      <c r="I956" s="1" t="s">
        <v>26</v>
      </c>
      <c r="J956" s="2">
        <v>43530.411712962959</v>
      </c>
      <c r="K956" s="2">
        <v>43532.411712962959</v>
      </c>
      <c r="L956" s="2">
        <v>43533.411712962959</v>
      </c>
      <c r="M956" s="1">
        <f>_xlfn.DAYS(Table1[[#This Row],[actual_delivery_date]],Table1[[#This Row],[dispatch_date]])</f>
        <v>2</v>
      </c>
      <c r="N956">
        <v>0</v>
      </c>
      <c r="O956">
        <f>Table1[[#This Row],[transit_storage_cost]] * (1-'What -if Analysis'!$D$26)</f>
        <v>0</v>
      </c>
      <c r="P956">
        <v>125</v>
      </c>
      <c r="Q956">
        <v>1600.4842608911767</v>
      </c>
    </row>
    <row r="957" spans="1:17" x14ac:dyDescent="0.3">
      <c r="A957">
        <v>266112</v>
      </c>
      <c r="B957" s="1" t="s">
        <v>15</v>
      </c>
      <c r="C957" s="1" t="s">
        <v>16</v>
      </c>
      <c r="D957" s="1" t="s">
        <v>16</v>
      </c>
      <c r="E957" s="1" t="s">
        <v>27</v>
      </c>
      <c r="F957" s="1" t="s">
        <v>19</v>
      </c>
      <c r="G957" s="1" t="s">
        <v>20</v>
      </c>
      <c r="H957" t="s">
        <v>61</v>
      </c>
      <c r="I957" s="1" t="s">
        <v>61</v>
      </c>
      <c r="J957" s="2">
        <v>43530.413171296299</v>
      </c>
      <c r="K957" s="2">
        <v>43532.413171296299</v>
      </c>
      <c r="L957" s="2">
        <v>43537.413171296299</v>
      </c>
      <c r="M957" s="1">
        <f>_xlfn.DAYS(Table1[[#This Row],[actual_delivery_date]],Table1[[#This Row],[dispatch_date]])</f>
        <v>2</v>
      </c>
      <c r="N957">
        <v>0</v>
      </c>
      <c r="O957">
        <f>Table1[[#This Row],[transit_storage_cost]] * (1-'What -if Analysis'!$D$26)</f>
        <v>0</v>
      </c>
      <c r="P957">
        <v>122</v>
      </c>
      <c r="Q957">
        <v>-1</v>
      </c>
    </row>
    <row r="958" spans="1:17" x14ac:dyDescent="0.3">
      <c r="A958">
        <v>777108</v>
      </c>
      <c r="B958" s="1" t="s">
        <v>37</v>
      </c>
      <c r="C958" s="1" t="s">
        <v>23</v>
      </c>
      <c r="D958" s="1" t="s">
        <v>32</v>
      </c>
      <c r="E958" s="1" t="s">
        <v>33</v>
      </c>
      <c r="F958" s="1" t="s">
        <v>19</v>
      </c>
      <c r="G958" s="1" t="s">
        <v>20</v>
      </c>
      <c r="H958" t="s">
        <v>21</v>
      </c>
      <c r="I958" s="1" t="s">
        <v>26</v>
      </c>
      <c r="J958" s="2">
        <v>43527.416018518517</v>
      </c>
      <c r="K958" s="2">
        <v>43532.416018518517</v>
      </c>
      <c r="L958" s="2">
        <v>43534.416018518517</v>
      </c>
      <c r="M958" s="1">
        <f>_xlfn.DAYS(Table1[[#This Row],[actual_delivery_date]],Table1[[#This Row],[dispatch_date]])</f>
        <v>5</v>
      </c>
      <c r="N958">
        <v>42</v>
      </c>
      <c r="O958">
        <f>Table1[[#This Row],[transit_storage_cost]] * (1-'What -if Analysis'!$D$26)</f>
        <v>42</v>
      </c>
      <c r="P958">
        <v>105</v>
      </c>
      <c r="Q958">
        <v>2176.56</v>
      </c>
    </row>
    <row r="959" spans="1:17" x14ac:dyDescent="0.3">
      <c r="A959">
        <v>961218</v>
      </c>
      <c r="B959" s="1" t="s">
        <v>38</v>
      </c>
      <c r="C959" s="1" t="s">
        <v>23</v>
      </c>
      <c r="D959" s="1" t="s">
        <v>16</v>
      </c>
      <c r="E959" s="1" t="s">
        <v>27</v>
      </c>
      <c r="F959" s="1" t="s">
        <v>31</v>
      </c>
      <c r="G959" s="1" t="s">
        <v>20</v>
      </c>
      <c r="H959" t="s">
        <v>21</v>
      </c>
      <c r="I959" s="1" t="s">
        <v>26</v>
      </c>
      <c r="J959" s="2">
        <v>43525.418425925927</v>
      </c>
      <c r="K959" s="2">
        <v>43532.418425925927</v>
      </c>
      <c r="L959" s="2">
        <v>43530.418425925927</v>
      </c>
      <c r="M959" s="1">
        <f>_xlfn.DAYS(Table1[[#This Row],[actual_delivery_date]],Table1[[#This Row],[dispatch_date]])</f>
        <v>7</v>
      </c>
      <c r="N959">
        <v>33</v>
      </c>
      <c r="O959">
        <f>Table1[[#This Row],[transit_storage_cost]] * (1-'What -if Analysis'!$D$26)</f>
        <v>33</v>
      </c>
      <c r="P959">
        <v>126</v>
      </c>
      <c r="Q959">
        <v>2363.7600000000002</v>
      </c>
    </row>
    <row r="960" spans="1:17" x14ac:dyDescent="0.3">
      <c r="A960">
        <v>758665</v>
      </c>
      <c r="B960" s="1" t="s">
        <v>38</v>
      </c>
      <c r="C960" s="1" t="s">
        <v>16</v>
      </c>
      <c r="D960" s="1" t="s">
        <v>16</v>
      </c>
      <c r="E960" s="1" t="s">
        <v>27</v>
      </c>
      <c r="F960" s="1" t="s">
        <v>29</v>
      </c>
      <c r="G960" s="1" t="s">
        <v>20</v>
      </c>
      <c r="H960" t="s">
        <v>30</v>
      </c>
      <c r="I960" s="1" t="s">
        <v>22</v>
      </c>
      <c r="J960" s="2">
        <v>43530.420092592591</v>
      </c>
      <c r="K960" s="2">
        <v>43532.420092592591</v>
      </c>
      <c r="L960" s="2">
        <v>43533.420092592591</v>
      </c>
      <c r="M960" s="1">
        <f>_xlfn.DAYS(Table1[[#This Row],[actual_delivery_date]],Table1[[#This Row],[dispatch_date]])</f>
        <v>2</v>
      </c>
      <c r="N960">
        <v>0</v>
      </c>
      <c r="O960">
        <f>Table1[[#This Row],[transit_storage_cost]] * (1-'What -if Analysis'!$D$26)</f>
        <v>0</v>
      </c>
      <c r="P960">
        <v>124</v>
      </c>
      <c r="Q960">
        <v>3070.0432188321829</v>
      </c>
    </row>
    <row r="961" spans="1:17" x14ac:dyDescent="0.3">
      <c r="A961">
        <v>54078</v>
      </c>
      <c r="B961" s="1" t="s">
        <v>41</v>
      </c>
      <c r="C961" s="1" t="s">
        <v>23</v>
      </c>
      <c r="D961" s="1" t="s">
        <v>16</v>
      </c>
      <c r="E961" s="1" t="s">
        <v>27</v>
      </c>
      <c r="F961" s="1" t="s">
        <v>31</v>
      </c>
      <c r="G961" s="1" t="s">
        <v>20</v>
      </c>
      <c r="H961" t="s">
        <v>21</v>
      </c>
      <c r="I961" s="1" t="s">
        <v>26</v>
      </c>
      <c r="J961" s="2">
        <v>43528.420358796298</v>
      </c>
      <c r="K961" s="2">
        <v>43532.420358796298</v>
      </c>
      <c r="L961" s="2">
        <v>43535.420358796298</v>
      </c>
      <c r="M961" s="1">
        <f>_xlfn.DAYS(Table1[[#This Row],[actual_delivery_date]],Table1[[#This Row],[dispatch_date]])</f>
        <v>4</v>
      </c>
      <c r="N961">
        <v>29</v>
      </c>
      <c r="O961">
        <f>Table1[[#This Row],[transit_storage_cost]] * (1-'What -if Analysis'!$D$26)</f>
        <v>29</v>
      </c>
      <c r="P961">
        <v>124</v>
      </c>
      <c r="Q961">
        <v>3282.83</v>
      </c>
    </row>
    <row r="962" spans="1:17" x14ac:dyDescent="0.3">
      <c r="A962">
        <v>372283</v>
      </c>
      <c r="B962" s="1" t="s">
        <v>37</v>
      </c>
      <c r="C962" s="1" t="s">
        <v>16</v>
      </c>
      <c r="D962" s="1" t="s">
        <v>16</v>
      </c>
      <c r="E962" s="1" t="s">
        <v>27</v>
      </c>
      <c r="F962" s="1" t="s">
        <v>19</v>
      </c>
      <c r="G962" s="1" t="s">
        <v>20</v>
      </c>
      <c r="H962" t="s">
        <v>30</v>
      </c>
      <c r="I962" s="1" t="s">
        <v>22</v>
      </c>
      <c r="J962" s="2">
        <v>43527.421770833331</v>
      </c>
      <c r="K962" s="2">
        <v>43532.421770833331</v>
      </c>
      <c r="L962" s="2">
        <v>43531.421770833331</v>
      </c>
      <c r="M962" s="1">
        <f>_xlfn.DAYS(Table1[[#This Row],[actual_delivery_date]],Table1[[#This Row],[dispatch_date]])</f>
        <v>5</v>
      </c>
      <c r="N962">
        <v>0</v>
      </c>
      <c r="O962">
        <f>Table1[[#This Row],[transit_storage_cost]] * (1-'What -if Analysis'!$D$26)</f>
        <v>0</v>
      </c>
      <c r="P962">
        <v>100</v>
      </c>
      <c r="Q962">
        <v>3678.7787526991383</v>
      </c>
    </row>
    <row r="963" spans="1:17" x14ac:dyDescent="0.3">
      <c r="A963">
        <v>833374</v>
      </c>
      <c r="B963" s="1" t="s">
        <v>38</v>
      </c>
      <c r="C963" s="1" t="s">
        <v>16</v>
      </c>
      <c r="D963" s="1" t="s">
        <v>16</v>
      </c>
      <c r="E963" s="1" t="s">
        <v>27</v>
      </c>
      <c r="F963" s="1" t="s">
        <v>31</v>
      </c>
      <c r="G963" s="1" t="s">
        <v>20</v>
      </c>
      <c r="H963" t="s">
        <v>21</v>
      </c>
      <c r="I963" s="1" t="s">
        <v>22</v>
      </c>
      <c r="J963" s="2">
        <v>43525.428067129629</v>
      </c>
      <c r="K963" s="2">
        <v>43532.428067129629</v>
      </c>
      <c r="L963" s="2">
        <v>43528.428067129629</v>
      </c>
      <c r="M963" s="1">
        <f>_xlfn.DAYS(Table1[[#This Row],[actual_delivery_date]],Table1[[#This Row],[dispatch_date]])</f>
        <v>7</v>
      </c>
      <c r="N963">
        <v>0</v>
      </c>
      <c r="O963">
        <f>Table1[[#This Row],[transit_storage_cost]] * (1-'What -if Analysis'!$D$26)</f>
        <v>0</v>
      </c>
      <c r="P963">
        <v>129</v>
      </c>
      <c r="Q963">
        <v>2014.3320703055524</v>
      </c>
    </row>
    <row r="964" spans="1:17" x14ac:dyDescent="0.3">
      <c r="A964">
        <v>603202</v>
      </c>
      <c r="B964" s="1" t="s">
        <v>37</v>
      </c>
      <c r="C964" s="1" t="s">
        <v>16</v>
      </c>
      <c r="D964" s="1" t="s">
        <v>16</v>
      </c>
      <c r="E964" s="1" t="s">
        <v>27</v>
      </c>
      <c r="F964" s="1" t="s">
        <v>31</v>
      </c>
      <c r="G964" s="1" t="s">
        <v>20</v>
      </c>
      <c r="H964" t="s">
        <v>21</v>
      </c>
      <c r="I964" s="1" t="s">
        <v>22</v>
      </c>
      <c r="J964" s="2">
        <v>43531.442245370374</v>
      </c>
      <c r="K964" s="2">
        <v>43532.442245370374</v>
      </c>
      <c r="L964" s="2">
        <v>43538.442245370374</v>
      </c>
      <c r="M964" s="1">
        <f>_xlfn.DAYS(Table1[[#This Row],[actual_delivery_date]],Table1[[#This Row],[dispatch_date]])</f>
        <v>1</v>
      </c>
      <c r="N964">
        <v>0</v>
      </c>
      <c r="O964">
        <f>Table1[[#This Row],[transit_storage_cost]] * (1-'What -if Analysis'!$D$26)</f>
        <v>0</v>
      </c>
      <c r="P964">
        <v>125</v>
      </c>
      <c r="Q964">
        <v>331.94375943886655</v>
      </c>
    </row>
    <row r="965" spans="1:17" x14ac:dyDescent="0.3">
      <c r="A965">
        <v>242520</v>
      </c>
      <c r="B965" s="1" t="s">
        <v>38</v>
      </c>
      <c r="C965" s="1" t="s">
        <v>16</v>
      </c>
      <c r="D965" s="1" t="s">
        <v>24</v>
      </c>
      <c r="E965" s="1" t="s">
        <v>25</v>
      </c>
      <c r="F965" s="1" t="s">
        <v>19</v>
      </c>
      <c r="G965" s="1" t="s">
        <v>20</v>
      </c>
      <c r="H965" t="s">
        <v>21</v>
      </c>
      <c r="I965" s="1" t="s">
        <v>26</v>
      </c>
      <c r="J965" s="2">
        <v>43525.444155092591</v>
      </c>
      <c r="K965" s="2">
        <v>43532.444155092591</v>
      </c>
      <c r="L965" s="2">
        <v>43530.444155092591</v>
      </c>
      <c r="M965" s="1">
        <f>_xlfn.DAYS(Table1[[#This Row],[actual_delivery_date]],Table1[[#This Row],[dispatch_date]])</f>
        <v>7</v>
      </c>
      <c r="N965">
        <v>73</v>
      </c>
      <c r="O965">
        <f>Table1[[#This Row],[transit_storage_cost]] * (1-'What -if Analysis'!$D$26)</f>
        <v>73</v>
      </c>
      <c r="P965">
        <v>107</v>
      </c>
      <c r="Q965">
        <v>3336.06</v>
      </c>
    </row>
    <row r="966" spans="1:17" x14ac:dyDescent="0.3">
      <c r="A966">
        <v>766349</v>
      </c>
      <c r="B966" s="1" t="s">
        <v>37</v>
      </c>
      <c r="C966" s="1" t="s">
        <v>16</v>
      </c>
      <c r="D966" s="1" t="s">
        <v>16</v>
      </c>
      <c r="E966" s="1" t="s">
        <v>27</v>
      </c>
      <c r="F966" s="1" t="s">
        <v>29</v>
      </c>
      <c r="G966" s="1" t="s">
        <v>20</v>
      </c>
      <c r="H966" t="s">
        <v>30</v>
      </c>
      <c r="I966" s="1" t="s">
        <v>22</v>
      </c>
      <c r="J966" s="2">
        <v>43528.449479166666</v>
      </c>
      <c r="K966" s="2">
        <v>43532.449479166666</v>
      </c>
      <c r="L966" s="2">
        <v>43534.449479166666</v>
      </c>
      <c r="M966" s="1">
        <f>_xlfn.DAYS(Table1[[#This Row],[actual_delivery_date]],Table1[[#This Row],[dispatch_date]])</f>
        <v>4</v>
      </c>
      <c r="N966">
        <v>0</v>
      </c>
      <c r="O966">
        <f>Table1[[#This Row],[transit_storage_cost]] * (1-'What -if Analysis'!$D$26)</f>
        <v>0</v>
      </c>
      <c r="P966">
        <v>126</v>
      </c>
      <c r="Q966">
        <v>2067.7613602724441</v>
      </c>
    </row>
    <row r="967" spans="1:17" x14ac:dyDescent="0.3">
      <c r="A967">
        <v>79087</v>
      </c>
      <c r="B967" s="1" t="s">
        <v>37</v>
      </c>
      <c r="C967" s="1" t="s">
        <v>23</v>
      </c>
      <c r="D967" s="1" t="s">
        <v>23</v>
      </c>
      <c r="E967" s="1" t="s">
        <v>28</v>
      </c>
      <c r="F967" s="1" t="s">
        <v>29</v>
      </c>
      <c r="G967" s="1" t="s">
        <v>20</v>
      </c>
      <c r="H967" t="s">
        <v>30</v>
      </c>
      <c r="I967" s="1" t="s">
        <v>22</v>
      </c>
      <c r="J967" s="2">
        <v>43532.450150462966</v>
      </c>
      <c r="K967" s="2">
        <v>43532.450150462966</v>
      </c>
      <c r="L967" s="2">
        <v>43538.450150462966</v>
      </c>
      <c r="M967" s="1">
        <f>_xlfn.DAYS(Table1[[#This Row],[actual_delivery_date]],Table1[[#This Row],[dispatch_date]])</f>
        <v>0</v>
      </c>
      <c r="N967">
        <v>0</v>
      </c>
      <c r="O967">
        <f>Table1[[#This Row],[transit_storage_cost]] * (1-'What -if Analysis'!$D$26)</f>
        <v>0</v>
      </c>
      <c r="P967">
        <v>125</v>
      </c>
      <c r="Q967">
        <v>1688</v>
      </c>
    </row>
    <row r="968" spans="1:17" x14ac:dyDescent="0.3">
      <c r="A968">
        <v>633436</v>
      </c>
      <c r="B968" s="1" t="s">
        <v>39</v>
      </c>
      <c r="C968" s="1" t="s">
        <v>16</v>
      </c>
      <c r="D968" s="1" t="s">
        <v>17</v>
      </c>
      <c r="E968" s="1" t="s">
        <v>18</v>
      </c>
      <c r="F968" s="1" t="s">
        <v>19</v>
      </c>
      <c r="G968" s="1" t="s">
        <v>20</v>
      </c>
      <c r="H968" t="s">
        <v>21</v>
      </c>
      <c r="I968" s="1" t="s">
        <v>22</v>
      </c>
      <c r="J968" s="2">
        <v>43529.452708333331</v>
      </c>
      <c r="K968" s="2">
        <v>43532.452708333331</v>
      </c>
      <c r="L968" s="2">
        <v>43536.452708333331</v>
      </c>
      <c r="M968" s="1">
        <f>_xlfn.DAYS(Table1[[#This Row],[actual_delivery_date]],Table1[[#This Row],[dispatch_date]])</f>
        <v>3</v>
      </c>
      <c r="N968">
        <v>36</v>
      </c>
      <c r="O968">
        <f>Table1[[#This Row],[transit_storage_cost]] * (1-'What -if Analysis'!$D$26)</f>
        <v>36</v>
      </c>
      <c r="P968">
        <v>113</v>
      </c>
      <c r="Q968">
        <v>845.23625733184747</v>
      </c>
    </row>
    <row r="969" spans="1:17" x14ac:dyDescent="0.3">
      <c r="A969">
        <v>243184</v>
      </c>
      <c r="B969" s="1" t="s">
        <v>37</v>
      </c>
      <c r="C969" s="1" t="s">
        <v>16</v>
      </c>
      <c r="D969" s="1" t="s">
        <v>23</v>
      </c>
      <c r="E969" s="1" t="s">
        <v>28</v>
      </c>
      <c r="F969" s="1" t="s">
        <v>19</v>
      </c>
      <c r="G969" s="1" t="s">
        <v>20</v>
      </c>
      <c r="H969" t="s">
        <v>21</v>
      </c>
      <c r="I969" s="1" t="s">
        <v>22</v>
      </c>
      <c r="J969" s="2">
        <v>43528.460648148146</v>
      </c>
      <c r="K969" s="2">
        <v>43532.460648148146</v>
      </c>
      <c r="L969" s="2">
        <v>43531.460648148146</v>
      </c>
      <c r="M969" s="1">
        <f>_xlfn.DAYS(Table1[[#This Row],[actual_delivery_date]],Table1[[#This Row],[dispatch_date]])</f>
        <v>4</v>
      </c>
      <c r="N969">
        <v>36</v>
      </c>
      <c r="O969">
        <f>Table1[[#This Row],[transit_storage_cost]] * (1-'What -if Analysis'!$D$26)</f>
        <v>36</v>
      </c>
      <c r="P969">
        <v>123</v>
      </c>
      <c r="Q969">
        <v>2823.2468745535189</v>
      </c>
    </row>
    <row r="970" spans="1:17" x14ac:dyDescent="0.3">
      <c r="A970">
        <v>748905</v>
      </c>
      <c r="B970" s="1" t="s">
        <v>37</v>
      </c>
      <c r="C970" s="1" t="s">
        <v>23</v>
      </c>
      <c r="D970" s="1" t="s">
        <v>17</v>
      </c>
      <c r="E970" s="1" t="s">
        <v>18</v>
      </c>
      <c r="F970" s="1" t="s">
        <v>29</v>
      </c>
      <c r="G970" s="1" t="s">
        <v>20</v>
      </c>
      <c r="H970" t="s">
        <v>30</v>
      </c>
      <c r="I970" s="1" t="s">
        <v>26</v>
      </c>
      <c r="J970" s="2">
        <v>43527.465856481482</v>
      </c>
      <c r="K970" s="2">
        <v>43532.465856481482</v>
      </c>
      <c r="L970" s="2">
        <v>43533.465856481482</v>
      </c>
      <c r="M970" s="1">
        <f>_xlfn.DAYS(Table1[[#This Row],[actual_delivery_date]],Table1[[#This Row],[dispatch_date]])</f>
        <v>5</v>
      </c>
      <c r="N970">
        <v>35</v>
      </c>
      <c r="O970">
        <f>Table1[[#This Row],[transit_storage_cost]] * (1-'What -if Analysis'!$D$26)</f>
        <v>35</v>
      </c>
      <c r="P970">
        <v>108</v>
      </c>
      <c r="Q970">
        <v>1039.48</v>
      </c>
    </row>
    <row r="971" spans="1:17" x14ac:dyDescent="0.3">
      <c r="A971">
        <v>374614</v>
      </c>
      <c r="B971" s="1" t="s">
        <v>37</v>
      </c>
      <c r="C971" s="1" t="s">
        <v>16</v>
      </c>
      <c r="D971" s="1" t="s">
        <v>24</v>
      </c>
      <c r="E971" s="1" t="s">
        <v>25</v>
      </c>
      <c r="F971" s="1" t="s">
        <v>31</v>
      </c>
      <c r="G971" s="1" t="s">
        <v>20</v>
      </c>
      <c r="H971" t="s">
        <v>21</v>
      </c>
      <c r="I971" s="1" t="s">
        <v>22</v>
      </c>
      <c r="J971" s="2">
        <v>43529.473101851851</v>
      </c>
      <c r="K971" s="2">
        <v>43532.473101851851</v>
      </c>
      <c r="L971" s="2">
        <v>43532.473101851851</v>
      </c>
      <c r="M971" s="1">
        <f>_xlfn.DAYS(Table1[[#This Row],[actual_delivery_date]],Table1[[#This Row],[dispatch_date]])</f>
        <v>3</v>
      </c>
      <c r="N971">
        <v>29</v>
      </c>
      <c r="O971">
        <f>Table1[[#This Row],[transit_storage_cost]] * (1-'What -if Analysis'!$D$26)</f>
        <v>29</v>
      </c>
      <c r="P971">
        <v>130</v>
      </c>
      <c r="Q971">
        <v>482.20875348584701</v>
      </c>
    </row>
    <row r="972" spans="1:17" x14ac:dyDescent="0.3">
      <c r="A972">
        <v>195002</v>
      </c>
      <c r="B972" s="1" t="s">
        <v>38</v>
      </c>
      <c r="C972" s="1" t="s">
        <v>23</v>
      </c>
      <c r="D972" s="1" t="s">
        <v>23</v>
      </c>
      <c r="E972" s="1" t="s">
        <v>28</v>
      </c>
      <c r="F972" s="1" t="s">
        <v>31</v>
      </c>
      <c r="G972" s="1" t="s">
        <v>20</v>
      </c>
      <c r="H972" t="s">
        <v>21</v>
      </c>
      <c r="I972" s="1" t="s">
        <v>22</v>
      </c>
      <c r="J972" s="2">
        <v>43531.480081018519</v>
      </c>
      <c r="K972" s="2">
        <v>43532.480081018519</v>
      </c>
      <c r="L972" s="2">
        <v>43537.480081018519</v>
      </c>
      <c r="M972" s="1">
        <f>_xlfn.DAYS(Table1[[#This Row],[actual_delivery_date]],Table1[[#This Row],[dispatch_date]])</f>
        <v>1</v>
      </c>
      <c r="N972">
        <v>0</v>
      </c>
      <c r="O972">
        <f>Table1[[#This Row],[transit_storage_cost]] * (1-'What -if Analysis'!$D$26)</f>
        <v>0</v>
      </c>
      <c r="P972">
        <v>122</v>
      </c>
      <c r="Q972">
        <v>794.02429296558876</v>
      </c>
    </row>
    <row r="973" spans="1:17" x14ac:dyDescent="0.3">
      <c r="A973">
        <v>207136</v>
      </c>
      <c r="B973" s="1" t="s">
        <v>37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20</v>
      </c>
      <c r="H973" t="s">
        <v>21</v>
      </c>
      <c r="I973" s="1" t="s">
        <v>22</v>
      </c>
      <c r="J973" s="2">
        <v>43529.488125000003</v>
      </c>
      <c r="K973" s="2">
        <v>43532.488125000003</v>
      </c>
      <c r="L973" s="2">
        <v>43535.488125000003</v>
      </c>
      <c r="M973" s="1">
        <f>_xlfn.DAYS(Table1[[#This Row],[actual_delivery_date]],Table1[[#This Row],[dispatch_date]])</f>
        <v>3</v>
      </c>
      <c r="N973">
        <v>48</v>
      </c>
      <c r="O973">
        <f>Table1[[#This Row],[transit_storage_cost]] * (1-'What -if Analysis'!$D$26)</f>
        <v>48</v>
      </c>
      <c r="P973">
        <v>106</v>
      </c>
      <c r="Q973">
        <v>1317.2022989136708</v>
      </c>
    </row>
    <row r="974" spans="1:17" x14ac:dyDescent="0.3">
      <c r="A974">
        <v>348873</v>
      </c>
      <c r="B974" s="1" t="s">
        <v>38</v>
      </c>
      <c r="C974" s="1" t="s">
        <v>16</v>
      </c>
      <c r="D974" s="1" t="s">
        <v>32</v>
      </c>
      <c r="E974" s="1" t="s">
        <v>33</v>
      </c>
      <c r="F974" s="1" t="s">
        <v>19</v>
      </c>
      <c r="G974" s="1" t="s">
        <v>20</v>
      </c>
      <c r="H974" t="s">
        <v>34</v>
      </c>
      <c r="I974" s="1" t="s">
        <v>26</v>
      </c>
      <c r="J974" s="2">
        <v>43528.492013888892</v>
      </c>
      <c r="K974" s="2">
        <v>43532.492013888892</v>
      </c>
      <c r="L974" s="2">
        <v>43531.492013888892</v>
      </c>
      <c r="M974" s="1">
        <f>_xlfn.DAYS(Table1[[#This Row],[actual_delivery_date]],Table1[[#This Row],[dispatch_date]])</f>
        <v>4</v>
      </c>
      <c r="N974">
        <v>78</v>
      </c>
      <c r="O974">
        <f>Table1[[#This Row],[transit_storage_cost]] * (1-'What -if Analysis'!$D$26)</f>
        <v>78</v>
      </c>
      <c r="P974">
        <v>90</v>
      </c>
      <c r="Q974">
        <v>1956.63</v>
      </c>
    </row>
    <row r="975" spans="1:17" x14ac:dyDescent="0.3">
      <c r="A975">
        <v>480743</v>
      </c>
      <c r="B975" s="1" t="s">
        <v>37</v>
      </c>
      <c r="C975" s="1" t="s">
        <v>23</v>
      </c>
      <c r="D975" s="1" t="s">
        <v>24</v>
      </c>
      <c r="E975" s="1" t="s">
        <v>25</v>
      </c>
      <c r="F975" s="1" t="s">
        <v>29</v>
      </c>
      <c r="G975" s="1" t="s">
        <v>20</v>
      </c>
      <c r="H975" t="s">
        <v>30</v>
      </c>
      <c r="I975" s="1" t="s">
        <v>22</v>
      </c>
      <c r="J975" s="2">
        <v>43526.494675925926</v>
      </c>
      <c r="K975" s="2">
        <v>43532.494675925926</v>
      </c>
      <c r="L975" s="2">
        <v>43533.494675925926</v>
      </c>
      <c r="M975" s="1">
        <f>_xlfn.DAYS(Table1[[#This Row],[actual_delivery_date]],Table1[[#This Row],[dispatch_date]])</f>
        <v>6</v>
      </c>
      <c r="N975">
        <v>41</v>
      </c>
      <c r="O975">
        <f>Table1[[#This Row],[transit_storage_cost]] * (1-'What -if Analysis'!$D$26)</f>
        <v>41</v>
      </c>
      <c r="P975">
        <v>127</v>
      </c>
      <c r="Q975">
        <v>580.46581310745034</v>
      </c>
    </row>
    <row r="976" spans="1:17" x14ac:dyDescent="0.3">
      <c r="A976">
        <v>270015</v>
      </c>
      <c r="B976" s="1" t="s">
        <v>39</v>
      </c>
      <c r="C976" s="1" t="s">
        <v>16</v>
      </c>
      <c r="D976" s="1" t="s">
        <v>23</v>
      </c>
      <c r="E976" s="1" t="s">
        <v>28</v>
      </c>
      <c r="F976" s="1" t="s">
        <v>29</v>
      </c>
      <c r="G976" s="1" t="s">
        <v>20</v>
      </c>
      <c r="H976" t="s">
        <v>30</v>
      </c>
      <c r="I976" s="1" t="s">
        <v>26</v>
      </c>
      <c r="J976" s="2">
        <v>43526.504374999997</v>
      </c>
      <c r="K976" s="2">
        <v>43532.504374999997</v>
      </c>
      <c r="L976" s="2">
        <v>43531.504374999997</v>
      </c>
      <c r="M976" s="1">
        <f>_xlfn.DAYS(Table1[[#This Row],[actual_delivery_date]],Table1[[#This Row],[dispatch_date]])</f>
        <v>6</v>
      </c>
      <c r="N976">
        <v>49</v>
      </c>
      <c r="O976">
        <f>Table1[[#This Row],[transit_storage_cost]] * (1-'What -if Analysis'!$D$26)</f>
        <v>49</v>
      </c>
      <c r="P976">
        <v>121</v>
      </c>
      <c r="Q976">
        <v>743.72</v>
      </c>
    </row>
    <row r="977" spans="1:17" x14ac:dyDescent="0.3">
      <c r="A977">
        <v>338024</v>
      </c>
      <c r="B977" s="1" t="s">
        <v>39</v>
      </c>
      <c r="C977" s="1" t="s">
        <v>23</v>
      </c>
      <c r="D977" s="1" t="s">
        <v>17</v>
      </c>
      <c r="E977" s="1" t="s">
        <v>18</v>
      </c>
      <c r="F977" s="1" t="s">
        <v>19</v>
      </c>
      <c r="G977" s="1" t="s">
        <v>20</v>
      </c>
      <c r="H977" t="s">
        <v>21</v>
      </c>
      <c r="I977" s="1" t="s">
        <v>22</v>
      </c>
      <c r="J977" s="2">
        <v>43530.506701388891</v>
      </c>
      <c r="K977" s="2">
        <v>43532.506701388891</v>
      </c>
      <c r="L977" s="2">
        <v>43536.506701388891</v>
      </c>
      <c r="M977" s="1">
        <f>_xlfn.DAYS(Table1[[#This Row],[actual_delivery_date]],Table1[[#This Row],[dispatch_date]])</f>
        <v>2</v>
      </c>
      <c r="N977">
        <v>71</v>
      </c>
      <c r="O977">
        <f>Table1[[#This Row],[transit_storage_cost]] * (1-'What -if Analysis'!$D$26)</f>
        <v>71</v>
      </c>
      <c r="P977">
        <v>95</v>
      </c>
      <c r="Q977">
        <v>1394.4625308972329</v>
      </c>
    </row>
    <row r="978" spans="1:17" x14ac:dyDescent="0.3">
      <c r="A978">
        <v>781939</v>
      </c>
      <c r="B978" s="1" t="s">
        <v>37</v>
      </c>
      <c r="C978" s="1" t="s">
        <v>23</v>
      </c>
      <c r="D978" s="1" t="s">
        <v>23</v>
      </c>
      <c r="E978" s="1" t="s">
        <v>28</v>
      </c>
      <c r="F978" s="1" t="s">
        <v>19</v>
      </c>
      <c r="G978" s="1" t="s">
        <v>20</v>
      </c>
      <c r="H978" t="s">
        <v>30</v>
      </c>
      <c r="I978" s="1" t="s">
        <v>22</v>
      </c>
      <c r="J978" s="2">
        <v>43527.514282407406</v>
      </c>
      <c r="K978" s="2">
        <v>43532.514282407406</v>
      </c>
      <c r="L978" s="2">
        <v>43530.514282407406</v>
      </c>
      <c r="M978" s="1">
        <f>_xlfn.DAYS(Table1[[#This Row],[actual_delivery_date]],Table1[[#This Row],[dispatch_date]])</f>
        <v>5</v>
      </c>
      <c r="N978">
        <v>0</v>
      </c>
      <c r="O978">
        <f>Table1[[#This Row],[transit_storage_cost]] * (1-'What -if Analysis'!$D$26)</f>
        <v>0</v>
      </c>
      <c r="P978">
        <v>106</v>
      </c>
      <c r="Q978">
        <v>2192.372820322284</v>
      </c>
    </row>
    <row r="979" spans="1:17" x14ac:dyDescent="0.3">
      <c r="A979">
        <v>814550</v>
      </c>
      <c r="B979" s="1" t="s">
        <v>38</v>
      </c>
      <c r="C979" s="1" t="s">
        <v>16</v>
      </c>
      <c r="D979" s="1" t="s">
        <v>16</v>
      </c>
      <c r="E979" s="1" t="s">
        <v>27</v>
      </c>
      <c r="F979" s="1" t="s">
        <v>31</v>
      </c>
      <c r="G979" s="1" t="s">
        <v>20</v>
      </c>
      <c r="H979" t="s">
        <v>21</v>
      </c>
      <c r="I979" s="1" t="s">
        <v>22</v>
      </c>
      <c r="J979" s="2">
        <v>43531.526574074072</v>
      </c>
      <c r="K979" s="2">
        <v>43532.526574074072</v>
      </c>
      <c r="L979" s="2">
        <v>43536.526574074072</v>
      </c>
      <c r="M979" s="1">
        <f>_xlfn.DAYS(Table1[[#This Row],[actual_delivery_date]],Table1[[#This Row],[dispatch_date]])</f>
        <v>1</v>
      </c>
      <c r="N979">
        <v>0</v>
      </c>
      <c r="O979">
        <f>Table1[[#This Row],[transit_storage_cost]] * (1-'What -if Analysis'!$D$26)</f>
        <v>0</v>
      </c>
      <c r="P979">
        <v>124</v>
      </c>
      <c r="Q979">
        <v>1799.7736628318432</v>
      </c>
    </row>
    <row r="980" spans="1:17" x14ac:dyDescent="0.3">
      <c r="A980">
        <v>804432</v>
      </c>
      <c r="B980" s="1" t="s">
        <v>41</v>
      </c>
      <c r="C980" s="1" t="s">
        <v>16</v>
      </c>
      <c r="D980" s="1" t="s">
        <v>23</v>
      </c>
      <c r="E980" s="1" t="s">
        <v>28</v>
      </c>
      <c r="F980" s="1" t="s">
        <v>19</v>
      </c>
      <c r="G980" s="1" t="s">
        <v>20</v>
      </c>
      <c r="H980" t="s">
        <v>21</v>
      </c>
      <c r="I980" s="1" t="s">
        <v>26</v>
      </c>
      <c r="J980" s="2">
        <v>43529.531053240738</v>
      </c>
      <c r="K980" s="2">
        <v>43532.531053240738</v>
      </c>
      <c r="L980" s="2">
        <v>43532.531053240738</v>
      </c>
      <c r="M980" s="1">
        <f>_xlfn.DAYS(Table1[[#This Row],[actual_delivery_date]],Table1[[#This Row],[dispatch_date]])</f>
        <v>3</v>
      </c>
      <c r="N980">
        <v>79</v>
      </c>
      <c r="O980">
        <f>Table1[[#This Row],[transit_storage_cost]] * (1-'What -if Analysis'!$D$26)</f>
        <v>79</v>
      </c>
      <c r="P980">
        <v>104</v>
      </c>
      <c r="Q980">
        <v>1575.49</v>
      </c>
    </row>
    <row r="981" spans="1:17" x14ac:dyDescent="0.3">
      <c r="A981">
        <v>84992</v>
      </c>
      <c r="B981" s="1" t="s">
        <v>38</v>
      </c>
      <c r="C981" s="1" t="s">
        <v>16</v>
      </c>
      <c r="D981" s="1" t="s">
        <v>17</v>
      </c>
      <c r="E981" s="1" t="s">
        <v>18</v>
      </c>
      <c r="F981" s="1" t="s">
        <v>19</v>
      </c>
      <c r="G981" s="1" t="s">
        <v>20</v>
      </c>
      <c r="H981" t="s">
        <v>21</v>
      </c>
      <c r="I981" s="1" t="s">
        <v>22</v>
      </c>
      <c r="J981" s="2">
        <v>43529.535057870373</v>
      </c>
      <c r="K981" s="2">
        <v>43532.535057870373</v>
      </c>
      <c r="L981" s="2">
        <v>43536.535057870373</v>
      </c>
      <c r="M981" s="1">
        <f>_xlfn.DAYS(Table1[[#This Row],[actual_delivery_date]],Table1[[#This Row],[dispatch_date]])</f>
        <v>3</v>
      </c>
      <c r="N981">
        <v>40</v>
      </c>
      <c r="O981">
        <f>Table1[[#This Row],[transit_storage_cost]] * (1-'What -if Analysis'!$D$26)</f>
        <v>40</v>
      </c>
      <c r="P981">
        <v>107</v>
      </c>
      <c r="Q981">
        <v>2027.3636701345647</v>
      </c>
    </row>
    <row r="982" spans="1:17" x14ac:dyDescent="0.3">
      <c r="A982">
        <v>803054</v>
      </c>
      <c r="B982" s="1" t="s">
        <v>39</v>
      </c>
      <c r="C982" s="1" t="s">
        <v>16</v>
      </c>
      <c r="D982" s="1" t="s">
        <v>17</v>
      </c>
      <c r="E982" s="1" t="s">
        <v>18</v>
      </c>
      <c r="F982" s="1" t="s">
        <v>19</v>
      </c>
      <c r="G982" s="1" t="s">
        <v>20</v>
      </c>
      <c r="H982" t="s">
        <v>21</v>
      </c>
      <c r="I982" s="1" t="s">
        <v>22</v>
      </c>
      <c r="J982" s="2">
        <v>43530.535671296297</v>
      </c>
      <c r="K982" s="2">
        <v>43532.535671296297</v>
      </c>
      <c r="L982" s="2">
        <v>43536.535671296297</v>
      </c>
      <c r="M982" s="1">
        <f>_xlfn.DAYS(Table1[[#This Row],[actual_delivery_date]],Table1[[#This Row],[dispatch_date]])</f>
        <v>2</v>
      </c>
      <c r="N982">
        <v>78</v>
      </c>
      <c r="O982">
        <f>Table1[[#This Row],[transit_storage_cost]] * (1-'What -if Analysis'!$D$26)</f>
        <v>78</v>
      </c>
      <c r="P982">
        <v>92</v>
      </c>
      <c r="Q982">
        <v>1204</v>
      </c>
    </row>
    <row r="983" spans="1:17" x14ac:dyDescent="0.3">
      <c r="A983">
        <v>986235</v>
      </c>
      <c r="B983" s="1" t="s">
        <v>40</v>
      </c>
      <c r="C983" s="1" t="s">
        <v>16</v>
      </c>
      <c r="D983" s="1" t="s">
        <v>16</v>
      </c>
      <c r="E983" s="1" t="s">
        <v>27</v>
      </c>
      <c r="F983" s="1" t="s">
        <v>29</v>
      </c>
      <c r="G983" s="1" t="s">
        <v>20</v>
      </c>
      <c r="H983" t="s">
        <v>30</v>
      </c>
      <c r="I983" s="1" t="s">
        <v>26</v>
      </c>
      <c r="J983" s="2">
        <v>43527.537800925929</v>
      </c>
      <c r="K983" s="2">
        <v>43532.537800925929</v>
      </c>
      <c r="L983" s="2">
        <v>43534.537800925929</v>
      </c>
      <c r="M983" s="1">
        <f>_xlfn.DAYS(Table1[[#This Row],[actual_delivery_date]],Table1[[#This Row],[dispatch_date]])</f>
        <v>5</v>
      </c>
      <c r="N983">
        <v>0</v>
      </c>
      <c r="O983">
        <f>Table1[[#This Row],[transit_storage_cost]] * (1-'What -if Analysis'!$D$26)</f>
        <v>0</v>
      </c>
      <c r="P983">
        <v>129</v>
      </c>
      <c r="Q983">
        <v>397.39</v>
      </c>
    </row>
    <row r="984" spans="1:17" x14ac:dyDescent="0.3">
      <c r="A984">
        <v>260374</v>
      </c>
      <c r="B984" s="1" t="s">
        <v>39</v>
      </c>
      <c r="C984" s="1" t="s">
        <v>23</v>
      </c>
      <c r="D984" s="1" t="s">
        <v>23</v>
      </c>
      <c r="E984" s="1" t="s">
        <v>28</v>
      </c>
      <c r="F984" s="1" t="s">
        <v>31</v>
      </c>
      <c r="G984" s="1" t="s">
        <v>20</v>
      </c>
      <c r="H984" t="s">
        <v>21</v>
      </c>
      <c r="I984" s="1" t="s">
        <v>22</v>
      </c>
      <c r="J984" s="2">
        <v>43532.539641203701</v>
      </c>
      <c r="K984" s="2">
        <v>43532.539641203701</v>
      </c>
      <c r="L984" s="2">
        <v>43535.539641203701</v>
      </c>
      <c r="M984" s="1">
        <f>_xlfn.DAYS(Table1[[#This Row],[actual_delivery_date]],Table1[[#This Row],[dispatch_date]])</f>
        <v>0</v>
      </c>
      <c r="N984">
        <v>0</v>
      </c>
      <c r="O984">
        <f>Table1[[#This Row],[transit_storage_cost]] * (1-'What -if Analysis'!$D$26)</f>
        <v>0</v>
      </c>
      <c r="P984">
        <v>123</v>
      </c>
      <c r="Q984">
        <v>1219.7874104468981</v>
      </c>
    </row>
    <row r="985" spans="1:17" x14ac:dyDescent="0.3">
      <c r="A985">
        <v>460214</v>
      </c>
      <c r="B985" s="1" t="s">
        <v>40</v>
      </c>
      <c r="C985" s="1" t="s">
        <v>16</v>
      </c>
      <c r="D985" s="1" t="s">
        <v>16</v>
      </c>
      <c r="E985" s="1" t="s">
        <v>27</v>
      </c>
      <c r="F985" s="1" t="s">
        <v>31</v>
      </c>
      <c r="G985" s="1" t="s">
        <v>20</v>
      </c>
      <c r="H985" t="s">
        <v>21</v>
      </c>
      <c r="I985" s="1" t="s">
        <v>22</v>
      </c>
      <c r="J985" s="2">
        <v>43528.551018518519</v>
      </c>
      <c r="K985" s="2">
        <v>43532.551018518519</v>
      </c>
      <c r="L985" s="2">
        <v>43532.551018518519</v>
      </c>
      <c r="M985" s="1">
        <f>_xlfn.DAYS(Table1[[#This Row],[actual_delivery_date]],Table1[[#This Row],[dispatch_date]])</f>
        <v>4</v>
      </c>
      <c r="N985">
        <v>0</v>
      </c>
      <c r="O985">
        <f>Table1[[#This Row],[transit_storage_cost]] * (1-'What -if Analysis'!$D$26)</f>
        <v>0</v>
      </c>
      <c r="P985">
        <v>125</v>
      </c>
      <c r="Q985">
        <v>1250.494254069172</v>
      </c>
    </row>
    <row r="986" spans="1:17" x14ac:dyDescent="0.3">
      <c r="A986">
        <v>539717</v>
      </c>
      <c r="B986" s="1" t="s">
        <v>38</v>
      </c>
      <c r="C986" s="1" t="s">
        <v>16</v>
      </c>
      <c r="D986" s="1" t="s">
        <v>32</v>
      </c>
      <c r="E986" s="1" t="s">
        <v>33</v>
      </c>
      <c r="F986" s="1" t="s">
        <v>29</v>
      </c>
      <c r="G986" s="1" t="s">
        <v>20</v>
      </c>
      <c r="H986" t="s">
        <v>30</v>
      </c>
      <c r="I986" s="1" t="s">
        <v>22</v>
      </c>
      <c r="J986" s="2">
        <v>43530.551192129627</v>
      </c>
      <c r="K986" s="2">
        <v>43532.551192129627</v>
      </c>
      <c r="L986" s="2">
        <v>43535.551192129627</v>
      </c>
      <c r="M986" s="1">
        <f>_xlfn.DAYS(Table1[[#This Row],[actual_delivery_date]],Table1[[#This Row],[dispatch_date]])</f>
        <v>2</v>
      </c>
      <c r="N986">
        <v>44</v>
      </c>
      <c r="O986">
        <f>Table1[[#This Row],[transit_storage_cost]] * (1-'What -if Analysis'!$D$26)</f>
        <v>44</v>
      </c>
      <c r="P986">
        <v>109</v>
      </c>
      <c r="Q986">
        <v>1684.2110699693933</v>
      </c>
    </row>
    <row r="987" spans="1:17" x14ac:dyDescent="0.3">
      <c r="A987">
        <v>77800</v>
      </c>
      <c r="B987" s="1" t="s">
        <v>39</v>
      </c>
      <c r="C987" s="1" t="s">
        <v>23</v>
      </c>
      <c r="D987" s="1" t="s">
        <v>16</v>
      </c>
      <c r="E987" s="1" t="s">
        <v>27</v>
      </c>
      <c r="F987" s="1" t="s">
        <v>19</v>
      </c>
      <c r="G987" s="1" t="s">
        <v>20</v>
      </c>
      <c r="H987" t="s">
        <v>21</v>
      </c>
      <c r="I987" s="1" t="s">
        <v>22</v>
      </c>
      <c r="J987" s="2">
        <v>43530.551527777781</v>
      </c>
      <c r="K987" s="2">
        <v>43532.551527777781</v>
      </c>
      <c r="L987" s="2">
        <v>43537.551527777781</v>
      </c>
      <c r="M987" s="1">
        <f>_xlfn.DAYS(Table1[[#This Row],[actual_delivery_date]],Table1[[#This Row],[dispatch_date]])</f>
        <v>2</v>
      </c>
      <c r="N987">
        <v>46</v>
      </c>
      <c r="O987">
        <f>Table1[[#This Row],[transit_storage_cost]] * (1-'What -if Analysis'!$D$26)</f>
        <v>46</v>
      </c>
      <c r="P987">
        <v>124</v>
      </c>
      <c r="Q987">
        <v>1223</v>
      </c>
    </row>
    <row r="988" spans="1:17" x14ac:dyDescent="0.3">
      <c r="A988">
        <v>68203</v>
      </c>
      <c r="B988" s="1" t="s">
        <v>39</v>
      </c>
      <c r="C988" s="1" t="s">
        <v>23</v>
      </c>
      <c r="D988" s="1" t="s">
        <v>24</v>
      </c>
      <c r="E988" s="1" t="s">
        <v>25</v>
      </c>
      <c r="F988" s="1" t="s">
        <v>19</v>
      </c>
      <c r="G988" s="1" t="s">
        <v>20</v>
      </c>
      <c r="H988" t="s">
        <v>30</v>
      </c>
      <c r="I988" s="1" t="s">
        <v>22</v>
      </c>
      <c r="J988" s="2">
        <v>43527.554085648146</v>
      </c>
      <c r="K988" s="2">
        <v>43532.554085648146</v>
      </c>
      <c r="L988" s="2">
        <v>43534.554085648146</v>
      </c>
      <c r="M988" s="1">
        <f>_xlfn.DAYS(Table1[[#This Row],[actual_delivery_date]],Table1[[#This Row],[dispatch_date]])</f>
        <v>5</v>
      </c>
      <c r="N988">
        <v>68</v>
      </c>
      <c r="O988">
        <f>Table1[[#This Row],[transit_storage_cost]] * (1-'What -if Analysis'!$D$26)</f>
        <v>68</v>
      </c>
      <c r="P988">
        <v>106</v>
      </c>
      <c r="Q988">
        <v>1363.9240923843049</v>
      </c>
    </row>
    <row r="989" spans="1:17" x14ac:dyDescent="0.3">
      <c r="A989">
        <v>54798</v>
      </c>
      <c r="B989" s="1" t="s">
        <v>38</v>
      </c>
      <c r="C989" s="1" t="s">
        <v>23</v>
      </c>
      <c r="D989" s="1" t="s">
        <v>16</v>
      </c>
      <c r="E989" s="1" t="s">
        <v>27</v>
      </c>
      <c r="F989" s="1" t="s">
        <v>31</v>
      </c>
      <c r="G989" s="1" t="s">
        <v>20</v>
      </c>
      <c r="H989" t="s">
        <v>21</v>
      </c>
      <c r="I989" s="1" t="s">
        <v>26</v>
      </c>
      <c r="J989" s="2">
        <v>43525.555625000001</v>
      </c>
      <c r="K989" s="2">
        <v>43532.555625000001</v>
      </c>
      <c r="L989" s="2">
        <v>43529.555625000001</v>
      </c>
      <c r="M989" s="1">
        <f>_xlfn.DAYS(Table1[[#This Row],[actual_delivery_date]],Table1[[#This Row],[dispatch_date]])</f>
        <v>7</v>
      </c>
      <c r="N989">
        <v>30</v>
      </c>
      <c r="O989">
        <f>Table1[[#This Row],[transit_storage_cost]] * (1-'What -if Analysis'!$D$26)</f>
        <v>30</v>
      </c>
      <c r="P989">
        <v>121</v>
      </c>
      <c r="Q989">
        <v>1667.4</v>
      </c>
    </row>
    <row r="990" spans="1:17" x14ac:dyDescent="0.3">
      <c r="A990">
        <v>170240</v>
      </c>
      <c r="B990" s="1" t="s">
        <v>15</v>
      </c>
      <c r="C990" s="1" t="s">
        <v>23</v>
      </c>
      <c r="D990" s="1" t="s">
        <v>23</v>
      </c>
      <c r="E990" s="1" t="s">
        <v>28</v>
      </c>
      <c r="F990" s="1" t="s">
        <v>19</v>
      </c>
      <c r="G990" s="1" t="s">
        <v>36</v>
      </c>
      <c r="H990" t="s">
        <v>21</v>
      </c>
      <c r="I990" s="1" t="s">
        <v>22</v>
      </c>
      <c r="J990" s="2">
        <v>43531.557604166665</v>
      </c>
      <c r="K990" s="2">
        <v>43532.557604166665</v>
      </c>
      <c r="L990" s="2">
        <v>43538.557604166665</v>
      </c>
      <c r="M990" s="1">
        <f>_xlfn.DAYS(Table1[[#This Row],[actual_delivery_date]],Table1[[#This Row],[dispatch_date]])</f>
        <v>1</v>
      </c>
      <c r="N990">
        <v>0</v>
      </c>
      <c r="O990">
        <f>Table1[[#This Row],[transit_storage_cost]] * (1-'What -if Analysis'!$D$26)</f>
        <v>0</v>
      </c>
      <c r="P990">
        <v>110</v>
      </c>
      <c r="Q990">
        <v>458.92826749708138</v>
      </c>
    </row>
    <row r="991" spans="1:17" x14ac:dyDescent="0.3">
      <c r="A991">
        <v>653384</v>
      </c>
      <c r="B991" s="1" t="s">
        <v>39</v>
      </c>
      <c r="C991" s="1" t="s">
        <v>23</v>
      </c>
      <c r="D991" s="1" t="s">
        <v>32</v>
      </c>
      <c r="E991" s="1" t="s">
        <v>33</v>
      </c>
      <c r="F991" s="1" t="s">
        <v>19</v>
      </c>
      <c r="G991" s="1" t="s">
        <v>20</v>
      </c>
      <c r="H991" t="s">
        <v>21</v>
      </c>
      <c r="I991" s="1" t="s">
        <v>22</v>
      </c>
      <c r="J991" s="2">
        <v>43526.561273148145</v>
      </c>
      <c r="K991" s="2">
        <v>43532.561273148145</v>
      </c>
      <c r="L991" s="2">
        <v>43529.561273148145</v>
      </c>
      <c r="M991" s="1">
        <f>_xlfn.DAYS(Table1[[#This Row],[actual_delivery_date]],Table1[[#This Row],[dispatch_date]])</f>
        <v>6</v>
      </c>
      <c r="N991">
        <v>45</v>
      </c>
      <c r="O991">
        <f>Table1[[#This Row],[transit_storage_cost]] * (1-'What -if Analysis'!$D$26)</f>
        <v>45</v>
      </c>
      <c r="P991">
        <v>111</v>
      </c>
      <c r="Q991">
        <v>1683.9121291284955</v>
      </c>
    </row>
    <row r="992" spans="1:17" x14ac:dyDescent="0.3">
      <c r="A992">
        <v>707338</v>
      </c>
      <c r="B992" s="1" t="s">
        <v>41</v>
      </c>
      <c r="C992" s="1" t="s">
        <v>23</v>
      </c>
      <c r="D992" s="1" t="s">
        <v>16</v>
      </c>
      <c r="E992" s="1" t="s">
        <v>27</v>
      </c>
      <c r="F992" s="1" t="s">
        <v>19</v>
      </c>
      <c r="G992" s="1" t="s">
        <v>20</v>
      </c>
      <c r="H992" t="s">
        <v>21</v>
      </c>
      <c r="I992" s="1" t="s">
        <v>22</v>
      </c>
      <c r="J992" s="2">
        <v>43526.563125000001</v>
      </c>
      <c r="K992" s="2">
        <v>43532.563125000001</v>
      </c>
      <c r="L992" s="2">
        <v>43533.563125000001</v>
      </c>
      <c r="M992" s="1">
        <f>_xlfn.DAYS(Table1[[#This Row],[actual_delivery_date]],Table1[[#This Row],[dispatch_date]])</f>
        <v>6</v>
      </c>
      <c r="N992">
        <v>69</v>
      </c>
      <c r="O992">
        <f>Table1[[#This Row],[transit_storage_cost]] * (1-'What -if Analysis'!$D$26)</f>
        <v>69</v>
      </c>
      <c r="P992">
        <v>100</v>
      </c>
      <c r="Q992">
        <v>2518.1312517625342</v>
      </c>
    </row>
    <row r="993" spans="1:17" x14ac:dyDescent="0.3">
      <c r="A993">
        <v>476095</v>
      </c>
      <c r="B993" s="1" t="s">
        <v>38</v>
      </c>
      <c r="C993" s="1" t="s">
        <v>23</v>
      </c>
      <c r="D993" s="1" t="s">
        <v>32</v>
      </c>
      <c r="E993" s="1" t="s">
        <v>33</v>
      </c>
      <c r="F993" s="1" t="s">
        <v>29</v>
      </c>
      <c r="G993" s="1" t="s">
        <v>20</v>
      </c>
      <c r="H993" t="s">
        <v>30</v>
      </c>
      <c r="I993" s="1" t="s">
        <v>22</v>
      </c>
      <c r="J993" s="2">
        <v>43526.570092592592</v>
      </c>
      <c r="K993" s="2">
        <v>43532.570092592592</v>
      </c>
      <c r="L993" s="2">
        <v>43533.570092592592</v>
      </c>
      <c r="M993" s="1">
        <f>_xlfn.DAYS(Table1[[#This Row],[actual_delivery_date]],Table1[[#This Row],[dispatch_date]])</f>
        <v>6</v>
      </c>
      <c r="N993">
        <v>36</v>
      </c>
      <c r="O993">
        <f>Table1[[#This Row],[transit_storage_cost]] * (1-'What -if Analysis'!$D$26)</f>
        <v>36</v>
      </c>
      <c r="P993">
        <v>108</v>
      </c>
      <c r="Q993">
        <v>1142.6747604745713</v>
      </c>
    </row>
    <row r="994" spans="1:17" x14ac:dyDescent="0.3">
      <c r="A994">
        <v>547315</v>
      </c>
      <c r="B994" s="1" t="s">
        <v>37</v>
      </c>
      <c r="C994" s="1" t="s">
        <v>23</v>
      </c>
      <c r="D994" s="1" t="s">
        <v>32</v>
      </c>
      <c r="E994" s="1" t="s">
        <v>33</v>
      </c>
      <c r="F994" s="1" t="s">
        <v>19</v>
      </c>
      <c r="G994" s="1" t="s">
        <v>20</v>
      </c>
      <c r="H994" t="s">
        <v>30</v>
      </c>
      <c r="I994" s="1" t="s">
        <v>22</v>
      </c>
      <c r="J994" s="2">
        <v>43529.574108796296</v>
      </c>
      <c r="K994" s="2">
        <v>43532.574108796296</v>
      </c>
      <c r="L994" s="2">
        <v>43534.574108796296</v>
      </c>
      <c r="M994" s="1">
        <f>_xlfn.DAYS(Table1[[#This Row],[actual_delivery_date]],Table1[[#This Row],[dispatch_date]])</f>
        <v>3</v>
      </c>
      <c r="N994">
        <v>73</v>
      </c>
      <c r="O994">
        <f>Table1[[#This Row],[transit_storage_cost]] * (1-'What -if Analysis'!$D$26)</f>
        <v>73</v>
      </c>
      <c r="P994">
        <v>91</v>
      </c>
      <c r="Q994">
        <v>1285.4672518156444</v>
      </c>
    </row>
    <row r="995" spans="1:17" x14ac:dyDescent="0.3">
      <c r="A995">
        <v>262905</v>
      </c>
      <c r="B995" s="1" t="s">
        <v>38</v>
      </c>
      <c r="C995" s="1" t="s">
        <v>16</v>
      </c>
      <c r="D995" s="1" t="s">
        <v>23</v>
      </c>
      <c r="E995" s="1" t="s">
        <v>28</v>
      </c>
      <c r="F995" s="1" t="s">
        <v>29</v>
      </c>
      <c r="G995" s="1" t="s">
        <v>20</v>
      </c>
      <c r="H995" t="s">
        <v>30</v>
      </c>
      <c r="I995" s="1" t="s">
        <v>26</v>
      </c>
      <c r="J995" s="2">
        <v>43528.579155092593</v>
      </c>
      <c r="K995" s="2">
        <v>43532.579155092593</v>
      </c>
      <c r="L995" s="2">
        <v>43534.579155092593</v>
      </c>
      <c r="M995" s="1">
        <f>_xlfn.DAYS(Table1[[#This Row],[actual_delivery_date]],Table1[[#This Row],[dispatch_date]])</f>
        <v>4</v>
      </c>
      <c r="N995">
        <v>25</v>
      </c>
      <c r="O995">
        <f>Table1[[#This Row],[transit_storage_cost]] * (1-'What -if Analysis'!$D$26)</f>
        <v>25</v>
      </c>
      <c r="P995">
        <v>125</v>
      </c>
      <c r="Q995">
        <v>1530.28</v>
      </c>
    </row>
    <row r="996" spans="1:17" x14ac:dyDescent="0.3">
      <c r="A996">
        <v>716077</v>
      </c>
      <c r="B996" s="1" t="s">
        <v>41</v>
      </c>
      <c r="C996" s="1" t="s">
        <v>23</v>
      </c>
      <c r="D996" s="1" t="s">
        <v>23</v>
      </c>
      <c r="E996" s="1" t="s">
        <v>28</v>
      </c>
      <c r="F996" s="1" t="s">
        <v>19</v>
      </c>
      <c r="G996" s="1" t="s">
        <v>20</v>
      </c>
      <c r="H996" t="s">
        <v>30</v>
      </c>
      <c r="I996" s="1" t="s">
        <v>22</v>
      </c>
      <c r="J996" s="2">
        <v>43531.579675925925</v>
      </c>
      <c r="K996" s="2">
        <v>43532.579675925925</v>
      </c>
      <c r="L996" s="2">
        <v>43537.579675925925</v>
      </c>
      <c r="M996" s="1">
        <f>_xlfn.DAYS(Table1[[#This Row],[actual_delivery_date]],Table1[[#This Row],[dispatch_date]])</f>
        <v>1</v>
      </c>
      <c r="N996">
        <v>0</v>
      </c>
      <c r="O996">
        <f>Table1[[#This Row],[transit_storage_cost]] * (1-'What -if Analysis'!$D$26)</f>
        <v>0</v>
      </c>
      <c r="P996">
        <v>100</v>
      </c>
      <c r="Q996">
        <v>2983.0923078336969</v>
      </c>
    </row>
    <row r="997" spans="1:17" x14ac:dyDescent="0.3">
      <c r="A997">
        <v>330525</v>
      </c>
      <c r="B997" s="1" t="s">
        <v>41</v>
      </c>
      <c r="C997" s="1" t="s">
        <v>23</v>
      </c>
      <c r="D997" s="1" t="s">
        <v>16</v>
      </c>
      <c r="E997" s="1" t="s">
        <v>27</v>
      </c>
      <c r="F997" s="1" t="s">
        <v>19</v>
      </c>
      <c r="G997" s="1" t="s">
        <v>20</v>
      </c>
      <c r="H997" t="s">
        <v>30</v>
      </c>
      <c r="I997" s="1" t="s">
        <v>26</v>
      </c>
      <c r="J997" s="2">
        <v>43530.592094907406</v>
      </c>
      <c r="K997" s="2">
        <v>43532.592094907406</v>
      </c>
      <c r="L997" s="2">
        <v>43535.592094907406</v>
      </c>
      <c r="M997" s="1">
        <f>_xlfn.DAYS(Table1[[#This Row],[actual_delivery_date]],Table1[[#This Row],[dispatch_date]])</f>
        <v>2</v>
      </c>
      <c r="N997">
        <v>82</v>
      </c>
      <c r="O997">
        <f>Table1[[#This Row],[transit_storage_cost]] * (1-'What -if Analysis'!$D$26)</f>
        <v>82</v>
      </c>
      <c r="P997">
        <v>101</v>
      </c>
      <c r="Q997">
        <v>2738</v>
      </c>
    </row>
    <row r="998" spans="1:17" x14ac:dyDescent="0.3">
      <c r="A998">
        <v>935312</v>
      </c>
      <c r="B998" s="1" t="s">
        <v>15</v>
      </c>
      <c r="C998" s="1" t="s">
        <v>16</v>
      </c>
      <c r="D998" s="1" t="s">
        <v>16</v>
      </c>
      <c r="E998" s="1" t="s">
        <v>27</v>
      </c>
      <c r="F998" s="1" t="s">
        <v>19</v>
      </c>
      <c r="G998" s="1" t="s">
        <v>20</v>
      </c>
      <c r="H998" t="s">
        <v>21</v>
      </c>
      <c r="I998" s="1" t="s">
        <v>22</v>
      </c>
      <c r="J998" s="2">
        <v>43531.596018518518</v>
      </c>
      <c r="K998" s="2">
        <v>43532.596018518518</v>
      </c>
      <c r="L998" s="2">
        <v>43538.596018518518</v>
      </c>
      <c r="M998" s="1">
        <f>_xlfn.DAYS(Table1[[#This Row],[actual_delivery_date]],Table1[[#This Row],[dispatch_date]])</f>
        <v>1</v>
      </c>
      <c r="N998">
        <v>0</v>
      </c>
      <c r="O998">
        <f>Table1[[#This Row],[transit_storage_cost]] * (1-'What -if Analysis'!$D$26)</f>
        <v>0</v>
      </c>
      <c r="P998">
        <v>124</v>
      </c>
      <c r="Q998">
        <v>3080</v>
      </c>
    </row>
    <row r="999" spans="1:17" x14ac:dyDescent="0.3">
      <c r="A999">
        <v>145770</v>
      </c>
      <c r="B999" s="1" t="s">
        <v>38</v>
      </c>
      <c r="C999" s="1" t="s">
        <v>23</v>
      </c>
      <c r="D999" s="1" t="s">
        <v>16</v>
      </c>
      <c r="E999" s="1" t="s">
        <v>27</v>
      </c>
      <c r="F999" s="1" t="s">
        <v>31</v>
      </c>
      <c r="G999" s="1" t="s">
        <v>20</v>
      </c>
      <c r="H999" t="s">
        <v>21</v>
      </c>
      <c r="I999" s="1" t="s">
        <v>26</v>
      </c>
      <c r="J999" s="2">
        <v>43528.602106481485</v>
      </c>
      <c r="K999" s="2">
        <v>43532.602106481485</v>
      </c>
      <c r="L999" s="2">
        <v>43532.602106481485</v>
      </c>
      <c r="M999" s="1">
        <f>_xlfn.DAYS(Table1[[#This Row],[actual_delivery_date]],Table1[[#This Row],[dispatch_date]])</f>
        <v>4</v>
      </c>
      <c r="N999">
        <v>37</v>
      </c>
      <c r="O999">
        <f>Table1[[#This Row],[transit_storage_cost]] * (1-'What -if Analysis'!$D$26)</f>
        <v>37</v>
      </c>
      <c r="P999">
        <v>128</v>
      </c>
      <c r="Q999">
        <v>1150.8699999999999</v>
      </c>
    </row>
    <row r="1000" spans="1:17" x14ac:dyDescent="0.3">
      <c r="A1000">
        <v>185986</v>
      </c>
      <c r="B1000" s="1" t="s">
        <v>37</v>
      </c>
      <c r="C1000" s="1" t="s">
        <v>16</v>
      </c>
      <c r="D1000" s="1" t="s">
        <v>23</v>
      </c>
      <c r="E1000" s="1" t="s">
        <v>28</v>
      </c>
      <c r="F1000" s="1" t="s">
        <v>31</v>
      </c>
      <c r="G1000" s="1" t="s">
        <v>20</v>
      </c>
      <c r="H1000" t="s">
        <v>21</v>
      </c>
      <c r="I1000" s="1" t="s">
        <v>22</v>
      </c>
      <c r="J1000" s="2">
        <v>43525.602407407408</v>
      </c>
      <c r="K1000" s="2">
        <v>43532.602407407408</v>
      </c>
      <c r="L1000" s="2">
        <v>43532.602407407408</v>
      </c>
      <c r="M1000" s="1">
        <f>_xlfn.DAYS(Table1[[#This Row],[actual_delivery_date]],Table1[[#This Row],[dispatch_date]])</f>
        <v>7</v>
      </c>
      <c r="N1000">
        <v>46</v>
      </c>
      <c r="O1000">
        <f>Table1[[#This Row],[transit_storage_cost]] * (1-'What -if Analysis'!$D$26)</f>
        <v>46</v>
      </c>
      <c r="P1000">
        <v>126</v>
      </c>
      <c r="Q1000">
        <v>946.24563725394512</v>
      </c>
    </row>
    <row r="1001" spans="1:17" x14ac:dyDescent="0.3">
      <c r="A1001">
        <v>898102</v>
      </c>
      <c r="B1001" s="1" t="s">
        <v>40</v>
      </c>
      <c r="C1001" s="1" t="s">
        <v>23</v>
      </c>
      <c r="D1001" s="1" t="s">
        <v>23</v>
      </c>
      <c r="E1001" s="1" t="s">
        <v>28</v>
      </c>
      <c r="F1001" s="1" t="s">
        <v>19</v>
      </c>
      <c r="G1001" s="1" t="s">
        <v>20</v>
      </c>
      <c r="H1001" t="s">
        <v>21</v>
      </c>
      <c r="I1001" s="1" t="s">
        <v>22</v>
      </c>
      <c r="J1001" s="2">
        <v>43532.612025462964</v>
      </c>
      <c r="K1001" s="2">
        <v>43532.612025462964</v>
      </c>
      <c r="L1001" s="2">
        <v>43538.612025462964</v>
      </c>
      <c r="M1001" s="1">
        <f>_xlfn.DAYS(Table1[[#This Row],[actual_delivery_date]],Table1[[#This Row],[dispatch_date]])</f>
        <v>0</v>
      </c>
      <c r="N1001">
        <v>0</v>
      </c>
      <c r="O1001">
        <f>Table1[[#This Row],[transit_storage_cost]] * (1-'What -if Analysis'!$D$26)</f>
        <v>0</v>
      </c>
      <c r="P1001">
        <v>104</v>
      </c>
      <c r="Q1001">
        <v>621.48899384845333</v>
      </c>
    </row>
    <row r="1002" spans="1:17" x14ac:dyDescent="0.3">
      <c r="A1002">
        <v>522257</v>
      </c>
      <c r="B1002" s="1" t="s">
        <v>37</v>
      </c>
      <c r="C1002" s="1" t="s">
        <v>16</v>
      </c>
      <c r="D1002" s="1" t="s">
        <v>17</v>
      </c>
      <c r="E1002" s="1" t="s">
        <v>18</v>
      </c>
      <c r="F1002" s="1" t="s">
        <v>29</v>
      </c>
      <c r="G1002" s="1" t="s">
        <v>20</v>
      </c>
      <c r="H1002" t="s">
        <v>30</v>
      </c>
      <c r="I1002" s="1" t="s">
        <v>22</v>
      </c>
      <c r="J1002" s="2">
        <v>43527.612245370372</v>
      </c>
      <c r="K1002" s="2">
        <v>43532.612245370372</v>
      </c>
      <c r="L1002" s="2">
        <v>43534.612245370372</v>
      </c>
      <c r="M1002" s="1">
        <f>_xlfn.DAYS(Table1[[#This Row],[actual_delivery_date]],Table1[[#This Row],[dispatch_date]])</f>
        <v>5</v>
      </c>
      <c r="N1002">
        <v>48</v>
      </c>
      <c r="O1002">
        <f>Table1[[#This Row],[transit_storage_cost]] * (1-'What -if Analysis'!$D$26)</f>
        <v>48</v>
      </c>
      <c r="P1002">
        <v>107</v>
      </c>
      <c r="Q1002">
        <v>877.03899080731435</v>
      </c>
    </row>
    <row r="1003" spans="1:17" x14ac:dyDescent="0.3">
      <c r="A1003">
        <v>788379</v>
      </c>
      <c r="B1003" s="1" t="s">
        <v>15</v>
      </c>
      <c r="C1003" s="1" t="s">
        <v>23</v>
      </c>
      <c r="D1003" s="1" t="s">
        <v>23</v>
      </c>
      <c r="E1003" s="1" t="s">
        <v>28</v>
      </c>
      <c r="F1003" s="1" t="s">
        <v>29</v>
      </c>
      <c r="G1003" s="1" t="s">
        <v>20</v>
      </c>
      <c r="H1003" t="s">
        <v>30</v>
      </c>
      <c r="I1003" s="1" t="s">
        <v>26</v>
      </c>
      <c r="J1003" s="2">
        <v>43527.62296296296</v>
      </c>
      <c r="K1003" s="2">
        <v>43532.62296296296</v>
      </c>
      <c r="L1003" s="2">
        <v>43530.62296296296</v>
      </c>
      <c r="M1003" s="1">
        <f>_xlfn.DAYS(Table1[[#This Row],[actual_delivery_date]],Table1[[#This Row],[dispatch_date]])</f>
        <v>5</v>
      </c>
      <c r="N1003">
        <v>0</v>
      </c>
      <c r="O1003">
        <f>Table1[[#This Row],[transit_storage_cost]] * (1-'What -if Analysis'!$D$26)</f>
        <v>0</v>
      </c>
      <c r="P1003">
        <v>127</v>
      </c>
      <c r="Q1003">
        <v>1337.9</v>
      </c>
    </row>
    <row r="1004" spans="1:17" x14ac:dyDescent="0.3">
      <c r="A1004">
        <v>654871</v>
      </c>
      <c r="B1004" s="1" t="s">
        <v>37</v>
      </c>
      <c r="C1004" s="1" t="s">
        <v>16</v>
      </c>
      <c r="D1004" s="1" t="s">
        <v>16</v>
      </c>
      <c r="E1004" s="1" t="s">
        <v>27</v>
      </c>
      <c r="F1004" s="1" t="s">
        <v>29</v>
      </c>
      <c r="G1004" s="1" t="s">
        <v>20</v>
      </c>
      <c r="H1004" t="s">
        <v>34</v>
      </c>
      <c r="I1004" s="1" t="s">
        <v>22</v>
      </c>
      <c r="J1004" s="2">
        <v>43531.630706018521</v>
      </c>
      <c r="K1004" s="2">
        <v>43532.630706018521</v>
      </c>
      <c r="L1004" s="2">
        <v>43538.630706018521</v>
      </c>
      <c r="M1004" s="1">
        <f>_xlfn.DAYS(Table1[[#This Row],[actual_delivery_date]],Table1[[#This Row],[dispatch_date]])</f>
        <v>1</v>
      </c>
      <c r="N1004">
        <v>0</v>
      </c>
      <c r="O1004">
        <f>Table1[[#This Row],[transit_storage_cost]] * (1-'What -if Analysis'!$D$26)</f>
        <v>0</v>
      </c>
      <c r="P1004">
        <v>123</v>
      </c>
      <c r="Q1004">
        <v>807.82251373889574</v>
      </c>
    </row>
    <row r="1005" spans="1:17" x14ac:dyDescent="0.3">
      <c r="A1005">
        <v>142333</v>
      </c>
      <c r="B1005" s="1" t="s">
        <v>37</v>
      </c>
      <c r="C1005" s="1" t="s">
        <v>23</v>
      </c>
      <c r="D1005" s="1" t="s">
        <v>32</v>
      </c>
      <c r="E1005" s="1" t="s">
        <v>33</v>
      </c>
      <c r="F1005" s="1" t="s">
        <v>19</v>
      </c>
      <c r="G1005" s="1" t="s">
        <v>36</v>
      </c>
      <c r="H1005" t="s">
        <v>30</v>
      </c>
      <c r="I1005" s="1" t="s">
        <v>22</v>
      </c>
      <c r="J1005" s="2">
        <v>43529.634328703702</v>
      </c>
      <c r="K1005" s="2">
        <v>43532.634328703702</v>
      </c>
      <c r="L1005" s="2">
        <v>43533.634328703702</v>
      </c>
      <c r="M1005" s="1">
        <f>_xlfn.DAYS(Table1[[#This Row],[actual_delivery_date]],Table1[[#This Row],[dispatch_date]])</f>
        <v>3</v>
      </c>
      <c r="N1005">
        <v>64</v>
      </c>
      <c r="O1005">
        <f>Table1[[#This Row],[transit_storage_cost]] * (1-'What -if Analysis'!$D$26)</f>
        <v>64</v>
      </c>
      <c r="P1005">
        <v>94</v>
      </c>
      <c r="Q1005">
        <v>1363</v>
      </c>
    </row>
    <row r="1006" spans="1:17" x14ac:dyDescent="0.3">
      <c r="A1006">
        <v>691547</v>
      </c>
      <c r="B1006" s="1" t="s">
        <v>38</v>
      </c>
      <c r="C1006" s="1" t="s">
        <v>16</v>
      </c>
      <c r="D1006" s="1" t="s">
        <v>17</v>
      </c>
      <c r="E1006" s="1" t="s">
        <v>18</v>
      </c>
      <c r="F1006" s="1" t="s">
        <v>19</v>
      </c>
      <c r="G1006" s="1" t="s">
        <v>20</v>
      </c>
      <c r="H1006" t="s">
        <v>30</v>
      </c>
      <c r="I1006" s="1" t="s">
        <v>22</v>
      </c>
      <c r="J1006" s="2">
        <v>43526.638379629629</v>
      </c>
      <c r="K1006" s="2">
        <v>43532.638379629629</v>
      </c>
      <c r="L1006" s="2">
        <v>43529.638379629629</v>
      </c>
      <c r="M1006" s="1">
        <f>_xlfn.DAYS(Table1[[#This Row],[actual_delivery_date]],Table1[[#This Row],[dispatch_date]])</f>
        <v>6</v>
      </c>
      <c r="N1006">
        <v>65</v>
      </c>
      <c r="O1006">
        <f>Table1[[#This Row],[transit_storage_cost]] * (1-'What -if Analysis'!$D$26)</f>
        <v>65</v>
      </c>
      <c r="P1006">
        <v>94</v>
      </c>
      <c r="Q1006">
        <v>2757.0619772822265</v>
      </c>
    </row>
    <row r="1007" spans="1:17" x14ac:dyDescent="0.3">
      <c r="A1007">
        <v>413544</v>
      </c>
      <c r="B1007" s="1" t="s">
        <v>37</v>
      </c>
      <c r="C1007" s="1" t="s">
        <v>23</v>
      </c>
      <c r="D1007" s="1" t="s">
        <v>17</v>
      </c>
      <c r="E1007" s="1" t="s">
        <v>18</v>
      </c>
      <c r="F1007" s="1" t="s">
        <v>19</v>
      </c>
      <c r="G1007" s="1" t="s">
        <v>20</v>
      </c>
      <c r="H1007" t="s">
        <v>21</v>
      </c>
      <c r="I1007" s="1" t="s">
        <v>26</v>
      </c>
      <c r="J1007" s="2">
        <v>43526.647662037038</v>
      </c>
      <c r="K1007" s="2">
        <v>43532.647662037038</v>
      </c>
      <c r="L1007" s="2">
        <v>43532.647662037038</v>
      </c>
      <c r="M1007" s="1">
        <f>_xlfn.DAYS(Table1[[#This Row],[actual_delivery_date]],Table1[[#This Row],[dispatch_date]])</f>
        <v>6</v>
      </c>
      <c r="N1007">
        <v>35</v>
      </c>
      <c r="O1007">
        <f>Table1[[#This Row],[transit_storage_cost]] * (1-'What -if Analysis'!$D$26)</f>
        <v>35</v>
      </c>
      <c r="P1007">
        <v>109</v>
      </c>
      <c r="Q1007">
        <v>3530.33</v>
      </c>
    </row>
    <row r="1008" spans="1:17" x14ac:dyDescent="0.3">
      <c r="A1008">
        <v>68800</v>
      </c>
      <c r="B1008" s="1" t="s">
        <v>41</v>
      </c>
      <c r="C1008" s="1" t="s">
        <v>16</v>
      </c>
      <c r="D1008" s="1" t="s">
        <v>16</v>
      </c>
      <c r="E1008" s="1" t="s">
        <v>27</v>
      </c>
      <c r="F1008" s="1" t="s">
        <v>19</v>
      </c>
      <c r="G1008" s="1" t="s">
        <v>20</v>
      </c>
      <c r="H1008" t="s">
        <v>21</v>
      </c>
      <c r="I1008" s="1" t="s">
        <v>22</v>
      </c>
      <c r="J1008" s="2">
        <v>43530.648032407407</v>
      </c>
      <c r="K1008" s="2">
        <v>43532.648032407407</v>
      </c>
      <c r="L1008" s="2">
        <v>43537.648032407407</v>
      </c>
      <c r="M1008" s="1">
        <f>_xlfn.DAYS(Table1[[#This Row],[actual_delivery_date]],Table1[[#This Row],[dispatch_date]])</f>
        <v>2</v>
      </c>
      <c r="N1008">
        <v>0</v>
      </c>
      <c r="O1008">
        <f>Table1[[#This Row],[transit_storage_cost]] * (1-'What -if Analysis'!$D$26)</f>
        <v>0</v>
      </c>
      <c r="P1008">
        <v>121</v>
      </c>
      <c r="Q1008">
        <v>2662.8781205488917</v>
      </c>
    </row>
    <row r="1009" spans="1:17" x14ac:dyDescent="0.3">
      <c r="A1009">
        <v>223821</v>
      </c>
      <c r="B1009" s="1" t="s">
        <v>40</v>
      </c>
      <c r="C1009" s="1" t="s">
        <v>16</v>
      </c>
      <c r="D1009" s="1" t="s">
        <v>16</v>
      </c>
      <c r="E1009" s="1" t="s">
        <v>27</v>
      </c>
      <c r="F1009" s="1" t="s">
        <v>19</v>
      </c>
      <c r="G1009" s="1" t="s">
        <v>20</v>
      </c>
      <c r="H1009" t="s">
        <v>30</v>
      </c>
      <c r="I1009" s="1" t="s">
        <v>26</v>
      </c>
      <c r="J1009" s="2">
        <v>43529.649039351854</v>
      </c>
      <c r="K1009" s="2">
        <v>43532.649039351854</v>
      </c>
      <c r="L1009" s="2">
        <v>43533.649039351854</v>
      </c>
      <c r="M1009" s="1">
        <f>_xlfn.DAYS(Table1[[#This Row],[actual_delivery_date]],Table1[[#This Row],[dispatch_date]])</f>
        <v>3</v>
      </c>
      <c r="N1009">
        <v>0</v>
      </c>
      <c r="O1009">
        <f>Table1[[#This Row],[transit_storage_cost]] * (1-'What -if Analysis'!$D$26)</f>
        <v>0</v>
      </c>
      <c r="P1009">
        <v>110</v>
      </c>
      <c r="Q1009">
        <v>438</v>
      </c>
    </row>
    <row r="1010" spans="1:17" x14ac:dyDescent="0.3">
      <c r="A1010">
        <v>432908</v>
      </c>
      <c r="B1010" s="1" t="s">
        <v>40</v>
      </c>
      <c r="C1010" s="1" t="s">
        <v>23</v>
      </c>
      <c r="D1010" s="1" t="s">
        <v>16</v>
      </c>
      <c r="E1010" s="1" t="s">
        <v>27</v>
      </c>
      <c r="F1010" s="1" t="s">
        <v>19</v>
      </c>
      <c r="G1010" s="1" t="s">
        <v>20</v>
      </c>
      <c r="H1010" t="s">
        <v>21</v>
      </c>
      <c r="I1010" s="1" t="s">
        <v>22</v>
      </c>
      <c r="J1010" s="2">
        <v>43530.651608796295</v>
      </c>
      <c r="K1010" s="2">
        <v>43532.651608796295</v>
      </c>
      <c r="L1010" s="2">
        <v>43535.651608796295</v>
      </c>
      <c r="M1010" s="1">
        <f>_xlfn.DAYS(Table1[[#This Row],[actual_delivery_date]],Table1[[#This Row],[dispatch_date]])</f>
        <v>2</v>
      </c>
      <c r="N1010">
        <v>36</v>
      </c>
      <c r="O1010">
        <f>Table1[[#This Row],[transit_storage_cost]] * (1-'What -if Analysis'!$D$26)</f>
        <v>36</v>
      </c>
      <c r="P1010">
        <v>120</v>
      </c>
      <c r="Q1010">
        <v>3569</v>
      </c>
    </row>
    <row r="1011" spans="1:17" x14ac:dyDescent="0.3">
      <c r="A1011">
        <v>917991</v>
      </c>
      <c r="B1011" s="1" t="s">
        <v>15</v>
      </c>
      <c r="C1011" s="1" t="s">
        <v>16</v>
      </c>
      <c r="D1011" s="1" t="s">
        <v>16</v>
      </c>
      <c r="E1011" s="1" t="s">
        <v>27</v>
      </c>
      <c r="F1011" s="1" t="s">
        <v>29</v>
      </c>
      <c r="G1011" s="1" t="s">
        <v>20</v>
      </c>
      <c r="H1011" t="s">
        <v>30</v>
      </c>
      <c r="I1011" s="1" t="s">
        <v>26</v>
      </c>
      <c r="J1011" s="2">
        <v>43525.655856481484</v>
      </c>
      <c r="K1011" s="2">
        <v>43532.655856481484</v>
      </c>
      <c r="L1011" s="2">
        <v>43528.655856481484</v>
      </c>
      <c r="M1011" s="1">
        <f>_xlfn.DAYS(Table1[[#This Row],[actual_delivery_date]],Table1[[#This Row],[dispatch_date]])</f>
        <v>7</v>
      </c>
      <c r="N1011">
        <v>0</v>
      </c>
      <c r="O1011">
        <f>Table1[[#This Row],[transit_storage_cost]] * (1-'What -if Analysis'!$D$26)</f>
        <v>0</v>
      </c>
      <c r="P1011">
        <v>125</v>
      </c>
      <c r="Q1011">
        <v>2576.5</v>
      </c>
    </row>
    <row r="1012" spans="1:17" x14ac:dyDescent="0.3">
      <c r="A1012">
        <v>341484</v>
      </c>
      <c r="B1012" s="1" t="s">
        <v>38</v>
      </c>
      <c r="C1012" s="1" t="s">
        <v>23</v>
      </c>
      <c r="D1012" s="1" t="s">
        <v>16</v>
      </c>
      <c r="E1012" s="1" t="s">
        <v>27</v>
      </c>
      <c r="F1012" s="1" t="s">
        <v>19</v>
      </c>
      <c r="G1012" s="1" t="s">
        <v>20</v>
      </c>
      <c r="H1012" t="s">
        <v>21</v>
      </c>
      <c r="I1012" s="1" t="s">
        <v>26</v>
      </c>
      <c r="J1012" s="2">
        <v>43528.657962962963</v>
      </c>
      <c r="K1012" s="2">
        <v>43532.657962962963</v>
      </c>
      <c r="L1012" s="2">
        <v>43534.657962962963</v>
      </c>
      <c r="M1012" s="1">
        <f>_xlfn.DAYS(Table1[[#This Row],[actual_delivery_date]],Table1[[#This Row],[dispatch_date]])</f>
        <v>4</v>
      </c>
      <c r="N1012">
        <v>41</v>
      </c>
      <c r="O1012">
        <f>Table1[[#This Row],[transit_storage_cost]] * (1-'What -if Analysis'!$D$26)</f>
        <v>41</v>
      </c>
      <c r="P1012">
        <v>126</v>
      </c>
      <c r="Q1012">
        <v>3007.71</v>
      </c>
    </row>
    <row r="1013" spans="1:17" x14ac:dyDescent="0.3">
      <c r="A1013">
        <v>259446</v>
      </c>
      <c r="B1013" s="1" t="s">
        <v>37</v>
      </c>
      <c r="C1013" s="1" t="s">
        <v>23</v>
      </c>
      <c r="D1013" s="1" t="s">
        <v>16</v>
      </c>
      <c r="E1013" s="1" t="s">
        <v>27</v>
      </c>
      <c r="F1013" s="1" t="s">
        <v>31</v>
      </c>
      <c r="G1013" s="1" t="s">
        <v>20</v>
      </c>
      <c r="H1013" t="s">
        <v>21</v>
      </c>
      <c r="I1013" s="1" t="s">
        <v>26</v>
      </c>
      <c r="J1013" s="2">
        <v>43529.661423611113</v>
      </c>
      <c r="K1013" s="2">
        <v>43532.661423611113</v>
      </c>
      <c r="L1013" s="2">
        <v>43533.661423611113</v>
      </c>
      <c r="M1013" s="1">
        <f>_xlfn.DAYS(Table1[[#This Row],[actual_delivery_date]],Table1[[#This Row],[dispatch_date]])</f>
        <v>3</v>
      </c>
      <c r="N1013">
        <v>41</v>
      </c>
      <c r="O1013">
        <f>Table1[[#This Row],[transit_storage_cost]] * (1-'What -if Analysis'!$D$26)</f>
        <v>41</v>
      </c>
      <c r="P1013">
        <v>121</v>
      </c>
      <c r="Q1013">
        <v>414.26</v>
      </c>
    </row>
    <row r="1014" spans="1:17" x14ac:dyDescent="0.3">
      <c r="A1014">
        <v>377406</v>
      </c>
      <c r="B1014" s="1" t="s">
        <v>38</v>
      </c>
      <c r="C1014" s="1" t="s">
        <v>23</v>
      </c>
      <c r="D1014" s="1" t="s">
        <v>17</v>
      </c>
      <c r="E1014" s="1" t="s">
        <v>18</v>
      </c>
      <c r="F1014" s="1" t="s">
        <v>31</v>
      </c>
      <c r="G1014" s="1" t="s">
        <v>20</v>
      </c>
      <c r="H1014" t="s">
        <v>21</v>
      </c>
      <c r="I1014" s="1" t="s">
        <v>26</v>
      </c>
      <c r="J1014" s="2">
        <v>43529.661840277775</v>
      </c>
      <c r="K1014" s="2">
        <v>43532.661840277775</v>
      </c>
      <c r="L1014" s="2">
        <v>43536.661840277775</v>
      </c>
      <c r="M1014" s="1">
        <f>_xlfn.DAYS(Table1[[#This Row],[actual_delivery_date]],Table1[[#This Row],[dispatch_date]])</f>
        <v>3</v>
      </c>
      <c r="N1014">
        <v>37</v>
      </c>
      <c r="O1014">
        <f>Table1[[#This Row],[transit_storage_cost]] * (1-'What -if Analysis'!$D$26)</f>
        <v>37</v>
      </c>
      <c r="P1014">
        <v>113</v>
      </c>
      <c r="Q1014">
        <v>521.74</v>
      </c>
    </row>
    <row r="1015" spans="1:17" x14ac:dyDescent="0.3">
      <c r="A1015">
        <v>810473</v>
      </c>
      <c r="B1015" s="1" t="s">
        <v>38</v>
      </c>
      <c r="C1015" s="1" t="s">
        <v>16</v>
      </c>
      <c r="D1015" s="1" t="s">
        <v>23</v>
      </c>
      <c r="E1015" s="1" t="s">
        <v>28</v>
      </c>
      <c r="F1015" s="1" t="s">
        <v>29</v>
      </c>
      <c r="G1015" s="1" t="s">
        <v>20</v>
      </c>
      <c r="H1015" t="s">
        <v>30</v>
      </c>
      <c r="I1015" s="1" t="s">
        <v>22</v>
      </c>
      <c r="J1015" s="2">
        <v>43525.663206018522</v>
      </c>
      <c r="K1015" s="2">
        <v>43532.663206018522</v>
      </c>
      <c r="L1015" s="2">
        <v>43530.663206018522</v>
      </c>
      <c r="M1015" s="1">
        <f>_xlfn.DAYS(Table1[[#This Row],[actual_delivery_date]],Table1[[#This Row],[dispatch_date]])</f>
        <v>7</v>
      </c>
      <c r="N1015">
        <v>44</v>
      </c>
      <c r="O1015">
        <f>Table1[[#This Row],[transit_storage_cost]] * (1-'What -if Analysis'!$D$26)</f>
        <v>44</v>
      </c>
      <c r="P1015">
        <v>127</v>
      </c>
      <c r="Q1015">
        <v>3602.5135543880583</v>
      </c>
    </row>
    <row r="1016" spans="1:17" x14ac:dyDescent="0.3">
      <c r="A1016">
        <v>301377</v>
      </c>
      <c r="B1016" s="1" t="s">
        <v>37</v>
      </c>
      <c r="C1016" s="1" t="s">
        <v>16</v>
      </c>
      <c r="D1016" s="1" t="s">
        <v>16</v>
      </c>
      <c r="E1016" s="1" t="s">
        <v>27</v>
      </c>
      <c r="F1016" s="1" t="s">
        <v>19</v>
      </c>
      <c r="G1016" s="1" t="s">
        <v>20</v>
      </c>
      <c r="H1016" t="s">
        <v>30</v>
      </c>
      <c r="I1016" s="1" t="s">
        <v>26</v>
      </c>
      <c r="J1016" s="2">
        <v>43531.669803240744</v>
      </c>
      <c r="K1016" s="2">
        <v>43532.669803240744</v>
      </c>
      <c r="L1016" s="2">
        <v>43537.669803240744</v>
      </c>
      <c r="M1016" s="1">
        <f>_xlfn.DAYS(Table1[[#This Row],[actual_delivery_date]],Table1[[#This Row],[dispatch_date]])</f>
        <v>1</v>
      </c>
      <c r="N1016">
        <v>0</v>
      </c>
      <c r="O1016">
        <f>Table1[[#This Row],[transit_storage_cost]] * (1-'What -if Analysis'!$D$26)</f>
        <v>0</v>
      </c>
      <c r="P1016">
        <v>104</v>
      </c>
      <c r="Q1016">
        <v>2921.5008300576342</v>
      </c>
    </row>
    <row r="1017" spans="1:17" x14ac:dyDescent="0.3">
      <c r="A1017">
        <v>429129</v>
      </c>
      <c r="B1017" s="1" t="s">
        <v>37</v>
      </c>
      <c r="C1017" s="1" t="s">
        <v>23</v>
      </c>
      <c r="D1017" s="1" t="s">
        <v>17</v>
      </c>
      <c r="E1017" s="1" t="s">
        <v>18</v>
      </c>
      <c r="F1017" s="1" t="s">
        <v>19</v>
      </c>
      <c r="G1017" s="1" t="s">
        <v>20</v>
      </c>
      <c r="H1017" t="s">
        <v>30</v>
      </c>
      <c r="I1017" s="1" t="s">
        <v>26</v>
      </c>
      <c r="J1017" s="2">
        <v>43526.67664351852</v>
      </c>
      <c r="K1017" s="2">
        <v>43532.67664351852</v>
      </c>
      <c r="L1017" s="2">
        <v>43532.67664351852</v>
      </c>
      <c r="M1017" s="1">
        <f>_xlfn.DAYS(Table1[[#This Row],[actual_delivery_date]],Table1[[#This Row],[dispatch_date]])</f>
        <v>6</v>
      </c>
      <c r="N1017">
        <v>74</v>
      </c>
      <c r="O1017">
        <f>Table1[[#This Row],[transit_storage_cost]] * (1-'What -if Analysis'!$D$26)</f>
        <v>74</v>
      </c>
      <c r="P1017">
        <v>93</v>
      </c>
      <c r="Q1017">
        <v>1848.34</v>
      </c>
    </row>
    <row r="1018" spans="1:17" x14ac:dyDescent="0.3">
      <c r="A1018">
        <v>491128</v>
      </c>
      <c r="B1018" s="1" t="s">
        <v>37</v>
      </c>
      <c r="C1018" s="1" t="s">
        <v>16</v>
      </c>
      <c r="D1018" s="1" t="s">
        <v>32</v>
      </c>
      <c r="E1018" s="1" t="s">
        <v>33</v>
      </c>
      <c r="F1018" s="1" t="s">
        <v>19</v>
      </c>
      <c r="G1018" s="1" t="s">
        <v>20</v>
      </c>
      <c r="H1018" t="s">
        <v>21</v>
      </c>
      <c r="I1018" s="1" t="s">
        <v>22</v>
      </c>
      <c r="J1018" s="2">
        <v>43528.678715277776</v>
      </c>
      <c r="K1018" s="2">
        <v>43532.678715277776</v>
      </c>
      <c r="L1018" s="2">
        <v>43535.678715277776</v>
      </c>
      <c r="M1018" s="1">
        <f>_xlfn.DAYS(Table1[[#This Row],[actual_delivery_date]],Table1[[#This Row],[dispatch_date]])</f>
        <v>4</v>
      </c>
      <c r="N1018">
        <v>79</v>
      </c>
      <c r="O1018">
        <f>Table1[[#This Row],[transit_storage_cost]] * (1-'What -if Analysis'!$D$26)</f>
        <v>79</v>
      </c>
      <c r="P1018">
        <v>87</v>
      </c>
      <c r="Q1018">
        <v>2976.3056087224086</v>
      </c>
    </row>
    <row r="1019" spans="1:17" x14ac:dyDescent="0.3">
      <c r="A1019">
        <v>842140</v>
      </c>
      <c r="B1019" s="1" t="s">
        <v>41</v>
      </c>
      <c r="C1019" s="1" t="s">
        <v>16</v>
      </c>
      <c r="D1019" s="1" t="s">
        <v>16</v>
      </c>
      <c r="E1019" s="1" t="s">
        <v>27</v>
      </c>
      <c r="F1019" s="1" t="s">
        <v>19</v>
      </c>
      <c r="G1019" s="1" t="s">
        <v>20</v>
      </c>
      <c r="H1019" t="s">
        <v>21</v>
      </c>
      <c r="I1019" s="1" t="s">
        <v>22</v>
      </c>
      <c r="J1019" s="2">
        <v>43527.683391203704</v>
      </c>
      <c r="K1019" s="2">
        <v>43532.683391203704</v>
      </c>
      <c r="L1019" s="2">
        <v>43531.683391203704</v>
      </c>
      <c r="M1019" s="1">
        <f>_xlfn.DAYS(Table1[[#This Row],[actual_delivery_date]],Table1[[#This Row],[dispatch_date]])</f>
        <v>5</v>
      </c>
      <c r="N1019">
        <v>0</v>
      </c>
      <c r="O1019">
        <f>Table1[[#This Row],[transit_storage_cost]] * (1-'What -if Analysis'!$D$26)</f>
        <v>0</v>
      </c>
      <c r="P1019">
        <v>109</v>
      </c>
      <c r="Q1019">
        <v>1538.6801946892174</v>
      </c>
    </row>
    <row r="1020" spans="1:17" x14ac:dyDescent="0.3">
      <c r="A1020">
        <v>996332</v>
      </c>
      <c r="B1020" s="1" t="s">
        <v>38</v>
      </c>
      <c r="C1020" s="1" t="s">
        <v>16</v>
      </c>
      <c r="D1020" s="1" t="s">
        <v>17</v>
      </c>
      <c r="E1020" s="1" t="s">
        <v>18</v>
      </c>
      <c r="F1020" s="1" t="s">
        <v>19</v>
      </c>
      <c r="G1020" s="1" t="s">
        <v>20</v>
      </c>
      <c r="H1020" t="s">
        <v>21</v>
      </c>
      <c r="I1020" s="1" t="s">
        <v>22</v>
      </c>
      <c r="J1020" s="2">
        <v>43526.686574074076</v>
      </c>
      <c r="K1020" s="2">
        <v>43532.686574074076</v>
      </c>
      <c r="L1020" s="2">
        <v>43533.686574074076</v>
      </c>
      <c r="M1020" s="1">
        <f>_xlfn.DAYS(Table1[[#This Row],[actual_delivery_date]],Table1[[#This Row],[dispatch_date]])</f>
        <v>6</v>
      </c>
      <c r="N1020">
        <v>30</v>
      </c>
      <c r="O1020">
        <f>Table1[[#This Row],[transit_storage_cost]] * (1-'What -if Analysis'!$D$26)</f>
        <v>30</v>
      </c>
      <c r="P1020">
        <v>110</v>
      </c>
      <c r="Q1020">
        <v>3593.6337459556689</v>
      </c>
    </row>
    <row r="1021" spans="1:17" x14ac:dyDescent="0.3">
      <c r="A1021">
        <v>728705</v>
      </c>
      <c r="B1021" s="1" t="s">
        <v>37</v>
      </c>
      <c r="C1021" s="1" t="s">
        <v>16</v>
      </c>
      <c r="D1021" s="1" t="s">
        <v>23</v>
      </c>
      <c r="E1021" s="1" t="s">
        <v>28</v>
      </c>
      <c r="F1021" s="1" t="s">
        <v>19</v>
      </c>
      <c r="G1021" s="1" t="s">
        <v>20</v>
      </c>
      <c r="H1021" t="s">
        <v>30</v>
      </c>
      <c r="I1021" s="1" t="s">
        <v>22</v>
      </c>
      <c r="J1021" s="2">
        <v>43530.69295138889</v>
      </c>
      <c r="K1021" s="2">
        <v>43532.69295138889</v>
      </c>
      <c r="L1021" s="2">
        <v>43534.69295138889</v>
      </c>
      <c r="M1021" s="1">
        <f>_xlfn.DAYS(Table1[[#This Row],[actual_delivery_date]],Table1[[#This Row],[dispatch_date]])</f>
        <v>2</v>
      </c>
      <c r="N1021">
        <v>67</v>
      </c>
      <c r="O1021">
        <f>Table1[[#This Row],[transit_storage_cost]] * (1-'What -if Analysis'!$D$26)</f>
        <v>67</v>
      </c>
      <c r="P1021">
        <v>101</v>
      </c>
      <c r="Q1021">
        <v>2208</v>
      </c>
    </row>
    <row r="1022" spans="1:17" x14ac:dyDescent="0.3">
      <c r="A1022">
        <v>12942</v>
      </c>
      <c r="B1022" s="1" t="s">
        <v>38</v>
      </c>
      <c r="C1022" s="1" t="s">
        <v>23</v>
      </c>
      <c r="D1022" s="1" t="s">
        <v>17</v>
      </c>
      <c r="E1022" s="1" t="s">
        <v>18</v>
      </c>
      <c r="F1022" s="1" t="s">
        <v>31</v>
      </c>
      <c r="G1022" s="1" t="s">
        <v>20</v>
      </c>
      <c r="H1022" t="s">
        <v>21</v>
      </c>
      <c r="I1022" s="1" t="s">
        <v>26</v>
      </c>
      <c r="J1022" s="2">
        <v>43528.693310185183</v>
      </c>
      <c r="K1022" s="2">
        <v>43532.693310185183</v>
      </c>
      <c r="L1022" s="2">
        <v>43535.693310185183</v>
      </c>
      <c r="M1022" s="1">
        <f>_xlfn.DAYS(Table1[[#This Row],[actual_delivery_date]],Table1[[#This Row],[dispatch_date]])</f>
        <v>4</v>
      </c>
      <c r="N1022">
        <v>38</v>
      </c>
      <c r="O1022">
        <f>Table1[[#This Row],[transit_storage_cost]] * (1-'What -if Analysis'!$D$26)</f>
        <v>38</v>
      </c>
      <c r="P1022">
        <v>113</v>
      </c>
      <c r="Q1022">
        <v>1434.38</v>
      </c>
    </row>
    <row r="1023" spans="1:17" x14ac:dyDescent="0.3">
      <c r="A1023">
        <v>686899</v>
      </c>
      <c r="B1023" s="1" t="s">
        <v>15</v>
      </c>
      <c r="C1023" s="1" t="s">
        <v>16</v>
      </c>
      <c r="D1023" s="1" t="s">
        <v>17</v>
      </c>
      <c r="E1023" s="1" t="s">
        <v>18</v>
      </c>
      <c r="F1023" s="1" t="s">
        <v>29</v>
      </c>
      <c r="G1023" s="1" t="s">
        <v>20</v>
      </c>
      <c r="H1023" t="s">
        <v>30</v>
      </c>
      <c r="I1023" s="1" t="s">
        <v>22</v>
      </c>
      <c r="J1023" s="2">
        <v>43529.69908564815</v>
      </c>
      <c r="K1023" s="2">
        <v>43532.69908564815</v>
      </c>
      <c r="L1023" s="2">
        <v>43535.69908564815</v>
      </c>
      <c r="M1023" s="1">
        <f>_xlfn.DAYS(Table1[[#This Row],[actual_delivery_date]],Table1[[#This Row],[dispatch_date]])</f>
        <v>3</v>
      </c>
      <c r="N1023">
        <v>48</v>
      </c>
      <c r="O1023">
        <f>Table1[[#This Row],[transit_storage_cost]] * (1-'What -if Analysis'!$D$26)</f>
        <v>48</v>
      </c>
      <c r="P1023">
        <v>111</v>
      </c>
      <c r="Q1023">
        <v>830.08378231925292</v>
      </c>
    </row>
    <row r="1024" spans="1:17" x14ac:dyDescent="0.3">
      <c r="A1024">
        <v>6593</v>
      </c>
      <c r="B1024" s="1" t="s">
        <v>15</v>
      </c>
      <c r="C1024" s="1" t="s">
        <v>23</v>
      </c>
      <c r="D1024" s="1" t="s">
        <v>24</v>
      </c>
      <c r="E1024" s="1" t="s">
        <v>25</v>
      </c>
      <c r="F1024" s="1" t="s">
        <v>19</v>
      </c>
      <c r="G1024" s="1" t="s">
        <v>20</v>
      </c>
      <c r="H1024" t="s">
        <v>30</v>
      </c>
      <c r="I1024" s="1" t="s">
        <v>22</v>
      </c>
      <c r="J1024" s="2">
        <v>43528.701180555552</v>
      </c>
      <c r="K1024" s="2">
        <v>43532.701180555552</v>
      </c>
      <c r="L1024" s="2">
        <v>43534.701180555552</v>
      </c>
      <c r="M1024" s="1">
        <f>_xlfn.DAYS(Table1[[#This Row],[actual_delivery_date]],Table1[[#This Row],[dispatch_date]])</f>
        <v>4</v>
      </c>
      <c r="N1024">
        <v>81</v>
      </c>
      <c r="O1024">
        <f>Table1[[#This Row],[transit_storage_cost]] * (1-'What -if Analysis'!$D$26)</f>
        <v>81</v>
      </c>
      <c r="P1024">
        <v>101</v>
      </c>
      <c r="Q1024">
        <v>2100.6391206991343</v>
      </c>
    </row>
    <row r="1025" spans="1:17" x14ac:dyDescent="0.3">
      <c r="A1025">
        <v>251709</v>
      </c>
      <c r="B1025" s="1" t="s">
        <v>38</v>
      </c>
      <c r="C1025" s="1" t="s">
        <v>16</v>
      </c>
      <c r="D1025" s="1" t="s">
        <v>23</v>
      </c>
      <c r="E1025" s="1" t="s">
        <v>28</v>
      </c>
      <c r="F1025" s="1" t="s">
        <v>29</v>
      </c>
      <c r="G1025" s="1" t="s">
        <v>20</v>
      </c>
      <c r="H1025" t="s">
        <v>30</v>
      </c>
      <c r="I1025" s="1" t="s">
        <v>26</v>
      </c>
      <c r="J1025" s="2">
        <v>43528.708425925928</v>
      </c>
      <c r="K1025" s="2">
        <v>43532.708425925928</v>
      </c>
      <c r="L1025" s="2">
        <v>43531.708425925928</v>
      </c>
      <c r="M1025" s="1">
        <f>_xlfn.DAYS(Table1[[#This Row],[actual_delivery_date]],Table1[[#This Row],[dispatch_date]])</f>
        <v>4</v>
      </c>
      <c r="N1025">
        <v>33</v>
      </c>
      <c r="O1025">
        <f>Table1[[#This Row],[transit_storage_cost]] * (1-'What -if Analysis'!$D$26)</f>
        <v>33</v>
      </c>
      <c r="P1025">
        <v>129</v>
      </c>
      <c r="Q1025">
        <v>2767.46</v>
      </c>
    </row>
    <row r="1026" spans="1:17" x14ac:dyDescent="0.3">
      <c r="A1026">
        <v>107489</v>
      </c>
      <c r="B1026" s="1" t="s">
        <v>37</v>
      </c>
      <c r="C1026" s="1" t="s">
        <v>16</v>
      </c>
      <c r="D1026" s="1" t="s">
        <v>17</v>
      </c>
      <c r="E1026" s="1" t="s">
        <v>18</v>
      </c>
      <c r="F1026" s="1" t="s">
        <v>29</v>
      </c>
      <c r="G1026" s="1" t="s">
        <v>20</v>
      </c>
      <c r="H1026" t="s">
        <v>30</v>
      </c>
      <c r="I1026" s="1" t="s">
        <v>22</v>
      </c>
      <c r="J1026" s="2">
        <v>43527.708854166667</v>
      </c>
      <c r="K1026" s="2">
        <v>43532.708854166667</v>
      </c>
      <c r="L1026" s="2">
        <v>43533.708854166667</v>
      </c>
      <c r="M1026" s="1">
        <f>_xlfn.DAYS(Table1[[#This Row],[actual_delivery_date]],Table1[[#This Row],[dispatch_date]])</f>
        <v>5</v>
      </c>
      <c r="N1026">
        <v>25</v>
      </c>
      <c r="O1026">
        <f>Table1[[#This Row],[transit_storage_cost]] * (1-'What -if Analysis'!$D$26)</f>
        <v>25</v>
      </c>
      <c r="P1026">
        <v>113</v>
      </c>
      <c r="Q1026">
        <v>2466.0557681892383</v>
      </c>
    </row>
    <row r="1027" spans="1:17" x14ac:dyDescent="0.3">
      <c r="A1027">
        <v>861056</v>
      </c>
      <c r="B1027" s="1" t="s">
        <v>38</v>
      </c>
      <c r="C1027" s="1" t="s">
        <v>16</v>
      </c>
      <c r="D1027" s="1" t="s">
        <v>23</v>
      </c>
      <c r="E1027" s="1" t="s">
        <v>28</v>
      </c>
      <c r="F1027" s="1" t="s">
        <v>19</v>
      </c>
      <c r="G1027" s="1" t="s">
        <v>20</v>
      </c>
      <c r="H1027" t="s">
        <v>21</v>
      </c>
      <c r="I1027" s="1" t="s">
        <v>22</v>
      </c>
      <c r="J1027" s="2">
        <v>43528.715925925928</v>
      </c>
      <c r="K1027" s="2">
        <v>43532.715925925928</v>
      </c>
      <c r="L1027" s="2">
        <v>43535.715925925928</v>
      </c>
      <c r="M1027" s="1">
        <f>_xlfn.DAYS(Table1[[#This Row],[actual_delivery_date]],Table1[[#This Row],[dispatch_date]])</f>
        <v>4</v>
      </c>
      <c r="N1027">
        <v>33</v>
      </c>
      <c r="O1027">
        <f>Table1[[#This Row],[transit_storage_cost]] * (1-'What -if Analysis'!$D$26)</f>
        <v>33</v>
      </c>
      <c r="P1027">
        <v>122</v>
      </c>
      <c r="Q1027">
        <v>2623.5354125743002</v>
      </c>
    </row>
    <row r="1028" spans="1:17" x14ac:dyDescent="0.3">
      <c r="A1028">
        <v>608645</v>
      </c>
      <c r="B1028" s="1" t="s">
        <v>38</v>
      </c>
      <c r="C1028" s="1" t="s">
        <v>16</v>
      </c>
      <c r="D1028" s="1" t="s">
        <v>16</v>
      </c>
      <c r="E1028" s="1" t="s">
        <v>27</v>
      </c>
      <c r="F1028" s="1" t="s">
        <v>29</v>
      </c>
      <c r="G1028" s="1" t="s">
        <v>20</v>
      </c>
      <c r="H1028" t="s">
        <v>30</v>
      </c>
      <c r="I1028" s="1" t="s">
        <v>22</v>
      </c>
      <c r="J1028" s="2">
        <v>43527.717453703706</v>
      </c>
      <c r="K1028" s="2">
        <v>43532.717453703706</v>
      </c>
      <c r="L1028" s="2">
        <v>43530.717453703706</v>
      </c>
      <c r="M1028" s="1">
        <f>_xlfn.DAYS(Table1[[#This Row],[actual_delivery_date]],Table1[[#This Row],[dispatch_date]])</f>
        <v>5</v>
      </c>
      <c r="N1028">
        <v>0</v>
      </c>
      <c r="O1028">
        <f>Table1[[#This Row],[transit_storage_cost]] * (1-'What -if Analysis'!$D$26)</f>
        <v>0</v>
      </c>
      <c r="P1028">
        <v>130</v>
      </c>
      <c r="Q1028">
        <v>2711.3495090060824</v>
      </c>
    </row>
    <row r="1029" spans="1:17" x14ac:dyDescent="0.3">
      <c r="A1029">
        <v>702899</v>
      </c>
      <c r="B1029" s="1" t="s">
        <v>37</v>
      </c>
      <c r="C1029" s="1" t="s">
        <v>16</v>
      </c>
      <c r="D1029" s="1" t="s">
        <v>16</v>
      </c>
      <c r="E1029" s="1" t="s">
        <v>27</v>
      </c>
      <c r="F1029" s="1" t="s">
        <v>19</v>
      </c>
      <c r="G1029" s="1" t="s">
        <v>20</v>
      </c>
      <c r="H1029" t="s">
        <v>30</v>
      </c>
      <c r="I1029" s="1" t="s">
        <v>22</v>
      </c>
      <c r="J1029" s="2">
        <v>43532.7184837963</v>
      </c>
      <c r="K1029" s="2">
        <v>43532.7184837963</v>
      </c>
      <c r="L1029" s="2">
        <v>43538.7184837963</v>
      </c>
      <c r="M1029" s="1">
        <f>_xlfn.DAYS(Table1[[#This Row],[actual_delivery_date]],Table1[[#This Row],[dispatch_date]])</f>
        <v>0</v>
      </c>
      <c r="N1029">
        <v>0</v>
      </c>
      <c r="O1029">
        <f>Table1[[#This Row],[transit_storage_cost]] * (1-'What -if Analysis'!$D$26)</f>
        <v>0</v>
      </c>
      <c r="P1029">
        <v>108</v>
      </c>
      <c r="Q1029">
        <v>2922.1573600290135</v>
      </c>
    </row>
    <row r="1030" spans="1:17" x14ac:dyDescent="0.3">
      <c r="A1030">
        <v>644938</v>
      </c>
      <c r="B1030" s="1" t="s">
        <v>41</v>
      </c>
      <c r="C1030" s="1" t="s">
        <v>23</v>
      </c>
      <c r="D1030" s="1" t="s">
        <v>24</v>
      </c>
      <c r="E1030" s="1" t="s">
        <v>25</v>
      </c>
      <c r="F1030" s="1" t="s">
        <v>19</v>
      </c>
      <c r="G1030" s="1" t="s">
        <v>20</v>
      </c>
      <c r="H1030" t="s">
        <v>21</v>
      </c>
      <c r="I1030" s="1" t="s">
        <v>22</v>
      </c>
      <c r="J1030" s="2">
        <v>43528.723935185182</v>
      </c>
      <c r="K1030" s="2">
        <v>43532.723935185182</v>
      </c>
      <c r="L1030" s="2">
        <v>43531.723935185182</v>
      </c>
      <c r="M1030" s="1">
        <f>_xlfn.DAYS(Table1[[#This Row],[actual_delivery_date]],Table1[[#This Row],[dispatch_date]])</f>
        <v>4</v>
      </c>
      <c r="N1030">
        <v>63</v>
      </c>
      <c r="O1030">
        <f>Table1[[#This Row],[transit_storage_cost]] * (1-'What -if Analysis'!$D$26)</f>
        <v>63</v>
      </c>
      <c r="P1030">
        <v>107</v>
      </c>
      <c r="Q1030">
        <v>2164.6287727558911</v>
      </c>
    </row>
    <row r="1031" spans="1:17" x14ac:dyDescent="0.3">
      <c r="A1031">
        <v>585749</v>
      </c>
      <c r="B1031" s="1" t="s">
        <v>39</v>
      </c>
      <c r="C1031" s="1" t="s">
        <v>16</v>
      </c>
      <c r="D1031" s="1" t="s">
        <v>16</v>
      </c>
      <c r="E1031" s="1" t="s">
        <v>27</v>
      </c>
      <c r="F1031" s="1" t="s">
        <v>29</v>
      </c>
      <c r="G1031" s="1" t="s">
        <v>20</v>
      </c>
      <c r="H1031" t="s">
        <v>30</v>
      </c>
      <c r="I1031" s="1" t="s">
        <v>22</v>
      </c>
      <c r="J1031" s="2">
        <v>43529.724756944444</v>
      </c>
      <c r="K1031" s="2">
        <v>43532.724756944444</v>
      </c>
      <c r="L1031" s="2">
        <v>43535.724756944444</v>
      </c>
      <c r="M1031" s="1">
        <f>_xlfn.DAYS(Table1[[#This Row],[actual_delivery_date]],Table1[[#This Row],[dispatch_date]])</f>
        <v>3</v>
      </c>
      <c r="N1031">
        <v>0</v>
      </c>
      <c r="O1031">
        <f>Table1[[#This Row],[transit_storage_cost]] * (1-'What -if Analysis'!$D$26)</f>
        <v>0</v>
      </c>
      <c r="P1031">
        <v>129</v>
      </c>
      <c r="Q1031">
        <v>205.0233415682298</v>
      </c>
    </row>
    <row r="1032" spans="1:17" x14ac:dyDescent="0.3">
      <c r="A1032">
        <v>250376</v>
      </c>
      <c r="B1032" s="1" t="s">
        <v>37</v>
      </c>
      <c r="C1032" s="1" t="s">
        <v>23</v>
      </c>
      <c r="D1032" s="1" t="s">
        <v>32</v>
      </c>
      <c r="E1032" s="1" t="s">
        <v>33</v>
      </c>
      <c r="F1032" s="1" t="s">
        <v>19</v>
      </c>
      <c r="G1032" s="1" t="s">
        <v>20</v>
      </c>
      <c r="H1032" t="s">
        <v>21</v>
      </c>
      <c r="I1032" s="1" t="s">
        <v>22</v>
      </c>
      <c r="J1032" s="2">
        <v>43525.725034722222</v>
      </c>
      <c r="K1032" s="2">
        <v>43532.725034722222</v>
      </c>
      <c r="L1032" s="2">
        <v>43532.725034722222</v>
      </c>
      <c r="M1032" s="1">
        <f>_xlfn.DAYS(Table1[[#This Row],[actual_delivery_date]],Table1[[#This Row],[dispatch_date]])</f>
        <v>7</v>
      </c>
      <c r="N1032">
        <v>32</v>
      </c>
      <c r="O1032">
        <f>Table1[[#This Row],[transit_storage_cost]] * (1-'What -if Analysis'!$D$26)</f>
        <v>32</v>
      </c>
      <c r="P1032">
        <v>112</v>
      </c>
      <c r="Q1032">
        <v>2593.8880649071289</v>
      </c>
    </row>
    <row r="1033" spans="1:17" x14ac:dyDescent="0.3">
      <c r="A1033">
        <v>442349</v>
      </c>
      <c r="B1033" s="1" t="s">
        <v>15</v>
      </c>
      <c r="C1033" s="1" t="s">
        <v>23</v>
      </c>
      <c r="D1033" s="1" t="s">
        <v>32</v>
      </c>
      <c r="E1033" s="1" t="s">
        <v>33</v>
      </c>
      <c r="F1033" s="1" t="s">
        <v>29</v>
      </c>
      <c r="G1033" s="1" t="s">
        <v>20</v>
      </c>
      <c r="H1033" t="s">
        <v>30</v>
      </c>
      <c r="I1033" s="1" t="s">
        <v>22</v>
      </c>
      <c r="J1033" s="2">
        <v>43525.726631944446</v>
      </c>
      <c r="K1033" s="2">
        <v>43532.726631944446</v>
      </c>
      <c r="L1033" s="2">
        <v>43531.726631944446</v>
      </c>
      <c r="M1033" s="1">
        <f>_xlfn.DAYS(Table1[[#This Row],[actual_delivery_date]],Table1[[#This Row],[dispatch_date]])</f>
        <v>7</v>
      </c>
      <c r="N1033">
        <v>42</v>
      </c>
      <c r="O1033">
        <f>Table1[[#This Row],[transit_storage_cost]] * (1-'What -if Analysis'!$D$26)</f>
        <v>42</v>
      </c>
      <c r="P1033">
        <v>112</v>
      </c>
      <c r="Q1033">
        <v>3138.0246413683171</v>
      </c>
    </row>
    <row r="1034" spans="1:17" x14ac:dyDescent="0.3">
      <c r="A1034">
        <v>995244</v>
      </c>
      <c r="B1034" s="1" t="s">
        <v>38</v>
      </c>
      <c r="C1034" s="1" t="s">
        <v>16</v>
      </c>
      <c r="D1034" s="1" t="s">
        <v>32</v>
      </c>
      <c r="E1034" s="1" t="s">
        <v>33</v>
      </c>
      <c r="F1034" s="1" t="s">
        <v>19</v>
      </c>
      <c r="G1034" s="1" t="s">
        <v>20</v>
      </c>
      <c r="H1034" t="s">
        <v>21</v>
      </c>
      <c r="I1034" s="1" t="s">
        <v>26</v>
      </c>
      <c r="J1034" s="2">
        <v>43527.72928240741</v>
      </c>
      <c r="K1034" s="2">
        <v>43532.72928240741</v>
      </c>
      <c r="L1034" s="2">
        <v>43534.72928240741</v>
      </c>
      <c r="M1034" s="1">
        <f>_xlfn.DAYS(Table1[[#This Row],[actual_delivery_date]],Table1[[#This Row],[dispatch_date]])</f>
        <v>5</v>
      </c>
      <c r="N1034">
        <v>35</v>
      </c>
      <c r="O1034">
        <f>Table1[[#This Row],[transit_storage_cost]] * (1-'What -if Analysis'!$D$26)</f>
        <v>35</v>
      </c>
      <c r="P1034">
        <v>109</v>
      </c>
      <c r="Q1034">
        <v>261.89999999999998</v>
      </c>
    </row>
    <row r="1035" spans="1:17" x14ac:dyDescent="0.3">
      <c r="A1035">
        <v>543602</v>
      </c>
      <c r="B1035" s="1" t="s">
        <v>41</v>
      </c>
      <c r="C1035" s="1" t="s">
        <v>16</v>
      </c>
      <c r="D1035" s="1" t="s">
        <v>17</v>
      </c>
      <c r="E1035" s="1" t="s">
        <v>18</v>
      </c>
      <c r="F1035" s="1" t="s">
        <v>31</v>
      </c>
      <c r="G1035" s="1" t="s">
        <v>20</v>
      </c>
      <c r="H1035" t="s">
        <v>21</v>
      </c>
      <c r="I1035" s="1" t="s">
        <v>22</v>
      </c>
      <c r="J1035" s="2">
        <v>43528.733136574076</v>
      </c>
      <c r="K1035" s="2">
        <v>43532.733136574076</v>
      </c>
      <c r="L1035" s="2">
        <v>43531.733136574076</v>
      </c>
      <c r="M1035" s="1">
        <f>_xlfn.DAYS(Table1[[#This Row],[actual_delivery_date]],Table1[[#This Row],[dispatch_date]])</f>
        <v>4</v>
      </c>
      <c r="N1035">
        <v>45</v>
      </c>
      <c r="O1035">
        <f>Table1[[#This Row],[transit_storage_cost]] * (1-'What -if Analysis'!$D$26)</f>
        <v>45</v>
      </c>
      <c r="P1035">
        <v>111</v>
      </c>
      <c r="Q1035">
        <v>827.48081479100949</v>
      </c>
    </row>
    <row r="1036" spans="1:17" x14ac:dyDescent="0.3">
      <c r="A1036">
        <v>352911</v>
      </c>
      <c r="B1036" s="1" t="s">
        <v>37</v>
      </c>
      <c r="C1036" s="1" t="s">
        <v>16</v>
      </c>
      <c r="D1036" s="1" t="s">
        <v>32</v>
      </c>
      <c r="E1036" s="1" t="s">
        <v>33</v>
      </c>
      <c r="F1036" s="1" t="s">
        <v>29</v>
      </c>
      <c r="G1036" s="1" t="s">
        <v>20</v>
      </c>
      <c r="H1036" t="s">
        <v>30</v>
      </c>
      <c r="I1036" s="1" t="s">
        <v>26</v>
      </c>
      <c r="J1036" s="2">
        <v>43525.734930555554</v>
      </c>
      <c r="K1036" s="2">
        <v>43532.734930555554</v>
      </c>
      <c r="L1036" s="2">
        <v>43531.734930555554</v>
      </c>
      <c r="M1036" s="1">
        <f>_xlfn.DAYS(Table1[[#This Row],[actual_delivery_date]],Table1[[#This Row],[dispatch_date]])</f>
        <v>7</v>
      </c>
      <c r="N1036">
        <v>40</v>
      </c>
      <c r="O1036">
        <f>Table1[[#This Row],[transit_storage_cost]] * (1-'What -if Analysis'!$D$26)</f>
        <v>40</v>
      </c>
      <c r="P1036">
        <v>109</v>
      </c>
      <c r="Q1036">
        <v>1464.92</v>
      </c>
    </row>
    <row r="1037" spans="1:17" x14ac:dyDescent="0.3">
      <c r="A1037">
        <v>110193</v>
      </c>
      <c r="B1037" s="1" t="s">
        <v>40</v>
      </c>
      <c r="C1037" s="1" t="s">
        <v>16</v>
      </c>
      <c r="D1037" s="1" t="s">
        <v>32</v>
      </c>
      <c r="E1037" s="1" t="s">
        <v>33</v>
      </c>
      <c r="F1037" s="1" t="s">
        <v>19</v>
      </c>
      <c r="G1037" s="1" t="s">
        <v>20</v>
      </c>
      <c r="H1037" t="s">
        <v>30</v>
      </c>
      <c r="I1037" s="1" t="s">
        <v>26</v>
      </c>
      <c r="J1037" s="2">
        <v>43525.739918981482</v>
      </c>
      <c r="K1037" s="2">
        <v>43532.739918981482</v>
      </c>
      <c r="L1037" s="2">
        <v>43531.739918981482</v>
      </c>
      <c r="M1037" s="1">
        <f>_xlfn.DAYS(Table1[[#This Row],[actual_delivery_date]],Table1[[#This Row],[dispatch_date]])</f>
        <v>7</v>
      </c>
      <c r="N1037">
        <v>68</v>
      </c>
      <c r="O1037">
        <f>Table1[[#This Row],[transit_storage_cost]] * (1-'What -if Analysis'!$D$26)</f>
        <v>68</v>
      </c>
      <c r="P1037">
        <v>94</v>
      </c>
      <c r="Q1037">
        <v>922.33</v>
      </c>
    </row>
    <row r="1038" spans="1:17" x14ac:dyDescent="0.3">
      <c r="A1038">
        <v>573556</v>
      </c>
      <c r="B1038" s="1" t="s">
        <v>39</v>
      </c>
      <c r="C1038" s="1" t="s">
        <v>16</v>
      </c>
      <c r="D1038" s="1" t="s">
        <v>23</v>
      </c>
      <c r="E1038" s="1" t="s">
        <v>28</v>
      </c>
      <c r="F1038" s="1" t="s">
        <v>19</v>
      </c>
      <c r="G1038" s="1" t="s">
        <v>20</v>
      </c>
      <c r="H1038" t="s">
        <v>21</v>
      </c>
      <c r="I1038" s="1" t="s">
        <v>22</v>
      </c>
      <c r="J1038" s="2">
        <v>43528.742048611108</v>
      </c>
      <c r="K1038" s="2">
        <v>43532.742048611108</v>
      </c>
      <c r="L1038" s="2">
        <v>43534.742048611108</v>
      </c>
      <c r="M1038" s="1">
        <f>_xlfn.DAYS(Table1[[#This Row],[actual_delivery_date]],Table1[[#This Row],[dispatch_date]])</f>
        <v>4</v>
      </c>
      <c r="N1038">
        <v>70</v>
      </c>
      <c r="O1038">
        <f>Table1[[#This Row],[transit_storage_cost]] * (1-'What -if Analysis'!$D$26)</f>
        <v>70</v>
      </c>
      <c r="P1038">
        <v>106</v>
      </c>
      <c r="Q1038">
        <v>2255.5173821806607</v>
      </c>
    </row>
    <row r="1039" spans="1:17" x14ac:dyDescent="0.3">
      <c r="A1039">
        <v>168440</v>
      </c>
      <c r="B1039" s="1" t="s">
        <v>38</v>
      </c>
      <c r="C1039" s="1" t="s">
        <v>16</v>
      </c>
      <c r="D1039" s="1" t="s">
        <v>17</v>
      </c>
      <c r="E1039" s="1" t="s">
        <v>18</v>
      </c>
      <c r="F1039" s="1" t="s">
        <v>19</v>
      </c>
      <c r="G1039" s="1" t="s">
        <v>20</v>
      </c>
      <c r="H1039" t="s">
        <v>21</v>
      </c>
      <c r="I1039" s="1" t="s">
        <v>22</v>
      </c>
      <c r="J1039" s="2">
        <v>43529.744699074072</v>
      </c>
      <c r="K1039" s="2">
        <v>43532.744699074072</v>
      </c>
      <c r="L1039" s="2">
        <v>43534.744699074072</v>
      </c>
      <c r="M1039" s="1">
        <f>_xlfn.DAYS(Table1[[#This Row],[actual_delivery_date]],Table1[[#This Row],[dispatch_date]])</f>
        <v>3</v>
      </c>
      <c r="N1039">
        <v>28</v>
      </c>
      <c r="O1039">
        <f>Table1[[#This Row],[transit_storage_cost]] * (1-'What -if Analysis'!$D$26)</f>
        <v>28</v>
      </c>
      <c r="P1039">
        <v>114</v>
      </c>
      <c r="Q1039">
        <v>3085.1818683952656</v>
      </c>
    </row>
    <row r="1040" spans="1:17" x14ac:dyDescent="0.3">
      <c r="A1040">
        <v>753860</v>
      </c>
      <c r="B1040" s="1" t="s">
        <v>15</v>
      </c>
      <c r="C1040" s="1" t="s">
        <v>23</v>
      </c>
      <c r="D1040" s="1" t="s">
        <v>16</v>
      </c>
      <c r="E1040" s="1" t="s">
        <v>27</v>
      </c>
      <c r="F1040" s="1" t="s">
        <v>19</v>
      </c>
      <c r="G1040" s="1" t="s">
        <v>20</v>
      </c>
      <c r="H1040" t="s">
        <v>21</v>
      </c>
      <c r="I1040" s="1" t="s">
        <v>22</v>
      </c>
      <c r="J1040" s="2">
        <v>43530.751793981479</v>
      </c>
      <c r="K1040" s="2">
        <v>43532.751793981479</v>
      </c>
      <c r="L1040" s="2">
        <v>43537.751793981479</v>
      </c>
      <c r="M1040" s="1">
        <f>_xlfn.DAYS(Table1[[#This Row],[actual_delivery_date]],Table1[[#This Row],[dispatch_date]])</f>
        <v>2</v>
      </c>
      <c r="N1040">
        <v>74</v>
      </c>
      <c r="O1040">
        <f>Table1[[#This Row],[transit_storage_cost]] * (1-'What -if Analysis'!$D$26)</f>
        <v>74</v>
      </c>
      <c r="P1040">
        <v>107</v>
      </c>
      <c r="Q1040">
        <v>3448.9973133719714</v>
      </c>
    </row>
    <row r="1041" spans="1:17" x14ac:dyDescent="0.3">
      <c r="A1041">
        <v>72758</v>
      </c>
      <c r="B1041" s="1" t="s">
        <v>15</v>
      </c>
      <c r="C1041" s="1" t="s">
        <v>23</v>
      </c>
      <c r="D1041" s="1" t="s">
        <v>23</v>
      </c>
      <c r="E1041" s="1" t="s">
        <v>28</v>
      </c>
      <c r="F1041" s="1" t="s">
        <v>31</v>
      </c>
      <c r="G1041" s="1" t="s">
        <v>20</v>
      </c>
      <c r="H1041" t="s">
        <v>21</v>
      </c>
      <c r="I1041" s="1" t="s">
        <v>22</v>
      </c>
      <c r="J1041" s="2">
        <v>43531.771203703705</v>
      </c>
      <c r="K1041" s="2">
        <v>43532.771203703705</v>
      </c>
      <c r="L1041" s="2">
        <v>43536.771203703705</v>
      </c>
      <c r="M1041" s="1">
        <f>_xlfn.DAYS(Table1[[#This Row],[actual_delivery_date]],Table1[[#This Row],[dispatch_date]])</f>
        <v>1</v>
      </c>
      <c r="N1041">
        <v>0</v>
      </c>
      <c r="O1041">
        <f>Table1[[#This Row],[transit_storage_cost]] * (1-'What -if Analysis'!$D$26)</f>
        <v>0</v>
      </c>
      <c r="P1041">
        <v>123</v>
      </c>
      <c r="Q1041">
        <v>1231</v>
      </c>
    </row>
    <row r="1042" spans="1:17" x14ac:dyDescent="0.3">
      <c r="A1042">
        <v>996475</v>
      </c>
      <c r="B1042" s="1" t="s">
        <v>41</v>
      </c>
      <c r="C1042" s="1" t="s">
        <v>23</v>
      </c>
      <c r="D1042" s="1" t="s">
        <v>24</v>
      </c>
      <c r="E1042" s="1" t="s">
        <v>25</v>
      </c>
      <c r="F1042" s="1" t="s">
        <v>29</v>
      </c>
      <c r="G1042" s="1" t="s">
        <v>20</v>
      </c>
      <c r="H1042" t="s">
        <v>30</v>
      </c>
      <c r="I1042" s="1" t="s">
        <v>22</v>
      </c>
      <c r="J1042" s="2">
        <v>43528.77134259259</v>
      </c>
      <c r="K1042" s="2">
        <v>43532.77134259259</v>
      </c>
      <c r="L1042" s="2">
        <v>43534.77134259259</v>
      </c>
      <c r="M1042" s="1">
        <f>_xlfn.DAYS(Table1[[#This Row],[actual_delivery_date]],Table1[[#This Row],[dispatch_date]])</f>
        <v>4</v>
      </c>
      <c r="N1042">
        <v>30</v>
      </c>
      <c r="O1042">
        <f>Table1[[#This Row],[transit_storage_cost]] * (1-'What -if Analysis'!$D$26)</f>
        <v>30</v>
      </c>
      <c r="P1042">
        <v>127</v>
      </c>
      <c r="Q1042">
        <v>1183.6142038474638</v>
      </c>
    </row>
    <row r="1043" spans="1:17" x14ac:dyDescent="0.3">
      <c r="A1043">
        <v>165913</v>
      </c>
      <c r="B1043" s="1" t="s">
        <v>38</v>
      </c>
      <c r="C1043" s="1" t="s">
        <v>16</v>
      </c>
      <c r="D1043" s="1" t="s">
        <v>16</v>
      </c>
      <c r="E1043" s="1" t="s">
        <v>27</v>
      </c>
      <c r="F1043" s="1" t="s">
        <v>29</v>
      </c>
      <c r="G1043" s="1" t="s">
        <v>20</v>
      </c>
      <c r="H1043" t="s">
        <v>30</v>
      </c>
      <c r="I1043" s="1" t="s">
        <v>22</v>
      </c>
      <c r="J1043" s="2">
        <v>43528.779907407406</v>
      </c>
      <c r="K1043" s="2">
        <v>43532.779907407406</v>
      </c>
      <c r="L1043" s="2">
        <v>43533.779907407406</v>
      </c>
      <c r="M1043" s="1">
        <f>_xlfn.DAYS(Table1[[#This Row],[actual_delivery_date]],Table1[[#This Row],[dispatch_date]])</f>
        <v>4</v>
      </c>
      <c r="N1043">
        <v>0</v>
      </c>
      <c r="O1043">
        <f>Table1[[#This Row],[transit_storage_cost]] * (1-'What -if Analysis'!$D$26)</f>
        <v>0</v>
      </c>
      <c r="P1043">
        <v>122</v>
      </c>
      <c r="Q1043">
        <v>1794.2073067701472</v>
      </c>
    </row>
    <row r="1044" spans="1:17" x14ac:dyDescent="0.3">
      <c r="A1044">
        <v>824793</v>
      </c>
      <c r="B1044" s="1" t="s">
        <v>38</v>
      </c>
      <c r="C1044" s="1" t="s">
        <v>16</v>
      </c>
      <c r="D1044" s="1" t="s">
        <v>17</v>
      </c>
      <c r="E1044" s="1" t="s">
        <v>18</v>
      </c>
      <c r="F1044" s="1" t="s">
        <v>19</v>
      </c>
      <c r="G1044" s="1" t="s">
        <v>20</v>
      </c>
      <c r="H1044" t="s">
        <v>30</v>
      </c>
      <c r="I1044" s="1" t="s">
        <v>26</v>
      </c>
      <c r="J1044" s="2">
        <v>43527.790694444448</v>
      </c>
      <c r="K1044" s="2">
        <v>43532.790694444448</v>
      </c>
      <c r="L1044" s="2">
        <v>43530.790694444448</v>
      </c>
      <c r="M1044" s="1">
        <f>_xlfn.DAYS(Table1[[#This Row],[actual_delivery_date]],Table1[[#This Row],[dispatch_date]])</f>
        <v>5</v>
      </c>
      <c r="N1044">
        <v>77</v>
      </c>
      <c r="O1044">
        <f>Table1[[#This Row],[transit_storage_cost]] * (1-'What -if Analysis'!$D$26)</f>
        <v>77</v>
      </c>
      <c r="P1044">
        <v>91</v>
      </c>
      <c r="Q1044">
        <v>3538.28</v>
      </c>
    </row>
    <row r="1045" spans="1:17" x14ac:dyDescent="0.3">
      <c r="A1045">
        <v>88474</v>
      </c>
      <c r="B1045" s="1" t="s">
        <v>41</v>
      </c>
      <c r="C1045" s="1" t="s">
        <v>23</v>
      </c>
      <c r="D1045" s="1" t="s">
        <v>17</v>
      </c>
      <c r="E1045" s="1" t="s">
        <v>18</v>
      </c>
      <c r="F1045" s="1" t="s">
        <v>31</v>
      </c>
      <c r="G1045" s="1" t="s">
        <v>20</v>
      </c>
      <c r="H1045" t="s">
        <v>21</v>
      </c>
      <c r="I1045" s="1" t="s">
        <v>22</v>
      </c>
      <c r="J1045" s="2">
        <v>43525.791909722226</v>
      </c>
      <c r="K1045" s="2">
        <v>43532.791909722226</v>
      </c>
      <c r="L1045" s="2">
        <v>43529.791909722226</v>
      </c>
      <c r="M1045" s="1">
        <f>_xlfn.DAYS(Table1[[#This Row],[actual_delivery_date]],Table1[[#This Row],[dispatch_date]])</f>
        <v>7</v>
      </c>
      <c r="N1045">
        <v>42</v>
      </c>
      <c r="O1045">
        <f>Table1[[#This Row],[transit_storage_cost]] * (1-'What -if Analysis'!$D$26)</f>
        <v>42</v>
      </c>
      <c r="P1045">
        <v>112</v>
      </c>
      <c r="Q1045">
        <v>507.93215981850398</v>
      </c>
    </row>
    <row r="1046" spans="1:17" x14ac:dyDescent="0.3">
      <c r="A1046">
        <v>553690</v>
      </c>
      <c r="B1046" s="1" t="s">
        <v>40</v>
      </c>
      <c r="C1046" s="1" t="s">
        <v>23</v>
      </c>
      <c r="D1046" s="1" t="s">
        <v>16</v>
      </c>
      <c r="E1046" s="1" t="s">
        <v>27</v>
      </c>
      <c r="F1046" s="1" t="s">
        <v>31</v>
      </c>
      <c r="G1046" s="1" t="s">
        <v>20</v>
      </c>
      <c r="H1046" t="s">
        <v>21</v>
      </c>
      <c r="I1046" s="1" t="s">
        <v>22</v>
      </c>
      <c r="J1046" s="2">
        <v>43526.794328703705</v>
      </c>
      <c r="K1046" s="2">
        <v>43532.794328703705</v>
      </c>
      <c r="L1046" s="2">
        <v>43529.794328703705</v>
      </c>
      <c r="M1046" s="1">
        <f>_xlfn.DAYS(Table1[[#This Row],[actual_delivery_date]],Table1[[#This Row],[dispatch_date]])</f>
        <v>6</v>
      </c>
      <c r="N1046">
        <v>31</v>
      </c>
      <c r="O1046">
        <f>Table1[[#This Row],[transit_storage_cost]] * (1-'What -if Analysis'!$D$26)</f>
        <v>31</v>
      </c>
      <c r="P1046">
        <v>126</v>
      </c>
      <c r="Q1046">
        <v>2623.5068171231856</v>
      </c>
    </row>
    <row r="1047" spans="1:17" x14ac:dyDescent="0.3">
      <c r="A1047">
        <v>647410</v>
      </c>
      <c r="B1047" s="1" t="s">
        <v>38</v>
      </c>
      <c r="C1047" s="1" t="s">
        <v>16</v>
      </c>
      <c r="D1047" s="1" t="s">
        <v>23</v>
      </c>
      <c r="E1047" s="1" t="s">
        <v>28</v>
      </c>
      <c r="F1047" s="1" t="s">
        <v>31</v>
      </c>
      <c r="G1047" s="1" t="s">
        <v>20</v>
      </c>
      <c r="H1047" t="s">
        <v>21</v>
      </c>
      <c r="I1047" s="1" t="s">
        <v>22</v>
      </c>
      <c r="J1047" s="2">
        <v>43528.796354166669</v>
      </c>
      <c r="K1047" s="2">
        <v>43532.796354166669</v>
      </c>
      <c r="L1047" s="2">
        <v>43532.796354166669</v>
      </c>
      <c r="M1047" s="1">
        <f>_xlfn.DAYS(Table1[[#This Row],[actual_delivery_date]],Table1[[#This Row],[dispatch_date]])</f>
        <v>4</v>
      </c>
      <c r="N1047">
        <v>25</v>
      </c>
      <c r="O1047">
        <f>Table1[[#This Row],[transit_storage_cost]] * (1-'What -if Analysis'!$D$26)</f>
        <v>25</v>
      </c>
      <c r="P1047">
        <v>120</v>
      </c>
      <c r="Q1047">
        <v>3243.9570610403239</v>
      </c>
    </row>
    <row r="1048" spans="1:17" x14ac:dyDescent="0.3">
      <c r="A1048">
        <v>271501</v>
      </c>
      <c r="B1048" s="1" t="s">
        <v>40</v>
      </c>
      <c r="C1048" s="1" t="s">
        <v>23</v>
      </c>
      <c r="D1048" s="1" t="s">
        <v>16</v>
      </c>
      <c r="E1048" s="1" t="s">
        <v>27</v>
      </c>
      <c r="F1048" s="1" t="s">
        <v>19</v>
      </c>
      <c r="G1048" s="1" t="s">
        <v>20</v>
      </c>
      <c r="H1048" t="s">
        <v>30</v>
      </c>
      <c r="I1048" s="1" t="s">
        <v>22</v>
      </c>
      <c r="J1048" s="2">
        <v>43530.800011574072</v>
      </c>
      <c r="K1048" s="2">
        <v>43532.800011574072</v>
      </c>
      <c r="L1048" s="2">
        <v>43533.800011574072</v>
      </c>
      <c r="M1048" s="1">
        <f>_xlfn.DAYS(Table1[[#This Row],[actual_delivery_date]],Table1[[#This Row],[dispatch_date]])</f>
        <v>2</v>
      </c>
      <c r="N1048">
        <v>75</v>
      </c>
      <c r="O1048">
        <f>Table1[[#This Row],[transit_storage_cost]] * (1-'What -if Analysis'!$D$26)</f>
        <v>75</v>
      </c>
      <c r="P1048">
        <v>103</v>
      </c>
      <c r="Q1048">
        <v>2452.273867670734</v>
      </c>
    </row>
    <row r="1049" spans="1:17" x14ac:dyDescent="0.3">
      <c r="A1049">
        <v>102956</v>
      </c>
      <c r="B1049" s="1" t="s">
        <v>38</v>
      </c>
      <c r="C1049" s="1" t="s">
        <v>23</v>
      </c>
      <c r="D1049" s="1" t="s">
        <v>16</v>
      </c>
      <c r="E1049" s="1" t="s">
        <v>27</v>
      </c>
      <c r="F1049" s="1" t="s">
        <v>19</v>
      </c>
      <c r="G1049" s="1" t="s">
        <v>20</v>
      </c>
      <c r="H1049" t="s">
        <v>21</v>
      </c>
      <c r="I1049" s="1" t="s">
        <v>22</v>
      </c>
      <c r="J1049" s="2">
        <v>43530.801076388889</v>
      </c>
      <c r="K1049" s="2">
        <v>43532.801076388889</v>
      </c>
      <c r="L1049" s="2">
        <v>43533.801076388889</v>
      </c>
      <c r="M1049" s="1">
        <f>_xlfn.DAYS(Table1[[#This Row],[actual_delivery_date]],Table1[[#This Row],[dispatch_date]])</f>
        <v>2</v>
      </c>
      <c r="N1049">
        <v>45</v>
      </c>
      <c r="O1049">
        <f>Table1[[#This Row],[transit_storage_cost]] * (1-'What -if Analysis'!$D$26)</f>
        <v>45</v>
      </c>
      <c r="P1049">
        <v>129</v>
      </c>
      <c r="Q1049">
        <v>2253.4562572936338</v>
      </c>
    </row>
    <row r="1050" spans="1:17" x14ac:dyDescent="0.3">
      <c r="A1050">
        <v>940542</v>
      </c>
      <c r="B1050" s="1" t="s">
        <v>37</v>
      </c>
      <c r="C1050" s="1" t="s">
        <v>16</v>
      </c>
      <c r="D1050" s="1" t="s">
        <v>23</v>
      </c>
      <c r="E1050" s="1" t="s">
        <v>28</v>
      </c>
      <c r="F1050" s="1" t="s">
        <v>31</v>
      </c>
      <c r="G1050" s="1" t="s">
        <v>20</v>
      </c>
      <c r="H1050" t="s">
        <v>21</v>
      </c>
      <c r="I1050" s="1" t="s">
        <v>26</v>
      </c>
      <c r="J1050" s="2">
        <v>43526.802233796298</v>
      </c>
      <c r="K1050" s="2">
        <v>43532.802233796298</v>
      </c>
      <c r="L1050" s="2">
        <v>43532.802233796298</v>
      </c>
      <c r="M1050" s="1">
        <f>_xlfn.DAYS(Table1[[#This Row],[actual_delivery_date]],Table1[[#This Row],[dispatch_date]])</f>
        <v>6</v>
      </c>
      <c r="N1050">
        <v>32</v>
      </c>
      <c r="O1050">
        <f>Table1[[#This Row],[transit_storage_cost]] * (1-'What -if Analysis'!$D$26)</f>
        <v>32</v>
      </c>
      <c r="P1050">
        <v>123</v>
      </c>
      <c r="Q1050">
        <v>2789.99</v>
      </c>
    </row>
    <row r="1051" spans="1:17" x14ac:dyDescent="0.3">
      <c r="A1051">
        <v>559426</v>
      </c>
      <c r="B1051" s="1" t="s">
        <v>37</v>
      </c>
      <c r="C1051" s="1" t="s">
        <v>16</v>
      </c>
      <c r="D1051" s="1" t="s">
        <v>16</v>
      </c>
      <c r="E1051" s="1" t="s">
        <v>27</v>
      </c>
      <c r="F1051" s="1" t="s">
        <v>31</v>
      </c>
      <c r="G1051" s="1" t="s">
        <v>20</v>
      </c>
      <c r="H1051" t="s">
        <v>21</v>
      </c>
      <c r="I1051" s="1" t="s">
        <v>22</v>
      </c>
      <c r="J1051" s="2">
        <v>43526.80263888889</v>
      </c>
      <c r="K1051" s="2">
        <v>43532.80263888889</v>
      </c>
      <c r="L1051" s="2">
        <v>43533.80263888889</v>
      </c>
      <c r="M1051" s="1">
        <f>_xlfn.DAYS(Table1[[#This Row],[actual_delivery_date]],Table1[[#This Row],[dispatch_date]])</f>
        <v>6</v>
      </c>
      <c r="N1051">
        <v>0</v>
      </c>
      <c r="O1051">
        <f>Table1[[#This Row],[transit_storage_cost]] * (1-'What -if Analysis'!$D$26)</f>
        <v>0</v>
      </c>
      <c r="P1051">
        <v>123</v>
      </c>
      <c r="Q1051">
        <v>1836.8734898051475</v>
      </c>
    </row>
    <row r="1052" spans="1:17" x14ac:dyDescent="0.3">
      <c r="A1052">
        <v>881007</v>
      </c>
      <c r="B1052" s="1" t="s">
        <v>39</v>
      </c>
      <c r="C1052" s="1" t="s">
        <v>16</v>
      </c>
      <c r="D1052" s="1" t="s">
        <v>17</v>
      </c>
      <c r="E1052" s="1" t="s">
        <v>18</v>
      </c>
      <c r="F1052" s="1" t="s">
        <v>29</v>
      </c>
      <c r="G1052" s="1" t="s">
        <v>20</v>
      </c>
      <c r="H1052" t="s">
        <v>30</v>
      </c>
      <c r="I1052" s="1" t="s">
        <v>26</v>
      </c>
      <c r="J1052" s="2">
        <v>43526.804108796299</v>
      </c>
      <c r="K1052" s="2">
        <v>43532.804108796299</v>
      </c>
      <c r="L1052" s="2">
        <v>43533.804108796299</v>
      </c>
      <c r="M1052" s="1">
        <f>_xlfn.DAYS(Table1[[#This Row],[actual_delivery_date]],Table1[[#This Row],[dispatch_date]])</f>
        <v>6</v>
      </c>
      <c r="N1052">
        <v>43</v>
      </c>
      <c r="O1052">
        <f>Table1[[#This Row],[transit_storage_cost]] * (1-'What -if Analysis'!$D$26)</f>
        <v>43</v>
      </c>
      <c r="P1052">
        <v>110</v>
      </c>
      <c r="Q1052">
        <v>1481.38</v>
      </c>
    </row>
    <row r="1053" spans="1:17" x14ac:dyDescent="0.3">
      <c r="A1053">
        <v>981044</v>
      </c>
      <c r="B1053" s="1" t="s">
        <v>39</v>
      </c>
      <c r="C1053" s="1" t="s">
        <v>23</v>
      </c>
      <c r="D1053" s="1" t="s">
        <v>17</v>
      </c>
      <c r="E1053" s="1" t="s">
        <v>18</v>
      </c>
      <c r="F1053" s="1" t="s">
        <v>19</v>
      </c>
      <c r="G1053" s="1" t="s">
        <v>20</v>
      </c>
      <c r="H1053" t="s">
        <v>21</v>
      </c>
      <c r="I1053" s="1" t="s">
        <v>22</v>
      </c>
      <c r="J1053" s="2">
        <v>43528.822962962964</v>
      </c>
      <c r="K1053" s="2">
        <v>43532.822962962964</v>
      </c>
      <c r="L1053" s="2">
        <v>43534.822962962964</v>
      </c>
      <c r="M1053" s="1">
        <f>_xlfn.DAYS(Table1[[#This Row],[actual_delivery_date]],Table1[[#This Row],[dispatch_date]])</f>
        <v>4</v>
      </c>
      <c r="N1053">
        <v>67</v>
      </c>
      <c r="O1053">
        <f>Table1[[#This Row],[transit_storage_cost]] * (1-'What -if Analysis'!$D$26)</f>
        <v>67</v>
      </c>
      <c r="P1053">
        <v>92</v>
      </c>
      <c r="Q1053">
        <v>1157.2699942278532</v>
      </c>
    </row>
    <row r="1054" spans="1:17" x14ac:dyDescent="0.3">
      <c r="A1054">
        <v>457049</v>
      </c>
      <c r="B1054" s="1" t="s">
        <v>38</v>
      </c>
      <c r="C1054" s="1" t="s">
        <v>16</v>
      </c>
      <c r="D1054" s="1" t="s">
        <v>17</v>
      </c>
      <c r="E1054" s="1" t="s">
        <v>18</v>
      </c>
      <c r="F1054" s="1" t="s">
        <v>29</v>
      </c>
      <c r="G1054" s="1" t="s">
        <v>20</v>
      </c>
      <c r="H1054" t="s">
        <v>30</v>
      </c>
      <c r="I1054" s="1" t="s">
        <v>22</v>
      </c>
      <c r="J1054" s="2">
        <v>43528.823078703703</v>
      </c>
      <c r="K1054" s="2">
        <v>43532.823078703703</v>
      </c>
      <c r="L1054" s="2">
        <v>43534.823078703703</v>
      </c>
      <c r="M1054" s="1">
        <f>_xlfn.DAYS(Table1[[#This Row],[actual_delivery_date]],Table1[[#This Row],[dispatch_date]])</f>
        <v>4</v>
      </c>
      <c r="N1054">
        <v>26</v>
      </c>
      <c r="O1054">
        <f>Table1[[#This Row],[transit_storage_cost]] * (1-'What -if Analysis'!$D$26)</f>
        <v>26</v>
      </c>
      <c r="P1054">
        <v>106</v>
      </c>
      <c r="Q1054">
        <v>2866.1117637648417</v>
      </c>
    </row>
    <row r="1055" spans="1:17" x14ac:dyDescent="0.3">
      <c r="A1055">
        <v>405205</v>
      </c>
      <c r="B1055" s="1" t="s">
        <v>37</v>
      </c>
      <c r="C1055" s="1" t="s">
        <v>16</v>
      </c>
      <c r="D1055" s="1" t="s">
        <v>32</v>
      </c>
      <c r="E1055" s="1" t="s">
        <v>33</v>
      </c>
      <c r="F1055" s="1" t="s">
        <v>19</v>
      </c>
      <c r="G1055" s="1" t="s">
        <v>20</v>
      </c>
      <c r="H1055" t="s">
        <v>30</v>
      </c>
      <c r="I1055" s="1" t="s">
        <v>22</v>
      </c>
      <c r="J1055" s="2">
        <v>43529.825902777775</v>
      </c>
      <c r="K1055" s="2">
        <v>43532.825902777775</v>
      </c>
      <c r="L1055" s="2">
        <v>43532.825902777775</v>
      </c>
      <c r="M1055" s="1">
        <f>_xlfn.DAYS(Table1[[#This Row],[actual_delivery_date]],Table1[[#This Row],[dispatch_date]])</f>
        <v>3</v>
      </c>
      <c r="N1055">
        <v>79</v>
      </c>
      <c r="O1055">
        <f>Table1[[#This Row],[transit_storage_cost]] * (1-'What -if Analysis'!$D$26)</f>
        <v>79</v>
      </c>
      <c r="P1055">
        <v>92</v>
      </c>
      <c r="Q1055">
        <v>2399.9790880269616</v>
      </c>
    </row>
    <row r="1056" spans="1:17" x14ac:dyDescent="0.3">
      <c r="A1056">
        <v>617326</v>
      </c>
      <c r="B1056" s="1" t="s">
        <v>37</v>
      </c>
      <c r="C1056" s="1" t="s">
        <v>16</v>
      </c>
      <c r="D1056" s="1" t="s">
        <v>17</v>
      </c>
      <c r="E1056" s="1" t="s">
        <v>18</v>
      </c>
      <c r="F1056" s="1" t="s">
        <v>31</v>
      </c>
      <c r="G1056" s="1" t="s">
        <v>20</v>
      </c>
      <c r="H1056" t="s">
        <v>21</v>
      </c>
      <c r="I1056" s="1" t="s">
        <v>22</v>
      </c>
      <c r="J1056" s="2">
        <v>43527.826655092591</v>
      </c>
      <c r="K1056" s="2">
        <v>43532.826655092591</v>
      </c>
      <c r="L1056" s="2">
        <v>43532.826655092591</v>
      </c>
      <c r="M1056" s="1">
        <f>_xlfn.DAYS(Table1[[#This Row],[actual_delivery_date]],Table1[[#This Row],[dispatch_date]])</f>
        <v>5</v>
      </c>
      <c r="N1056">
        <v>37</v>
      </c>
      <c r="O1056">
        <f>Table1[[#This Row],[transit_storage_cost]] * (1-'What -if Analysis'!$D$26)</f>
        <v>37</v>
      </c>
      <c r="P1056">
        <v>115</v>
      </c>
      <c r="Q1056">
        <v>3573.3243878262456</v>
      </c>
    </row>
    <row r="1057" spans="1:17" x14ac:dyDescent="0.3">
      <c r="A1057">
        <v>21039</v>
      </c>
      <c r="B1057" s="1" t="s">
        <v>37</v>
      </c>
      <c r="C1057" s="1" t="s">
        <v>16</v>
      </c>
      <c r="D1057" s="1" t="s">
        <v>16</v>
      </c>
      <c r="E1057" s="1" t="s">
        <v>27</v>
      </c>
      <c r="F1057" s="1" t="s">
        <v>29</v>
      </c>
      <c r="G1057" s="1" t="s">
        <v>20</v>
      </c>
      <c r="H1057" t="s">
        <v>30</v>
      </c>
      <c r="I1057" s="1" t="s">
        <v>26</v>
      </c>
      <c r="J1057" s="2">
        <v>43526.827175925922</v>
      </c>
      <c r="K1057" s="2">
        <v>43532.827175925922</v>
      </c>
      <c r="L1057" s="2">
        <v>43533.827175925922</v>
      </c>
      <c r="M1057" s="1">
        <f>_xlfn.DAYS(Table1[[#This Row],[actual_delivery_date]],Table1[[#This Row],[dispatch_date]])</f>
        <v>6</v>
      </c>
      <c r="N1057">
        <v>0</v>
      </c>
      <c r="O1057">
        <f>Table1[[#This Row],[transit_storage_cost]] * (1-'What -if Analysis'!$D$26)</f>
        <v>0</v>
      </c>
      <c r="P1057">
        <v>126</v>
      </c>
      <c r="Q1057">
        <v>213.18</v>
      </c>
    </row>
    <row r="1058" spans="1:17" x14ac:dyDescent="0.3">
      <c r="A1058">
        <v>73200</v>
      </c>
      <c r="B1058" s="1" t="s">
        <v>37</v>
      </c>
      <c r="C1058" s="1" t="s">
        <v>16</v>
      </c>
      <c r="D1058" s="1" t="s">
        <v>23</v>
      </c>
      <c r="E1058" s="1" t="s">
        <v>28</v>
      </c>
      <c r="F1058" s="1" t="s">
        <v>19</v>
      </c>
      <c r="G1058" s="1" t="s">
        <v>20</v>
      </c>
      <c r="H1058" t="s">
        <v>21</v>
      </c>
      <c r="I1058" s="1" t="s">
        <v>26</v>
      </c>
      <c r="J1058" s="2">
        <v>43528.846643518518</v>
      </c>
      <c r="K1058" s="2">
        <v>43532.846643518518</v>
      </c>
      <c r="L1058" s="2">
        <v>43535.846643518518</v>
      </c>
      <c r="M1058" s="1">
        <f>_xlfn.DAYS(Table1[[#This Row],[actual_delivery_date]],Table1[[#This Row],[dispatch_date]])</f>
        <v>4</v>
      </c>
      <c r="N1058">
        <v>38</v>
      </c>
      <c r="O1058">
        <f>Table1[[#This Row],[transit_storage_cost]] * (1-'What -if Analysis'!$D$26)</f>
        <v>38</v>
      </c>
      <c r="P1058">
        <v>122</v>
      </c>
      <c r="Q1058">
        <v>2891.51</v>
      </c>
    </row>
    <row r="1059" spans="1:17" x14ac:dyDescent="0.3">
      <c r="A1059">
        <v>875248</v>
      </c>
      <c r="B1059" s="1" t="s">
        <v>39</v>
      </c>
      <c r="C1059" s="1" t="s">
        <v>16</v>
      </c>
      <c r="D1059" s="1" t="s">
        <v>17</v>
      </c>
      <c r="E1059" s="1" t="s">
        <v>18</v>
      </c>
      <c r="F1059" s="1" t="s">
        <v>19</v>
      </c>
      <c r="G1059" s="1" t="s">
        <v>20</v>
      </c>
      <c r="H1059" t="s">
        <v>21</v>
      </c>
      <c r="I1059" s="1" t="s">
        <v>22</v>
      </c>
      <c r="J1059" s="2">
        <v>43526.850254629629</v>
      </c>
      <c r="K1059" s="2">
        <v>43532.850254629629</v>
      </c>
      <c r="L1059" s="2">
        <v>43533.850254629629</v>
      </c>
      <c r="M1059" s="1">
        <f>_xlfn.DAYS(Table1[[#This Row],[actual_delivery_date]],Table1[[#This Row],[dispatch_date]])</f>
        <v>6</v>
      </c>
      <c r="N1059">
        <v>39</v>
      </c>
      <c r="O1059">
        <f>Table1[[#This Row],[transit_storage_cost]] * (1-'What -if Analysis'!$D$26)</f>
        <v>39</v>
      </c>
      <c r="P1059">
        <v>112</v>
      </c>
      <c r="Q1059">
        <v>1412.6628964294855</v>
      </c>
    </row>
    <row r="1060" spans="1:17" x14ac:dyDescent="0.3">
      <c r="A1060">
        <v>757627</v>
      </c>
      <c r="B1060" s="1" t="s">
        <v>38</v>
      </c>
      <c r="C1060" s="1" t="s">
        <v>23</v>
      </c>
      <c r="D1060" s="1" t="s">
        <v>23</v>
      </c>
      <c r="E1060" s="1" t="s">
        <v>28</v>
      </c>
      <c r="F1060" s="1" t="s">
        <v>19</v>
      </c>
      <c r="G1060" s="1" t="s">
        <v>20</v>
      </c>
      <c r="H1060" t="s">
        <v>30</v>
      </c>
      <c r="I1060" s="1" t="s">
        <v>22</v>
      </c>
      <c r="J1060" s="2">
        <v>43528.854375000003</v>
      </c>
      <c r="K1060" s="2">
        <v>43532.854375000003</v>
      </c>
      <c r="L1060" s="2">
        <v>43535.854375000003</v>
      </c>
      <c r="M1060" s="1">
        <f>_xlfn.DAYS(Table1[[#This Row],[actual_delivery_date]],Table1[[#This Row],[dispatch_date]])</f>
        <v>4</v>
      </c>
      <c r="N1060">
        <v>0</v>
      </c>
      <c r="O1060">
        <f>Table1[[#This Row],[transit_storage_cost]] * (1-'What -if Analysis'!$D$26)</f>
        <v>0</v>
      </c>
      <c r="P1060">
        <v>104</v>
      </c>
      <c r="Q1060">
        <v>3772.6774401851671</v>
      </c>
    </row>
    <row r="1061" spans="1:17" x14ac:dyDescent="0.3">
      <c r="A1061">
        <v>978354</v>
      </c>
      <c r="B1061" s="1" t="s">
        <v>41</v>
      </c>
      <c r="C1061" s="1" t="s">
        <v>23</v>
      </c>
      <c r="D1061" s="1" t="s">
        <v>23</v>
      </c>
      <c r="E1061" s="1" t="s">
        <v>28</v>
      </c>
      <c r="F1061" s="1" t="s">
        <v>31</v>
      </c>
      <c r="G1061" s="1" t="s">
        <v>20</v>
      </c>
      <c r="H1061" t="s">
        <v>21</v>
      </c>
      <c r="I1061" s="1" t="s">
        <v>26</v>
      </c>
      <c r="J1061" s="2">
        <v>43528.856134259258</v>
      </c>
      <c r="K1061" s="2">
        <v>43532.856134259258</v>
      </c>
      <c r="L1061" s="2">
        <v>43534.856134259258</v>
      </c>
      <c r="M1061" s="1">
        <f>_xlfn.DAYS(Table1[[#This Row],[actual_delivery_date]],Table1[[#This Row],[dispatch_date]])</f>
        <v>4</v>
      </c>
      <c r="N1061">
        <v>0</v>
      </c>
      <c r="O1061">
        <f>Table1[[#This Row],[transit_storage_cost]] * (1-'What -if Analysis'!$D$26)</f>
        <v>0</v>
      </c>
      <c r="P1061">
        <v>120</v>
      </c>
      <c r="Q1061">
        <v>2895.43</v>
      </c>
    </row>
    <row r="1062" spans="1:17" x14ac:dyDescent="0.3">
      <c r="A1062">
        <v>220147</v>
      </c>
      <c r="B1062" s="1" t="s">
        <v>37</v>
      </c>
      <c r="C1062" s="1" t="s">
        <v>16</v>
      </c>
      <c r="D1062" s="1" t="s">
        <v>24</v>
      </c>
      <c r="E1062" s="1" t="s">
        <v>25</v>
      </c>
      <c r="F1062" s="1" t="s">
        <v>29</v>
      </c>
      <c r="G1062" s="1" t="s">
        <v>20</v>
      </c>
      <c r="H1062" t="s">
        <v>30</v>
      </c>
      <c r="I1062" s="1" t="s">
        <v>22</v>
      </c>
      <c r="J1062" s="2">
        <v>43526.858518518522</v>
      </c>
      <c r="K1062" s="2">
        <v>43532.858518518522</v>
      </c>
      <c r="L1062" s="2">
        <v>43531.858518518522</v>
      </c>
      <c r="M1062" s="1">
        <f>_xlfn.DAYS(Table1[[#This Row],[actual_delivery_date]],Table1[[#This Row],[dispatch_date]])</f>
        <v>6</v>
      </c>
      <c r="N1062">
        <v>44</v>
      </c>
      <c r="O1062">
        <f>Table1[[#This Row],[transit_storage_cost]] * (1-'What -if Analysis'!$D$26)</f>
        <v>44</v>
      </c>
      <c r="P1062">
        <v>125</v>
      </c>
      <c r="Q1062">
        <v>828.880147418256</v>
      </c>
    </row>
    <row r="1063" spans="1:17" x14ac:dyDescent="0.3">
      <c r="A1063">
        <v>963116</v>
      </c>
      <c r="B1063" s="1" t="s">
        <v>15</v>
      </c>
      <c r="C1063" s="1" t="s">
        <v>23</v>
      </c>
      <c r="D1063" s="1" t="s">
        <v>24</v>
      </c>
      <c r="E1063" s="1" t="s">
        <v>25</v>
      </c>
      <c r="F1063" s="1" t="s">
        <v>19</v>
      </c>
      <c r="G1063" s="1" t="s">
        <v>20</v>
      </c>
      <c r="H1063" t="s">
        <v>21</v>
      </c>
      <c r="I1063" s="1" t="s">
        <v>22</v>
      </c>
      <c r="J1063" s="2">
        <v>43525.862974537034</v>
      </c>
      <c r="K1063" s="2">
        <v>43532.862974537034</v>
      </c>
      <c r="L1063" s="2">
        <v>43532.862974537034</v>
      </c>
      <c r="M1063" s="1">
        <f>_xlfn.DAYS(Table1[[#This Row],[actual_delivery_date]],Table1[[#This Row],[dispatch_date]])</f>
        <v>7</v>
      </c>
      <c r="N1063">
        <v>38</v>
      </c>
      <c r="O1063">
        <f>Table1[[#This Row],[transit_storage_cost]] * (1-'What -if Analysis'!$D$26)</f>
        <v>38</v>
      </c>
      <c r="P1063">
        <v>121</v>
      </c>
      <c r="Q1063">
        <v>2028.1729258484552</v>
      </c>
    </row>
    <row r="1064" spans="1:17" x14ac:dyDescent="0.3">
      <c r="A1064">
        <v>102903</v>
      </c>
      <c r="B1064" s="1" t="s">
        <v>37</v>
      </c>
      <c r="C1064" s="1" t="s">
        <v>16</v>
      </c>
      <c r="D1064" s="1" t="s">
        <v>16</v>
      </c>
      <c r="E1064" s="1" t="s">
        <v>27</v>
      </c>
      <c r="F1064" s="1" t="s">
        <v>29</v>
      </c>
      <c r="G1064" s="1" t="s">
        <v>20</v>
      </c>
      <c r="H1064" t="s">
        <v>30</v>
      </c>
      <c r="I1064" s="1" t="s">
        <v>26</v>
      </c>
      <c r="J1064" s="2">
        <v>43529.864351851851</v>
      </c>
      <c r="K1064" s="2">
        <v>43532.864351851851</v>
      </c>
      <c r="L1064" s="2">
        <v>43532.864351851851</v>
      </c>
      <c r="M1064" s="1">
        <f>_xlfn.DAYS(Table1[[#This Row],[actual_delivery_date]],Table1[[#This Row],[dispatch_date]])</f>
        <v>3</v>
      </c>
      <c r="N1064">
        <v>0</v>
      </c>
      <c r="O1064">
        <f>Table1[[#This Row],[transit_storage_cost]] * (1-'What -if Analysis'!$D$26)</f>
        <v>0</v>
      </c>
      <c r="P1064">
        <v>127</v>
      </c>
      <c r="Q1064">
        <v>1504.44</v>
      </c>
    </row>
    <row r="1065" spans="1:17" x14ac:dyDescent="0.3">
      <c r="A1065">
        <v>765188</v>
      </c>
      <c r="B1065" s="1" t="s">
        <v>40</v>
      </c>
      <c r="C1065" s="1" t="s">
        <v>16</v>
      </c>
      <c r="D1065" s="1" t="s">
        <v>23</v>
      </c>
      <c r="E1065" s="1" t="s">
        <v>28</v>
      </c>
      <c r="F1065" s="1" t="s">
        <v>19</v>
      </c>
      <c r="G1065" s="1" t="s">
        <v>20</v>
      </c>
      <c r="H1065" t="s">
        <v>21</v>
      </c>
      <c r="I1065" s="1" t="s">
        <v>22</v>
      </c>
      <c r="J1065" s="2">
        <v>43526.869826388887</v>
      </c>
      <c r="K1065" s="2">
        <v>43532.869826388887</v>
      </c>
      <c r="L1065" s="2">
        <v>43532.869826388887</v>
      </c>
      <c r="M1065" s="1">
        <f>_xlfn.DAYS(Table1[[#This Row],[actual_delivery_date]],Table1[[#This Row],[dispatch_date]])</f>
        <v>6</v>
      </c>
      <c r="N1065">
        <v>27</v>
      </c>
      <c r="O1065">
        <f>Table1[[#This Row],[transit_storage_cost]] * (1-'What -if Analysis'!$D$26)</f>
        <v>27</v>
      </c>
      <c r="P1065">
        <v>122</v>
      </c>
      <c r="Q1065">
        <v>443.52958195933581</v>
      </c>
    </row>
    <row r="1066" spans="1:17" x14ac:dyDescent="0.3">
      <c r="A1066">
        <v>825402</v>
      </c>
      <c r="B1066" s="1" t="s">
        <v>41</v>
      </c>
      <c r="C1066" s="1" t="s">
        <v>16</v>
      </c>
      <c r="D1066" s="1" t="s">
        <v>23</v>
      </c>
      <c r="E1066" s="1" t="s">
        <v>28</v>
      </c>
      <c r="F1066" s="1" t="s">
        <v>31</v>
      </c>
      <c r="G1066" s="1" t="s">
        <v>20</v>
      </c>
      <c r="H1066" t="s">
        <v>21</v>
      </c>
      <c r="I1066" s="1" t="s">
        <v>26</v>
      </c>
      <c r="J1066" s="2">
        <v>43525.873425925929</v>
      </c>
      <c r="K1066" s="2">
        <v>43532.873425925929</v>
      </c>
      <c r="L1066" s="2">
        <v>43529.873425925929</v>
      </c>
      <c r="M1066" s="1">
        <f>_xlfn.DAYS(Table1[[#This Row],[actual_delivery_date]],Table1[[#This Row],[dispatch_date]])</f>
        <v>7</v>
      </c>
      <c r="N1066">
        <v>26</v>
      </c>
      <c r="O1066">
        <f>Table1[[#This Row],[transit_storage_cost]] * (1-'What -if Analysis'!$D$26)</f>
        <v>26</v>
      </c>
      <c r="P1066">
        <v>127</v>
      </c>
      <c r="Q1066">
        <v>1876.98</v>
      </c>
    </row>
    <row r="1067" spans="1:17" x14ac:dyDescent="0.3">
      <c r="A1067">
        <v>683364</v>
      </c>
      <c r="B1067" s="1" t="s">
        <v>41</v>
      </c>
      <c r="C1067" s="1" t="s">
        <v>23</v>
      </c>
      <c r="D1067" s="1" t="s">
        <v>32</v>
      </c>
      <c r="E1067" s="1" t="s">
        <v>33</v>
      </c>
      <c r="F1067" s="1" t="s">
        <v>19</v>
      </c>
      <c r="G1067" s="1" t="s">
        <v>20</v>
      </c>
      <c r="H1067" t="s">
        <v>21</v>
      </c>
      <c r="I1067" s="1" t="s">
        <v>26</v>
      </c>
      <c r="J1067" s="2">
        <v>43525.873553240737</v>
      </c>
      <c r="K1067" s="2">
        <v>43532.873553240737</v>
      </c>
      <c r="L1067" s="2">
        <v>43529.873553240737</v>
      </c>
      <c r="M1067" s="1">
        <f>_xlfn.DAYS(Table1[[#This Row],[actual_delivery_date]],Table1[[#This Row],[dispatch_date]])</f>
        <v>7</v>
      </c>
      <c r="N1067">
        <v>49</v>
      </c>
      <c r="O1067">
        <f>Table1[[#This Row],[transit_storage_cost]] * (1-'What -if Analysis'!$D$26)</f>
        <v>49</v>
      </c>
      <c r="P1067">
        <v>114</v>
      </c>
      <c r="Q1067">
        <v>2886.58</v>
      </c>
    </row>
    <row r="1068" spans="1:17" x14ac:dyDescent="0.3">
      <c r="A1068">
        <v>375012</v>
      </c>
      <c r="B1068" s="1" t="s">
        <v>37</v>
      </c>
      <c r="C1068" s="1" t="s">
        <v>23</v>
      </c>
      <c r="D1068" s="1" t="s">
        <v>17</v>
      </c>
      <c r="E1068" s="1" t="s">
        <v>18</v>
      </c>
      <c r="F1068" s="1" t="s">
        <v>19</v>
      </c>
      <c r="G1068" s="1" t="s">
        <v>20</v>
      </c>
      <c r="H1068" t="s">
        <v>21</v>
      </c>
      <c r="I1068" s="1" t="s">
        <v>26</v>
      </c>
      <c r="J1068" s="2">
        <v>43527.874907407408</v>
      </c>
      <c r="K1068" s="2">
        <v>43532.874907407408</v>
      </c>
      <c r="L1068" s="2">
        <v>43532.874907407408</v>
      </c>
      <c r="M1068" s="1">
        <f>_xlfn.DAYS(Table1[[#This Row],[actual_delivery_date]],Table1[[#This Row],[dispatch_date]])</f>
        <v>5</v>
      </c>
      <c r="N1068">
        <v>39</v>
      </c>
      <c r="O1068">
        <f>Table1[[#This Row],[transit_storage_cost]] * (1-'What -if Analysis'!$D$26)</f>
        <v>39</v>
      </c>
      <c r="P1068">
        <v>114</v>
      </c>
      <c r="Q1068">
        <v>3181.6</v>
      </c>
    </row>
    <row r="1069" spans="1:17" x14ac:dyDescent="0.3">
      <c r="A1069">
        <v>131293</v>
      </c>
      <c r="B1069" s="1" t="s">
        <v>41</v>
      </c>
      <c r="C1069" s="1" t="s">
        <v>16</v>
      </c>
      <c r="D1069" s="1" t="s">
        <v>16</v>
      </c>
      <c r="E1069" s="1" t="s">
        <v>27</v>
      </c>
      <c r="F1069" s="1" t="s">
        <v>29</v>
      </c>
      <c r="G1069" s="1" t="s">
        <v>20</v>
      </c>
      <c r="H1069" t="s">
        <v>30</v>
      </c>
      <c r="I1069" s="1" t="s">
        <v>22</v>
      </c>
      <c r="J1069" s="2">
        <v>43528.875613425924</v>
      </c>
      <c r="K1069" s="2">
        <v>43532.875613425924</v>
      </c>
      <c r="L1069" s="2">
        <v>43531.875613425924</v>
      </c>
      <c r="M1069" s="1">
        <f>_xlfn.DAYS(Table1[[#This Row],[actual_delivery_date]],Table1[[#This Row],[dispatch_date]])</f>
        <v>4</v>
      </c>
      <c r="N1069">
        <v>0</v>
      </c>
      <c r="O1069">
        <f>Table1[[#This Row],[transit_storage_cost]] * (1-'What -if Analysis'!$D$26)</f>
        <v>0</v>
      </c>
      <c r="P1069">
        <v>126</v>
      </c>
      <c r="Q1069">
        <v>813.69913204326667</v>
      </c>
    </row>
    <row r="1070" spans="1:17" x14ac:dyDescent="0.3">
      <c r="A1070">
        <v>865898</v>
      </c>
      <c r="B1070" s="1" t="s">
        <v>15</v>
      </c>
      <c r="C1070" s="1" t="s">
        <v>23</v>
      </c>
      <c r="D1070" s="1" t="s">
        <v>17</v>
      </c>
      <c r="E1070" s="1" t="s">
        <v>18</v>
      </c>
      <c r="F1070" s="1" t="s">
        <v>31</v>
      </c>
      <c r="G1070" s="1" t="s">
        <v>20</v>
      </c>
      <c r="H1070" t="s">
        <v>21</v>
      </c>
      <c r="I1070" s="1" t="s">
        <v>22</v>
      </c>
      <c r="J1070" s="2">
        <v>43527.882928240739</v>
      </c>
      <c r="K1070" s="2">
        <v>43532.882928240739</v>
      </c>
      <c r="L1070" s="2">
        <v>43530.882928240739</v>
      </c>
      <c r="M1070" s="1">
        <f>_xlfn.DAYS(Table1[[#This Row],[actual_delivery_date]],Table1[[#This Row],[dispatch_date]])</f>
        <v>5</v>
      </c>
      <c r="N1070">
        <v>49</v>
      </c>
      <c r="O1070">
        <f>Table1[[#This Row],[transit_storage_cost]] * (1-'What -if Analysis'!$D$26)</f>
        <v>49</v>
      </c>
      <c r="P1070">
        <v>107</v>
      </c>
      <c r="Q1070">
        <v>194.79214002257424</v>
      </c>
    </row>
    <row r="1071" spans="1:17" x14ac:dyDescent="0.3">
      <c r="A1071">
        <v>591827</v>
      </c>
      <c r="B1071" s="1" t="s">
        <v>37</v>
      </c>
      <c r="C1071" s="1" t="s">
        <v>23</v>
      </c>
      <c r="D1071" s="1" t="s">
        <v>17</v>
      </c>
      <c r="E1071" s="1" t="s">
        <v>18</v>
      </c>
      <c r="F1071" s="1" t="s">
        <v>29</v>
      </c>
      <c r="G1071" s="1" t="s">
        <v>20</v>
      </c>
      <c r="H1071" t="s">
        <v>30</v>
      </c>
      <c r="I1071" s="1" t="s">
        <v>22</v>
      </c>
      <c r="J1071" s="2">
        <v>43526.884027777778</v>
      </c>
      <c r="K1071" s="2">
        <v>43532.884027777778</v>
      </c>
      <c r="L1071" s="2">
        <v>43530.884027777778</v>
      </c>
      <c r="M1071" s="1">
        <f>_xlfn.DAYS(Table1[[#This Row],[actual_delivery_date]],Table1[[#This Row],[dispatch_date]])</f>
        <v>6</v>
      </c>
      <c r="N1071">
        <v>27</v>
      </c>
      <c r="O1071">
        <f>Table1[[#This Row],[transit_storage_cost]] * (1-'What -if Analysis'!$D$26)</f>
        <v>27</v>
      </c>
      <c r="P1071">
        <v>114</v>
      </c>
      <c r="Q1071">
        <v>3590.1349435504394</v>
      </c>
    </row>
    <row r="1072" spans="1:17" x14ac:dyDescent="0.3">
      <c r="A1072">
        <v>211494</v>
      </c>
      <c r="B1072" s="1" t="s">
        <v>41</v>
      </c>
      <c r="C1072" s="1" t="s">
        <v>16</v>
      </c>
      <c r="D1072" s="1" t="s">
        <v>16</v>
      </c>
      <c r="E1072" s="1" t="s">
        <v>27</v>
      </c>
      <c r="F1072" s="1" t="s">
        <v>31</v>
      </c>
      <c r="G1072" s="1" t="s">
        <v>20</v>
      </c>
      <c r="H1072" t="s">
        <v>21</v>
      </c>
      <c r="I1072" s="1" t="s">
        <v>26</v>
      </c>
      <c r="J1072" s="2">
        <v>43525.886967592596</v>
      </c>
      <c r="K1072" s="2">
        <v>43532.886967592596</v>
      </c>
      <c r="L1072" s="2">
        <v>43531.886967592596</v>
      </c>
      <c r="M1072" s="1">
        <f>_xlfn.DAYS(Table1[[#This Row],[actual_delivery_date]],Table1[[#This Row],[dispatch_date]])</f>
        <v>7</v>
      </c>
      <c r="N1072">
        <v>0</v>
      </c>
      <c r="O1072">
        <f>Table1[[#This Row],[transit_storage_cost]] * (1-'What -if Analysis'!$D$26)</f>
        <v>0</v>
      </c>
      <c r="P1072">
        <v>124</v>
      </c>
      <c r="Q1072">
        <v>1897.12</v>
      </c>
    </row>
    <row r="1073" spans="1:17" x14ac:dyDescent="0.3">
      <c r="A1073">
        <v>311186</v>
      </c>
      <c r="B1073" s="1" t="s">
        <v>39</v>
      </c>
      <c r="C1073" s="1" t="s">
        <v>16</v>
      </c>
      <c r="D1073" s="1" t="s">
        <v>16</v>
      </c>
      <c r="E1073" s="1" t="s">
        <v>27</v>
      </c>
      <c r="F1073" s="1" t="s">
        <v>31</v>
      </c>
      <c r="G1073" s="1" t="s">
        <v>20</v>
      </c>
      <c r="H1073" t="s">
        <v>21</v>
      </c>
      <c r="I1073" s="1" t="s">
        <v>22</v>
      </c>
      <c r="J1073" s="2">
        <v>43528.897893518515</v>
      </c>
      <c r="K1073" s="2">
        <v>43532.897893518515</v>
      </c>
      <c r="L1073" s="2">
        <v>43534.897893518515</v>
      </c>
      <c r="M1073" s="1">
        <f>_xlfn.DAYS(Table1[[#This Row],[actual_delivery_date]],Table1[[#This Row],[dispatch_date]])</f>
        <v>4</v>
      </c>
      <c r="N1073">
        <v>0</v>
      </c>
      <c r="O1073">
        <f>Table1[[#This Row],[transit_storage_cost]] * (1-'What -if Analysis'!$D$26)</f>
        <v>0</v>
      </c>
      <c r="P1073">
        <v>124</v>
      </c>
      <c r="Q1073">
        <v>1388.4143468436266</v>
      </c>
    </row>
    <row r="1074" spans="1:17" x14ac:dyDescent="0.3">
      <c r="A1074">
        <v>173994</v>
      </c>
      <c r="B1074" s="1" t="s">
        <v>37</v>
      </c>
      <c r="C1074" s="1" t="s">
        <v>23</v>
      </c>
      <c r="D1074" s="1" t="s">
        <v>23</v>
      </c>
      <c r="E1074" s="1" t="s">
        <v>28</v>
      </c>
      <c r="F1074" s="1" t="s">
        <v>31</v>
      </c>
      <c r="G1074" s="1" t="s">
        <v>20</v>
      </c>
      <c r="H1074" t="s">
        <v>21</v>
      </c>
      <c r="I1074" s="1" t="s">
        <v>26</v>
      </c>
      <c r="J1074" s="2">
        <v>43529.900347222225</v>
      </c>
      <c r="K1074" s="2">
        <v>43532.900347222225</v>
      </c>
      <c r="L1074" s="2">
        <v>43534.900347222225</v>
      </c>
      <c r="M1074" s="1">
        <f>_xlfn.DAYS(Table1[[#This Row],[actual_delivery_date]],Table1[[#This Row],[dispatch_date]])</f>
        <v>3</v>
      </c>
      <c r="N1074">
        <v>0</v>
      </c>
      <c r="O1074">
        <f>Table1[[#This Row],[transit_storage_cost]] * (1-'What -if Analysis'!$D$26)</f>
        <v>0</v>
      </c>
      <c r="P1074">
        <v>127</v>
      </c>
      <c r="Q1074">
        <v>3225.66</v>
      </c>
    </row>
    <row r="1075" spans="1:17" x14ac:dyDescent="0.3">
      <c r="A1075">
        <v>489324</v>
      </c>
      <c r="B1075" s="1" t="s">
        <v>41</v>
      </c>
      <c r="C1075" s="1" t="s">
        <v>23</v>
      </c>
      <c r="D1075" s="1" t="s">
        <v>16</v>
      </c>
      <c r="E1075" s="1" t="s">
        <v>27</v>
      </c>
      <c r="F1075" s="1" t="s">
        <v>19</v>
      </c>
      <c r="G1075" s="1" t="s">
        <v>20</v>
      </c>
      <c r="H1075" t="s">
        <v>21</v>
      </c>
      <c r="I1075" s="1" t="s">
        <v>26</v>
      </c>
      <c r="J1075" s="2">
        <v>43527.902326388888</v>
      </c>
      <c r="K1075" s="2">
        <v>43532.902326388888</v>
      </c>
      <c r="L1075" s="2">
        <v>43534.902326388888</v>
      </c>
      <c r="M1075" s="1">
        <f>_xlfn.DAYS(Table1[[#This Row],[actual_delivery_date]],Table1[[#This Row],[dispatch_date]])</f>
        <v>5</v>
      </c>
      <c r="N1075">
        <v>87</v>
      </c>
      <c r="O1075">
        <f>Table1[[#This Row],[transit_storage_cost]] * (1-'What -if Analysis'!$D$26)</f>
        <v>87</v>
      </c>
      <c r="P1075">
        <v>100</v>
      </c>
      <c r="Q1075">
        <v>3343.68</v>
      </c>
    </row>
    <row r="1076" spans="1:17" x14ac:dyDescent="0.3">
      <c r="A1076">
        <v>348655</v>
      </c>
      <c r="B1076" s="1" t="s">
        <v>39</v>
      </c>
      <c r="C1076" s="1" t="s">
        <v>23</v>
      </c>
      <c r="D1076" s="1" t="s">
        <v>32</v>
      </c>
      <c r="E1076" s="1" t="s">
        <v>33</v>
      </c>
      <c r="F1076" s="1" t="s">
        <v>29</v>
      </c>
      <c r="G1076" s="1" t="s">
        <v>20</v>
      </c>
      <c r="H1076" t="s">
        <v>30</v>
      </c>
      <c r="I1076" s="1" t="s">
        <v>22</v>
      </c>
      <c r="J1076" s="2">
        <v>43528.903981481482</v>
      </c>
      <c r="K1076" s="2">
        <v>43532.903981481482</v>
      </c>
      <c r="L1076" s="2">
        <v>43532.903981481482</v>
      </c>
      <c r="M1076" s="1">
        <f>_xlfn.DAYS(Table1[[#This Row],[actual_delivery_date]],Table1[[#This Row],[dispatch_date]])</f>
        <v>4</v>
      </c>
      <c r="N1076">
        <v>46</v>
      </c>
      <c r="O1076">
        <f>Table1[[#This Row],[transit_storage_cost]] * (1-'What -if Analysis'!$D$26)</f>
        <v>46</v>
      </c>
      <c r="P1076">
        <v>109</v>
      </c>
      <c r="Q1076">
        <v>887.73349730061284</v>
      </c>
    </row>
    <row r="1077" spans="1:17" x14ac:dyDescent="0.3">
      <c r="A1077">
        <v>96914</v>
      </c>
      <c r="B1077" s="1" t="s">
        <v>39</v>
      </c>
      <c r="C1077" s="1" t="s">
        <v>23</v>
      </c>
      <c r="D1077" s="1" t="s">
        <v>32</v>
      </c>
      <c r="E1077" s="1" t="s">
        <v>33</v>
      </c>
      <c r="F1077" s="1" t="s">
        <v>31</v>
      </c>
      <c r="G1077" s="1" t="s">
        <v>20</v>
      </c>
      <c r="H1077" t="s">
        <v>21</v>
      </c>
      <c r="I1077" s="1" t="s">
        <v>22</v>
      </c>
      <c r="J1077" s="2">
        <v>43529.905023148145</v>
      </c>
      <c r="K1077" s="2">
        <v>43532.905023148145</v>
      </c>
      <c r="L1077" s="2">
        <v>43535.905023148145</v>
      </c>
      <c r="M1077" s="1">
        <f>_xlfn.DAYS(Table1[[#This Row],[actual_delivery_date]],Table1[[#This Row],[dispatch_date]])</f>
        <v>3</v>
      </c>
      <c r="N1077">
        <v>42</v>
      </c>
      <c r="O1077">
        <f>Table1[[#This Row],[transit_storage_cost]] * (1-'What -if Analysis'!$D$26)</f>
        <v>42</v>
      </c>
      <c r="P1077">
        <v>114</v>
      </c>
      <c r="Q1077">
        <v>3178.0706773804045</v>
      </c>
    </row>
    <row r="1078" spans="1:17" x14ac:dyDescent="0.3">
      <c r="A1078">
        <v>697641</v>
      </c>
      <c r="B1078" s="1" t="s">
        <v>40</v>
      </c>
      <c r="C1078" s="1" t="s">
        <v>23</v>
      </c>
      <c r="D1078" s="1" t="s">
        <v>23</v>
      </c>
      <c r="E1078" s="1" t="s">
        <v>28</v>
      </c>
      <c r="F1078" s="1" t="s">
        <v>29</v>
      </c>
      <c r="G1078" s="1" t="s">
        <v>20</v>
      </c>
      <c r="H1078" t="s">
        <v>34</v>
      </c>
      <c r="I1078" s="1" t="s">
        <v>26</v>
      </c>
      <c r="J1078" s="2">
        <v>43532.905856481484</v>
      </c>
      <c r="K1078" s="2">
        <v>43532.905856481484</v>
      </c>
      <c r="L1078" s="2">
        <v>43539.905856481484</v>
      </c>
      <c r="M1078" s="1">
        <f>_xlfn.DAYS(Table1[[#This Row],[actual_delivery_date]],Table1[[#This Row],[dispatch_date]])</f>
        <v>0</v>
      </c>
      <c r="N1078">
        <v>0</v>
      </c>
      <c r="O1078">
        <f>Table1[[#This Row],[transit_storage_cost]] * (1-'What -if Analysis'!$D$26)</f>
        <v>0</v>
      </c>
      <c r="P1078">
        <v>125</v>
      </c>
      <c r="Q1078">
        <v>2460.2214314213047</v>
      </c>
    </row>
    <row r="1079" spans="1:17" x14ac:dyDescent="0.3">
      <c r="A1079">
        <v>470179</v>
      </c>
      <c r="B1079" s="1" t="s">
        <v>37</v>
      </c>
      <c r="C1079" s="1" t="s">
        <v>23</v>
      </c>
      <c r="D1079" s="1" t="s">
        <v>17</v>
      </c>
      <c r="E1079" s="1" t="s">
        <v>18</v>
      </c>
      <c r="F1079" s="1" t="s">
        <v>29</v>
      </c>
      <c r="G1079" s="1" t="s">
        <v>20</v>
      </c>
      <c r="H1079" t="s">
        <v>30</v>
      </c>
      <c r="I1079" s="1" t="s">
        <v>22</v>
      </c>
      <c r="J1079" s="2">
        <v>43525.907800925925</v>
      </c>
      <c r="K1079" s="2">
        <v>43532.907800925925</v>
      </c>
      <c r="L1079" s="2">
        <v>43532.907800925925</v>
      </c>
      <c r="M1079" s="1">
        <f>_xlfn.DAYS(Table1[[#This Row],[actual_delivery_date]],Table1[[#This Row],[dispatch_date]])</f>
        <v>7</v>
      </c>
      <c r="N1079">
        <v>25</v>
      </c>
      <c r="O1079">
        <f>Table1[[#This Row],[transit_storage_cost]] * (1-'What -if Analysis'!$D$26)</f>
        <v>25</v>
      </c>
      <c r="P1079">
        <v>115</v>
      </c>
      <c r="Q1079">
        <v>675.510689825128</v>
      </c>
    </row>
    <row r="1080" spans="1:17" x14ac:dyDescent="0.3">
      <c r="A1080">
        <v>190989</v>
      </c>
      <c r="B1080" s="1" t="s">
        <v>41</v>
      </c>
      <c r="C1080" s="1" t="s">
        <v>23</v>
      </c>
      <c r="D1080" s="1" t="s">
        <v>23</v>
      </c>
      <c r="E1080" s="1" t="s">
        <v>28</v>
      </c>
      <c r="F1080" s="1" t="s">
        <v>29</v>
      </c>
      <c r="G1080" s="1" t="s">
        <v>20</v>
      </c>
      <c r="H1080" t="s">
        <v>30</v>
      </c>
      <c r="I1080" s="1" t="s">
        <v>26</v>
      </c>
      <c r="J1080" s="2">
        <v>43532.910914351851</v>
      </c>
      <c r="K1080" s="2">
        <v>43532.910914351851</v>
      </c>
      <c r="L1080" s="2">
        <v>43538.910914351851</v>
      </c>
      <c r="M1080" s="1">
        <f>_xlfn.DAYS(Table1[[#This Row],[actual_delivery_date]],Table1[[#This Row],[dispatch_date]])</f>
        <v>0</v>
      </c>
      <c r="N1080">
        <v>0</v>
      </c>
      <c r="O1080">
        <f>Table1[[#This Row],[transit_storage_cost]] * (1-'What -if Analysis'!$D$26)</f>
        <v>0</v>
      </c>
      <c r="P1080">
        <v>129</v>
      </c>
      <c r="Q1080">
        <v>2855</v>
      </c>
    </row>
    <row r="1081" spans="1:17" x14ac:dyDescent="0.3">
      <c r="A1081">
        <v>191484</v>
      </c>
      <c r="B1081" s="1" t="s">
        <v>41</v>
      </c>
      <c r="C1081" s="1" t="s">
        <v>23</v>
      </c>
      <c r="D1081" s="1" t="s">
        <v>16</v>
      </c>
      <c r="E1081" s="1" t="s">
        <v>27</v>
      </c>
      <c r="F1081" s="1" t="s">
        <v>19</v>
      </c>
      <c r="G1081" s="1" t="s">
        <v>20</v>
      </c>
      <c r="H1081" t="s">
        <v>21</v>
      </c>
      <c r="I1081" s="1" t="s">
        <v>26</v>
      </c>
      <c r="J1081" s="2">
        <v>43529.911354166667</v>
      </c>
      <c r="K1081" s="2">
        <v>43532.911354166667</v>
      </c>
      <c r="L1081" s="2">
        <v>43532.911354166667</v>
      </c>
      <c r="M1081" s="1">
        <f>_xlfn.DAYS(Table1[[#This Row],[actual_delivery_date]],Table1[[#This Row],[dispatch_date]])</f>
        <v>3</v>
      </c>
      <c r="N1081">
        <v>28</v>
      </c>
      <c r="O1081">
        <f>Table1[[#This Row],[transit_storage_cost]] * (1-'What -if Analysis'!$D$26)</f>
        <v>28</v>
      </c>
      <c r="P1081">
        <v>129</v>
      </c>
      <c r="Q1081">
        <v>1297.32</v>
      </c>
    </row>
    <row r="1082" spans="1:17" x14ac:dyDescent="0.3">
      <c r="A1082">
        <v>687710</v>
      </c>
      <c r="B1082" s="1" t="s">
        <v>37</v>
      </c>
      <c r="C1082" s="1" t="s">
        <v>16</v>
      </c>
      <c r="D1082" s="1" t="s">
        <v>16</v>
      </c>
      <c r="E1082" s="1" t="s">
        <v>27</v>
      </c>
      <c r="F1082" s="1" t="s">
        <v>19</v>
      </c>
      <c r="G1082" s="1" t="s">
        <v>20</v>
      </c>
      <c r="H1082" t="s">
        <v>21</v>
      </c>
      <c r="I1082" s="1" t="s">
        <v>22</v>
      </c>
      <c r="J1082" s="2">
        <v>43532.912048611113</v>
      </c>
      <c r="K1082" s="2">
        <v>43532.912048611113</v>
      </c>
      <c r="L1082" s="2">
        <v>43539.912048611113</v>
      </c>
      <c r="M1082" s="1">
        <f>_xlfn.DAYS(Table1[[#This Row],[actual_delivery_date]],Table1[[#This Row],[dispatch_date]])</f>
        <v>0</v>
      </c>
      <c r="N1082">
        <v>0</v>
      </c>
      <c r="O1082">
        <f>Table1[[#This Row],[transit_storage_cost]] * (1-'What -if Analysis'!$D$26)</f>
        <v>0</v>
      </c>
      <c r="P1082">
        <v>102</v>
      </c>
      <c r="Q1082">
        <v>1457.8303150055413</v>
      </c>
    </row>
    <row r="1083" spans="1:17" x14ac:dyDescent="0.3">
      <c r="A1083">
        <v>257505</v>
      </c>
      <c r="B1083" s="1" t="s">
        <v>38</v>
      </c>
      <c r="C1083" s="1" t="s">
        <v>16</v>
      </c>
      <c r="D1083" s="1" t="s">
        <v>16</v>
      </c>
      <c r="E1083" s="1" t="s">
        <v>27</v>
      </c>
      <c r="F1083" s="1" t="s">
        <v>29</v>
      </c>
      <c r="G1083" s="1" t="s">
        <v>20</v>
      </c>
      <c r="H1083" t="s">
        <v>30</v>
      </c>
      <c r="I1083" s="1" t="s">
        <v>26</v>
      </c>
      <c r="J1083" s="2">
        <v>43525.91306712963</v>
      </c>
      <c r="K1083" s="2">
        <v>43532.91306712963</v>
      </c>
      <c r="L1083" s="2">
        <v>43529.91306712963</v>
      </c>
      <c r="M1083" s="1">
        <f>_xlfn.DAYS(Table1[[#This Row],[actual_delivery_date]],Table1[[#This Row],[dispatch_date]])</f>
        <v>7</v>
      </c>
      <c r="N1083">
        <v>0</v>
      </c>
      <c r="O1083">
        <f>Table1[[#This Row],[transit_storage_cost]] * (1-'What -if Analysis'!$D$26)</f>
        <v>0</v>
      </c>
      <c r="P1083">
        <v>129</v>
      </c>
      <c r="Q1083">
        <v>2058.7600000000002</v>
      </c>
    </row>
    <row r="1084" spans="1:17" x14ac:dyDescent="0.3">
      <c r="A1084">
        <v>391198</v>
      </c>
      <c r="B1084" s="1" t="s">
        <v>37</v>
      </c>
      <c r="C1084" s="1" t="s">
        <v>16</v>
      </c>
      <c r="D1084" s="1" t="s">
        <v>23</v>
      </c>
      <c r="E1084" s="1" t="s">
        <v>28</v>
      </c>
      <c r="F1084" s="1" t="s">
        <v>31</v>
      </c>
      <c r="G1084" s="1" t="s">
        <v>20</v>
      </c>
      <c r="H1084" t="s">
        <v>21</v>
      </c>
      <c r="I1084" s="1" t="s">
        <v>22</v>
      </c>
      <c r="J1084" s="2">
        <v>43525.914976851855</v>
      </c>
      <c r="K1084" s="2">
        <v>43532.914976851855</v>
      </c>
      <c r="L1084" s="2">
        <v>43529.914976851855</v>
      </c>
      <c r="M1084" s="1">
        <f>_xlfn.DAYS(Table1[[#This Row],[actual_delivery_date]],Table1[[#This Row],[dispatch_date]])</f>
        <v>7</v>
      </c>
      <c r="N1084">
        <v>44</v>
      </c>
      <c r="O1084">
        <f>Table1[[#This Row],[transit_storage_cost]] * (1-'What -if Analysis'!$D$26)</f>
        <v>44</v>
      </c>
      <c r="P1084">
        <v>121</v>
      </c>
      <c r="Q1084">
        <v>3252.9218671499007</v>
      </c>
    </row>
    <row r="1085" spans="1:17" x14ac:dyDescent="0.3">
      <c r="A1085">
        <v>984044</v>
      </c>
      <c r="B1085" s="1" t="s">
        <v>38</v>
      </c>
      <c r="C1085" s="1" t="s">
        <v>23</v>
      </c>
      <c r="D1085" s="1" t="s">
        <v>23</v>
      </c>
      <c r="E1085" s="1" t="s">
        <v>28</v>
      </c>
      <c r="F1085" s="1" t="s">
        <v>19</v>
      </c>
      <c r="G1085" s="1" t="s">
        <v>20</v>
      </c>
      <c r="H1085" t="s">
        <v>21</v>
      </c>
      <c r="I1085" s="1" t="s">
        <v>22</v>
      </c>
      <c r="J1085" s="2">
        <v>43529.919618055559</v>
      </c>
      <c r="K1085" s="2">
        <v>43532.919618055559</v>
      </c>
      <c r="L1085" s="2">
        <v>43532.919618055559</v>
      </c>
      <c r="M1085" s="1">
        <f>_xlfn.DAYS(Table1[[#This Row],[actual_delivery_date]],Table1[[#This Row],[dispatch_date]])</f>
        <v>3</v>
      </c>
      <c r="N1085">
        <v>0</v>
      </c>
      <c r="O1085">
        <f>Table1[[#This Row],[transit_storage_cost]] * (1-'What -if Analysis'!$D$26)</f>
        <v>0</v>
      </c>
      <c r="P1085">
        <v>106</v>
      </c>
      <c r="Q1085">
        <v>2115.165896660983</v>
      </c>
    </row>
    <row r="1086" spans="1:17" x14ac:dyDescent="0.3">
      <c r="A1086">
        <v>846615</v>
      </c>
      <c r="B1086" s="1" t="s">
        <v>41</v>
      </c>
      <c r="C1086" s="1" t="s">
        <v>16</v>
      </c>
      <c r="D1086" s="1" t="s">
        <v>17</v>
      </c>
      <c r="E1086" s="1" t="s">
        <v>18</v>
      </c>
      <c r="F1086" s="1" t="s">
        <v>29</v>
      </c>
      <c r="G1086" s="1" t="s">
        <v>20</v>
      </c>
      <c r="H1086" t="s">
        <v>34</v>
      </c>
      <c r="I1086" s="1" t="s">
        <v>26</v>
      </c>
      <c r="J1086" s="2">
        <v>43525.92359953704</v>
      </c>
      <c r="K1086" s="2">
        <v>43532.92359953704</v>
      </c>
      <c r="L1086" s="2">
        <v>43532.92359953704</v>
      </c>
      <c r="M1086" s="1">
        <f>_xlfn.DAYS(Table1[[#This Row],[actual_delivery_date]],Table1[[#This Row],[dispatch_date]])</f>
        <v>7</v>
      </c>
      <c r="N1086">
        <v>37</v>
      </c>
      <c r="O1086">
        <f>Table1[[#This Row],[transit_storage_cost]] * (1-'What -if Analysis'!$D$26)</f>
        <v>37</v>
      </c>
      <c r="P1086">
        <v>109</v>
      </c>
      <c r="Q1086">
        <v>1222.6500000000001</v>
      </c>
    </row>
    <row r="1087" spans="1:17" x14ac:dyDescent="0.3">
      <c r="A1087">
        <v>623974</v>
      </c>
      <c r="B1087" s="1" t="s">
        <v>39</v>
      </c>
      <c r="C1087" s="1" t="s">
        <v>23</v>
      </c>
      <c r="D1087" s="1" t="s">
        <v>24</v>
      </c>
      <c r="E1087" s="1" t="s">
        <v>25</v>
      </c>
      <c r="F1087" s="1" t="s">
        <v>31</v>
      </c>
      <c r="G1087" s="1" t="s">
        <v>20</v>
      </c>
      <c r="H1087" t="s">
        <v>21</v>
      </c>
      <c r="I1087" s="1" t="s">
        <v>22</v>
      </c>
      <c r="J1087" s="2">
        <v>43529.931458333333</v>
      </c>
      <c r="K1087" s="2">
        <v>43532.931458333333</v>
      </c>
      <c r="L1087" s="2">
        <v>43536.931458333333</v>
      </c>
      <c r="M1087" s="1">
        <f>_xlfn.DAYS(Table1[[#This Row],[actual_delivery_date]],Table1[[#This Row],[dispatch_date]])</f>
        <v>3</v>
      </c>
      <c r="N1087">
        <v>31</v>
      </c>
      <c r="O1087">
        <f>Table1[[#This Row],[transit_storage_cost]] * (1-'What -if Analysis'!$D$26)</f>
        <v>31</v>
      </c>
      <c r="P1087">
        <v>127</v>
      </c>
      <c r="Q1087">
        <v>2867.211255515942</v>
      </c>
    </row>
    <row r="1088" spans="1:17" x14ac:dyDescent="0.3">
      <c r="A1088">
        <v>249510</v>
      </c>
      <c r="B1088" s="1" t="s">
        <v>38</v>
      </c>
      <c r="C1088" s="1" t="s">
        <v>16</v>
      </c>
      <c r="D1088" s="1" t="s">
        <v>32</v>
      </c>
      <c r="E1088" s="1" t="s">
        <v>33</v>
      </c>
      <c r="F1088" s="1" t="s">
        <v>19</v>
      </c>
      <c r="G1088" s="1" t="s">
        <v>20</v>
      </c>
      <c r="H1088" t="s">
        <v>21</v>
      </c>
      <c r="I1088" s="1" t="s">
        <v>26</v>
      </c>
      <c r="J1088" s="2">
        <v>43526.936574074076</v>
      </c>
      <c r="K1088" s="2">
        <v>43532.936574074076</v>
      </c>
      <c r="L1088" s="2">
        <v>43531.936574074076</v>
      </c>
      <c r="M1088" s="1">
        <f>_xlfn.DAYS(Table1[[#This Row],[actual_delivery_date]],Table1[[#This Row],[dispatch_date]])</f>
        <v>6</v>
      </c>
      <c r="N1088">
        <v>65</v>
      </c>
      <c r="O1088">
        <f>Table1[[#This Row],[transit_storage_cost]] * (1-'What -if Analysis'!$D$26)</f>
        <v>65</v>
      </c>
      <c r="P1088">
        <v>86</v>
      </c>
      <c r="Q1088">
        <v>268.01</v>
      </c>
    </row>
    <row r="1089" spans="1:17" x14ac:dyDescent="0.3">
      <c r="A1089">
        <v>887149</v>
      </c>
      <c r="B1089" s="1" t="s">
        <v>41</v>
      </c>
      <c r="C1089" s="1" t="s">
        <v>23</v>
      </c>
      <c r="D1089" s="1" t="s">
        <v>16</v>
      </c>
      <c r="E1089" s="1" t="s">
        <v>27</v>
      </c>
      <c r="F1089" s="1" t="s">
        <v>29</v>
      </c>
      <c r="G1089" s="1" t="s">
        <v>20</v>
      </c>
      <c r="H1089" t="s">
        <v>30</v>
      </c>
      <c r="I1089" s="1" t="s">
        <v>22</v>
      </c>
      <c r="J1089" s="2">
        <v>43527.937916666669</v>
      </c>
      <c r="K1089" s="2">
        <v>43532.937916666669</v>
      </c>
      <c r="L1089" s="2">
        <v>43533.937916666669</v>
      </c>
      <c r="M1089" s="1">
        <f>_xlfn.DAYS(Table1[[#This Row],[actual_delivery_date]],Table1[[#This Row],[dispatch_date]])</f>
        <v>5</v>
      </c>
      <c r="N1089">
        <v>30</v>
      </c>
      <c r="O1089">
        <f>Table1[[#This Row],[transit_storage_cost]] * (1-'What -if Analysis'!$D$26)</f>
        <v>30</v>
      </c>
      <c r="P1089">
        <v>128</v>
      </c>
      <c r="Q1089">
        <v>3243.010655554785</v>
      </c>
    </row>
    <row r="1090" spans="1:17" x14ac:dyDescent="0.3">
      <c r="A1090">
        <v>288381</v>
      </c>
      <c r="B1090" s="1" t="s">
        <v>37</v>
      </c>
      <c r="C1090" s="1" t="s">
        <v>16</v>
      </c>
      <c r="D1090" s="1" t="s">
        <v>17</v>
      </c>
      <c r="E1090" s="1" t="s">
        <v>18</v>
      </c>
      <c r="F1090" s="1" t="s">
        <v>19</v>
      </c>
      <c r="G1090" s="1" t="s">
        <v>20</v>
      </c>
      <c r="H1090" t="s">
        <v>30</v>
      </c>
      <c r="I1090" s="1" t="s">
        <v>26</v>
      </c>
      <c r="J1090" s="2">
        <v>43526.938113425924</v>
      </c>
      <c r="K1090" s="2">
        <v>43532.938113425924</v>
      </c>
      <c r="L1090" s="2">
        <v>43531.938113425924</v>
      </c>
      <c r="M1090" s="1">
        <f>_xlfn.DAYS(Table1[[#This Row],[actual_delivery_date]],Table1[[#This Row],[dispatch_date]])</f>
        <v>6</v>
      </c>
      <c r="N1090">
        <v>68</v>
      </c>
      <c r="O1090">
        <f>Table1[[#This Row],[transit_storage_cost]] * (1-'What -if Analysis'!$D$26)</f>
        <v>68</v>
      </c>
      <c r="P1090">
        <v>85</v>
      </c>
      <c r="Q1090">
        <v>2778.83</v>
      </c>
    </row>
    <row r="1091" spans="1:17" x14ac:dyDescent="0.3">
      <c r="A1091">
        <v>38725</v>
      </c>
      <c r="B1091" s="1" t="s">
        <v>37</v>
      </c>
      <c r="C1091" s="1" t="s">
        <v>16</v>
      </c>
      <c r="D1091" s="1" t="s">
        <v>32</v>
      </c>
      <c r="E1091" s="1" t="s">
        <v>33</v>
      </c>
      <c r="F1091" s="1" t="s">
        <v>29</v>
      </c>
      <c r="G1091" s="1" t="s">
        <v>20</v>
      </c>
      <c r="H1091" t="s">
        <v>30</v>
      </c>
      <c r="I1091" s="1" t="s">
        <v>22</v>
      </c>
      <c r="J1091" s="2">
        <v>43525.954375000001</v>
      </c>
      <c r="K1091" s="2">
        <v>43532.954375000001</v>
      </c>
      <c r="L1091" s="2">
        <v>43532.954375000001</v>
      </c>
      <c r="M1091" s="1">
        <f>_xlfn.DAYS(Table1[[#This Row],[actual_delivery_date]],Table1[[#This Row],[dispatch_date]])</f>
        <v>7</v>
      </c>
      <c r="N1091">
        <v>25</v>
      </c>
      <c r="O1091">
        <f>Table1[[#This Row],[transit_storage_cost]] * (1-'What -if Analysis'!$D$26)</f>
        <v>25</v>
      </c>
      <c r="P1091">
        <v>112</v>
      </c>
      <c r="Q1091">
        <v>3058.5570394135798</v>
      </c>
    </row>
    <row r="1092" spans="1:17" x14ac:dyDescent="0.3">
      <c r="A1092">
        <v>154140</v>
      </c>
      <c r="B1092" s="1" t="s">
        <v>38</v>
      </c>
      <c r="C1092" s="1" t="s">
        <v>23</v>
      </c>
      <c r="D1092" s="1" t="s">
        <v>16</v>
      </c>
      <c r="E1092" s="1" t="s">
        <v>27</v>
      </c>
      <c r="F1092" s="1" t="s">
        <v>19</v>
      </c>
      <c r="G1092" s="1" t="s">
        <v>36</v>
      </c>
      <c r="H1092" t="s">
        <v>21</v>
      </c>
      <c r="I1092" s="1" t="s">
        <v>26</v>
      </c>
      <c r="J1092" s="2">
        <v>43530.961643518516</v>
      </c>
      <c r="K1092" s="2">
        <v>43532.961643518516</v>
      </c>
      <c r="L1092" s="2">
        <v>43537.961643518516</v>
      </c>
      <c r="M1092" s="1">
        <f>_xlfn.DAYS(Table1[[#This Row],[actual_delivery_date]],Table1[[#This Row],[dispatch_date]])</f>
        <v>2</v>
      </c>
      <c r="N1092">
        <v>47</v>
      </c>
      <c r="O1092">
        <f>Table1[[#This Row],[transit_storage_cost]] * (1-'What -if Analysis'!$D$26)</f>
        <v>47</v>
      </c>
      <c r="P1092">
        <v>125</v>
      </c>
      <c r="Q1092">
        <v>901</v>
      </c>
    </row>
    <row r="1093" spans="1:17" x14ac:dyDescent="0.3">
      <c r="A1093">
        <v>90179</v>
      </c>
      <c r="B1093" s="1" t="s">
        <v>38</v>
      </c>
      <c r="C1093" s="1" t="s">
        <v>16</v>
      </c>
      <c r="D1093" s="1" t="s">
        <v>23</v>
      </c>
      <c r="E1093" s="1" t="s">
        <v>28</v>
      </c>
      <c r="F1093" s="1" t="s">
        <v>19</v>
      </c>
      <c r="G1093" s="1" t="s">
        <v>20</v>
      </c>
      <c r="H1093" t="s">
        <v>30</v>
      </c>
      <c r="I1093" s="1" t="s">
        <v>22</v>
      </c>
      <c r="J1093" s="2">
        <v>43528.96435185185</v>
      </c>
      <c r="K1093" s="2">
        <v>43532.96435185185</v>
      </c>
      <c r="L1093" s="2">
        <v>43531.96435185185</v>
      </c>
      <c r="M1093" s="1">
        <f>_xlfn.DAYS(Table1[[#This Row],[actual_delivery_date]],Table1[[#This Row],[dispatch_date]])</f>
        <v>4</v>
      </c>
      <c r="N1093">
        <v>79</v>
      </c>
      <c r="O1093">
        <f>Table1[[#This Row],[transit_storage_cost]] * (1-'What -if Analysis'!$D$26)</f>
        <v>79</v>
      </c>
      <c r="P1093">
        <v>101</v>
      </c>
      <c r="Q1093">
        <v>3082.7608317082277</v>
      </c>
    </row>
    <row r="1094" spans="1:17" x14ac:dyDescent="0.3">
      <c r="A1094">
        <v>918294</v>
      </c>
      <c r="B1094" s="1" t="s">
        <v>37</v>
      </c>
      <c r="C1094" s="1" t="s">
        <v>16</v>
      </c>
      <c r="D1094" s="1" t="s">
        <v>23</v>
      </c>
      <c r="E1094" s="1" t="s">
        <v>28</v>
      </c>
      <c r="F1094" s="1" t="s">
        <v>31</v>
      </c>
      <c r="G1094" s="1" t="s">
        <v>20</v>
      </c>
      <c r="H1094" t="s">
        <v>21</v>
      </c>
      <c r="I1094" s="1" t="s">
        <v>26</v>
      </c>
      <c r="J1094" s="2">
        <v>43527.966782407406</v>
      </c>
      <c r="K1094" s="2">
        <v>43532.966782407406</v>
      </c>
      <c r="L1094" s="2">
        <v>43534.966782407406</v>
      </c>
      <c r="M1094" s="1">
        <f>_xlfn.DAYS(Table1[[#This Row],[actual_delivery_date]],Table1[[#This Row],[dispatch_date]])</f>
        <v>5</v>
      </c>
      <c r="N1094">
        <v>45</v>
      </c>
      <c r="O1094">
        <f>Table1[[#This Row],[transit_storage_cost]] * (1-'What -if Analysis'!$D$26)</f>
        <v>45</v>
      </c>
      <c r="P1094">
        <v>128</v>
      </c>
      <c r="Q1094">
        <v>3311.29</v>
      </c>
    </row>
    <row r="1095" spans="1:17" x14ac:dyDescent="0.3">
      <c r="A1095">
        <v>926003</v>
      </c>
      <c r="B1095" s="1" t="s">
        <v>37</v>
      </c>
      <c r="C1095" s="1" t="s">
        <v>16</v>
      </c>
      <c r="D1095" s="1" t="s">
        <v>23</v>
      </c>
      <c r="E1095" s="1" t="s">
        <v>28</v>
      </c>
      <c r="F1095" s="1" t="s">
        <v>19</v>
      </c>
      <c r="G1095" s="1" t="s">
        <v>20</v>
      </c>
      <c r="H1095" t="s">
        <v>30</v>
      </c>
      <c r="I1095" s="1" t="s">
        <v>22</v>
      </c>
      <c r="J1095" s="2">
        <v>43526.967199074075</v>
      </c>
      <c r="K1095" s="2">
        <v>43532.967199074075</v>
      </c>
      <c r="L1095" s="2">
        <v>43529.967199074075</v>
      </c>
      <c r="M1095" s="1">
        <f>_xlfn.DAYS(Table1[[#This Row],[actual_delivery_date]],Table1[[#This Row],[dispatch_date]])</f>
        <v>6</v>
      </c>
      <c r="N1095">
        <v>80</v>
      </c>
      <c r="O1095">
        <f>Table1[[#This Row],[transit_storage_cost]] * (1-'What -if Analysis'!$D$26)</f>
        <v>80</v>
      </c>
      <c r="P1095">
        <v>106</v>
      </c>
      <c r="Q1095">
        <v>1649.7789416180899</v>
      </c>
    </row>
    <row r="1096" spans="1:17" x14ac:dyDescent="0.3">
      <c r="A1096">
        <v>527448</v>
      </c>
      <c r="B1096" s="1" t="s">
        <v>38</v>
      </c>
      <c r="C1096" s="1" t="s">
        <v>23</v>
      </c>
      <c r="D1096" s="1" t="s">
        <v>23</v>
      </c>
      <c r="E1096" s="1" t="s">
        <v>28</v>
      </c>
      <c r="F1096" s="1" t="s">
        <v>19</v>
      </c>
      <c r="G1096" s="1" t="s">
        <v>20</v>
      </c>
      <c r="H1096" t="s">
        <v>21</v>
      </c>
      <c r="I1096" s="1" t="s">
        <v>26</v>
      </c>
      <c r="J1096" s="2">
        <v>43529.968611111108</v>
      </c>
      <c r="K1096" s="2">
        <v>43532.968611111108</v>
      </c>
      <c r="L1096" s="2">
        <v>43534.968611111108</v>
      </c>
      <c r="M1096" s="1">
        <f>_xlfn.DAYS(Table1[[#This Row],[actual_delivery_date]],Table1[[#This Row],[dispatch_date]])</f>
        <v>3</v>
      </c>
      <c r="N1096">
        <v>0</v>
      </c>
      <c r="O1096">
        <f>Table1[[#This Row],[transit_storage_cost]] * (1-'What -if Analysis'!$D$26)</f>
        <v>0</v>
      </c>
      <c r="P1096">
        <v>126</v>
      </c>
      <c r="Q1096">
        <v>2077.86</v>
      </c>
    </row>
    <row r="1097" spans="1:17" x14ac:dyDescent="0.3">
      <c r="A1097">
        <v>940602</v>
      </c>
      <c r="B1097" s="1" t="s">
        <v>39</v>
      </c>
      <c r="C1097" s="1" t="s">
        <v>23</v>
      </c>
      <c r="D1097" s="1" t="s">
        <v>23</v>
      </c>
      <c r="E1097" s="1" t="s">
        <v>28</v>
      </c>
      <c r="F1097" s="1" t="s">
        <v>31</v>
      </c>
      <c r="G1097" s="1" t="s">
        <v>20</v>
      </c>
      <c r="H1097" t="s">
        <v>21</v>
      </c>
      <c r="I1097" s="1" t="s">
        <v>26</v>
      </c>
      <c r="J1097" s="2">
        <v>43531.970011574071</v>
      </c>
      <c r="K1097" s="2">
        <v>43532.970011574071</v>
      </c>
      <c r="L1097" s="2">
        <v>43535.970011574071</v>
      </c>
      <c r="M1097" s="1">
        <f>_xlfn.DAYS(Table1[[#This Row],[actual_delivery_date]],Table1[[#This Row],[dispatch_date]])</f>
        <v>1</v>
      </c>
      <c r="N1097">
        <v>0</v>
      </c>
      <c r="O1097">
        <f>Table1[[#This Row],[transit_storage_cost]] * (1-'What -if Analysis'!$D$26)</f>
        <v>0</v>
      </c>
      <c r="P1097">
        <v>125</v>
      </c>
      <c r="Q1097">
        <v>872.4095040224538</v>
      </c>
    </row>
    <row r="1098" spans="1:17" x14ac:dyDescent="0.3">
      <c r="A1098">
        <v>697721</v>
      </c>
      <c r="B1098" s="1" t="s">
        <v>38</v>
      </c>
      <c r="C1098" s="1" t="s">
        <v>16</v>
      </c>
      <c r="D1098" s="1" t="s">
        <v>17</v>
      </c>
      <c r="E1098" s="1" t="s">
        <v>18</v>
      </c>
      <c r="F1098" s="1" t="s">
        <v>19</v>
      </c>
      <c r="G1098" s="1" t="s">
        <v>20</v>
      </c>
      <c r="H1098" t="s">
        <v>30</v>
      </c>
      <c r="I1098" s="1" t="s">
        <v>22</v>
      </c>
      <c r="J1098" s="2">
        <v>43530.971145833333</v>
      </c>
      <c r="K1098" s="2">
        <v>43532.971145833333</v>
      </c>
      <c r="L1098" s="2">
        <v>43536.971145833333</v>
      </c>
      <c r="M1098" s="1">
        <f>_xlfn.DAYS(Table1[[#This Row],[actual_delivery_date]],Table1[[#This Row],[dispatch_date]])</f>
        <v>2</v>
      </c>
      <c r="N1098">
        <v>87</v>
      </c>
      <c r="O1098">
        <f>Table1[[#This Row],[transit_storage_cost]] * (1-'What -if Analysis'!$D$26)</f>
        <v>87</v>
      </c>
      <c r="P1098">
        <v>89</v>
      </c>
      <c r="Q1098">
        <v>2627.4570284602601</v>
      </c>
    </row>
    <row r="1099" spans="1:17" x14ac:dyDescent="0.3">
      <c r="A1099">
        <v>778307</v>
      </c>
      <c r="B1099" s="1" t="s">
        <v>38</v>
      </c>
      <c r="C1099" s="1" t="s">
        <v>23</v>
      </c>
      <c r="D1099" s="1" t="s">
        <v>32</v>
      </c>
      <c r="E1099" s="1" t="s">
        <v>33</v>
      </c>
      <c r="F1099" s="1" t="s">
        <v>29</v>
      </c>
      <c r="G1099" s="1" t="s">
        <v>20</v>
      </c>
      <c r="H1099" t="s">
        <v>30</v>
      </c>
      <c r="I1099" s="1" t="s">
        <v>22</v>
      </c>
      <c r="J1099" s="2">
        <v>43526.976631944446</v>
      </c>
      <c r="K1099" s="2">
        <v>43532.976631944446</v>
      </c>
      <c r="L1099" s="2">
        <v>43529.976631944446</v>
      </c>
      <c r="M1099" s="1">
        <f>_xlfn.DAYS(Table1[[#This Row],[actual_delivery_date]],Table1[[#This Row],[dispatch_date]])</f>
        <v>6</v>
      </c>
      <c r="N1099">
        <v>35</v>
      </c>
      <c r="O1099">
        <f>Table1[[#This Row],[transit_storage_cost]] * (1-'What -if Analysis'!$D$26)</f>
        <v>35</v>
      </c>
      <c r="P1099">
        <v>113</v>
      </c>
      <c r="Q1099">
        <v>3376.1568914691006</v>
      </c>
    </row>
    <row r="1100" spans="1:17" x14ac:dyDescent="0.3">
      <c r="A1100">
        <v>721885</v>
      </c>
      <c r="B1100" s="1" t="s">
        <v>37</v>
      </c>
      <c r="C1100" s="1" t="s">
        <v>16</v>
      </c>
      <c r="D1100" s="1" t="s">
        <v>24</v>
      </c>
      <c r="E1100" s="1" t="s">
        <v>25</v>
      </c>
      <c r="F1100" s="1" t="s">
        <v>29</v>
      </c>
      <c r="G1100" s="1" t="s">
        <v>20</v>
      </c>
      <c r="H1100" t="s">
        <v>30</v>
      </c>
      <c r="I1100" s="1" t="s">
        <v>22</v>
      </c>
      <c r="J1100" s="2">
        <v>43528.977581018517</v>
      </c>
      <c r="K1100" s="2">
        <v>43532.977581018517</v>
      </c>
      <c r="L1100" s="2">
        <v>43534.977581018517</v>
      </c>
      <c r="M1100" s="1">
        <f>_xlfn.DAYS(Table1[[#This Row],[actual_delivery_date]],Table1[[#This Row],[dispatch_date]])</f>
        <v>4</v>
      </c>
      <c r="N1100">
        <v>33</v>
      </c>
      <c r="O1100">
        <f>Table1[[#This Row],[transit_storage_cost]] * (1-'What -if Analysis'!$D$26)</f>
        <v>33</v>
      </c>
      <c r="P1100">
        <v>126</v>
      </c>
      <c r="Q1100">
        <v>2039.0733212645969</v>
      </c>
    </row>
    <row r="1101" spans="1:17" x14ac:dyDescent="0.3">
      <c r="A1101">
        <v>179416</v>
      </c>
      <c r="B1101" s="1" t="s">
        <v>39</v>
      </c>
      <c r="C1101" s="1" t="s">
        <v>23</v>
      </c>
      <c r="D1101" s="1" t="s">
        <v>23</v>
      </c>
      <c r="E1101" s="1" t="s">
        <v>28</v>
      </c>
      <c r="F1101" s="1" t="s">
        <v>19</v>
      </c>
      <c r="G1101" s="1" t="s">
        <v>20</v>
      </c>
      <c r="H1101" t="s">
        <v>21</v>
      </c>
      <c r="I1101" s="1" t="s">
        <v>22</v>
      </c>
      <c r="J1101" s="2">
        <v>43532.978738425925</v>
      </c>
      <c r="K1101" s="2">
        <v>43532.978738425925</v>
      </c>
      <c r="L1101" s="2">
        <v>43536.978738425925</v>
      </c>
      <c r="M1101" s="1">
        <f>_xlfn.DAYS(Table1[[#This Row],[actual_delivery_date]],Table1[[#This Row],[dispatch_date]])</f>
        <v>0</v>
      </c>
      <c r="N1101">
        <v>0</v>
      </c>
      <c r="O1101">
        <f>Table1[[#This Row],[transit_storage_cost]] * (1-'What -if Analysis'!$D$26)</f>
        <v>0</v>
      </c>
      <c r="P1101">
        <v>104</v>
      </c>
      <c r="Q1101">
        <v>1512</v>
      </c>
    </row>
    <row r="1102" spans="1:17" x14ac:dyDescent="0.3">
      <c r="A1102">
        <v>291538</v>
      </c>
      <c r="B1102" s="1" t="s">
        <v>37</v>
      </c>
      <c r="C1102" s="1" t="s">
        <v>23</v>
      </c>
      <c r="D1102" s="1" t="s">
        <v>17</v>
      </c>
      <c r="E1102" s="1" t="s">
        <v>18</v>
      </c>
      <c r="F1102" s="1" t="s">
        <v>19</v>
      </c>
      <c r="G1102" s="1" t="s">
        <v>20</v>
      </c>
      <c r="H1102" t="s">
        <v>21</v>
      </c>
      <c r="I1102" s="1" t="s">
        <v>22</v>
      </c>
      <c r="J1102" s="2">
        <v>43530.982615740744</v>
      </c>
      <c r="K1102" s="2">
        <v>43532.982615740744</v>
      </c>
      <c r="L1102" s="2">
        <v>43534.982615740744</v>
      </c>
      <c r="M1102" s="1">
        <f>_xlfn.DAYS(Table1[[#This Row],[actual_delivery_date]],Table1[[#This Row],[dispatch_date]])</f>
        <v>2</v>
      </c>
      <c r="N1102">
        <v>86</v>
      </c>
      <c r="O1102">
        <f>Table1[[#This Row],[transit_storage_cost]] * (1-'What -if Analysis'!$D$26)</f>
        <v>86</v>
      </c>
      <c r="P1102">
        <v>92</v>
      </c>
      <c r="Q1102">
        <v>3485.8550073220599</v>
      </c>
    </row>
    <row r="1103" spans="1:17" x14ac:dyDescent="0.3">
      <c r="A1103">
        <v>524137</v>
      </c>
      <c r="B1103" s="1" t="s">
        <v>38</v>
      </c>
      <c r="C1103" s="1" t="s">
        <v>23</v>
      </c>
      <c r="D1103" s="1" t="s">
        <v>16</v>
      </c>
      <c r="E1103" s="1" t="s">
        <v>27</v>
      </c>
      <c r="F1103" s="1" t="s">
        <v>19</v>
      </c>
      <c r="G1103" s="1" t="s">
        <v>20</v>
      </c>
      <c r="H1103" t="s">
        <v>30</v>
      </c>
      <c r="I1103" s="1" t="s">
        <v>22</v>
      </c>
      <c r="J1103" s="2">
        <v>43530.983530092592</v>
      </c>
      <c r="K1103" s="2">
        <v>43532.983530092592</v>
      </c>
      <c r="L1103" s="2">
        <v>43535.983530092592</v>
      </c>
      <c r="M1103" s="1">
        <f>_xlfn.DAYS(Table1[[#This Row],[actual_delivery_date]],Table1[[#This Row],[dispatch_date]])</f>
        <v>2</v>
      </c>
      <c r="N1103">
        <v>78</v>
      </c>
      <c r="O1103">
        <f>Table1[[#This Row],[transit_storage_cost]] * (1-'What -if Analysis'!$D$26)</f>
        <v>78</v>
      </c>
      <c r="P1103">
        <v>107</v>
      </c>
      <c r="Q1103">
        <v>2559.8960584590532</v>
      </c>
    </row>
    <row r="1104" spans="1:17" x14ac:dyDescent="0.3">
      <c r="A1104">
        <v>851084</v>
      </c>
      <c r="B1104" s="1" t="s">
        <v>39</v>
      </c>
      <c r="C1104" s="1" t="s">
        <v>23</v>
      </c>
      <c r="D1104" s="1" t="s">
        <v>23</v>
      </c>
      <c r="E1104" s="1" t="s">
        <v>28</v>
      </c>
      <c r="F1104" s="1" t="s">
        <v>19</v>
      </c>
      <c r="G1104" s="1" t="s">
        <v>20</v>
      </c>
      <c r="H1104" t="s">
        <v>21</v>
      </c>
      <c r="I1104" s="1" t="s">
        <v>22</v>
      </c>
      <c r="J1104" s="2">
        <v>43532.995127314818</v>
      </c>
      <c r="K1104" s="2">
        <v>43532.995127314818</v>
      </c>
      <c r="L1104" s="2">
        <v>43539.995127314818</v>
      </c>
      <c r="M1104" s="1">
        <f>_xlfn.DAYS(Table1[[#This Row],[actual_delivery_date]],Table1[[#This Row],[dispatch_date]])</f>
        <v>0</v>
      </c>
      <c r="N1104">
        <v>0</v>
      </c>
      <c r="O1104">
        <f>Table1[[#This Row],[transit_storage_cost]] * (1-'What -if Analysis'!$D$26)</f>
        <v>0</v>
      </c>
      <c r="P1104">
        <v>125</v>
      </c>
      <c r="Q1104">
        <v>1929</v>
      </c>
    </row>
    <row r="1105" spans="1:17" x14ac:dyDescent="0.3">
      <c r="A1105">
        <v>543362</v>
      </c>
      <c r="B1105" s="1" t="s">
        <v>38</v>
      </c>
      <c r="C1105" s="1" t="s">
        <v>16</v>
      </c>
      <c r="D1105" s="1" t="s">
        <v>16</v>
      </c>
      <c r="E1105" s="1" t="s">
        <v>27</v>
      </c>
      <c r="F1105" s="1" t="s">
        <v>31</v>
      </c>
      <c r="G1105" s="1" t="s">
        <v>20</v>
      </c>
      <c r="H1105" t="s">
        <v>21</v>
      </c>
      <c r="I1105" s="1" t="s">
        <v>22</v>
      </c>
      <c r="J1105" s="2">
        <v>43529.997418981482</v>
      </c>
      <c r="K1105" s="2">
        <v>43532.997418981482</v>
      </c>
      <c r="L1105" s="2">
        <v>43536.997418981482</v>
      </c>
      <c r="M1105" s="1">
        <f>_xlfn.DAYS(Table1[[#This Row],[actual_delivery_date]],Table1[[#This Row],[dispatch_date]])</f>
        <v>3</v>
      </c>
      <c r="N1105">
        <v>0</v>
      </c>
      <c r="O1105">
        <f>Table1[[#This Row],[transit_storage_cost]] * (1-'What -if Analysis'!$D$26)</f>
        <v>0</v>
      </c>
      <c r="P1105">
        <v>129</v>
      </c>
      <c r="Q1105">
        <v>1729.6027944014104</v>
      </c>
    </row>
    <row r="1106" spans="1:17" x14ac:dyDescent="0.3">
      <c r="A1106">
        <v>196092</v>
      </c>
      <c r="B1106" s="1" t="s">
        <v>38</v>
      </c>
      <c r="C1106" s="1" t="s">
        <v>23</v>
      </c>
      <c r="D1106" s="1" t="s">
        <v>23</v>
      </c>
      <c r="E1106" s="1" t="s">
        <v>28</v>
      </c>
      <c r="F1106" s="1" t="s">
        <v>19</v>
      </c>
      <c r="G1106" s="1" t="s">
        <v>20</v>
      </c>
      <c r="H1106" t="s">
        <v>21</v>
      </c>
      <c r="I1106" s="1" t="s">
        <v>26</v>
      </c>
      <c r="J1106" s="2">
        <v>43527.997789351852</v>
      </c>
      <c r="K1106" s="2">
        <v>43532.997789351852</v>
      </c>
      <c r="L1106" s="2">
        <v>43533.997789351852</v>
      </c>
      <c r="M1106" s="1">
        <f>_xlfn.DAYS(Table1[[#This Row],[actual_delivery_date]],Table1[[#This Row],[dispatch_date]])</f>
        <v>5</v>
      </c>
      <c r="N1106">
        <v>0</v>
      </c>
      <c r="O1106">
        <f>Table1[[#This Row],[transit_storage_cost]] * (1-'What -if Analysis'!$D$26)</f>
        <v>0</v>
      </c>
      <c r="P1106">
        <v>124</v>
      </c>
      <c r="Q1106">
        <v>1819.09</v>
      </c>
    </row>
    <row r="1107" spans="1:17" x14ac:dyDescent="0.3">
      <c r="A1107">
        <v>719402</v>
      </c>
      <c r="B1107" s="1" t="s">
        <v>37</v>
      </c>
      <c r="C1107" s="1" t="s">
        <v>23</v>
      </c>
      <c r="D1107" s="1" t="s">
        <v>23</v>
      </c>
      <c r="E1107" s="1" t="s">
        <v>28</v>
      </c>
      <c r="F1107" s="1" t="s">
        <v>19</v>
      </c>
      <c r="G1107" s="1" t="s">
        <v>20</v>
      </c>
      <c r="H1107" t="s">
        <v>21</v>
      </c>
      <c r="I1107" s="1" t="s">
        <v>22</v>
      </c>
      <c r="J1107" s="2">
        <v>43531.999282407407</v>
      </c>
      <c r="K1107" s="2">
        <v>43532.999282407407</v>
      </c>
      <c r="L1107" s="2">
        <v>43538.999282407407</v>
      </c>
      <c r="M1107" s="1">
        <f>_xlfn.DAYS(Table1[[#This Row],[actual_delivery_date]],Table1[[#This Row],[dispatch_date]])</f>
        <v>1</v>
      </c>
      <c r="N1107">
        <v>0</v>
      </c>
      <c r="O1107">
        <f>Table1[[#This Row],[transit_storage_cost]] * (1-'What -if Analysis'!$D$26)</f>
        <v>0</v>
      </c>
      <c r="P1107">
        <v>101</v>
      </c>
      <c r="Q1107">
        <v>2969.7356537389383</v>
      </c>
    </row>
    <row r="1108" spans="1:17" x14ac:dyDescent="0.3">
      <c r="A1108">
        <v>75558</v>
      </c>
      <c r="B1108" s="1" t="s">
        <v>38</v>
      </c>
      <c r="C1108" s="1" t="s">
        <v>23</v>
      </c>
      <c r="D1108" s="1" t="s">
        <v>24</v>
      </c>
      <c r="E1108" s="1" t="s">
        <v>25</v>
      </c>
      <c r="F1108" s="1" t="s">
        <v>19</v>
      </c>
      <c r="G1108" s="1" t="s">
        <v>20</v>
      </c>
      <c r="H1108" t="s">
        <v>21</v>
      </c>
      <c r="I1108" s="1" t="s">
        <v>26</v>
      </c>
      <c r="J1108" s="2">
        <v>43527.001192129632</v>
      </c>
      <c r="K1108" s="2">
        <v>43533.001192129632</v>
      </c>
      <c r="L1108" s="2">
        <v>43532.001192129632</v>
      </c>
      <c r="M1108" s="1">
        <f>_xlfn.DAYS(Table1[[#This Row],[actual_delivery_date]],Table1[[#This Row],[dispatch_date]])</f>
        <v>6</v>
      </c>
      <c r="N1108">
        <v>71</v>
      </c>
      <c r="O1108">
        <f>Table1[[#This Row],[transit_storage_cost]] * (1-'What -if Analysis'!$D$26)</f>
        <v>71</v>
      </c>
      <c r="P1108">
        <v>100</v>
      </c>
      <c r="Q1108">
        <v>1305.98</v>
      </c>
    </row>
    <row r="1109" spans="1:17" x14ac:dyDescent="0.3">
      <c r="A1109">
        <v>354943</v>
      </c>
      <c r="B1109" s="1" t="s">
        <v>39</v>
      </c>
      <c r="C1109" s="1" t="s">
        <v>16</v>
      </c>
      <c r="D1109" s="1" t="s">
        <v>16</v>
      </c>
      <c r="E1109" s="1" t="s">
        <v>27</v>
      </c>
      <c r="F1109" s="1" t="s">
        <v>29</v>
      </c>
      <c r="G1109" s="1" t="s">
        <v>20</v>
      </c>
      <c r="H1109" t="s">
        <v>30</v>
      </c>
      <c r="I1109" s="1" t="s">
        <v>22</v>
      </c>
      <c r="J1109" s="2">
        <v>43532.007106481484</v>
      </c>
      <c r="K1109" s="2">
        <v>43533.007106481484</v>
      </c>
      <c r="L1109" s="2">
        <v>43536.007106481484</v>
      </c>
      <c r="M1109" s="1">
        <f>_xlfn.DAYS(Table1[[#This Row],[actual_delivery_date]],Table1[[#This Row],[dispatch_date]])</f>
        <v>1</v>
      </c>
      <c r="N1109">
        <v>0</v>
      </c>
      <c r="O1109">
        <f>Table1[[#This Row],[transit_storage_cost]] * (1-'What -if Analysis'!$D$26)</f>
        <v>0</v>
      </c>
      <c r="P1109">
        <v>129</v>
      </c>
      <c r="Q1109">
        <v>3448</v>
      </c>
    </row>
    <row r="1110" spans="1:17" x14ac:dyDescent="0.3">
      <c r="A1110">
        <v>761239</v>
      </c>
      <c r="B1110" s="1" t="s">
        <v>40</v>
      </c>
      <c r="C1110" s="1" t="s">
        <v>16</v>
      </c>
      <c r="D1110" s="1" t="s">
        <v>24</v>
      </c>
      <c r="E1110" s="1" t="s">
        <v>25</v>
      </c>
      <c r="F1110" s="1" t="s">
        <v>29</v>
      </c>
      <c r="G1110" s="1" t="s">
        <v>20</v>
      </c>
      <c r="H1110" t="s">
        <v>30</v>
      </c>
      <c r="I1110" s="1" t="s">
        <v>22</v>
      </c>
      <c r="J1110" s="2">
        <v>43531.007256944446</v>
      </c>
      <c r="K1110" s="2">
        <v>43533.007256944446</v>
      </c>
      <c r="L1110" s="2">
        <v>43538.007256944446</v>
      </c>
      <c r="M1110" s="1">
        <f>_xlfn.DAYS(Table1[[#This Row],[actual_delivery_date]],Table1[[#This Row],[dispatch_date]])</f>
        <v>2</v>
      </c>
      <c r="N1110">
        <v>35</v>
      </c>
      <c r="O1110">
        <f>Table1[[#This Row],[transit_storage_cost]] * (1-'What -if Analysis'!$D$26)</f>
        <v>35</v>
      </c>
      <c r="P1110">
        <v>128</v>
      </c>
      <c r="Q1110">
        <v>1491.4121737609728</v>
      </c>
    </row>
    <row r="1111" spans="1:17" x14ac:dyDescent="0.3">
      <c r="A1111">
        <v>89269</v>
      </c>
      <c r="B1111" s="1" t="s">
        <v>39</v>
      </c>
      <c r="C1111" s="1" t="s">
        <v>23</v>
      </c>
      <c r="D1111" s="1" t="s">
        <v>23</v>
      </c>
      <c r="E1111" s="1" t="s">
        <v>28</v>
      </c>
      <c r="F1111" s="1" t="s">
        <v>19</v>
      </c>
      <c r="G1111" s="1" t="s">
        <v>20</v>
      </c>
      <c r="H1111" t="s">
        <v>30</v>
      </c>
      <c r="I1111" s="1" t="s">
        <v>22</v>
      </c>
      <c r="J1111" s="2">
        <v>43532.00949074074</v>
      </c>
      <c r="K1111" s="2">
        <v>43533.00949074074</v>
      </c>
      <c r="L1111" s="2">
        <v>43537.00949074074</v>
      </c>
      <c r="M1111" s="1">
        <f>_xlfn.DAYS(Table1[[#This Row],[actual_delivery_date]],Table1[[#This Row],[dispatch_date]])</f>
        <v>1</v>
      </c>
      <c r="N1111">
        <v>0</v>
      </c>
      <c r="O1111">
        <f>Table1[[#This Row],[transit_storage_cost]] * (1-'What -if Analysis'!$D$26)</f>
        <v>0</v>
      </c>
      <c r="P1111">
        <v>108</v>
      </c>
      <c r="Q1111">
        <v>1756</v>
      </c>
    </row>
    <row r="1112" spans="1:17" x14ac:dyDescent="0.3">
      <c r="A1112">
        <v>326374</v>
      </c>
      <c r="B1112" s="1" t="s">
        <v>15</v>
      </c>
      <c r="C1112" s="1" t="s">
        <v>16</v>
      </c>
      <c r="D1112" s="1" t="s">
        <v>24</v>
      </c>
      <c r="E1112" s="1" t="s">
        <v>25</v>
      </c>
      <c r="F1112" s="1" t="s">
        <v>31</v>
      </c>
      <c r="G1112" s="1" t="s">
        <v>20</v>
      </c>
      <c r="H1112" t="s">
        <v>21</v>
      </c>
      <c r="I1112" s="1" t="s">
        <v>22</v>
      </c>
      <c r="J1112" s="2">
        <v>43531.018020833333</v>
      </c>
      <c r="K1112" s="2">
        <v>43533.018020833333</v>
      </c>
      <c r="L1112" s="2">
        <v>43537.018020833333</v>
      </c>
      <c r="M1112" s="1">
        <f>_xlfn.DAYS(Table1[[#This Row],[actual_delivery_date]],Table1[[#This Row],[dispatch_date]])</f>
        <v>2</v>
      </c>
      <c r="N1112">
        <v>43</v>
      </c>
      <c r="O1112">
        <f>Table1[[#This Row],[transit_storage_cost]] * (1-'What -if Analysis'!$D$26)</f>
        <v>43</v>
      </c>
      <c r="P1112">
        <v>126</v>
      </c>
      <c r="Q1112">
        <v>3579.7113070087557</v>
      </c>
    </row>
    <row r="1113" spans="1:17" x14ac:dyDescent="0.3">
      <c r="A1113">
        <v>769517</v>
      </c>
      <c r="B1113" s="1" t="s">
        <v>41</v>
      </c>
      <c r="C1113" s="1" t="s">
        <v>16</v>
      </c>
      <c r="D1113" s="1" t="s">
        <v>24</v>
      </c>
      <c r="E1113" s="1" t="s">
        <v>25</v>
      </c>
      <c r="F1113" s="1" t="s">
        <v>29</v>
      </c>
      <c r="G1113" s="1" t="s">
        <v>20</v>
      </c>
      <c r="H1113" t="s">
        <v>34</v>
      </c>
      <c r="I1113" s="1" t="s">
        <v>22</v>
      </c>
      <c r="J1113" s="2">
        <v>43527.018657407411</v>
      </c>
      <c r="K1113" s="2">
        <v>43533.018657407411</v>
      </c>
      <c r="L1113" s="2">
        <v>43531.018657407411</v>
      </c>
      <c r="M1113" s="1">
        <f>_xlfn.DAYS(Table1[[#This Row],[actual_delivery_date]],Table1[[#This Row],[dispatch_date]])</f>
        <v>6</v>
      </c>
      <c r="N1113">
        <v>44</v>
      </c>
      <c r="O1113">
        <f>Table1[[#This Row],[transit_storage_cost]] * (1-'What -if Analysis'!$D$26)</f>
        <v>44</v>
      </c>
      <c r="P1113">
        <v>124</v>
      </c>
      <c r="Q1113">
        <v>2601.0864514882533</v>
      </c>
    </row>
    <row r="1114" spans="1:17" x14ac:dyDescent="0.3">
      <c r="A1114">
        <v>19039</v>
      </c>
      <c r="B1114" s="1" t="s">
        <v>38</v>
      </c>
      <c r="C1114" s="1" t="s">
        <v>16</v>
      </c>
      <c r="D1114" s="1" t="s">
        <v>17</v>
      </c>
      <c r="E1114" s="1" t="s">
        <v>18</v>
      </c>
      <c r="F1114" s="1" t="s">
        <v>29</v>
      </c>
      <c r="G1114" s="1" t="s">
        <v>20</v>
      </c>
      <c r="H1114" t="s">
        <v>30</v>
      </c>
      <c r="I1114" s="1" t="s">
        <v>22</v>
      </c>
      <c r="J1114" s="2">
        <v>43525.025092592594</v>
      </c>
      <c r="K1114" s="2">
        <v>43533.025092592594</v>
      </c>
      <c r="L1114" s="2">
        <v>43528.025092592594</v>
      </c>
      <c r="M1114" s="1">
        <f>_xlfn.DAYS(Table1[[#This Row],[actual_delivery_date]],Table1[[#This Row],[dispatch_date]])</f>
        <v>8</v>
      </c>
      <c r="N1114">
        <v>42</v>
      </c>
      <c r="O1114">
        <f>Table1[[#This Row],[transit_storage_cost]] * (1-'What -if Analysis'!$D$26)</f>
        <v>42</v>
      </c>
      <c r="P1114">
        <v>113</v>
      </c>
      <c r="Q1114">
        <v>2136.280823123137</v>
      </c>
    </row>
    <row r="1115" spans="1:17" x14ac:dyDescent="0.3">
      <c r="A1115">
        <v>161482</v>
      </c>
      <c r="B1115" s="1" t="s">
        <v>37</v>
      </c>
      <c r="C1115" s="1" t="s">
        <v>16</v>
      </c>
      <c r="D1115" s="1" t="s">
        <v>17</v>
      </c>
      <c r="E1115" s="1" t="s">
        <v>18</v>
      </c>
      <c r="F1115" s="1" t="s">
        <v>31</v>
      </c>
      <c r="G1115" s="1" t="s">
        <v>20</v>
      </c>
      <c r="H1115" t="s">
        <v>21</v>
      </c>
      <c r="I1115" s="1" t="s">
        <v>22</v>
      </c>
      <c r="J1115" s="2">
        <v>43529.041192129633</v>
      </c>
      <c r="K1115" s="2">
        <v>43533.041192129633</v>
      </c>
      <c r="L1115" s="2">
        <v>43533.041192129633</v>
      </c>
      <c r="M1115" s="1">
        <f>_xlfn.DAYS(Table1[[#This Row],[actual_delivery_date]],Table1[[#This Row],[dispatch_date]])</f>
        <v>4</v>
      </c>
      <c r="N1115">
        <v>37</v>
      </c>
      <c r="O1115">
        <f>Table1[[#This Row],[transit_storage_cost]] * (1-'What -if Analysis'!$D$26)</f>
        <v>37</v>
      </c>
      <c r="P1115">
        <v>110</v>
      </c>
      <c r="Q1115">
        <v>738.4172519902113</v>
      </c>
    </row>
    <row r="1116" spans="1:17" x14ac:dyDescent="0.3">
      <c r="A1116">
        <v>784583</v>
      </c>
      <c r="B1116" s="1" t="s">
        <v>15</v>
      </c>
      <c r="C1116" s="1" t="s">
        <v>23</v>
      </c>
      <c r="D1116" s="1" t="s">
        <v>32</v>
      </c>
      <c r="E1116" s="1" t="s">
        <v>33</v>
      </c>
      <c r="F1116" s="1" t="s">
        <v>29</v>
      </c>
      <c r="G1116" s="1" t="s">
        <v>20</v>
      </c>
      <c r="H1116" t="s">
        <v>30</v>
      </c>
      <c r="I1116" s="1" t="s">
        <v>22</v>
      </c>
      <c r="J1116" s="2">
        <v>43528.041643518518</v>
      </c>
      <c r="K1116" s="2">
        <v>43533.041643518518</v>
      </c>
      <c r="L1116" s="2">
        <v>43533.041643518518</v>
      </c>
      <c r="M1116" s="1">
        <f>_xlfn.DAYS(Table1[[#This Row],[actual_delivery_date]],Table1[[#This Row],[dispatch_date]])</f>
        <v>5</v>
      </c>
      <c r="N1116">
        <v>25</v>
      </c>
      <c r="O1116">
        <f>Table1[[#This Row],[transit_storage_cost]] * (1-'What -if Analysis'!$D$26)</f>
        <v>25</v>
      </c>
      <c r="P1116">
        <v>109</v>
      </c>
      <c r="Q1116">
        <v>941.26999411897441</v>
      </c>
    </row>
    <row r="1117" spans="1:17" x14ac:dyDescent="0.3">
      <c r="A1117">
        <v>35020</v>
      </c>
      <c r="B1117" s="1" t="s">
        <v>41</v>
      </c>
      <c r="C1117" s="1" t="s">
        <v>16</v>
      </c>
      <c r="D1117" s="1" t="s">
        <v>16</v>
      </c>
      <c r="E1117" s="1" t="s">
        <v>27</v>
      </c>
      <c r="F1117" s="1" t="s">
        <v>19</v>
      </c>
      <c r="G1117" s="1" t="s">
        <v>20</v>
      </c>
      <c r="H1117" t="s">
        <v>21</v>
      </c>
      <c r="I1117" s="1" t="s">
        <v>22</v>
      </c>
      <c r="J1117" s="2">
        <v>43529.044849537036</v>
      </c>
      <c r="K1117" s="2">
        <v>43533.044849537036</v>
      </c>
      <c r="L1117" s="2">
        <v>43532.044849537036</v>
      </c>
      <c r="M1117" s="1">
        <f>_xlfn.DAYS(Table1[[#This Row],[actual_delivery_date]],Table1[[#This Row],[dispatch_date]])</f>
        <v>4</v>
      </c>
      <c r="N1117">
        <v>0</v>
      </c>
      <c r="O1117">
        <f>Table1[[#This Row],[transit_storage_cost]] * (1-'What -if Analysis'!$D$26)</f>
        <v>0</v>
      </c>
      <c r="P1117">
        <v>130</v>
      </c>
      <c r="Q1117">
        <v>442.02379152099098</v>
      </c>
    </row>
    <row r="1118" spans="1:17" x14ac:dyDescent="0.3">
      <c r="A1118">
        <v>69781</v>
      </c>
      <c r="B1118" s="1" t="s">
        <v>39</v>
      </c>
      <c r="C1118" s="1" t="s">
        <v>16</v>
      </c>
      <c r="D1118" s="1" t="s">
        <v>23</v>
      </c>
      <c r="E1118" s="1" t="s">
        <v>28</v>
      </c>
      <c r="F1118" s="1" t="s">
        <v>19</v>
      </c>
      <c r="G1118" s="1" t="s">
        <v>20</v>
      </c>
      <c r="H1118" t="s">
        <v>30</v>
      </c>
      <c r="I1118" s="1" t="s">
        <v>22</v>
      </c>
      <c r="J1118" s="2">
        <v>43531.046354166669</v>
      </c>
      <c r="K1118" s="2">
        <v>43533.046354166669</v>
      </c>
      <c r="L1118" s="2">
        <v>43534.046354166669</v>
      </c>
      <c r="M1118" s="1">
        <f>_xlfn.DAYS(Table1[[#This Row],[actual_delivery_date]],Table1[[#This Row],[dispatch_date]])</f>
        <v>2</v>
      </c>
      <c r="N1118">
        <v>66</v>
      </c>
      <c r="O1118">
        <f>Table1[[#This Row],[transit_storage_cost]] * (1-'What -if Analysis'!$D$26)</f>
        <v>66</v>
      </c>
      <c r="P1118">
        <v>102</v>
      </c>
      <c r="Q1118">
        <v>1405</v>
      </c>
    </row>
    <row r="1119" spans="1:17" x14ac:dyDescent="0.3">
      <c r="A1119">
        <v>710717</v>
      </c>
      <c r="B1119" s="1" t="s">
        <v>39</v>
      </c>
      <c r="C1119" s="1" t="s">
        <v>23</v>
      </c>
      <c r="D1119" s="1" t="s">
        <v>23</v>
      </c>
      <c r="E1119" s="1" t="s">
        <v>28</v>
      </c>
      <c r="F1119" s="1" t="s">
        <v>29</v>
      </c>
      <c r="G1119" s="1" t="s">
        <v>20</v>
      </c>
      <c r="H1119" t="s">
        <v>34</v>
      </c>
      <c r="I1119" s="1" t="s">
        <v>22</v>
      </c>
      <c r="J1119" s="2">
        <v>43529.05228009259</v>
      </c>
      <c r="K1119" s="2">
        <v>43533.05228009259</v>
      </c>
      <c r="L1119" s="2">
        <v>43532.05228009259</v>
      </c>
      <c r="M1119" s="1">
        <f>_xlfn.DAYS(Table1[[#This Row],[actual_delivery_date]],Table1[[#This Row],[dispatch_date]])</f>
        <v>4</v>
      </c>
      <c r="N1119">
        <v>0</v>
      </c>
      <c r="O1119">
        <f>Table1[[#This Row],[transit_storage_cost]] * (1-'What -if Analysis'!$D$26)</f>
        <v>0</v>
      </c>
      <c r="P1119">
        <v>128</v>
      </c>
      <c r="Q1119">
        <v>3479.3132321679077</v>
      </c>
    </row>
    <row r="1120" spans="1:17" x14ac:dyDescent="0.3">
      <c r="A1120">
        <v>495120</v>
      </c>
      <c r="B1120" s="1" t="s">
        <v>40</v>
      </c>
      <c r="C1120" s="1" t="s">
        <v>23</v>
      </c>
      <c r="D1120" s="1" t="s">
        <v>24</v>
      </c>
      <c r="E1120" s="1" t="s">
        <v>25</v>
      </c>
      <c r="F1120" s="1" t="s">
        <v>19</v>
      </c>
      <c r="G1120" s="1" t="s">
        <v>20</v>
      </c>
      <c r="H1120" t="s">
        <v>21</v>
      </c>
      <c r="I1120" s="1" t="s">
        <v>26</v>
      </c>
      <c r="J1120" s="2">
        <v>43529.053298611114</v>
      </c>
      <c r="K1120" s="2">
        <v>43533.053298611114</v>
      </c>
      <c r="L1120" s="2">
        <v>43534.053298611114</v>
      </c>
      <c r="M1120" s="1">
        <f>_xlfn.DAYS(Table1[[#This Row],[actual_delivery_date]],Table1[[#This Row],[dispatch_date]])</f>
        <v>4</v>
      </c>
      <c r="N1120">
        <v>43</v>
      </c>
      <c r="O1120">
        <f>Table1[[#This Row],[transit_storage_cost]] * (1-'What -if Analysis'!$D$26)</f>
        <v>43</v>
      </c>
      <c r="P1120">
        <v>129</v>
      </c>
      <c r="Q1120">
        <v>2069.44</v>
      </c>
    </row>
    <row r="1121" spans="1:17" x14ac:dyDescent="0.3">
      <c r="A1121">
        <v>701325</v>
      </c>
      <c r="B1121" s="1" t="s">
        <v>38</v>
      </c>
      <c r="C1121" s="1" t="s">
        <v>23</v>
      </c>
      <c r="D1121" s="1" t="s">
        <v>32</v>
      </c>
      <c r="E1121" s="1" t="s">
        <v>33</v>
      </c>
      <c r="F1121" s="1" t="s">
        <v>29</v>
      </c>
      <c r="G1121" s="1" t="s">
        <v>20</v>
      </c>
      <c r="H1121" t="s">
        <v>30</v>
      </c>
      <c r="I1121" s="1" t="s">
        <v>26</v>
      </c>
      <c r="J1121" s="2">
        <v>43526.065532407411</v>
      </c>
      <c r="K1121" s="2">
        <v>43533.065532407411</v>
      </c>
      <c r="L1121" s="2">
        <v>43533.065532407411</v>
      </c>
      <c r="M1121" s="1">
        <f>_xlfn.DAYS(Table1[[#This Row],[actual_delivery_date]],Table1[[#This Row],[dispatch_date]])</f>
        <v>7</v>
      </c>
      <c r="N1121">
        <v>36</v>
      </c>
      <c r="O1121">
        <f>Table1[[#This Row],[transit_storage_cost]] * (1-'What -if Analysis'!$D$26)</f>
        <v>36</v>
      </c>
      <c r="P1121">
        <v>109</v>
      </c>
      <c r="Q1121">
        <v>2654.17</v>
      </c>
    </row>
    <row r="1122" spans="1:17" x14ac:dyDescent="0.3">
      <c r="A1122">
        <v>108843</v>
      </c>
      <c r="B1122" s="1" t="s">
        <v>15</v>
      </c>
      <c r="C1122" s="1" t="s">
        <v>23</v>
      </c>
      <c r="D1122" s="1" t="s">
        <v>16</v>
      </c>
      <c r="E1122" s="1" t="s">
        <v>27</v>
      </c>
      <c r="F1122" s="1" t="s">
        <v>19</v>
      </c>
      <c r="G1122" s="1" t="s">
        <v>20</v>
      </c>
      <c r="H1122" t="s">
        <v>34</v>
      </c>
      <c r="I1122" s="1" t="s">
        <v>26</v>
      </c>
      <c r="J1122" s="2">
        <v>43531.069791666669</v>
      </c>
      <c r="K1122" s="2">
        <v>43533.069791666669</v>
      </c>
      <c r="L1122" s="2">
        <v>43538.069791666669</v>
      </c>
      <c r="M1122" s="1">
        <f>_xlfn.DAYS(Table1[[#This Row],[actual_delivery_date]],Table1[[#This Row],[dispatch_date]])</f>
        <v>2</v>
      </c>
      <c r="N1122">
        <v>67</v>
      </c>
      <c r="O1122">
        <f>Table1[[#This Row],[transit_storage_cost]] * (1-'What -if Analysis'!$D$26)</f>
        <v>67</v>
      </c>
      <c r="P1122">
        <v>108</v>
      </c>
      <c r="Q1122">
        <v>1477.0578301392795</v>
      </c>
    </row>
    <row r="1123" spans="1:17" x14ac:dyDescent="0.3">
      <c r="A1123">
        <v>704732</v>
      </c>
      <c r="B1123" s="1" t="s">
        <v>41</v>
      </c>
      <c r="C1123" s="1" t="s">
        <v>16</v>
      </c>
      <c r="D1123" s="1" t="s">
        <v>23</v>
      </c>
      <c r="E1123" s="1" t="s">
        <v>28</v>
      </c>
      <c r="F1123" s="1" t="s">
        <v>19</v>
      </c>
      <c r="G1123" s="1" t="s">
        <v>20</v>
      </c>
      <c r="H1123" t="s">
        <v>21</v>
      </c>
      <c r="I1123" s="1" t="s">
        <v>22</v>
      </c>
      <c r="J1123" s="2">
        <v>43530.07099537037</v>
      </c>
      <c r="K1123" s="2">
        <v>43533.07099537037</v>
      </c>
      <c r="L1123" s="2">
        <v>43535.07099537037</v>
      </c>
      <c r="M1123" s="1">
        <f>_xlfn.DAYS(Table1[[#This Row],[actual_delivery_date]],Table1[[#This Row],[dispatch_date]])</f>
        <v>3</v>
      </c>
      <c r="N1123">
        <v>46</v>
      </c>
      <c r="O1123">
        <f>Table1[[#This Row],[transit_storage_cost]] * (1-'What -if Analysis'!$D$26)</f>
        <v>46</v>
      </c>
      <c r="P1123">
        <v>129</v>
      </c>
      <c r="Q1123">
        <v>3529.8145829935729</v>
      </c>
    </row>
    <row r="1124" spans="1:17" x14ac:dyDescent="0.3">
      <c r="A1124">
        <v>648952</v>
      </c>
      <c r="B1124" s="1" t="s">
        <v>39</v>
      </c>
      <c r="C1124" s="1" t="s">
        <v>16</v>
      </c>
      <c r="D1124" s="1" t="s">
        <v>16</v>
      </c>
      <c r="E1124" s="1" t="s">
        <v>27</v>
      </c>
      <c r="F1124" s="1" t="s">
        <v>19</v>
      </c>
      <c r="G1124" s="1" t="s">
        <v>20</v>
      </c>
      <c r="H1124" t="s">
        <v>21</v>
      </c>
      <c r="I1124" s="1" t="s">
        <v>22</v>
      </c>
      <c r="J1124" s="2">
        <v>43530.080914351849</v>
      </c>
      <c r="K1124" s="2">
        <v>43533.080914351849</v>
      </c>
      <c r="L1124" s="2">
        <v>43537.080914351849</v>
      </c>
      <c r="M1124" s="1">
        <f>_xlfn.DAYS(Table1[[#This Row],[actual_delivery_date]],Table1[[#This Row],[dispatch_date]])</f>
        <v>3</v>
      </c>
      <c r="N1124">
        <v>0</v>
      </c>
      <c r="O1124">
        <f>Table1[[#This Row],[transit_storage_cost]] * (1-'What -if Analysis'!$D$26)</f>
        <v>0</v>
      </c>
      <c r="P1124">
        <v>127</v>
      </c>
      <c r="Q1124">
        <v>2009.7817628076027</v>
      </c>
    </row>
    <row r="1125" spans="1:17" x14ac:dyDescent="0.3">
      <c r="A1125">
        <v>438657</v>
      </c>
      <c r="B1125" s="1" t="s">
        <v>39</v>
      </c>
      <c r="C1125" s="1" t="s">
        <v>23</v>
      </c>
      <c r="D1125" s="1" t="s">
        <v>23</v>
      </c>
      <c r="E1125" s="1" t="s">
        <v>28</v>
      </c>
      <c r="F1125" s="1" t="s">
        <v>19</v>
      </c>
      <c r="G1125" s="1" t="s">
        <v>20</v>
      </c>
      <c r="H1125" t="s">
        <v>30</v>
      </c>
      <c r="I1125" s="1" t="s">
        <v>26</v>
      </c>
      <c r="J1125" s="2">
        <v>43528.084016203706</v>
      </c>
      <c r="K1125" s="2">
        <v>43533.084016203706</v>
      </c>
      <c r="L1125" s="2">
        <v>43535.084016203706</v>
      </c>
      <c r="M1125" s="1">
        <f>_xlfn.DAYS(Table1[[#This Row],[actual_delivery_date]],Table1[[#This Row],[dispatch_date]])</f>
        <v>5</v>
      </c>
      <c r="N1125">
        <v>0</v>
      </c>
      <c r="O1125">
        <f>Table1[[#This Row],[transit_storage_cost]] * (1-'What -if Analysis'!$D$26)</f>
        <v>0</v>
      </c>
      <c r="P1125">
        <v>100</v>
      </c>
      <c r="Q1125">
        <v>1690.91</v>
      </c>
    </row>
    <row r="1126" spans="1:17" x14ac:dyDescent="0.3">
      <c r="A1126">
        <v>850856</v>
      </c>
      <c r="B1126" s="1" t="s">
        <v>40</v>
      </c>
      <c r="C1126" s="1" t="s">
        <v>23</v>
      </c>
      <c r="D1126" s="1" t="s">
        <v>32</v>
      </c>
      <c r="E1126" s="1" t="s">
        <v>33</v>
      </c>
      <c r="F1126" s="1" t="s">
        <v>19</v>
      </c>
      <c r="G1126" s="1" t="s">
        <v>20</v>
      </c>
      <c r="H1126" t="s">
        <v>21</v>
      </c>
      <c r="I1126" s="1" t="s">
        <v>22</v>
      </c>
      <c r="J1126" s="2">
        <v>43528.084456018521</v>
      </c>
      <c r="K1126" s="2">
        <v>43533.084456018521</v>
      </c>
      <c r="L1126" s="2">
        <v>43533.084456018521</v>
      </c>
      <c r="M1126" s="1">
        <f>_xlfn.DAYS(Table1[[#This Row],[actual_delivery_date]],Table1[[#This Row],[dispatch_date]])</f>
        <v>5</v>
      </c>
      <c r="N1126">
        <v>66</v>
      </c>
      <c r="O1126">
        <f>Table1[[#This Row],[transit_storage_cost]] * (1-'What -if Analysis'!$D$26)</f>
        <v>66</v>
      </c>
      <c r="P1126">
        <v>91</v>
      </c>
      <c r="Q1126">
        <v>3115.9166785119546</v>
      </c>
    </row>
    <row r="1127" spans="1:17" x14ac:dyDescent="0.3">
      <c r="A1127">
        <v>19112</v>
      </c>
      <c r="B1127" s="1" t="s">
        <v>38</v>
      </c>
      <c r="C1127" s="1" t="s">
        <v>23</v>
      </c>
      <c r="D1127" s="1" t="s">
        <v>16</v>
      </c>
      <c r="E1127" s="1" t="s">
        <v>27</v>
      </c>
      <c r="F1127" s="1" t="s">
        <v>19</v>
      </c>
      <c r="G1127" s="1" t="s">
        <v>20</v>
      </c>
      <c r="H1127" t="s">
        <v>21</v>
      </c>
      <c r="I1127" s="1" t="s">
        <v>22</v>
      </c>
      <c r="J1127" s="2">
        <v>43527.090046296296</v>
      </c>
      <c r="K1127" s="2">
        <v>43533.090046296296</v>
      </c>
      <c r="L1127" s="2">
        <v>43534.090046296296</v>
      </c>
      <c r="M1127" s="1">
        <f>_xlfn.DAYS(Table1[[#This Row],[actual_delivery_date]],Table1[[#This Row],[dispatch_date]])</f>
        <v>6</v>
      </c>
      <c r="N1127">
        <v>48</v>
      </c>
      <c r="O1127">
        <f>Table1[[#This Row],[transit_storage_cost]] * (1-'What -if Analysis'!$D$26)</f>
        <v>48</v>
      </c>
      <c r="P1127">
        <v>121</v>
      </c>
      <c r="Q1127">
        <v>2132.6249919496217</v>
      </c>
    </row>
    <row r="1128" spans="1:17" x14ac:dyDescent="0.3">
      <c r="A1128">
        <v>523061</v>
      </c>
      <c r="B1128" s="1" t="s">
        <v>37</v>
      </c>
      <c r="C1128" s="1" t="s">
        <v>16</v>
      </c>
      <c r="D1128" s="1" t="s">
        <v>32</v>
      </c>
      <c r="E1128" s="1" t="s">
        <v>33</v>
      </c>
      <c r="F1128" s="1" t="s">
        <v>29</v>
      </c>
      <c r="G1128" s="1" t="s">
        <v>20</v>
      </c>
      <c r="H1128" t="s">
        <v>34</v>
      </c>
      <c r="I1128" s="1" t="s">
        <v>22</v>
      </c>
      <c r="J1128" s="2">
        <v>43531.095856481479</v>
      </c>
      <c r="K1128" s="2">
        <v>43533.095856481479</v>
      </c>
      <c r="L1128" s="2">
        <v>43537.095856481479</v>
      </c>
      <c r="M1128" s="1">
        <f>_xlfn.DAYS(Table1[[#This Row],[actual_delivery_date]],Table1[[#This Row],[dispatch_date]])</f>
        <v>2</v>
      </c>
      <c r="N1128">
        <v>27</v>
      </c>
      <c r="O1128">
        <f>Table1[[#This Row],[transit_storage_cost]] * (1-'What -if Analysis'!$D$26)</f>
        <v>27</v>
      </c>
      <c r="P1128">
        <v>106</v>
      </c>
      <c r="Q1128">
        <v>673</v>
      </c>
    </row>
    <row r="1129" spans="1:17" x14ac:dyDescent="0.3">
      <c r="A1129">
        <v>112789</v>
      </c>
      <c r="B1129" s="1" t="s">
        <v>41</v>
      </c>
      <c r="C1129" s="1" t="s">
        <v>23</v>
      </c>
      <c r="D1129" s="1" t="s">
        <v>16</v>
      </c>
      <c r="E1129" s="1" t="s">
        <v>27</v>
      </c>
      <c r="F1129" s="1" t="s">
        <v>19</v>
      </c>
      <c r="G1129" s="1" t="s">
        <v>20</v>
      </c>
      <c r="H1129" t="s">
        <v>30</v>
      </c>
      <c r="I1129" s="1" t="s">
        <v>22</v>
      </c>
      <c r="J1129" s="2">
        <v>43528.097268518519</v>
      </c>
      <c r="K1129" s="2">
        <v>43533.097268518519</v>
      </c>
      <c r="L1129" s="2">
        <v>43535.097268518519</v>
      </c>
      <c r="M1129" s="1">
        <f>_xlfn.DAYS(Table1[[#This Row],[actual_delivery_date]],Table1[[#This Row],[dispatch_date]])</f>
        <v>5</v>
      </c>
      <c r="N1129">
        <v>83</v>
      </c>
      <c r="O1129">
        <f>Table1[[#This Row],[transit_storage_cost]] * (1-'What -if Analysis'!$D$26)</f>
        <v>83</v>
      </c>
      <c r="P1129">
        <v>103</v>
      </c>
      <c r="Q1129">
        <v>1666.9715030749337</v>
      </c>
    </row>
    <row r="1130" spans="1:17" x14ac:dyDescent="0.3">
      <c r="A1130">
        <v>805703</v>
      </c>
      <c r="B1130" s="1" t="s">
        <v>15</v>
      </c>
      <c r="C1130" s="1" t="s">
        <v>23</v>
      </c>
      <c r="D1130" s="1" t="s">
        <v>32</v>
      </c>
      <c r="E1130" s="1" t="s">
        <v>33</v>
      </c>
      <c r="F1130" s="1" t="s">
        <v>29</v>
      </c>
      <c r="G1130" s="1" t="s">
        <v>20</v>
      </c>
      <c r="H1130" t="s">
        <v>30</v>
      </c>
      <c r="I1130" s="1" t="s">
        <v>22</v>
      </c>
      <c r="J1130" s="2">
        <v>43529.100138888891</v>
      </c>
      <c r="K1130" s="2">
        <v>43533.100138888891</v>
      </c>
      <c r="L1130" s="2">
        <v>43533.100138888891</v>
      </c>
      <c r="M1130" s="1">
        <f>_xlfn.DAYS(Table1[[#This Row],[actual_delivery_date]],Table1[[#This Row],[dispatch_date]])</f>
        <v>4</v>
      </c>
      <c r="N1130">
        <v>48</v>
      </c>
      <c r="O1130">
        <f>Table1[[#This Row],[transit_storage_cost]] * (1-'What -if Analysis'!$D$26)</f>
        <v>48</v>
      </c>
      <c r="P1130">
        <v>106</v>
      </c>
      <c r="Q1130">
        <v>2145.1241098014743</v>
      </c>
    </row>
    <row r="1131" spans="1:17" x14ac:dyDescent="0.3">
      <c r="A1131">
        <v>705834</v>
      </c>
      <c r="B1131" s="1" t="s">
        <v>38</v>
      </c>
      <c r="C1131" s="1" t="s">
        <v>16</v>
      </c>
      <c r="D1131" s="1" t="s">
        <v>16</v>
      </c>
      <c r="E1131" s="1" t="s">
        <v>27</v>
      </c>
      <c r="F1131" s="1" t="s">
        <v>19</v>
      </c>
      <c r="G1131" s="1" t="s">
        <v>20</v>
      </c>
      <c r="H1131" t="s">
        <v>21</v>
      </c>
      <c r="I1131" s="1" t="s">
        <v>26</v>
      </c>
      <c r="J1131" s="2">
        <v>43528.101527777777</v>
      </c>
      <c r="K1131" s="2">
        <v>43533.101527777777</v>
      </c>
      <c r="L1131" s="2">
        <v>43534.101527777777</v>
      </c>
      <c r="M1131" s="1">
        <f>_xlfn.DAYS(Table1[[#This Row],[actual_delivery_date]],Table1[[#This Row],[dispatch_date]])</f>
        <v>5</v>
      </c>
      <c r="N1131">
        <v>0</v>
      </c>
      <c r="O1131">
        <f>Table1[[#This Row],[transit_storage_cost]] * (1-'What -if Analysis'!$D$26)</f>
        <v>0</v>
      </c>
      <c r="P1131">
        <v>103</v>
      </c>
      <c r="Q1131">
        <v>2511.6999999999998</v>
      </c>
    </row>
    <row r="1132" spans="1:17" x14ac:dyDescent="0.3">
      <c r="A1132">
        <v>358782</v>
      </c>
      <c r="B1132" s="1" t="s">
        <v>37</v>
      </c>
      <c r="C1132" s="1" t="s">
        <v>23</v>
      </c>
      <c r="D1132" s="1" t="s">
        <v>23</v>
      </c>
      <c r="E1132" s="1" t="s">
        <v>28</v>
      </c>
      <c r="F1132" s="1" t="s">
        <v>31</v>
      </c>
      <c r="G1132" s="1" t="s">
        <v>20</v>
      </c>
      <c r="H1132" t="s">
        <v>21</v>
      </c>
      <c r="I1132" s="1" t="s">
        <v>26</v>
      </c>
      <c r="J1132" s="2">
        <v>43530.103032407409</v>
      </c>
      <c r="K1132" s="2">
        <v>43533.103032407409</v>
      </c>
      <c r="L1132" s="2">
        <v>43537.103032407409</v>
      </c>
      <c r="M1132" s="1">
        <f>_xlfn.DAYS(Table1[[#This Row],[actual_delivery_date]],Table1[[#This Row],[dispatch_date]])</f>
        <v>3</v>
      </c>
      <c r="N1132">
        <v>0</v>
      </c>
      <c r="O1132">
        <f>Table1[[#This Row],[transit_storage_cost]] * (1-'What -if Analysis'!$D$26)</f>
        <v>0</v>
      </c>
      <c r="P1132">
        <v>123</v>
      </c>
      <c r="Q1132">
        <v>2654.41</v>
      </c>
    </row>
    <row r="1133" spans="1:17" x14ac:dyDescent="0.3">
      <c r="A1133">
        <v>900207</v>
      </c>
      <c r="B1133" s="1" t="s">
        <v>37</v>
      </c>
      <c r="C1133" s="1" t="s">
        <v>16</v>
      </c>
      <c r="D1133" s="1" t="s">
        <v>16</v>
      </c>
      <c r="E1133" s="1" t="s">
        <v>27</v>
      </c>
      <c r="F1133" s="1" t="s">
        <v>19</v>
      </c>
      <c r="G1133" s="1" t="s">
        <v>20</v>
      </c>
      <c r="H1133" t="s">
        <v>34</v>
      </c>
      <c r="I1133" s="1" t="s">
        <v>26</v>
      </c>
      <c r="J1133" s="2">
        <v>43528.105034722219</v>
      </c>
      <c r="K1133" s="2">
        <v>43533.105034722219</v>
      </c>
      <c r="L1133" s="2">
        <v>43533.105034722219</v>
      </c>
      <c r="M1133" s="1">
        <f>_xlfn.DAYS(Table1[[#This Row],[actual_delivery_date]],Table1[[#This Row],[dispatch_date]])</f>
        <v>5</v>
      </c>
      <c r="N1133">
        <v>0</v>
      </c>
      <c r="O1133">
        <f>Table1[[#This Row],[transit_storage_cost]] * (1-'What -if Analysis'!$D$26)</f>
        <v>0</v>
      </c>
      <c r="P1133">
        <v>105</v>
      </c>
      <c r="Q1133">
        <v>861.94</v>
      </c>
    </row>
    <row r="1134" spans="1:17" x14ac:dyDescent="0.3">
      <c r="A1134">
        <v>354298</v>
      </c>
      <c r="B1134" s="1" t="s">
        <v>38</v>
      </c>
      <c r="C1134" s="1" t="s">
        <v>16</v>
      </c>
      <c r="D1134" s="1" t="s">
        <v>16</v>
      </c>
      <c r="E1134" s="1" t="s">
        <v>27</v>
      </c>
      <c r="F1134" s="1" t="s">
        <v>31</v>
      </c>
      <c r="G1134" s="1" t="s">
        <v>20</v>
      </c>
      <c r="H1134" t="s">
        <v>21</v>
      </c>
      <c r="I1134" s="1" t="s">
        <v>22</v>
      </c>
      <c r="J1134" s="2">
        <v>43532.106296296297</v>
      </c>
      <c r="K1134" s="2">
        <v>43533.106296296297</v>
      </c>
      <c r="L1134" s="2">
        <v>43537.106296296297</v>
      </c>
      <c r="M1134" s="1">
        <f>_xlfn.DAYS(Table1[[#This Row],[actual_delivery_date]],Table1[[#This Row],[dispatch_date]])</f>
        <v>1</v>
      </c>
      <c r="N1134">
        <v>0</v>
      </c>
      <c r="O1134">
        <f>Table1[[#This Row],[transit_storage_cost]] * (1-'What -if Analysis'!$D$26)</f>
        <v>0</v>
      </c>
      <c r="P1134">
        <v>121</v>
      </c>
      <c r="Q1134">
        <v>2022.1597178136876</v>
      </c>
    </row>
    <row r="1135" spans="1:17" x14ac:dyDescent="0.3">
      <c r="A1135">
        <v>224348</v>
      </c>
      <c r="B1135" s="1" t="s">
        <v>38</v>
      </c>
      <c r="C1135" s="1" t="s">
        <v>23</v>
      </c>
      <c r="D1135" s="1" t="s">
        <v>23</v>
      </c>
      <c r="E1135" s="1" t="s">
        <v>28</v>
      </c>
      <c r="F1135" s="1" t="s">
        <v>19</v>
      </c>
      <c r="G1135" s="1" t="s">
        <v>20</v>
      </c>
      <c r="H1135" t="s">
        <v>21</v>
      </c>
      <c r="I1135" s="1" t="s">
        <v>22</v>
      </c>
      <c r="J1135" s="2">
        <v>43532.107256944444</v>
      </c>
      <c r="K1135" s="2">
        <v>43533.107256944444</v>
      </c>
      <c r="L1135" s="2">
        <v>43535.107256944444</v>
      </c>
      <c r="M1135" s="1">
        <f>_xlfn.DAYS(Table1[[#This Row],[actual_delivery_date]],Table1[[#This Row],[dispatch_date]])</f>
        <v>1</v>
      </c>
      <c r="N1135">
        <v>0</v>
      </c>
      <c r="O1135">
        <f>Table1[[#This Row],[transit_storage_cost]] * (1-'What -if Analysis'!$D$26)</f>
        <v>0</v>
      </c>
      <c r="P1135">
        <v>108</v>
      </c>
      <c r="Q1135">
        <v>1970.4890733211053</v>
      </c>
    </row>
    <row r="1136" spans="1:17" x14ac:dyDescent="0.3">
      <c r="A1136">
        <v>274430</v>
      </c>
      <c r="B1136" s="1" t="s">
        <v>39</v>
      </c>
      <c r="C1136" s="1" t="s">
        <v>23</v>
      </c>
      <c r="D1136" s="1" t="s">
        <v>17</v>
      </c>
      <c r="E1136" s="1" t="s">
        <v>18</v>
      </c>
      <c r="F1136" s="1" t="s">
        <v>19</v>
      </c>
      <c r="G1136" s="1" t="s">
        <v>20</v>
      </c>
      <c r="H1136" t="s">
        <v>21</v>
      </c>
      <c r="I1136" s="1" t="s">
        <v>22</v>
      </c>
      <c r="J1136" s="2">
        <v>43531.107268518521</v>
      </c>
      <c r="K1136" s="2">
        <v>43533.107268518521</v>
      </c>
      <c r="L1136" s="2">
        <v>43537.107268518521</v>
      </c>
      <c r="M1136" s="1">
        <f>_xlfn.DAYS(Table1[[#This Row],[actual_delivery_date]],Table1[[#This Row],[dispatch_date]])</f>
        <v>2</v>
      </c>
      <c r="N1136">
        <v>90</v>
      </c>
      <c r="O1136">
        <f>Table1[[#This Row],[transit_storage_cost]] * (1-'What -if Analysis'!$D$26)</f>
        <v>90</v>
      </c>
      <c r="P1136">
        <v>93</v>
      </c>
      <c r="Q1136">
        <v>796.54167239450987</v>
      </c>
    </row>
    <row r="1137" spans="1:17" x14ac:dyDescent="0.3">
      <c r="A1137">
        <v>99484</v>
      </c>
      <c r="B1137" s="1" t="s">
        <v>37</v>
      </c>
      <c r="C1137" s="1" t="s">
        <v>16</v>
      </c>
      <c r="D1137" s="1" t="s">
        <v>32</v>
      </c>
      <c r="E1137" s="1" t="s">
        <v>33</v>
      </c>
      <c r="F1137" s="1" t="s">
        <v>19</v>
      </c>
      <c r="G1137" s="1" t="s">
        <v>20</v>
      </c>
      <c r="H1137" t="s">
        <v>21</v>
      </c>
      <c r="I1137" s="1" t="s">
        <v>22</v>
      </c>
      <c r="J1137" s="2">
        <v>43526.114907407406</v>
      </c>
      <c r="K1137" s="2">
        <v>43533.114907407406</v>
      </c>
      <c r="L1137" s="2">
        <v>43531.114907407406</v>
      </c>
      <c r="M1137" s="1">
        <f>_xlfn.DAYS(Table1[[#This Row],[actual_delivery_date]],Table1[[#This Row],[dispatch_date]])</f>
        <v>7</v>
      </c>
      <c r="N1137">
        <v>80</v>
      </c>
      <c r="O1137">
        <f>Table1[[#This Row],[transit_storage_cost]] * (1-'What -if Analysis'!$D$26)</f>
        <v>80</v>
      </c>
      <c r="P1137">
        <v>87</v>
      </c>
      <c r="Q1137">
        <v>582.95001633214611</v>
      </c>
    </row>
    <row r="1138" spans="1:17" x14ac:dyDescent="0.3">
      <c r="A1138">
        <v>934013</v>
      </c>
      <c r="B1138" s="1" t="s">
        <v>38</v>
      </c>
      <c r="C1138" s="1" t="s">
        <v>23</v>
      </c>
      <c r="D1138" s="1" t="s">
        <v>16</v>
      </c>
      <c r="E1138" s="1" t="s">
        <v>27</v>
      </c>
      <c r="F1138" s="1" t="s">
        <v>19</v>
      </c>
      <c r="G1138" s="1" t="s">
        <v>20</v>
      </c>
      <c r="H1138" t="s">
        <v>30</v>
      </c>
      <c r="I1138" s="1" t="s">
        <v>22</v>
      </c>
      <c r="J1138" s="2">
        <v>43529.116377314815</v>
      </c>
      <c r="K1138" s="2">
        <v>43533.116377314815</v>
      </c>
      <c r="L1138" s="2">
        <v>43532.116377314815</v>
      </c>
      <c r="M1138" s="1">
        <f>_xlfn.DAYS(Table1[[#This Row],[actual_delivery_date]],Table1[[#This Row],[dispatch_date]])</f>
        <v>4</v>
      </c>
      <c r="N1138">
        <v>79</v>
      </c>
      <c r="O1138">
        <f>Table1[[#This Row],[transit_storage_cost]] * (1-'What -if Analysis'!$D$26)</f>
        <v>79</v>
      </c>
      <c r="P1138">
        <v>104</v>
      </c>
      <c r="Q1138">
        <v>1708.5631303679486</v>
      </c>
    </row>
    <row r="1139" spans="1:17" x14ac:dyDescent="0.3">
      <c r="A1139">
        <v>400758</v>
      </c>
      <c r="B1139" s="1" t="s">
        <v>38</v>
      </c>
      <c r="C1139" s="1" t="s">
        <v>16</v>
      </c>
      <c r="D1139" s="1" t="s">
        <v>32</v>
      </c>
      <c r="E1139" s="1" t="s">
        <v>33</v>
      </c>
      <c r="F1139" s="1" t="s">
        <v>31</v>
      </c>
      <c r="G1139" s="1" t="s">
        <v>20</v>
      </c>
      <c r="H1139" t="s">
        <v>21</v>
      </c>
      <c r="I1139" s="1" t="s">
        <v>26</v>
      </c>
      <c r="J1139" s="2">
        <v>43528.127870370372</v>
      </c>
      <c r="K1139" s="2">
        <v>43533.127870370372</v>
      </c>
      <c r="L1139" s="2">
        <v>43531.127870370372</v>
      </c>
      <c r="M1139" s="1">
        <f>_xlfn.DAYS(Table1[[#This Row],[actual_delivery_date]],Table1[[#This Row],[dispatch_date]])</f>
        <v>5</v>
      </c>
      <c r="N1139">
        <v>34</v>
      </c>
      <c r="O1139">
        <f>Table1[[#This Row],[transit_storage_cost]] * (1-'What -if Analysis'!$D$26)</f>
        <v>34</v>
      </c>
      <c r="P1139">
        <v>105</v>
      </c>
      <c r="Q1139">
        <v>2375.11</v>
      </c>
    </row>
    <row r="1140" spans="1:17" x14ac:dyDescent="0.3">
      <c r="A1140">
        <v>472978</v>
      </c>
      <c r="B1140" s="1" t="s">
        <v>37</v>
      </c>
      <c r="C1140" s="1" t="s">
        <v>16</v>
      </c>
      <c r="D1140" s="1" t="s">
        <v>24</v>
      </c>
      <c r="E1140" s="1" t="s">
        <v>25</v>
      </c>
      <c r="F1140" s="1" t="s">
        <v>31</v>
      </c>
      <c r="G1140" s="1" t="s">
        <v>20</v>
      </c>
      <c r="H1140" t="s">
        <v>21</v>
      </c>
      <c r="I1140" s="1" t="s">
        <v>22</v>
      </c>
      <c r="J1140" s="2">
        <v>43528.133599537039</v>
      </c>
      <c r="K1140" s="2">
        <v>43533.133599537039</v>
      </c>
      <c r="L1140" s="2">
        <v>43534.133599537039</v>
      </c>
      <c r="M1140" s="1">
        <f>_xlfn.DAYS(Table1[[#This Row],[actual_delivery_date]],Table1[[#This Row],[dispatch_date]])</f>
        <v>5</v>
      </c>
      <c r="N1140">
        <v>29</v>
      </c>
      <c r="O1140">
        <f>Table1[[#This Row],[transit_storage_cost]] * (1-'What -if Analysis'!$D$26)</f>
        <v>29</v>
      </c>
      <c r="P1140">
        <v>126</v>
      </c>
      <c r="Q1140">
        <v>1862.0996843889779</v>
      </c>
    </row>
    <row r="1141" spans="1:17" x14ac:dyDescent="0.3">
      <c r="A1141">
        <v>527250</v>
      </c>
      <c r="B1141" s="1" t="s">
        <v>37</v>
      </c>
      <c r="C1141" s="1" t="s">
        <v>23</v>
      </c>
      <c r="D1141" s="1" t="s">
        <v>24</v>
      </c>
      <c r="E1141" s="1" t="s">
        <v>25</v>
      </c>
      <c r="F1141" s="1" t="s">
        <v>31</v>
      </c>
      <c r="G1141" s="1" t="s">
        <v>20</v>
      </c>
      <c r="H1141" t="s">
        <v>21</v>
      </c>
      <c r="I1141" s="1" t="s">
        <v>26</v>
      </c>
      <c r="J1141" s="2">
        <v>43531.136817129627</v>
      </c>
      <c r="K1141" s="2">
        <v>43533.136817129627</v>
      </c>
      <c r="L1141" s="2">
        <v>43534.136817129627</v>
      </c>
      <c r="M1141" s="1">
        <f>_xlfn.DAYS(Table1[[#This Row],[actual_delivery_date]],Table1[[#This Row],[dispatch_date]])</f>
        <v>2</v>
      </c>
      <c r="N1141">
        <v>42</v>
      </c>
      <c r="O1141">
        <f>Table1[[#This Row],[transit_storage_cost]] * (1-'What -if Analysis'!$D$26)</f>
        <v>42</v>
      </c>
      <c r="P1141">
        <v>125</v>
      </c>
      <c r="Q1141">
        <v>1251.1484653495108</v>
      </c>
    </row>
    <row r="1142" spans="1:17" x14ac:dyDescent="0.3">
      <c r="A1142">
        <v>675675</v>
      </c>
      <c r="B1142" s="1" t="s">
        <v>15</v>
      </c>
      <c r="C1142" s="1" t="s">
        <v>23</v>
      </c>
      <c r="D1142" s="1" t="s">
        <v>23</v>
      </c>
      <c r="E1142" s="1" t="s">
        <v>28</v>
      </c>
      <c r="F1142" s="1" t="s">
        <v>29</v>
      </c>
      <c r="G1142" s="1" t="s">
        <v>20</v>
      </c>
      <c r="H1142" t="s">
        <v>34</v>
      </c>
      <c r="I1142" s="1" t="s">
        <v>26</v>
      </c>
      <c r="J1142" s="2">
        <v>43529.139687499999</v>
      </c>
      <c r="K1142" s="2">
        <v>43533.139687499999</v>
      </c>
      <c r="L1142" s="2">
        <v>43532.139687499999</v>
      </c>
      <c r="M1142" s="1">
        <f>_xlfn.DAYS(Table1[[#This Row],[actual_delivery_date]],Table1[[#This Row],[dispatch_date]])</f>
        <v>4</v>
      </c>
      <c r="N1142">
        <v>0</v>
      </c>
      <c r="O1142">
        <f>Table1[[#This Row],[transit_storage_cost]] * (1-'What -if Analysis'!$D$26)</f>
        <v>0</v>
      </c>
      <c r="P1142">
        <v>123</v>
      </c>
      <c r="Q1142">
        <v>3265.61</v>
      </c>
    </row>
    <row r="1143" spans="1:17" x14ac:dyDescent="0.3">
      <c r="A1143">
        <v>793895</v>
      </c>
      <c r="B1143" s="1" t="s">
        <v>37</v>
      </c>
      <c r="C1143" s="1" t="s">
        <v>23</v>
      </c>
      <c r="D1143" s="1" t="s">
        <v>17</v>
      </c>
      <c r="E1143" s="1" t="s">
        <v>18</v>
      </c>
      <c r="F1143" s="1" t="s">
        <v>19</v>
      </c>
      <c r="G1143" s="1" t="s">
        <v>20</v>
      </c>
      <c r="H1143" t="s">
        <v>30</v>
      </c>
      <c r="I1143" s="1" t="s">
        <v>22</v>
      </c>
      <c r="J1143" s="2">
        <v>43529.142731481479</v>
      </c>
      <c r="K1143" s="2">
        <v>43533.142731481479</v>
      </c>
      <c r="L1143" s="2">
        <v>43535.142731481479</v>
      </c>
      <c r="M1143" s="1">
        <f>_xlfn.DAYS(Table1[[#This Row],[actual_delivery_date]],Table1[[#This Row],[dispatch_date]])</f>
        <v>4</v>
      </c>
      <c r="N1143">
        <v>74</v>
      </c>
      <c r="O1143">
        <f>Table1[[#This Row],[transit_storage_cost]] * (1-'What -if Analysis'!$D$26)</f>
        <v>74</v>
      </c>
      <c r="P1143">
        <v>89</v>
      </c>
      <c r="Q1143">
        <v>2183.0949728326391</v>
      </c>
    </row>
    <row r="1144" spans="1:17" x14ac:dyDescent="0.3">
      <c r="A1144">
        <v>203892</v>
      </c>
      <c r="B1144" s="1" t="s">
        <v>38</v>
      </c>
      <c r="C1144" s="1" t="s">
        <v>23</v>
      </c>
      <c r="D1144" s="1" t="s">
        <v>16</v>
      </c>
      <c r="E1144" s="1" t="s">
        <v>27</v>
      </c>
      <c r="F1144" s="1" t="s">
        <v>19</v>
      </c>
      <c r="G1144" s="1" t="s">
        <v>20</v>
      </c>
      <c r="H1144" t="s">
        <v>21</v>
      </c>
      <c r="I1144" s="1" t="s">
        <v>26</v>
      </c>
      <c r="J1144" s="2">
        <v>43531.146296296298</v>
      </c>
      <c r="K1144" s="2">
        <v>43533.146296296298</v>
      </c>
      <c r="L1144" s="2">
        <v>43536.146296296298</v>
      </c>
      <c r="M1144" s="1">
        <f>_xlfn.DAYS(Table1[[#This Row],[actual_delivery_date]],Table1[[#This Row],[dispatch_date]])</f>
        <v>2</v>
      </c>
      <c r="N1144">
        <v>31</v>
      </c>
      <c r="O1144">
        <f>Table1[[#This Row],[transit_storage_cost]] * (1-'What -if Analysis'!$D$26)</f>
        <v>31</v>
      </c>
      <c r="P1144">
        <v>130</v>
      </c>
      <c r="Q1144">
        <v>3110.3231202908887</v>
      </c>
    </row>
    <row r="1145" spans="1:17" x14ac:dyDescent="0.3">
      <c r="A1145">
        <v>895585</v>
      </c>
      <c r="B1145" s="1" t="s">
        <v>37</v>
      </c>
      <c r="C1145" s="1" t="s">
        <v>16</v>
      </c>
      <c r="D1145" s="1" t="s">
        <v>16</v>
      </c>
      <c r="E1145" s="1" t="s">
        <v>27</v>
      </c>
      <c r="F1145" s="1" t="s">
        <v>29</v>
      </c>
      <c r="G1145" s="1" t="s">
        <v>20</v>
      </c>
      <c r="H1145" t="s">
        <v>30</v>
      </c>
      <c r="I1145" s="1" t="s">
        <v>22</v>
      </c>
      <c r="J1145" s="2">
        <v>43527.149421296293</v>
      </c>
      <c r="K1145" s="2">
        <v>43533.149421296293</v>
      </c>
      <c r="L1145" s="2">
        <v>43531.149421296293</v>
      </c>
      <c r="M1145" s="1">
        <f>_xlfn.DAYS(Table1[[#This Row],[actual_delivery_date]],Table1[[#This Row],[dispatch_date]])</f>
        <v>6</v>
      </c>
      <c r="N1145">
        <v>0</v>
      </c>
      <c r="O1145">
        <f>Table1[[#This Row],[transit_storage_cost]] * (1-'What -if Analysis'!$D$26)</f>
        <v>0</v>
      </c>
      <c r="P1145">
        <v>121</v>
      </c>
      <c r="Q1145">
        <v>3495.899458084235</v>
      </c>
    </row>
    <row r="1146" spans="1:17" x14ac:dyDescent="0.3">
      <c r="A1146">
        <v>354545</v>
      </c>
      <c r="B1146" s="1" t="s">
        <v>38</v>
      </c>
      <c r="C1146" s="1" t="s">
        <v>16</v>
      </c>
      <c r="D1146" s="1" t="s">
        <v>32</v>
      </c>
      <c r="E1146" s="1" t="s">
        <v>33</v>
      </c>
      <c r="F1146" s="1" t="s">
        <v>29</v>
      </c>
      <c r="G1146" s="1" t="s">
        <v>20</v>
      </c>
      <c r="H1146" t="s">
        <v>30</v>
      </c>
      <c r="I1146" s="1" t="s">
        <v>22</v>
      </c>
      <c r="J1146" s="2">
        <v>43527.160520833335</v>
      </c>
      <c r="K1146" s="2">
        <v>43533.160520833335</v>
      </c>
      <c r="L1146" s="2">
        <v>43531.160520833335</v>
      </c>
      <c r="M1146" s="1">
        <f>_xlfn.DAYS(Table1[[#This Row],[actual_delivery_date]],Table1[[#This Row],[dispatch_date]])</f>
        <v>6</v>
      </c>
      <c r="N1146">
        <v>35</v>
      </c>
      <c r="O1146">
        <f>Table1[[#This Row],[transit_storage_cost]] * (1-'What -if Analysis'!$D$26)</f>
        <v>35</v>
      </c>
      <c r="P1146">
        <v>111</v>
      </c>
      <c r="Q1146">
        <v>3645.1899960243918</v>
      </c>
    </row>
    <row r="1147" spans="1:17" x14ac:dyDescent="0.3">
      <c r="A1147">
        <v>845449</v>
      </c>
      <c r="B1147" s="1" t="s">
        <v>38</v>
      </c>
      <c r="C1147" s="1" t="s">
        <v>16</v>
      </c>
      <c r="D1147" s="1" t="s">
        <v>16</v>
      </c>
      <c r="E1147" s="1" t="s">
        <v>27</v>
      </c>
      <c r="F1147" s="1" t="s">
        <v>29</v>
      </c>
      <c r="G1147" s="1" t="s">
        <v>20</v>
      </c>
      <c r="H1147" t="s">
        <v>30</v>
      </c>
      <c r="I1147" s="1" t="s">
        <v>22</v>
      </c>
      <c r="J1147" s="2">
        <v>43528.160567129627</v>
      </c>
      <c r="K1147" s="2">
        <v>43533.160567129627</v>
      </c>
      <c r="L1147" s="2">
        <v>43535.160567129627</v>
      </c>
      <c r="M1147" s="1">
        <f>_xlfn.DAYS(Table1[[#This Row],[actual_delivery_date]],Table1[[#This Row],[dispatch_date]])</f>
        <v>5</v>
      </c>
      <c r="N1147">
        <v>0</v>
      </c>
      <c r="O1147">
        <f>Table1[[#This Row],[transit_storage_cost]] * (1-'What -if Analysis'!$D$26)</f>
        <v>0</v>
      </c>
      <c r="P1147">
        <v>120</v>
      </c>
      <c r="Q1147">
        <v>3444.4192528631143</v>
      </c>
    </row>
    <row r="1148" spans="1:17" x14ac:dyDescent="0.3">
      <c r="A1148">
        <v>86291</v>
      </c>
      <c r="B1148" s="1" t="s">
        <v>37</v>
      </c>
      <c r="C1148" s="1" t="s">
        <v>23</v>
      </c>
      <c r="D1148" s="1" t="s">
        <v>32</v>
      </c>
      <c r="E1148" s="1" t="s">
        <v>33</v>
      </c>
      <c r="F1148" s="1" t="s">
        <v>29</v>
      </c>
      <c r="G1148" s="1" t="s">
        <v>20</v>
      </c>
      <c r="H1148" t="s">
        <v>30</v>
      </c>
      <c r="I1148" s="1" t="s">
        <v>22</v>
      </c>
      <c r="J1148" s="2">
        <v>43526.16134259259</v>
      </c>
      <c r="K1148" s="2">
        <v>43533.16134259259</v>
      </c>
      <c r="L1148" s="2">
        <v>43530.16134259259</v>
      </c>
      <c r="M1148" s="1">
        <f>_xlfn.DAYS(Table1[[#This Row],[actual_delivery_date]],Table1[[#This Row],[dispatch_date]])</f>
        <v>7</v>
      </c>
      <c r="N1148">
        <v>39</v>
      </c>
      <c r="O1148">
        <f>Table1[[#This Row],[transit_storage_cost]] * (1-'What -if Analysis'!$D$26)</f>
        <v>39</v>
      </c>
      <c r="P1148">
        <v>108</v>
      </c>
      <c r="Q1148">
        <v>1500.1699611164247</v>
      </c>
    </row>
    <row r="1149" spans="1:17" x14ac:dyDescent="0.3">
      <c r="A1149">
        <v>496184</v>
      </c>
      <c r="B1149" s="1" t="s">
        <v>37</v>
      </c>
      <c r="C1149" s="1" t="s">
        <v>23</v>
      </c>
      <c r="D1149" s="1" t="s">
        <v>17</v>
      </c>
      <c r="E1149" s="1" t="s">
        <v>18</v>
      </c>
      <c r="F1149" s="1" t="s">
        <v>19</v>
      </c>
      <c r="G1149" s="1" t="s">
        <v>20</v>
      </c>
      <c r="H1149" t="s">
        <v>21</v>
      </c>
      <c r="I1149" s="1" t="s">
        <v>22</v>
      </c>
      <c r="J1149" s="2">
        <v>43528.162638888891</v>
      </c>
      <c r="K1149" s="2">
        <v>43533.162638888891</v>
      </c>
      <c r="L1149" s="2">
        <v>43533.162638888891</v>
      </c>
      <c r="M1149" s="1">
        <f>_xlfn.DAYS(Table1[[#This Row],[actual_delivery_date]],Table1[[#This Row],[dispatch_date]])</f>
        <v>5</v>
      </c>
      <c r="N1149">
        <v>44</v>
      </c>
      <c r="O1149">
        <f>Table1[[#This Row],[transit_storage_cost]] * (1-'What -if Analysis'!$D$26)</f>
        <v>44</v>
      </c>
      <c r="P1149">
        <v>106</v>
      </c>
      <c r="Q1149">
        <v>679.10232996453351</v>
      </c>
    </row>
    <row r="1150" spans="1:17" x14ac:dyDescent="0.3">
      <c r="A1150">
        <v>697116</v>
      </c>
      <c r="B1150" s="1" t="s">
        <v>37</v>
      </c>
      <c r="C1150" s="1" t="s">
        <v>16</v>
      </c>
      <c r="D1150" s="1" t="s">
        <v>16</v>
      </c>
      <c r="E1150" s="1" t="s">
        <v>27</v>
      </c>
      <c r="F1150" s="1" t="s">
        <v>19</v>
      </c>
      <c r="G1150" s="1" t="s">
        <v>20</v>
      </c>
      <c r="H1150" t="s">
        <v>21</v>
      </c>
      <c r="I1150" s="1" t="s">
        <v>26</v>
      </c>
      <c r="J1150" s="2">
        <v>43528.16369212963</v>
      </c>
      <c r="K1150" s="2">
        <v>43533.16369212963</v>
      </c>
      <c r="L1150" s="2">
        <v>43532.16369212963</v>
      </c>
      <c r="M1150" s="1">
        <f>_xlfn.DAYS(Table1[[#This Row],[actual_delivery_date]],Table1[[#This Row],[dispatch_date]])</f>
        <v>5</v>
      </c>
      <c r="N1150">
        <v>9999</v>
      </c>
      <c r="O1150">
        <f>Table1[[#This Row],[transit_storage_cost]] * (1-'What -if Analysis'!$D$26)</f>
        <v>9999</v>
      </c>
      <c r="P1150">
        <v>125</v>
      </c>
      <c r="Q1150">
        <v>2708.39</v>
      </c>
    </row>
    <row r="1151" spans="1:17" x14ac:dyDescent="0.3">
      <c r="A1151">
        <v>641698</v>
      </c>
      <c r="B1151" s="1" t="s">
        <v>37</v>
      </c>
      <c r="C1151" s="1" t="s">
        <v>23</v>
      </c>
      <c r="D1151" s="1" t="s">
        <v>24</v>
      </c>
      <c r="E1151" s="1" t="s">
        <v>25</v>
      </c>
      <c r="F1151" s="1" t="s">
        <v>31</v>
      </c>
      <c r="G1151" s="1" t="s">
        <v>20</v>
      </c>
      <c r="H1151" t="s">
        <v>21</v>
      </c>
      <c r="I1151" s="1" t="s">
        <v>22</v>
      </c>
      <c r="J1151" s="2">
        <v>43527.165185185186</v>
      </c>
      <c r="K1151" s="2">
        <v>43533.165185185186</v>
      </c>
      <c r="L1151" s="2">
        <v>43532.165185185186</v>
      </c>
      <c r="M1151" s="1">
        <f>_xlfn.DAYS(Table1[[#This Row],[actual_delivery_date]],Table1[[#This Row],[dispatch_date]])</f>
        <v>6</v>
      </c>
      <c r="N1151">
        <v>40</v>
      </c>
      <c r="O1151">
        <f>Table1[[#This Row],[transit_storage_cost]] * (1-'What -if Analysis'!$D$26)</f>
        <v>40</v>
      </c>
      <c r="P1151">
        <v>123</v>
      </c>
      <c r="Q1151">
        <v>1206.0230050773723</v>
      </c>
    </row>
    <row r="1152" spans="1:17" x14ac:dyDescent="0.3">
      <c r="A1152">
        <v>409268</v>
      </c>
      <c r="B1152" s="1" t="s">
        <v>37</v>
      </c>
      <c r="C1152" s="1" t="s">
        <v>16</v>
      </c>
      <c r="D1152" s="1" t="s">
        <v>16</v>
      </c>
      <c r="E1152" s="1" t="s">
        <v>27</v>
      </c>
      <c r="F1152" s="1" t="s">
        <v>19</v>
      </c>
      <c r="G1152" s="1" t="s">
        <v>20</v>
      </c>
      <c r="H1152" t="s">
        <v>21</v>
      </c>
      <c r="I1152" s="1" t="s">
        <v>22</v>
      </c>
      <c r="J1152" s="2">
        <v>43533.16741898148</v>
      </c>
      <c r="K1152" s="2">
        <v>43533.16741898148</v>
      </c>
      <c r="L1152" s="2">
        <v>43540.16741898148</v>
      </c>
      <c r="M1152" s="1">
        <f>_xlfn.DAYS(Table1[[#This Row],[actual_delivery_date]],Table1[[#This Row],[dispatch_date]])</f>
        <v>0</v>
      </c>
      <c r="N1152">
        <v>0</v>
      </c>
      <c r="O1152">
        <f>Table1[[#This Row],[transit_storage_cost]] * (1-'What -if Analysis'!$D$26)</f>
        <v>0</v>
      </c>
      <c r="P1152">
        <v>100</v>
      </c>
      <c r="Q1152">
        <v>891.35275813044507</v>
      </c>
    </row>
    <row r="1153" spans="1:17" x14ac:dyDescent="0.3">
      <c r="A1153">
        <v>341485</v>
      </c>
      <c r="B1153" s="1" t="s">
        <v>38</v>
      </c>
      <c r="C1153" s="1" t="s">
        <v>16</v>
      </c>
      <c r="D1153" s="1" t="s">
        <v>17</v>
      </c>
      <c r="E1153" s="1" t="s">
        <v>18</v>
      </c>
      <c r="F1153" s="1" t="s">
        <v>29</v>
      </c>
      <c r="G1153" s="1" t="s">
        <v>20</v>
      </c>
      <c r="H1153" t="s">
        <v>30</v>
      </c>
      <c r="I1153" s="1" t="s">
        <v>22</v>
      </c>
      <c r="J1153" s="2">
        <v>43526.169259259259</v>
      </c>
      <c r="K1153" s="2">
        <v>43533.169259259259</v>
      </c>
      <c r="L1153" s="2">
        <v>43533.169259259259</v>
      </c>
      <c r="M1153" s="1">
        <f>_xlfn.DAYS(Table1[[#This Row],[actual_delivery_date]],Table1[[#This Row],[dispatch_date]])</f>
        <v>7</v>
      </c>
      <c r="N1153">
        <v>35</v>
      </c>
      <c r="O1153">
        <f>Table1[[#This Row],[transit_storage_cost]] * (1-'What -if Analysis'!$D$26)</f>
        <v>35</v>
      </c>
      <c r="P1153">
        <v>109</v>
      </c>
      <c r="Q1153">
        <v>3102.0244686152723</v>
      </c>
    </row>
    <row r="1154" spans="1:17" x14ac:dyDescent="0.3">
      <c r="A1154">
        <v>649939</v>
      </c>
      <c r="B1154" s="1" t="s">
        <v>39</v>
      </c>
      <c r="C1154" s="1" t="s">
        <v>16</v>
      </c>
      <c r="D1154" s="1" t="s">
        <v>17</v>
      </c>
      <c r="E1154" s="1" t="s">
        <v>18</v>
      </c>
      <c r="F1154" s="1" t="s">
        <v>29</v>
      </c>
      <c r="G1154" s="1" t="s">
        <v>20</v>
      </c>
      <c r="H1154" t="s">
        <v>30</v>
      </c>
      <c r="I1154" s="1" t="s">
        <v>22</v>
      </c>
      <c r="J1154" s="2">
        <v>43528.171701388892</v>
      </c>
      <c r="K1154" s="2">
        <v>43533.171701388892</v>
      </c>
      <c r="L1154" s="2">
        <v>43531.171701388892</v>
      </c>
      <c r="M1154" s="1">
        <f>_xlfn.DAYS(Table1[[#This Row],[actual_delivery_date]],Table1[[#This Row],[dispatch_date]])</f>
        <v>5</v>
      </c>
      <c r="N1154">
        <v>40</v>
      </c>
      <c r="O1154">
        <f>Table1[[#This Row],[transit_storage_cost]] * (1-'What -if Analysis'!$D$26)</f>
        <v>40</v>
      </c>
      <c r="P1154">
        <v>111</v>
      </c>
      <c r="Q1154">
        <v>2722.3385479450644</v>
      </c>
    </row>
    <row r="1155" spans="1:17" x14ac:dyDescent="0.3">
      <c r="A1155">
        <v>236596</v>
      </c>
      <c r="B1155" s="1" t="s">
        <v>39</v>
      </c>
      <c r="C1155" s="1" t="s">
        <v>23</v>
      </c>
      <c r="D1155" s="1" t="s">
        <v>16</v>
      </c>
      <c r="E1155" s="1" t="s">
        <v>27</v>
      </c>
      <c r="F1155" s="1" t="s">
        <v>19</v>
      </c>
      <c r="G1155" s="1" t="s">
        <v>20</v>
      </c>
      <c r="H1155" t="s">
        <v>21</v>
      </c>
      <c r="I1155" s="1" t="s">
        <v>22</v>
      </c>
      <c r="J1155" s="2">
        <v>43531.174050925925</v>
      </c>
      <c r="K1155" s="2">
        <v>43533.174050925925</v>
      </c>
      <c r="L1155" s="2">
        <v>43536.174050925925</v>
      </c>
      <c r="M1155" s="1">
        <f>_xlfn.DAYS(Table1[[#This Row],[actual_delivery_date]],Table1[[#This Row],[dispatch_date]])</f>
        <v>2</v>
      </c>
      <c r="N1155">
        <v>35</v>
      </c>
      <c r="O1155">
        <f>Table1[[#This Row],[transit_storage_cost]] * (1-'What -if Analysis'!$D$26)</f>
        <v>35</v>
      </c>
      <c r="P1155">
        <v>128</v>
      </c>
      <c r="Q1155">
        <v>1088</v>
      </c>
    </row>
    <row r="1156" spans="1:17" x14ac:dyDescent="0.3">
      <c r="A1156">
        <v>870562</v>
      </c>
      <c r="B1156" s="1" t="s">
        <v>40</v>
      </c>
      <c r="C1156" s="1" t="s">
        <v>23</v>
      </c>
      <c r="D1156" s="1" t="s">
        <v>17</v>
      </c>
      <c r="E1156" s="1" t="s">
        <v>18</v>
      </c>
      <c r="F1156" s="1" t="s">
        <v>31</v>
      </c>
      <c r="G1156" s="1" t="s">
        <v>20</v>
      </c>
      <c r="H1156" t="s">
        <v>21</v>
      </c>
      <c r="I1156" s="1" t="s">
        <v>22</v>
      </c>
      <c r="J1156" s="2">
        <v>43530.177673611113</v>
      </c>
      <c r="K1156" s="2">
        <v>43533.177673611113</v>
      </c>
      <c r="L1156" s="2">
        <v>43537.177673611113</v>
      </c>
      <c r="M1156" s="1">
        <f>_xlfn.DAYS(Table1[[#This Row],[actual_delivery_date]],Table1[[#This Row],[dispatch_date]])</f>
        <v>3</v>
      </c>
      <c r="N1156">
        <v>46</v>
      </c>
      <c r="O1156">
        <f>Table1[[#This Row],[transit_storage_cost]] * (1-'What -if Analysis'!$D$26)</f>
        <v>46</v>
      </c>
      <c r="P1156">
        <v>108</v>
      </c>
      <c r="Q1156">
        <v>1601.5033811701869</v>
      </c>
    </row>
    <row r="1157" spans="1:17" x14ac:dyDescent="0.3">
      <c r="A1157">
        <v>308089</v>
      </c>
      <c r="B1157" s="1" t="s">
        <v>39</v>
      </c>
      <c r="C1157" s="1" t="s">
        <v>16</v>
      </c>
      <c r="D1157" s="1" t="s">
        <v>16</v>
      </c>
      <c r="E1157" s="1" t="s">
        <v>27</v>
      </c>
      <c r="F1157" s="1" t="s">
        <v>29</v>
      </c>
      <c r="G1157" s="1" t="s">
        <v>20</v>
      </c>
      <c r="H1157" t="s">
        <v>30</v>
      </c>
      <c r="I1157" s="1" t="s">
        <v>22</v>
      </c>
      <c r="J1157" s="2">
        <v>43527.184525462966</v>
      </c>
      <c r="K1157" s="2">
        <v>43533.184525462966</v>
      </c>
      <c r="L1157" s="2">
        <v>43530.184525462966</v>
      </c>
      <c r="M1157" s="1">
        <f>_xlfn.DAYS(Table1[[#This Row],[actual_delivery_date]],Table1[[#This Row],[dispatch_date]])</f>
        <v>6</v>
      </c>
      <c r="N1157">
        <v>0</v>
      </c>
      <c r="O1157">
        <f>Table1[[#This Row],[transit_storage_cost]] * (1-'What -if Analysis'!$D$26)</f>
        <v>0</v>
      </c>
      <c r="P1157">
        <v>126</v>
      </c>
      <c r="Q1157">
        <v>2183.479746444737</v>
      </c>
    </row>
    <row r="1158" spans="1:17" x14ac:dyDescent="0.3">
      <c r="A1158">
        <v>819185</v>
      </c>
      <c r="B1158" s="1" t="s">
        <v>38</v>
      </c>
      <c r="C1158" s="1" t="s">
        <v>16</v>
      </c>
      <c r="D1158" s="1" t="s">
        <v>23</v>
      </c>
      <c r="E1158" s="1" t="s">
        <v>28</v>
      </c>
      <c r="F1158" s="1" t="s">
        <v>29</v>
      </c>
      <c r="G1158" s="1" t="s">
        <v>20</v>
      </c>
      <c r="H1158" t="s">
        <v>30</v>
      </c>
      <c r="I1158" s="1" t="s">
        <v>22</v>
      </c>
      <c r="J1158" s="2">
        <v>43525.184710648151</v>
      </c>
      <c r="K1158" s="2">
        <v>43533.184710648151</v>
      </c>
      <c r="L1158" s="2">
        <v>43528.184710648151</v>
      </c>
      <c r="M1158" s="1">
        <f>_xlfn.DAYS(Table1[[#This Row],[actual_delivery_date]],Table1[[#This Row],[dispatch_date]])</f>
        <v>8</v>
      </c>
      <c r="N1158">
        <v>47</v>
      </c>
      <c r="O1158">
        <f>Table1[[#This Row],[transit_storage_cost]] * (1-'What -if Analysis'!$D$26)</f>
        <v>47</v>
      </c>
      <c r="P1158">
        <v>125</v>
      </c>
      <c r="Q1158">
        <v>3280.7149123403519</v>
      </c>
    </row>
    <row r="1159" spans="1:17" x14ac:dyDescent="0.3">
      <c r="A1159">
        <v>866304</v>
      </c>
      <c r="B1159" s="1" t="s">
        <v>37</v>
      </c>
      <c r="C1159" s="1" t="s">
        <v>23</v>
      </c>
      <c r="D1159" s="1" t="s">
        <v>23</v>
      </c>
      <c r="E1159" s="1" t="s">
        <v>28</v>
      </c>
      <c r="F1159" s="1" t="s">
        <v>19</v>
      </c>
      <c r="G1159" s="1" t="s">
        <v>20</v>
      </c>
      <c r="H1159" t="s">
        <v>21</v>
      </c>
      <c r="I1159" s="1" t="s">
        <v>26</v>
      </c>
      <c r="J1159" s="2">
        <v>43528.1871875</v>
      </c>
      <c r="K1159" s="2">
        <v>43533.1871875</v>
      </c>
      <c r="L1159" s="2">
        <v>43531.1871875</v>
      </c>
      <c r="M1159" s="1">
        <f>_xlfn.DAYS(Table1[[#This Row],[actual_delivery_date]],Table1[[#This Row],[dispatch_date]])</f>
        <v>5</v>
      </c>
      <c r="N1159">
        <v>0</v>
      </c>
      <c r="O1159">
        <f>Table1[[#This Row],[transit_storage_cost]] * (1-'What -if Analysis'!$D$26)</f>
        <v>0</v>
      </c>
      <c r="P1159">
        <v>121</v>
      </c>
      <c r="Q1159">
        <v>2646.25</v>
      </c>
    </row>
    <row r="1160" spans="1:17" x14ac:dyDescent="0.3">
      <c r="A1160">
        <v>360956</v>
      </c>
      <c r="B1160" s="1" t="s">
        <v>37</v>
      </c>
      <c r="C1160" s="1" t="s">
        <v>16</v>
      </c>
      <c r="D1160" s="1" t="s">
        <v>32</v>
      </c>
      <c r="E1160" s="1" t="s">
        <v>33</v>
      </c>
      <c r="F1160" s="1" t="s">
        <v>19</v>
      </c>
      <c r="G1160" s="1" t="s">
        <v>20</v>
      </c>
      <c r="H1160" t="s">
        <v>21</v>
      </c>
      <c r="I1160" s="1" t="s">
        <v>22</v>
      </c>
      <c r="J1160" s="2">
        <v>43530.191631944443</v>
      </c>
      <c r="K1160" s="2">
        <v>43533.191631944443</v>
      </c>
      <c r="L1160" s="2">
        <v>43537.191631944443</v>
      </c>
      <c r="M1160" s="1">
        <f>_xlfn.DAYS(Table1[[#This Row],[actual_delivery_date]],Table1[[#This Row],[dispatch_date]])</f>
        <v>3</v>
      </c>
      <c r="N1160">
        <v>25</v>
      </c>
      <c r="O1160">
        <f>Table1[[#This Row],[transit_storage_cost]] * (1-'What -if Analysis'!$D$26)</f>
        <v>25</v>
      </c>
      <c r="P1160">
        <v>114</v>
      </c>
      <c r="Q1160">
        <v>1793.0185870956673</v>
      </c>
    </row>
    <row r="1161" spans="1:17" x14ac:dyDescent="0.3">
      <c r="A1161">
        <v>757052</v>
      </c>
      <c r="B1161" s="1" t="s">
        <v>40</v>
      </c>
      <c r="C1161" s="1" t="s">
        <v>16</v>
      </c>
      <c r="D1161" s="1" t="s">
        <v>17</v>
      </c>
      <c r="E1161" s="1" t="s">
        <v>18</v>
      </c>
      <c r="F1161" s="1" t="s">
        <v>19</v>
      </c>
      <c r="G1161" s="1" t="s">
        <v>20</v>
      </c>
      <c r="H1161" t="s">
        <v>21</v>
      </c>
      <c r="I1161" s="1" t="s">
        <v>22</v>
      </c>
      <c r="J1161" s="2">
        <v>43529.20140046296</v>
      </c>
      <c r="K1161" s="2">
        <v>43533.20140046296</v>
      </c>
      <c r="L1161" s="2">
        <v>43536.20140046296</v>
      </c>
      <c r="M1161" s="1">
        <f>_xlfn.DAYS(Table1[[#This Row],[actual_delivery_date]],Table1[[#This Row],[dispatch_date]])</f>
        <v>4</v>
      </c>
      <c r="N1161">
        <v>70</v>
      </c>
      <c r="O1161">
        <f>Table1[[#This Row],[transit_storage_cost]] * (1-'What -if Analysis'!$D$26)</f>
        <v>70</v>
      </c>
      <c r="P1161">
        <v>89</v>
      </c>
      <c r="Q1161">
        <v>1052.6390514232571</v>
      </c>
    </row>
    <row r="1162" spans="1:17" x14ac:dyDescent="0.3">
      <c r="A1162">
        <v>732698</v>
      </c>
      <c r="B1162" s="1" t="s">
        <v>41</v>
      </c>
      <c r="C1162" s="1" t="s">
        <v>16</v>
      </c>
      <c r="D1162" s="1" t="s">
        <v>17</v>
      </c>
      <c r="E1162" s="1" t="s">
        <v>18</v>
      </c>
      <c r="F1162" s="1" t="s">
        <v>31</v>
      </c>
      <c r="G1162" s="1" t="s">
        <v>20</v>
      </c>
      <c r="H1162" t="s">
        <v>21</v>
      </c>
      <c r="I1162" s="1" t="s">
        <v>22</v>
      </c>
      <c r="J1162" s="2">
        <v>43529.212141203701</v>
      </c>
      <c r="K1162" s="2">
        <v>43533.212141203701</v>
      </c>
      <c r="L1162" s="2">
        <v>43536.212141203701</v>
      </c>
      <c r="M1162" s="1">
        <f>_xlfn.DAYS(Table1[[#This Row],[actual_delivery_date]],Table1[[#This Row],[dispatch_date]])</f>
        <v>4</v>
      </c>
      <c r="N1162">
        <v>43</v>
      </c>
      <c r="O1162">
        <f>Table1[[#This Row],[transit_storage_cost]] * (1-'What -if Analysis'!$D$26)</f>
        <v>43</v>
      </c>
      <c r="P1162">
        <v>107</v>
      </c>
      <c r="Q1162">
        <v>3247.7194071866779</v>
      </c>
    </row>
    <row r="1163" spans="1:17" x14ac:dyDescent="0.3">
      <c r="A1163">
        <v>603073</v>
      </c>
      <c r="B1163" s="1" t="s">
        <v>38</v>
      </c>
      <c r="C1163" s="1" t="s">
        <v>16</v>
      </c>
      <c r="D1163" s="1" t="s">
        <v>24</v>
      </c>
      <c r="E1163" s="1" t="s">
        <v>25</v>
      </c>
      <c r="F1163" s="1" t="s">
        <v>29</v>
      </c>
      <c r="G1163" s="1" t="s">
        <v>20</v>
      </c>
      <c r="H1163" t="s">
        <v>30</v>
      </c>
      <c r="I1163" s="1" t="s">
        <v>22</v>
      </c>
      <c r="J1163" s="2">
        <v>43529.213773148149</v>
      </c>
      <c r="K1163" s="2">
        <v>43533.213773148149</v>
      </c>
      <c r="L1163" s="2">
        <v>43535.213773148149</v>
      </c>
      <c r="M1163" s="1">
        <f>_xlfn.DAYS(Table1[[#This Row],[actual_delivery_date]],Table1[[#This Row],[dispatch_date]])</f>
        <v>4</v>
      </c>
      <c r="N1163">
        <v>50</v>
      </c>
      <c r="O1163">
        <f>Table1[[#This Row],[transit_storage_cost]] * (1-'What -if Analysis'!$D$26)</f>
        <v>50</v>
      </c>
      <c r="P1163">
        <v>126</v>
      </c>
      <c r="Q1163">
        <v>749.86412375114287</v>
      </c>
    </row>
    <row r="1164" spans="1:17" x14ac:dyDescent="0.3">
      <c r="A1164">
        <v>721330</v>
      </c>
      <c r="B1164" s="1" t="s">
        <v>38</v>
      </c>
      <c r="C1164" s="1" t="s">
        <v>16</v>
      </c>
      <c r="D1164" s="1" t="s">
        <v>16</v>
      </c>
      <c r="E1164" s="1" t="s">
        <v>27</v>
      </c>
      <c r="F1164" s="1" t="s">
        <v>31</v>
      </c>
      <c r="G1164" s="1" t="s">
        <v>20</v>
      </c>
      <c r="H1164" t="s">
        <v>21</v>
      </c>
      <c r="I1164" s="1" t="s">
        <v>22</v>
      </c>
      <c r="J1164" s="2">
        <v>43530.215405092589</v>
      </c>
      <c r="K1164" s="2">
        <v>43533.215405092589</v>
      </c>
      <c r="L1164" s="2">
        <v>43534.215405092589</v>
      </c>
      <c r="M1164" s="1">
        <f>_xlfn.DAYS(Table1[[#This Row],[actual_delivery_date]],Table1[[#This Row],[dispatch_date]])</f>
        <v>3</v>
      </c>
      <c r="N1164">
        <v>0</v>
      </c>
      <c r="O1164">
        <f>Table1[[#This Row],[transit_storage_cost]] * (1-'What -if Analysis'!$D$26)</f>
        <v>0</v>
      </c>
      <c r="P1164">
        <v>129</v>
      </c>
      <c r="Q1164">
        <v>3017</v>
      </c>
    </row>
    <row r="1165" spans="1:17" x14ac:dyDescent="0.3">
      <c r="A1165">
        <v>669912</v>
      </c>
      <c r="B1165" s="1" t="s">
        <v>15</v>
      </c>
      <c r="C1165" s="1" t="s">
        <v>23</v>
      </c>
      <c r="D1165" s="1" t="s">
        <v>16</v>
      </c>
      <c r="E1165" s="1" t="s">
        <v>27</v>
      </c>
      <c r="F1165" s="1" t="s">
        <v>19</v>
      </c>
      <c r="G1165" s="1" t="s">
        <v>20</v>
      </c>
      <c r="H1165" t="s">
        <v>21</v>
      </c>
      <c r="I1165" s="1" t="s">
        <v>26</v>
      </c>
      <c r="J1165" s="2">
        <v>43531.217442129629</v>
      </c>
      <c r="K1165" s="2">
        <v>43533.217442129629</v>
      </c>
      <c r="L1165" s="2">
        <v>43534.217442129629</v>
      </c>
      <c r="M1165" s="1">
        <f>_xlfn.DAYS(Table1[[#This Row],[actual_delivery_date]],Table1[[#This Row],[dispatch_date]])</f>
        <v>2</v>
      </c>
      <c r="N1165">
        <v>76</v>
      </c>
      <c r="O1165">
        <f>Table1[[#This Row],[transit_storage_cost]] * (1-'What -if Analysis'!$D$26)</f>
        <v>76</v>
      </c>
      <c r="P1165">
        <v>103</v>
      </c>
      <c r="Q1165">
        <v>2738.7284997183192</v>
      </c>
    </row>
    <row r="1166" spans="1:17" x14ac:dyDescent="0.3">
      <c r="A1166">
        <v>735063</v>
      </c>
      <c r="B1166" s="1" t="s">
        <v>39</v>
      </c>
      <c r="C1166" s="1" t="s">
        <v>16</v>
      </c>
      <c r="D1166" s="1" t="s">
        <v>23</v>
      </c>
      <c r="E1166" s="1" t="s">
        <v>28</v>
      </c>
      <c r="F1166" s="1" t="s">
        <v>29</v>
      </c>
      <c r="G1166" s="1" t="s">
        <v>20</v>
      </c>
      <c r="H1166" t="s">
        <v>34</v>
      </c>
      <c r="I1166" s="1" t="s">
        <v>26</v>
      </c>
      <c r="J1166" s="2">
        <v>43529.225162037037</v>
      </c>
      <c r="K1166" s="2">
        <v>43533.225162037037</v>
      </c>
      <c r="L1166" s="2">
        <v>43535.225162037037</v>
      </c>
      <c r="M1166" s="1">
        <f>_xlfn.DAYS(Table1[[#This Row],[actual_delivery_date]],Table1[[#This Row],[dispatch_date]])</f>
        <v>4</v>
      </c>
      <c r="N1166">
        <v>30</v>
      </c>
      <c r="O1166">
        <f>Table1[[#This Row],[transit_storage_cost]] * (1-'What -if Analysis'!$D$26)</f>
        <v>30</v>
      </c>
      <c r="P1166">
        <v>127</v>
      </c>
      <c r="Q1166">
        <v>3359.57</v>
      </c>
    </row>
    <row r="1167" spans="1:17" x14ac:dyDescent="0.3">
      <c r="A1167">
        <v>45485</v>
      </c>
      <c r="B1167" s="1" t="s">
        <v>38</v>
      </c>
      <c r="C1167" s="1" t="s">
        <v>23</v>
      </c>
      <c r="D1167" s="1" t="s">
        <v>17</v>
      </c>
      <c r="E1167" s="1" t="s">
        <v>18</v>
      </c>
      <c r="F1167" s="1" t="s">
        <v>19</v>
      </c>
      <c r="G1167" s="1" t="s">
        <v>20</v>
      </c>
      <c r="H1167" t="s">
        <v>30</v>
      </c>
      <c r="I1167" s="1" t="s">
        <v>22</v>
      </c>
      <c r="J1167" s="2">
        <v>43530.227048611108</v>
      </c>
      <c r="K1167" s="2">
        <v>43533.227048611108</v>
      </c>
      <c r="L1167" s="2">
        <v>43535.227048611108</v>
      </c>
      <c r="M1167" s="1">
        <f>_xlfn.DAYS(Table1[[#This Row],[actual_delivery_date]],Table1[[#This Row],[dispatch_date]])</f>
        <v>3</v>
      </c>
      <c r="N1167">
        <v>75</v>
      </c>
      <c r="O1167">
        <f>Table1[[#This Row],[transit_storage_cost]] * (1-'What -if Analysis'!$D$26)</f>
        <v>75</v>
      </c>
      <c r="P1167">
        <v>87</v>
      </c>
      <c r="Q1167">
        <v>683.20596667466236</v>
      </c>
    </row>
    <row r="1168" spans="1:17" x14ac:dyDescent="0.3">
      <c r="A1168">
        <v>378426</v>
      </c>
      <c r="B1168" s="1" t="s">
        <v>40</v>
      </c>
      <c r="C1168" s="1" t="s">
        <v>16</v>
      </c>
      <c r="D1168" s="1" t="s">
        <v>17</v>
      </c>
      <c r="E1168" s="1" t="s">
        <v>18</v>
      </c>
      <c r="F1168" s="1" t="s">
        <v>31</v>
      </c>
      <c r="G1168" s="1" t="s">
        <v>20</v>
      </c>
      <c r="H1168" t="s">
        <v>21</v>
      </c>
      <c r="I1168" s="1" t="s">
        <v>26</v>
      </c>
      <c r="J1168" s="2">
        <v>43527.22797453704</v>
      </c>
      <c r="K1168" s="2">
        <v>43533.22797453704</v>
      </c>
      <c r="L1168" s="2">
        <v>43534.22797453704</v>
      </c>
      <c r="M1168" s="1">
        <f>_xlfn.DAYS(Table1[[#This Row],[actual_delivery_date]],Table1[[#This Row],[dispatch_date]])</f>
        <v>6</v>
      </c>
      <c r="N1168">
        <v>47</v>
      </c>
      <c r="O1168">
        <f>Table1[[#This Row],[transit_storage_cost]] * (1-'What -if Analysis'!$D$26)</f>
        <v>47</v>
      </c>
      <c r="P1168">
        <v>109</v>
      </c>
      <c r="Q1168">
        <v>1614.53</v>
      </c>
    </row>
    <row r="1169" spans="1:17" x14ac:dyDescent="0.3">
      <c r="A1169">
        <v>612819</v>
      </c>
      <c r="B1169" s="1" t="s">
        <v>37</v>
      </c>
      <c r="C1169" s="1" t="s">
        <v>16</v>
      </c>
      <c r="D1169" s="1" t="s">
        <v>16</v>
      </c>
      <c r="E1169" s="1" t="s">
        <v>27</v>
      </c>
      <c r="F1169" s="1" t="s">
        <v>29</v>
      </c>
      <c r="G1169" s="1" t="s">
        <v>20</v>
      </c>
      <c r="H1169" t="s">
        <v>30</v>
      </c>
      <c r="I1169" s="1" t="s">
        <v>26</v>
      </c>
      <c r="J1169" s="2">
        <v>43530.241365740738</v>
      </c>
      <c r="K1169" s="2">
        <v>43533.241365740738</v>
      </c>
      <c r="L1169" s="2">
        <v>43535.241365740738</v>
      </c>
      <c r="M1169" s="1">
        <f>_xlfn.DAYS(Table1[[#This Row],[actual_delivery_date]],Table1[[#This Row],[dispatch_date]])</f>
        <v>3</v>
      </c>
      <c r="N1169">
        <v>0</v>
      </c>
      <c r="O1169">
        <f>Table1[[#This Row],[transit_storage_cost]] * (1-'What -if Analysis'!$D$26)</f>
        <v>0</v>
      </c>
      <c r="P1169">
        <v>129</v>
      </c>
      <c r="Q1169">
        <v>289.48218648391469</v>
      </c>
    </row>
    <row r="1170" spans="1:17" x14ac:dyDescent="0.3">
      <c r="A1170">
        <v>439597</v>
      </c>
      <c r="B1170" s="1" t="s">
        <v>40</v>
      </c>
      <c r="C1170" s="1" t="s">
        <v>16</v>
      </c>
      <c r="D1170" s="1" t="s">
        <v>32</v>
      </c>
      <c r="E1170" s="1" t="s">
        <v>33</v>
      </c>
      <c r="F1170" s="1" t="s">
        <v>29</v>
      </c>
      <c r="G1170" s="1" t="s">
        <v>20</v>
      </c>
      <c r="H1170" t="s">
        <v>30</v>
      </c>
      <c r="I1170" s="1" t="s">
        <v>22</v>
      </c>
      <c r="J1170" s="2">
        <v>43530.243425925924</v>
      </c>
      <c r="K1170" s="2">
        <v>43533.243425925924</v>
      </c>
      <c r="L1170" s="2">
        <v>43535.243425925924</v>
      </c>
      <c r="M1170" s="1">
        <f>_xlfn.DAYS(Table1[[#This Row],[actual_delivery_date]],Table1[[#This Row],[dispatch_date]])</f>
        <v>3</v>
      </c>
      <c r="N1170">
        <v>33</v>
      </c>
      <c r="O1170">
        <f>Table1[[#This Row],[transit_storage_cost]] * (1-'What -if Analysis'!$D$26)</f>
        <v>33</v>
      </c>
      <c r="P1170">
        <v>111</v>
      </c>
      <c r="Q1170">
        <v>2070</v>
      </c>
    </row>
    <row r="1171" spans="1:17" x14ac:dyDescent="0.3">
      <c r="A1171">
        <v>706033</v>
      </c>
      <c r="B1171" s="1" t="s">
        <v>39</v>
      </c>
      <c r="C1171" s="1" t="s">
        <v>23</v>
      </c>
      <c r="D1171" s="1" t="s">
        <v>17</v>
      </c>
      <c r="E1171" s="1" t="s">
        <v>18</v>
      </c>
      <c r="F1171" s="1" t="s">
        <v>29</v>
      </c>
      <c r="G1171" s="1" t="s">
        <v>20</v>
      </c>
      <c r="H1171" t="s">
        <v>30</v>
      </c>
      <c r="I1171" s="1" t="s">
        <v>22</v>
      </c>
      <c r="J1171" s="2">
        <v>43527.249479166669</v>
      </c>
      <c r="K1171" s="2">
        <v>43533.249479166669</v>
      </c>
      <c r="L1171" s="2">
        <v>43530.249479166669</v>
      </c>
      <c r="M1171" s="1">
        <f>_xlfn.DAYS(Table1[[#This Row],[actual_delivery_date]],Table1[[#This Row],[dispatch_date]])</f>
        <v>6</v>
      </c>
      <c r="N1171">
        <v>32</v>
      </c>
      <c r="O1171">
        <f>Table1[[#This Row],[transit_storage_cost]] * (1-'What -if Analysis'!$D$26)</f>
        <v>32</v>
      </c>
      <c r="P1171">
        <v>107</v>
      </c>
      <c r="Q1171">
        <v>3531.1698828135059</v>
      </c>
    </row>
    <row r="1172" spans="1:17" x14ac:dyDescent="0.3">
      <c r="A1172">
        <v>5827</v>
      </c>
      <c r="B1172" s="1" t="s">
        <v>41</v>
      </c>
      <c r="C1172" s="1" t="s">
        <v>23</v>
      </c>
      <c r="D1172" s="1" t="s">
        <v>32</v>
      </c>
      <c r="E1172" s="1" t="s">
        <v>33</v>
      </c>
      <c r="F1172" s="1" t="s">
        <v>19</v>
      </c>
      <c r="G1172" s="1" t="s">
        <v>20</v>
      </c>
      <c r="H1172" t="s">
        <v>30</v>
      </c>
      <c r="I1172" s="1" t="s">
        <v>22</v>
      </c>
      <c r="J1172" s="2">
        <v>43530.253020833334</v>
      </c>
      <c r="K1172" s="2">
        <v>43533.253020833334</v>
      </c>
      <c r="L1172" s="2">
        <v>43533.253020833334</v>
      </c>
      <c r="M1172" s="1">
        <f>_xlfn.DAYS(Table1[[#This Row],[actual_delivery_date]],Table1[[#This Row],[dispatch_date]])</f>
        <v>3</v>
      </c>
      <c r="N1172">
        <v>65</v>
      </c>
      <c r="O1172">
        <f>Table1[[#This Row],[transit_storage_cost]] * (1-'What -if Analysis'!$D$26)</f>
        <v>65</v>
      </c>
      <c r="P1172">
        <v>86</v>
      </c>
      <c r="Q1172">
        <v>883.6780306431225</v>
      </c>
    </row>
    <row r="1173" spans="1:17" x14ac:dyDescent="0.3">
      <c r="A1173">
        <v>963524</v>
      </c>
      <c r="B1173" s="1" t="s">
        <v>38</v>
      </c>
      <c r="C1173" s="1" t="s">
        <v>23</v>
      </c>
      <c r="D1173" s="1" t="s">
        <v>17</v>
      </c>
      <c r="E1173" s="1" t="s">
        <v>18</v>
      </c>
      <c r="F1173" s="1" t="s">
        <v>19</v>
      </c>
      <c r="G1173" s="1" t="s">
        <v>20</v>
      </c>
      <c r="H1173" t="s">
        <v>21</v>
      </c>
      <c r="I1173" s="1" t="s">
        <v>22</v>
      </c>
      <c r="J1173" s="2">
        <v>43529.253622685188</v>
      </c>
      <c r="K1173" s="2">
        <v>43533.253622685188</v>
      </c>
      <c r="L1173" s="2">
        <v>43534.253622685188</v>
      </c>
      <c r="M1173" s="1">
        <f>_xlfn.DAYS(Table1[[#This Row],[actual_delivery_date]],Table1[[#This Row],[dispatch_date]])</f>
        <v>4</v>
      </c>
      <c r="N1173">
        <v>83</v>
      </c>
      <c r="O1173">
        <f>Table1[[#This Row],[transit_storage_cost]] * (1-'What -if Analysis'!$D$26)</f>
        <v>83</v>
      </c>
      <c r="P1173">
        <v>91</v>
      </c>
      <c r="Q1173">
        <v>739.08814581152524</v>
      </c>
    </row>
    <row r="1174" spans="1:17" x14ac:dyDescent="0.3">
      <c r="A1174">
        <v>478624</v>
      </c>
      <c r="B1174" s="1" t="s">
        <v>37</v>
      </c>
      <c r="C1174" s="1" t="s">
        <v>23</v>
      </c>
      <c r="D1174" s="1" t="s">
        <v>23</v>
      </c>
      <c r="E1174" s="1" t="s">
        <v>28</v>
      </c>
      <c r="F1174" s="1" t="s">
        <v>19</v>
      </c>
      <c r="G1174" s="1" t="s">
        <v>20</v>
      </c>
      <c r="H1174" t="s">
        <v>21</v>
      </c>
      <c r="I1174" s="1" t="s">
        <v>22</v>
      </c>
      <c r="J1174" s="2">
        <v>43533.255752314813</v>
      </c>
      <c r="K1174" s="2">
        <v>43533.255752314813</v>
      </c>
      <c r="L1174" s="2">
        <v>43537.255752314813</v>
      </c>
      <c r="M1174" s="1">
        <f>_xlfn.DAYS(Table1[[#This Row],[actual_delivery_date]],Table1[[#This Row],[dispatch_date]])</f>
        <v>0</v>
      </c>
      <c r="N1174">
        <v>0</v>
      </c>
      <c r="O1174">
        <f>Table1[[#This Row],[transit_storage_cost]] * (1-'What -if Analysis'!$D$26)</f>
        <v>0</v>
      </c>
      <c r="P1174">
        <v>130</v>
      </c>
      <c r="Q1174">
        <v>1841.7929268255425</v>
      </c>
    </row>
    <row r="1175" spans="1:17" x14ac:dyDescent="0.3">
      <c r="A1175">
        <v>459459</v>
      </c>
      <c r="B1175" s="1" t="s">
        <v>39</v>
      </c>
      <c r="C1175" s="1" t="s">
        <v>23</v>
      </c>
      <c r="D1175" s="1" t="s">
        <v>17</v>
      </c>
      <c r="E1175" s="1" t="s">
        <v>18</v>
      </c>
      <c r="F1175" s="1" t="s">
        <v>29</v>
      </c>
      <c r="G1175" s="1" t="s">
        <v>20</v>
      </c>
      <c r="H1175" t="s">
        <v>34</v>
      </c>
      <c r="I1175" s="1" t="s">
        <v>26</v>
      </c>
      <c r="J1175" s="2">
        <v>43526.258148148147</v>
      </c>
      <c r="K1175" s="2">
        <v>43533.258148148147</v>
      </c>
      <c r="L1175" s="2">
        <v>43530.258148148147</v>
      </c>
      <c r="M1175" s="1">
        <f>_xlfn.DAYS(Table1[[#This Row],[actual_delivery_date]],Table1[[#This Row],[dispatch_date]])</f>
        <v>7</v>
      </c>
      <c r="N1175">
        <v>50</v>
      </c>
      <c r="O1175">
        <f>Table1[[#This Row],[transit_storage_cost]] * (1-'What -if Analysis'!$D$26)</f>
        <v>50</v>
      </c>
      <c r="P1175">
        <v>108</v>
      </c>
      <c r="Q1175">
        <v>3444.25</v>
      </c>
    </row>
    <row r="1176" spans="1:17" x14ac:dyDescent="0.3">
      <c r="A1176">
        <v>661486</v>
      </c>
      <c r="B1176" s="1" t="s">
        <v>37</v>
      </c>
      <c r="C1176" s="1" t="s">
        <v>23</v>
      </c>
      <c r="D1176" s="1" t="s">
        <v>17</v>
      </c>
      <c r="E1176" s="1" t="s">
        <v>18</v>
      </c>
      <c r="F1176" s="1" t="s">
        <v>31</v>
      </c>
      <c r="G1176" s="1" t="s">
        <v>20</v>
      </c>
      <c r="H1176" t="s">
        <v>21</v>
      </c>
      <c r="I1176" s="1" t="s">
        <v>22</v>
      </c>
      <c r="J1176" s="2">
        <v>43530.260428240741</v>
      </c>
      <c r="K1176" s="2">
        <v>43533.260428240741</v>
      </c>
      <c r="L1176" s="2">
        <v>43537.260428240741</v>
      </c>
      <c r="M1176" s="1">
        <f>_xlfn.DAYS(Table1[[#This Row],[actual_delivery_date]],Table1[[#This Row],[dispatch_date]])</f>
        <v>3</v>
      </c>
      <c r="N1176">
        <v>31</v>
      </c>
      <c r="O1176">
        <f>Table1[[#This Row],[transit_storage_cost]] * (1-'What -if Analysis'!$D$26)</f>
        <v>31</v>
      </c>
      <c r="P1176">
        <v>107</v>
      </c>
      <c r="Q1176">
        <v>2368.3372917221523</v>
      </c>
    </row>
    <row r="1177" spans="1:17" x14ac:dyDescent="0.3">
      <c r="A1177">
        <v>944407</v>
      </c>
      <c r="B1177" s="1" t="s">
        <v>38</v>
      </c>
      <c r="C1177" s="1" t="s">
        <v>16</v>
      </c>
      <c r="D1177" s="1" t="s">
        <v>16</v>
      </c>
      <c r="E1177" s="1" t="s">
        <v>27</v>
      </c>
      <c r="F1177" s="1" t="s">
        <v>29</v>
      </c>
      <c r="G1177" s="1" t="s">
        <v>36</v>
      </c>
      <c r="H1177" t="s">
        <v>30</v>
      </c>
      <c r="I1177" s="1" t="s">
        <v>22</v>
      </c>
      <c r="J1177" s="2">
        <v>43528.271898148145</v>
      </c>
      <c r="K1177" s="2">
        <v>43533.271898148145</v>
      </c>
      <c r="L1177" s="2">
        <v>43533.271898148145</v>
      </c>
      <c r="M1177" s="1">
        <f>_xlfn.DAYS(Table1[[#This Row],[actual_delivery_date]],Table1[[#This Row],[dispatch_date]])</f>
        <v>5</v>
      </c>
      <c r="N1177">
        <v>0</v>
      </c>
      <c r="O1177">
        <f>Table1[[#This Row],[transit_storage_cost]] * (1-'What -if Analysis'!$D$26)</f>
        <v>0</v>
      </c>
      <c r="P1177">
        <v>129</v>
      </c>
      <c r="Q1177">
        <v>1605.4915925155567</v>
      </c>
    </row>
    <row r="1178" spans="1:17" x14ac:dyDescent="0.3">
      <c r="A1178">
        <v>47642</v>
      </c>
      <c r="B1178" s="1" t="s">
        <v>38</v>
      </c>
      <c r="C1178" s="1" t="s">
        <v>16</v>
      </c>
      <c r="D1178" s="1" t="s">
        <v>32</v>
      </c>
      <c r="E1178" s="1" t="s">
        <v>33</v>
      </c>
      <c r="F1178" s="1" t="s">
        <v>19</v>
      </c>
      <c r="G1178" s="1" t="s">
        <v>20</v>
      </c>
      <c r="H1178" t="s">
        <v>21</v>
      </c>
      <c r="I1178" s="1" t="s">
        <v>22</v>
      </c>
      <c r="J1178" s="2">
        <v>43526.272499999999</v>
      </c>
      <c r="K1178" s="2">
        <v>43533.272499999999</v>
      </c>
      <c r="L1178" s="2">
        <v>43533.272499999999</v>
      </c>
      <c r="M1178" s="1">
        <f>_xlfn.DAYS(Table1[[#This Row],[actual_delivery_date]],Table1[[#This Row],[dispatch_date]])</f>
        <v>7</v>
      </c>
      <c r="N1178">
        <v>78</v>
      </c>
      <c r="O1178">
        <f>Table1[[#This Row],[transit_storage_cost]] * (1-'What -if Analysis'!$D$26)</f>
        <v>78</v>
      </c>
      <c r="P1178">
        <v>87</v>
      </c>
      <c r="Q1178">
        <v>2113.8706669081776</v>
      </c>
    </row>
    <row r="1179" spans="1:17" x14ac:dyDescent="0.3">
      <c r="A1179">
        <v>656521</v>
      </c>
      <c r="B1179" s="1" t="s">
        <v>40</v>
      </c>
      <c r="C1179" s="1" t="s">
        <v>16</v>
      </c>
      <c r="D1179" s="1" t="s">
        <v>17</v>
      </c>
      <c r="E1179" s="1" t="s">
        <v>18</v>
      </c>
      <c r="F1179" s="1" t="s">
        <v>29</v>
      </c>
      <c r="G1179" s="1" t="s">
        <v>20</v>
      </c>
      <c r="H1179" t="s">
        <v>30</v>
      </c>
      <c r="I1179" s="1" t="s">
        <v>22</v>
      </c>
      <c r="J1179" s="2">
        <v>43525.279861111114</v>
      </c>
      <c r="K1179" s="2">
        <v>43533.279861111114</v>
      </c>
      <c r="L1179" s="2">
        <v>43529.279861111114</v>
      </c>
      <c r="M1179" s="1">
        <f>_xlfn.DAYS(Table1[[#This Row],[actual_delivery_date]],Table1[[#This Row],[dispatch_date]])</f>
        <v>8</v>
      </c>
      <c r="N1179">
        <v>43</v>
      </c>
      <c r="O1179">
        <f>Table1[[#This Row],[transit_storage_cost]] * (1-'What -if Analysis'!$D$26)</f>
        <v>43</v>
      </c>
      <c r="P1179">
        <v>108</v>
      </c>
      <c r="Q1179">
        <v>1930.3618990983744</v>
      </c>
    </row>
    <row r="1180" spans="1:17" x14ac:dyDescent="0.3">
      <c r="A1180">
        <v>42972</v>
      </c>
      <c r="B1180" s="1" t="s">
        <v>38</v>
      </c>
      <c r="C1180" s="1" t="s">
        <v>16</v>
      </c>
      <c r="D1180" s="1" t="s">
        <v>32</v>
      </c>
      <c r="E1180" s="1" t="s">
        <v>33</v>
      </c>
      <c r="F1180" s="1" t="s">
        <v>19</v>
      </c>
      <c r="G1180" s="1" t="s">
        <v>20</v>
      </c>
      <c r="H1180" t="s">
        <v>21</v>
      </c>
      <c r="I1180" s="1" t="s">
        <v>26</v>
      </c>
      <c r="J1180" s="2">
        <v>43526.289641203701</v>
      </c>
      <c r="K1180" s="2">
        <v>43533.289641203701</v>
      </c>
      <c r="L1180" s="2">
        <v>43531.289641203701</v>
      </c>
      <c r="M1180" s="1">
        <f>_xlfn.DAYS(Table1[[#This Row],[actual_delivery_date]],Table1[[#This Row],[dispatch_date]])</f>
        <v>7</v>
      </c>
      <c r="N1180">
        <v>31</v>
      </c>
      <c r="O1180">
        <f>Table1[[#This Row],[transit_storage_cost]] * (1-'What -if Analysis'!$D$26)</f>
        <v>31</v>
      </c>
      <c r="P1180">
        <v>111</v>
      </c>
      <c r="Q1180">
        <v>3563.25</v>
      </c>
    </row>
    <row r="1181" spans="1:17" x14ac:dyDescent="0.3">
      <c r="A1181">
        <v>532491</v>
      </c>
      <c r="B1181" s="1" t="s">
        <v>40</v>
      </c>
      <c r="C1181" s="1" t="s">
        <v>16</v>
      </c>
      <c r="D1181" s="1" t="s">
        <v>16</v>
      </c>
      <c r="E1181" s="1" t="s">
        <v>27</v>
      </c>
      <c r="F1181" s="1" t="s">
        <v>29</v>
      </c>
      <c r="G1181" s="1" t="s">
        <v>20</v>
      </c>
      <c r="H1181" t="s">
        <v>30</v>
      </c>
      <c r="I1181" s="1" t="s">
        <v>26</v>
      </c>
      <c r="J1181" s="2">
        <v>43527.289641203701</v>
      </c>
      <c r="K1181" s="2">
        <v>43533.289641203701</v>
      </c>
      <c r="L1181" s="2">
        <v>43532.289641203701</v>
      </c>
      <c r="M1181" s="1">
        <f>_xlfn.DAYS(Table1[[#This Row],[actual_delivery_date]],Table1[[#This Row],[dispatch_date]])</f>
        <v>6</v>
      </c>
      <c r="N1181">
        <v>0</v>
      </c>
      <c r="O1181">
        <f>Table1[[#This Row],[transit_storage_cost]] * (1-'What -if Analysis'!$D$26)</f>
        <v>0</v>
      </c>
      <c r="P1181">
        <v>122</v>
      </c>
      <c r="Q1181">
        <v>3406.86</v>
      </c>
    </row>
    <row r="1182" spans="1:17" x14ac:dyDescent="0.3">
      <c r="A1182">
        <v>444039</v>
      </c>
      <c r="B1182" s="1" t="s">
        <v>38</v>
      </c>
      <c r="C1182" s="1" t="s">
        <v>16</v>
      </c>
      <c r="D1182" s="1" t="s">
        <v>16</v>
      </c>
      <c r="E1182" s="1" t="s">
        <v>27</v>
      </c>
      <c r="F1182" s="1" t="s">
        <v>29</v>
      </c>
      <c r="G1182" s="1" t="s">
        <v>20</v>
      </c>
      <c r="H1182" t="s">
        <v>30</v>
      </c>
      <c r="I1182" s="1" t="s">
        <v>26</v>
      </c>
      <c r="J1182" s="2">
        <v>43531.294849537036</v>
      </c>
      <c r="K1182" s="2">
        <v>43533.294849537036</v>
      </c>
      <c r="L1182" s="2">
        <v>43534.294849537036</v>
      </c>
      <c r="M1182" s="1">
        <f>_xlfn.DAYS(Table1[[#This Row],[actual_delivery_date]],Table1[[#This Row],[dispatch_date]])</f>
        <v>2</v>
      </c>
      <c r="N1182">
        <v>0</v>
      </c>
      <c r="O1182">
        <f>Table1[[#This Row],[transit_storage_cost]] * (1-'What -if Analysis'!$D$26)</f>
        <v>0</v>
      </c>
      <c r="P1182">
        <v>128</v>
      </c>
      <c r="Q1182">
        <v>516.95006161958804</v>
      </c>
    </row>
    <row r="1183" spans="1:17" x14ac:dyDescent="0.3">
      <c r="A1183">
        <v>659408</v>
      </c>
      <c r="B1183" s="1" t="s">
        <v>38</v>
      </c>
      <c r="C1183" s="1" t="s">
        <v>16</v>
      </c>
      <c r="D1183" s="1" t="s">
        <v>16</v>
      </c>
      <c r="E1183" s="1" t="s">
        <v>27</v>
      </c>
      <c r="F1183" s="1" t="s">
        <v>19</v>
      </c>
      <c r="G1183" s="1" t="s">
        <v>20</v>
      </c>
      <c r="H1183" t="s">
        <v>21</v>
      </c>
      <c r="I1183" s="1" t="s">
        <v>22</v>
      </c>
      <c r="J1183" s="2">
        <v>43531.296597222223</v>
      </c>
      <c r="K1183" s="2">
        <v>43533.296597222223</v>
      </c>
      <c r="L1183" s="2">
        <v>43538.296597222223</v>
      </c>
      <c r="M1183" s="1">
        <f>_xlfn.DAYS(Table1[[#This Row],[actual_delivery_date]],Table1[[#This Row],[dispatch_date]])</f>
        <v>2</v>
      </c>
      <c r="N1183">
        <v>0</v>
      </c>
      <c r="O1183">
        <f>Table1[[#This Row],[transit_storage_cost]] * (1-'What -if Analysis'!$D$26)</f>
        <v>0</v>
      </c>
      <c r="P1183">
        <v>104</v>
      </c>
      <c r="Q1183">
        <v>1176.9648348675464</v>
      </c>
    </row>
    <row r="1184" spans="1:17" x14ac:dyDescent="0.3">
      <c r="A1184">
        <v>733044</v>
      </c>
      <c r="B1184" s="1" t="s">
        <v>39</v>
      </c>
      <c r="C1184" s="1" t="s">
        <v>16</v>
      </c>
      <c r="D1184" s="1" t="s">
        <v>23</v>
      </c>
      <c r="E1184" s="1" t="s">
        <v>28</v>
      </c>
      <c r="F1184" s="1" t="s">
        <v>19</v>
      </c>
      <c r="G1184" s="1" t="s">
        <v>20</v>
      </c>
      <c r="H1184" t="s">
        <v>21</v>
      </c>
      <c r="I1184" s="1" t="s">
        <v>26</v>
      </c>
      <c r="J1184" s="2">
        <v>43528.300787037035</v>
      </c>
      <c r="K1184" s="2">
        <v>43533.300787037035</v>
      </c>
      <c r="L1184" s="2">
        <v>43533.300787037035</v>
      </c>
      <c r="M1184" s="1">
        <f>_xlfn.DAYS(Table1[[#This Row],[actual_delivery_date]],Table1[[#This Row],[dispatch_date]])</f>
        <v>5</v>
      </c>
      <c r="N1184">
        <v>62</v>
      </c>
      <c r="O1184">
        <f>Table1[[#This Row],[transit_storage_cost]] * (1-'What -if Analysis'!$D$26)</f>
        <v>62</v>
      </c>
      <c r="P1184">
        <v>100</v>
      </c>
      <c r="Q1184">
        <v>2508.88</v>
      </c>
    </row>
    <row r="1185" spans="1:17" x14ac:dyDescent="0.3">
      <c r="A1185">
        <v>514233</v>
      </c>
      <c r="B1185" s="1" t="s">
        <v>38</v>
      </c>
      <c r="C1185" s="1" t="s">
        <v>23</v>
      </c>
      <c r="D1185" s="1" t="s">
        <v>23</v>
      </c>
      <c r="E1185" s="1" t="s">
        <v>28</v>
      </c>
      <c r="F1185" s="1" t="s">
        <v>19</v>
      </c>
      <c r="G1185" s="1" t="s">
        <v>20</v>
      </c>
      <c r="H1185" t="s">
        <v>30</v>
      </c>
      <c r="I1185" s="1" t="s">
        <v>26</v>
      </c>
      <c r="J1185" s="2">
        <v>43529.311562499999</v>
      </c>
      <c r="K1185" s="2">
        <v>43533.311562499999</v>
      </c>
      <c r="L1185" s="2">
        <v>43535.311562499999</v>
      </c>
      <c r="M1185" s="1">
        <f>_xlfn.DAYS(Table1[[#This Row],[actual_delivery_date]],Table1[[#This Row],[dispatch_date]])</f>
        <v>4</v>
      </c>
      <c r="N1185">
        <v>0</v>
      </c>
      <c r="O1185">
        <f>Table1[[#This Row],[transit_storage_cost]] * (1-'What -if Analysis'!$D$26)</f>
        <v>0</v>
      </c>
      <c r="P1185">
        <v>104</v>
      </c>
      <c r="Q1185">
        <v>2160.2600000000002</v>
      </c>
    </row>
    <row r="1186" spans="1:17" x14ac:dyDescent="0.3">
      <c r="A1186">
        <v>846445</v>
      </c>
      <c r="B1186" s="1" t="s">
        <v>40</v>
      </c>
      <c r="C1186" s="1" t="s">
        <v>16</v>
      </c>
      <c r="D1186" s="1" t="s">
        <v>23</v>
      </c>
      <c r="E1186" s="1" t="s">
        <v>28</v>
      </c>
      <c r="F1186" s="1" t="s">
        <v>19</v>
      </c>
      <c r="G1186" s="1" t="s">
        <v>20</v>
      </c>
      <c r="H1186" t="s">
        <v>30</v>
      </c>
      <c r="I1186" s="1" t="s">
        <v>22</v>
      </c>
      <c r="J1186" s="2">
        <v>43527.311898148146</v>
      </c>
      <c r="K1186" s="2">
        <v>43533.311898148146</v>
      </c>
      <c r="L1186" s="2">
        <v>43534.311898148146</v>
      </c>
      <c r="M1186" s="1">
        <f>_xlfn.DAYS(Table1[[#This Row],[actual_delivery_date]],Table1[[#This Row],[dispatch_date]])</f>
        <v>6</v>
      </c>
      <c r="N1186">
        <v>71</v>
      </c>
      <c r="O1186">
        <f>Table1[[#This Row],[transit_storage_cost]] * (1-'What -if Analysis'!$D$26)</f>
        <v>71</v>
      </c>
      <c r="P1186">
        <v>102</v>
      </c>
      <c r="Q1186">
        <v>1657.8651582070529</v>
      </c>
    </row>
    <row r="1187" spans="1:17" x14ac:dyDescent="0.3">
      <c r="A1187">
        <v>366507</v>
      </c>
      <c r="B1187" s="1" t="s">
        <v>41</v>
      </c>
      <c r="C1187" s="1" t="s">
        <v>23</v>
      </c>
      <c r="D1187" s="1" t="s">
        <v>17</v>
      </c>
      <c r="E1187" s="1" t="s">
        <v>18</v>
      </c>
      <c r="F1187" s="1" t="s">
        <v>19</v>
      </c>
      <c r="G1187" s="1" t="s">
        <v>20</v>
      </c>
      <c r="H1187" t="s">
        <v>30</v>
      </c>
      <c r="I1187" s="1" t="s">
        <v>26</v>
      </c>
      <c r="J1187" s="2">
        <v>43527.313020833331</v>
      </c>
      <c r="K1187" s="2">
        <v>43533.313020833331</v>
      </c>
      <c r="L1187" s="2">
        <v>43532.313020833331</v>
      </c>
      <c r="M1187" s="1">
        <f>_xlfn.DAYS(Table1[[#This Row],[actual_delivery_date]],Table1[[#This Row],[dispatch_date]])</f>
        <v>6</v>
      </c>
      <c r="N1187">
        <v>64</v>
      </c>
      <c r="O1187">
        <f>Table1[[#This Row],[transit_storage_cost]] * (1-'What -if Analysis'!$D$26)</f>
        <v>64</v>
      </c>
      <c r="P1187">
        <v>94</v>
      </c>
      <c r="Q1187">
        <v>343.16</v>
      </c>
    </row>
    <row r="1188" spans="1:17" x14ac:dyDescent="0.3">
      <c r="A1188">
        <v>75442</v>
      </c>
      <c r="B1188" s="1" t="s">
        <v>38</v>
      </c>
      <c r="C1188" s="1" t="s">
        <v>16</v>
      </c>
      <c r="D1188" s="1" t="s">
        <v>23</v>
      </c>
      <c r="E1188" s="1" t="s">
        <v>28</v>
      </c>
      <c r="F1188" s="1" t="s">
        <v>31</v>
      </c>
      <c r="G1188" s="1" t="s">
        <v>20</v>
      </c>
      <c r="H1188" t="s">
        <v>21</v>
      </c>
      <c r="I1188" s="1" t="s">
        <v>22</v>
      </c>
      <c r="J1188" s="2">
        <v>43528.313043981485</v>
      </c>
      <c r="K1188" s="2">
        <v>43533.313043981485</v>
      </c>
      <c r="L1188" s="2">
        <v>43535.313043981485</v>
      </c>
      <c r="M1188" s="1">
        <f>_xlfn.DAYS(Table1[[#This Row],[actual_delivery_date]],Table1[[#This Row],[dispatch_date]])</f>
        <v>5</v>
      </c>
      <c r="N1188">
        <v>28</v>
      </c>
      <c r="O1188">
        <f>Table1[[#This Row],[transit_storage_cost]] * (1-'What -if Analysis'!$D$26)</f>
        <v>28</v>
      </c>
      <c r="P1188">
        <v>121</v>
      </c>
      <c r="Q1188">
        <v>1756.8880029653676</v>
      </c>
    </row>
    <row r="1189" spans="1:17" x14ac:dyDescent="0.3">
      <c r="A1189">
        <v>595046</v>
      </c>
      <c r="B1189" s="1" t="s">
        <v>40</v>
      </c>
      <c r="C1189" s="1" t="s">
        <v>23</v>
      </c>
      <c r="D1189" s="1" t="s">
        <v>16</v>
      </c>
      <c r="E1189" s="1" t="s">
        <v>27</v>
      </c>
      <c r="F1189" s="1" t="s">
        <v>19</v>
      </c>
      <c r="G1189" s="1" t="s">
        <v>20</v>
      </c>
      <c r="H1189" t="s">
        <v>21</v>
      </c>
      <c r="I1189" s="1" t="s">
        <v>22</v>
      </c>
      <c r="J1189" s="2">
        <v>43528.319652777776</v>
      </c>
      <c r="K1189" s="2">
        <v>43533.319652777776</v>
      </c>
      <c r="L1189" s="2">
        <v>43532.319652777776</v>
      </c>
      <c r="M1189" s="1">
        <f>_xlfn.DAYS(Table1[[#This Row],[actual_delivery_date]],Table1[[#This Row],[dispatch_date]])</f>
        <v>5</v>
      </c>
      <c r="N1189">
        <v>83</v>
      </c>
      <c r="O1189">
        <f>Table1[[#This Row],[transit_storage_cost]] * (1-'What -if Analysis'!$D$26)</f>
        <v>83</v>
      </c>
      <c r="P1189">
        <v>104</v>
      </c>
      <c r="Q1189">
        <v>1040.5391836716883</v>
      </c>
    </row>
    <row r="1190" spans="1:17" x14ac:dyDescent="0.3">
      <c r="A1190">
        <v>46077</v>
      </c>
      <c r="B1190" s="1" t="s">
        <v>38</v>
      </c>
      <c r="C1190" s="1" t="s">
        <v>23</v>
      </c>
      <c r="D1190" s="1" t="s">
        <v>23</v>
      </c>
      <c r="E1190" s="1" t="s">
        <v>28</v>
      </c>
      <c r="F1190" s="1" t="s">
        <v>29</v>
      </c>
      <c r="G1190" s="1" t="s">
        <v>20</v>
      </c>
      <c r="H1190" t="s">
        <v>30</v>
      </c>
      <c r="I1190" s="1" t="s">
        <v>26</v>
      </c>
      <c r="J1190" s="2">
        <v>43530.321111111109</v>
      </c>
      <c r="K1190" s="2">
        <v>43533.321111111109</v>
      </c>
      <c r="L1190" s="2">
        <v>43536.321111111109</v>
      </c>
      <c r="M1190" s="1">
        <f>_xlfn.DAYS(Table1[[#This Row],[actual_delivery_date]],Table1[[#This Row],[dispatch_date]])</f>
        <v>3</v>
      </c>
      <c r="N1190">
        <v>0</v>
      </c>
      <c r="O1190">
        <f>Table1[[#This Row],[transit_storage_cost]] * (1-'What -if Analysis'!$D$26)</f>
        <v>0</v>
      </c>
      <c r="P1190">
        <v>124</v>
      </c>
      <c r="Q1190">
        <v>3608.6622457085177</v>
      </c>
    </row>
    <row r="1191" spans="1:17" x14ac:dyDescent="0.3">
      <c r="A1191">
        <v>938257</v>
      </c>
      <c r="B1191" s="1" t="s">
        <v>39</v>
      </c>
      <c r="C1191" s="1" t="s">
        <v>16</v>
      </c>
      <c r="D1191" s="1" t="s">
        <v>32</v>
      </c>
      <c r="E1191" s="1" t="s">
        <v>33</v>
      </c>
      <c r="F1191" s="1" t="s">
        <v>29</v>
      </c>
      <c r="G1191" s="1" t="s">
        <v>20</v>
      </c>
      <c r="H1191" t="s">
        <v>30</v>
      </c>
      <c r="I1191" s="1" t="s">
        <v>22</v>
      </c>
      <c r="J1191" s="2">
        <v>43528.325509259259</v>
      </c>
      <c r="K1191" s="2">
        <v>43533.325509259259</v>
      </c>
      <c r="L1191" s="2">
        <v>43535.325509259259</v>
      </c>
      <c r="M1191" s="1">
        <f>_xlfn.DAYS(Table1[[#This Row],[actual_delivery_date]],Table1[[#This Row],[dispatch_date]])</f>
        <v>5</v>
      </c>
      <c r="N1191">
        <v>43</v>
      </c>
      <c r="O1191">
        <f>Table1[[#This Row],[transit_storage_cost]] * (1-'What -if Analysis'!$D$26)</f>
        <v>43</v>
      </c>
      <c r="P1191">
        <v>113</v>
      </c>
      <c r="Q1191">
        <v>673.89357188942745</v>
      </c>
    </row>
    <row r="1192" spans="1:17" x14ac:dyDescent="0.3">
      <c r="A1192">
        <v>301298</v>
      </c>
      <c r="B1192" s="1" t="s">
        <v>40</v>
      </c>
      <c r="C1192" s="1" t="s">
        <v>23</v>
      </c>
      <c r="D1192" s="1" t="s">
        <v>16</v>
      </c>
      <c r="E1192" s="1" t="s">
        <v>27</v>
      </c>
      <c r="F1192" s="1" t="s">
        <v>19</v>
      </c>
      <c r="G1192" s="1" t="s">
        <v>20</v>
      </c>
      <c r="H1192" t="s">
        <v>21</v>
      </c>
      <c r="I1192" s="1" t="s">
        <v>22</v>
      </c>
      <c r="J1192" s="2">
        <v>43530.328206018516</v>
      </c>
      <c r="K1192" s="2">
        <v>43533.328206018516</v>
      </c>
      <c r="L1192" s="2">
        <v>43537.328206018516</v>
      </c>
      <c r="M1192" s="1">
        <f>_xlfn.DAYS(Table1[[#This Row],[actual_delivery_date]],Table1[[#This Row],[dispatch_date]])</f>
        <v>3</v>
      </c>
      <c r="N1192">
        <v>59</v>
      </c>
      <c r="O1192">
        <f>Table1[[#This Row],[transit_storage_cost]] * (1-'What -if Analysis'!$D$26)</f>
        <v>59</v>
      </c>
      <c r="P1192">
        <v>107</v>
      </c>
      <c r="Q1192">
        <v>2392.2953044293427</v>
      </c>
    </row>
    <row r="1193" spans="1:17" x14ac:dyDescent="0.3">
      <c r="A1193">
        <v>810721</v>
      </c>
      <c r="B1193" s="1" t="s">
        <v>41</v>
      </c>
      <c r="C1193" s="1" t="s">
        <v>23</v>
      </c>
      <c r="D1193" s="1" t="s">
        <v>17</v>
      </c>
      <c r="E1193" s="1" t="s">
        <v>18</v>
      </c>
      <c r="F1193" s="1" t="s">
        <v>19</v>
      </c>
      <c r="G1193" s="1" t="s">
        <v>20</v>
      </c>
      <c r="H1193" t="s">
        <v>30</v>
      </c>
      <c r="I1193" s="1" t="s">
        <v>22</v>
      </c>
      <c r="J1193" s="2">
        <v>43531.328692129631</v>
      </c>
      <c r="K1193" s="2">
        <v>43533.328692129631</v>
      </c>
      <c r="L1193" s="2">
        <v>43538.328692129631</v>
      </c>
      <c r="M1193" s="1">
        <f>_xlfn.DAYS(Table1[[#This Row],[actual_delivery_date]],Table1[[#This Row],[dispatch_date]])</f>
        <v>2</v>
      </c>
      <c r="N1193">
        <v>66</v>
      </c>
      <c r="O1193">
        <f>Table1[[#This Row],[transit_storage_cost]] * (1-'What -if Analysis'!$D$26)</f>
        <v>66</v>
      </c>
      <c r="P1193">
        <v>87</v>
      </c>
      <c r="Q1193">
        <v>2016.0906450369555</v>
      </c>
    </row>
    <row r="1194" spans="1:17" x14ac:dyDescent="0.3">
      <c r="A1194">
        <v>918114</v>
      </c>
      <c r="B1194" s="1" t="s">
        <v>38</v>
      </c>
      <c r="C1194" s="1" t="s">
        <v>16</v>
      </c>
      <c r="D1194" s="1" t="s">
        <v>32</v>
      </c>
      <c r="E1194" s="1" t="s">
        <v>33</v>
      </c>
      <c r="F1194" s="1" t="s">
        <v>31</v>
      </c>
      <c r="G1194" s="1" t="s">
        <v>20</v>
      </c>
      <c r="H1194" t="s">
        <v>21</v>
      </c>
      <c r="I1194" s="1" t="s">
        <v>26</v>
      </c>
      <c r="J1194" s="2">
        <v>43529.335138888891</v>
      </c>
      <c r="K1194" s="2">
        <v>43533.335138888891</v>
      </c>
      <c r="L1194" s="2">
        <v>43534.335138888891</v>
      </c>
      <c r="M1194" s="1">
        <f>_xlfn.DAYS(Table1[[#This Row],[actual_delivery_date]],Table1[[#This Row],[dispatch_date]])</f>
        <v>4</v>
      </c>
      <c r="N1194">
        <v>32</v>
      </c>
      <c r="O1194">
        <f>Table1[[#This Row],[transit_storage_cost]] * (1-'What -if Analysis'!$D$26)</f>
        <v>32</v>
      </c>
      <c r="P1194">
        <v>113</v>
      </c>
      <c r="Q1194">
        <v>2170.19</v>
      </c>
    </row>
    <row r="1195" spans="1:17" x14ac:dyDescent="0.3">
      <c r="A1195">
        <v>810533</v>
      </c>
      <c r="B1195" s="1" t="s">
        <v>38</v>
      </c>
      <c r="C1195" s="1" t="s">
        <v>16</v>
      </c>
      <c r="D1195" s="1" t="s">
        <v>32</v>
      </c>
      <c r="E1195" s="1" t="s">
        <v>33</v>
      </c>
      <c r="F1195" s="1" t="s">
        <v>29</v>
      </c>
      <c r="G1195" s="1" t="s">
        <v>20</v>
      </c>
      <c r="H1195" t="s">
        <v>30</v>
      </c>
      <c r="I1195" s="1" t="s">
        <v>22</v>
      </c>
      <c r="J1195" s="2">
        <v>43531.339780092596</v>
      </c>
      <c r="K1195" s="2">
        <v>43533.339780092596</v>
      </c>
      <c r="L1195" s="2">
        <v>43534.339780092596</v>
      </c>
      <c r="M1195" s="1">
        <f>_xlfn.DAYS(Table1[[#This Row],[actual_delivery_date]],Table1[[#This Row],[dispatch_date]])</f>
        <v>2</v>
      </c>
      <c r="N1195">
        <v>40</v>
      </c>
      <c r="O1195">
        <f>Table1[[#This Row],[transit_storage_cost]] * (1-'What -if Analysis'!$D$26)</f>
        <v>40</v>
      </c>
      <c r="P1195">
        <v>112</v>
      </c>
      <c r="Q1195">
        <v>2507.1644138261699</v>
      </c>
    </row>
    <row r="1196" spans="1:17" x14ac:dyDescent="0.3">
      <c r="A1196">
        <v>182005</v>
      </c>
      <c r="B1196" s="1" t="s">
        <v>37</v>
      </c>
      <c r="C1196" s="1" t="s">
        <v>16</v>
      </c>
      <c r="D1196" s="1" t="s">
        <v>17</v>
      </c>
      <c r="E1196" s="1" t="s">
        <v>18</v>
      </c>
      <c r="F1196" s="1" t="s">
        <v>29</v>
      </c>
      <c r="G1196" s="1" t="s">
        <v>20</v>
      </c>
      <c r="H1196" t="s">
        <v>30</v>
      </c>
      <c r="I1196" s="1" t="s">
        <v>22</v>
      </c>
      <c r="J1196" s="2">
        <v>43530.340300925927</v>
      </c>
      <c r="K1196" s="2">
        <v>43533.340300925927</v>
      </c>
      <c r="L1196" s="2">
        <v>43535.340300925927</v>
      </c>
      <c r="M1196" s="1">
        <f>_xlfn.DAYS(Table1[[#This Row],[actual_delivery_date]],Table1[[#This Row],[dispatch_date]])</f>
        <v>3</v>
      </c>
      <c r="N1196">
        <v>49</v>
      </c>
      <c r="O1196">
        <f>Table1[[#This Row],[transit_storage_cost]] * (1-'What -if Analysis'!$D$26)</f>
        <v>49</v>
      </c>
      <c r="P1196">
        <v>113</v>
      </c>
      <c r="Q1196">
        <v>2756.5500674274354</v>
      </c>
    </row>
    <row r="1197" spans="1:17" x14ac:dyDescent="0.3">
      <c r="A1197">
        <v>366014</v>
      </c>
      <c r="B1197" s="1" t="s">
        <v>39</v>
      </c>
      <c r="C1197" s="1" t="s">
        <v>23</v>
      </c>
      <c r="D1197" s="1" t="s">
        <v>17</v>
      </c>
      <c r="E1197" s="1" t="s">
        <v>18</v>
      </c>
      <c r="F1197" s="1" t="s">
        <v>31</v>
      </c>
      <c r="G1197" s="1" t="s">
        <v>20</v>
      </c>
      <c r="H1197" t="s">
        <v>21</v>
      </c>
      <c r="I1197" s="1" t="s">
        <v>22</v>
      </c>
      <c r="J1197" s="2">
        <v>43529.346354166664</v>
      </c>
      <c r="K1197" s="2">
        <v>43533.346354166664</v>
      </c>
      <c r="L1197" s="2">
        <v>43535.346354166664</v>
      </c>
      <c r="M1197" s="1">
        <f>_xlfn.DAYS(Table1[[#This Row],[actual_delivery_date]],Table1[[#This Row],[dispatch_date]])</f>
        <v>4</v>
      </c>
      <c r="N1197">
        <v>40</v>
      </c>
      <c r="O1197">
        <f>Table1[[#This Row],[transit_storage_cost]] * (1-'What -if Analysis'!$D$26)</f>
        <v>40</v>
      </c>
      <c r="P1197">
        <v>112</v>
      </c>
      <c r="Q1197">
        <v>446.12845213744072</v>
      </c>
    </row>
    <row r="1198" spans="1:17" x14ac:dyDescent="0.3">
      <c r="A1198">
        <v>744996</v>
      </c>
      <c r="B1198" s="1" t="s">
        <v>39</v>
      </c>
      <c r="C1198" s="1" t="s">
        <v>23</v>
      </c>
      <c r="D1198" s="1" t="s">
        <v>23</v>
      </c>
      <c r="E1198" s="1" t="s">
        <v>28</v>
      </c>
      <c r="F1198" s="1" t="s">
        <v>19</v>
      </c>
      <c r="G1198" s="1" t="s">
        <v>20</v>
      </c>
      <c r="H1198" t="s">
        <v>21</v>
      </c>
      <c r="I1198" s="1" t="s">
        <v>26</v>
      </c>
      <c r="J1198" s="2">
        <v>43529.350937499999</v>
      </c>
      <c r="K1198" s="2">
        <v>43533.350937499999</v>
      </c>
      <c r="L1198" s="2">
        <v>43533.350937499999</v>
      </c>
      <c r="M1198" s="1">
        <f>_xlfn.DAYS(Table1[[#This Row],[actual_delivery_date]],Table1[[#This Row],[dispatch_date]])</f>
        <v>4</v>
      </c>
      <c r="N1198">
        <v>0</v>
      </c>
      <c r="O1198">
        <f>Table1[[#This Row],[transit_storage_cost]] * (1-'What -if Analysis'!$D$26)</f>
        <v>0</v>
      </c>
      <c r="P1198">
        <v>108</v>
      </c>
      <c r="Q1198">
        <v>3593.86</v>
      </c>
    </row>
    <row r="1199" spans="1:17" x14ac:dyDescent="0.3">
      <c r="A1199">
        <v>386865</v>
      </c>
      <c r="B1199" s="1" t="s">
        <v>41</v>
      </c>
      <c r="C1199" s="1" t="s">
        <v>16</v>
      </c>
      <c r="D1199" s="1" t="s">
        <v>23</v>
      </c>
      <c r="E1199" s="1" t="s">
        <v>28</v>
      </c>
      <c r="F1199" s="1" t="s">
        <v>29</v>
      </c>
      <c r="G1199" s="1" t="s">
        <v>20</v>
      </c>
      <c r="H1199" t="s">
        <v>30</v>
      </c>
      <c r="I1199" s="1" t="s">
        <v>26</v>
      </c>
      <c r="J1199" s="2">
        <v>43526.353958333333</v>
      </c>
      <c r="K1199" s="2">
        <v>43533.353958333333</v>
      </c>
      <c r="L1199" s="2">
        <v>43531.353958333333</v>
      </c>
      <c r="M1199" s="1">
        <f>_xlfn.DAYS(Table1[[#This Row],[actual_delivery_date]],Table1[[#This Row],[dispatch_date]])</f>
        <v>7</v>
      </c>
      <c r="N1199">
        <v>39</v>
      </c>
      <c r="O1199">
        <f>Table1[[#This Row],[transit_storage_cost]] * (1-'What -if Analysis'!$D$26)</f>
        <v>39</v>
      </c>
      <c r="P1199">
        <v>128</v>
      </c>
      <c r="Q1199">
        <v>2174.8200000000002</v>
      </c>
    </row>
    <row r="1200" spans="1:17" x14ac:dyDescent="0.3">
      <c r="A1200">
        <v>542360</v>
      </c>
      <c r="B1200" s="1" t="s">
        <v>15</v>
      </c>
      <c r="C1200" s="1" t="s">
        <v>16</v>
      </c>
      <c r="D1200" s="1" t="s">
        <v>16</v>
      </c>
      <c r="E1200" s="1" t="s">
        <v>27</v>
      </c>
      <c r="F1200" s="1" t="s">
        <v>19</v>
      </c>
      <c r="G1200" s="1" t="s">
        <v>20</v>
      </c>
      <c r="H1200" t="s">
        <v>21</v>
      </c>
      <c r="I1200" s="1" t="s">
        <v>22</v>
      </c>
      <c r="J1200" s="2">
        <v>43531.354814814818</v>
      </c>
      <c r="K1200" s="2">
        <v>43533.354814814818</v>
      </c>
      <c r="L1200" s="2">
        <v>43536.354814814818</v>
      </c>
      <c r="M1200" s="1">
        <f>_xlfn.DAYS(Table1[[#This Row],[actual_delivery_date]],Table1[[#This Row],[dispatch_date]])</f>
        <v>2</v>
      </c>
      <c r="N1200">
        <v>0</v>
      </c>
      <c r="O1200">
        <f>Table1[[#This Row],[transit_storage_cost]] * (1-'What -if Analysis'!$D$26)</f>
        <v>0</v>
      </c>
      <c r="P1200">
        <v>121</v>
      </c>
      <c r="Q1200">
        <v>3221</v>
      </c>
    </row>
    <row r="1201" spans="1:17" x14ac:dyDescent="0.3">
      <c r="A1201">
        <v>146767</v>
      </c>
      <c r="B1201" s="1" t="s">
        <v>39</v>
      </c>
      <c r="C1201" s="1" t="s">
        <v>16</v>
      </c>
      <c r="D1201" s="1" t="s">
        <v>17</v>
      </c>
      <c r="E1201" s="1" t="s">
        <v>18</v>
      </c>
      <c r="F1201" s="1" t="s">
        <v>19</v>
      </c>
      <c r="G1201" s="1" t="s">
        <v>20</v>
      </c>
      <c r="H1201" t="s">
        <v>30</v>
      </c>
      <c r="I1201" s="1" t="s">
        <v>22</v>
      </c>
      <c r="J1201" s="2">
        <v>43527.355682870373</v>
      </c>
      <c r="K1201" s="2">
        <v>43533.355682870373</v>
      </c>
      <c r="L1201" s="2">
        <v>43531.355682870373</v>
      </c>
      <c r="M1201" s="1">
        <f>_xlfn.DAYS(Table1[[#This Row],[actual_delivery_date]],Table1[[#This Row],[dispatch_date]])</f>
        <v>6</v>
      </c>
      <c r="N1201">
        <v>67</v>
      </c>
      <c r="O1201">
        <f>Table1[[#This Row],[transit_storage_cost]] * (1-'What -if Analysis'!$D$26)</f>
        <v>67</v>
      </c>
      <c r="P1201">
        <v>93</v>
      </c>
      <c r="Q1201">
        <v>1965.2659297959419</v>
      </c>
    </row>
    <row r="1202" spans="1:17" x14ac:dyDescent="0.3">
      <c r="A1202">
        <v>970640</v>
      </c>
      <c r="B1202" s="1" t="s">
        <v>38</v>
      </c>
      <c r="C1202" s="1" t="s">
        <v>23</v>
      </c>
      <c r="D1202" s="1" t="s">
        <v>16</v>
      </c>
      <c r="E1202" s="1" t="s">
        <v>27</v>
      </c>
      <c r="F1202" s="1" t="s">
        <v>19</v>
      </c>
      <c r="G1202" s="1" t="s">
        <v>20</v>
      </c>
      <c r="H1202" t="s">
        <v>21</v>
      </c>
      <c r="I1202" s="1" t="s">
        <v>22</v>
      </c>
      <c r="J1202" s="2">
        <v>43531.356030092589</v>
      </c>
      <c r="K1202" s="2">
        <v>43533.356030092589</v>
      </c>
      <c r="L1202" s="2">
        <v>43536.356030092589</v>
      </c>
      <c r="M1202" s="1">
        <f>_xlfn.DAYS(Table1[[#This Row],[actual_delivery_date]],Table1[[#This Row],[dispatch_date]])</f>
        <v>2</v>
      </c>
      <c r="N1202">
        <v>39</v>
      </c>
      <c r="O1202">
        <f>Table1[[#This Row],[transit_storage_cost]] * (1-'What -if Analysis'!$D$26)</f>
        <v>39</v>
      </c>
      <c r="P1202">
        <v>122</v>
      </c>
      <c r="Q1202">
        <v>484.40178505059896</v>
      </c>
    </row>
    <row r="1203" spans="1:17" x14ac:dyDescent="0.3">
      <c r="A1203">
        <v>789563</v>
      </c>
      <c r="B1203" s="1" t="s">
        <v>41</v>
      </c>
      <c r="C1203" s="1" t="s">
        <v>23</v>
      </c>
      <c r="D1203" s="1" t="s">
        <v>23</v>
      </c>
      <c r="E1203" s="1" t="s">
        <v>28</v>
      </c>
      <c r="F1203" s="1" t="s">
        <v>29</v>
      </c>
      <c r="G1203" s="1" t="s">
        <v>20</v>
      </c>
      <c r="H1203" t="s">
        <v>30</v>
      </c>
      <c r="I1203" s="1" t="s">
        <v>22</v>
      </c>
      <c r="J1203" s="2">
        <v>43528.356030092589</v>
      </c>
      <c r="K1203" s="2">
        <v>43533.356030092589</v>
      </c>
      <c r="L1203" s="2">
        <v>43531.356030092589</v>
      </c>
      <c r="M1203" s="1">
        <f>_xlfn.DAYS(Table1[[#This Row],[actual_delivery_date]],Table1[[#This Row],[dispatch_date]])</f>
        <v>5</v>
      </c>
      <c r="N1203">
        <v>0</v>
      </c>
      <c r="O1203">
        <f>Table1[[#This Row],[transit_storage_cost]] * (1-'What -if Analysis'!$D$26)</f>
        <v>0</v>
      </c>
      <c r="P1203">
        <v>123</v>
      </c>
      <c r="Q1203">
        <v>3038.2960187842777</v>
      </c>
    </row>
    <row r="1204" spans="1:17" x14ac:dyDescent="0.3">
      <c r="A1204">
        <v>615718</v>
      </c>
      <c r="B1204" s="1" t="s">
        <v>39</v>
      </c>
      <c r="C1204" s="1" t="s">
        <v>16</v>
      </c>
      <c r="D1204" s="1" t="s">
        <v>16</v>
      </c>
      <c r="E1204" s="1" t="s">
        <v>27</v>
      </c>
      <c r="F1204" s="1" t="s">
        <v>19</v>
      </c>
      <c r="G1204" s="1" t="s">
        <v>20</v>
      </c>
      <c r="H1204" t="s">
        <v>21</v>
      </c>
      <c r="I1204" s="1" t="s">
        <v>22</v>
      </c>
      <c r="J1204" s="2">
        <v>43532.3671875</v>
      </c>
      <c r="K1204" s="2">
        <v>43533.3671875</v>
      </c>
      <c r="L1204" s="2">
        <v>43536.3671875</v>
      </c>
      <c r="M1204" s="1">
        <f>_xlfn.DAYS(Table1[[#This Row],[actual_delivery_date]],Table1[[#This Row],[dispatch_date]])</f>
        <v>1</v>
      </c>
      <c r="N1204">
        <v>0</v>
      </c>
      <c r="O1204">
        <f>Table1[[#This Row],[transit_storage_cost]] * (1-'What -if Analysis'!$D$26)</f>
        <v>0</v>
      </c>
      <c r="P1204">
        <v>108</v>
      </c>
      <c r="Q1204">
        <v>3562.6715799576991</v>
      </c>
    </row>
    <row r="1205" spans="1:17" x14ac:dyDescent="0.3">
      <c r="A1205">
        <v>797332</v>
      </c>
      <c r="B1205" s="1" t="s">
        <v>40</v>
      </c>
      <c r="C1205" s="1" t="s">
        <v>16</v>
      </c>
      <c r="D1205" s="1" t="s">
        <v>16</v>
      </c>
      <c r="E1205" s="1" t="s">
        <v>27</v>
      </c>
      <c r="F1205" s="1" t="s">
        <v>19</v>
      </c>
      <c r="G1205" s="1" t="s">
        <v>20</v>
      </c>
      <c r="H1205" t="s">
        <v>21</v>
      </c>
      <c r="I1205" s="1" t="s">
        <v>22</v>
      </c>
      <c r="J1205" s="2">
        <v>43531.368611111109</v>
      </c>
      <c r="K1205" s="2">
        <v>43533.368611111109</v>
      </c>
      <c r="L1205" s="2">
        <v>43534.368611111109</v>
      </c>
      <c r="M1205" s="1">
        <f>_xlfn.DAYS(Table1[[#This Row],[actual_delivery_date]],Table1[[#This Row],[dispatch_date]])</f>
        <v>2</v>
      </c>
      <c r="N1205">
        <v>0</v>
      </c>
      <c r="O1205">
        <f>Table1[[#This Row],[transit_storage_cost]] * (1-'What -if Analysis'!$D$26)</f>
        <v>0</v>
      </c>
      <c r="P1205">
        <v>125</v>
      </c>
      <c r="Q1205">
        <v>3556.7221145035592</v>
      </c>
    </row>
    <row r="1206" spans="1:17" x14ac:dyDescent="0.3">
      <c r="A1206">
        <v>36849</v>
      </c>
      <c r="B1206" s="1" t="s">
        <v>38</v>
      </c>
      <c r="C1206" s="1" t="s">
        <v>16</v>
      </c>
      <c r="D1206" s="1" t="s">
        <v>17</v>
      </c>
      <c r="E1206" s="1" t="s">
        <v>18</v>
      </c>
      <c r="F1206" s="1" t="s">
        <v>29</v>
      </c>
      <c r="G1206" s="1" t="s">
        <v>20</v>
      </c>
      <c r="H1206" t="s">
        <v>30</v>
      </c>
      <c r="I1206" s="1" t="s">
        <v>26</v>
      </c>
      <c r="J1206" s="2">
        <v>43526.371793981481</v>
      </c>
      <c r="K1206" s="2">
        <v>43533.371793981481</v>
      </c>
      <c r="L1206" s="2">
        <v>43531.371793981481</v>
      </c>
      <c r="M1206" s="1">
        <f>_xlfn.DAYS(Table1[[#This Row],[actual_delivery_date]],Table1[[#This Row],[dispatch_date]])</f>
        <v>7</v>
      </c>
      <c r="N1206">
        <v>35</v>
      </c>
      <c r="O1206">
        <f>Table1[[#This Row],[transit_storage_cost]] * (1-'What -if Analysis'!$D$26)</f>
        <v>35</v>
      </c>
      <c r="P1206">
        <v>112</v>
      </c>
      <c r="Q1206">
        <v>1835.85</v>
      </c>
    </row>
    <row r="1207" spans="1:17" x14ac:dyDescent="0.3">
      <c r="A1207">
        <v>817329</v>
      </c>
      <c r="B1207" s="1" t="s">
        <v>37</v>
      </c>
      <c r="C1207" s="1" t="s">
        <v>23</v>
      </c>
      <c r="D1207" s="1" t="s">
        <v>17</v>
      </c>
      <c r="E1207" s="1" t="s">
        <v>18</v>
      </c>
      <c r="F1207" s="1" t="s">
        <v>29</v>
      </c>
      <c r="G1207" s="1" t="s">
        <v>20</v>
      </c>
      <c r="H1207" t="s">
        <v>30</v>
      </c>
      <c r="I1207" s="1" t="s">
        <v>26</v>
      </c>
      <c r="J1207" s="2">
        <v>43526.373819444445</v>
      </c>
      <c r="K1207" s="2">
        <v>43533.373819444445</v>
      </c>
      <c r="L1207" s="2">
        <v>43531.373819444445</v>
      </c>
      <c r="M1207" s="1">
        <f>_xlfn.DAYS(Table1[[#This Row],[actual_delivery_date]],Table1[[#This Row],[dispatch_date]])</f>
        <v>7</v>
      </c>
      <c r="N1207">
        <v>31</v>
      </c>
      <c r="O1207">
        <f>Table1[[#This Row],[transit_storage_cost]] * (1-'What -if Analysis'!$D$26)</f>
        <v>31</v>
      </c>
      <c r="P1207">
        <v>105</v>
      </c>
      <c r="Q1207">
        <v>2664.33</v>
      </c>
    </row>
    <row r="1208" spans="1:17" x14ac:dyDescent="0.3">
      <c r="A1208">
        <v>185004</v>
      </c>
      <c r="B1208" s="1" t="s">
        <v>39</v>
      </c>
      <c r="C1208" s="1" t="s">
        <v>16</v>
      </c>
      <c r="D1208" s="1" t="s">
        <v>32</v>
      </c>
      <c r="E1208" s="1" t="s">
        <v>33</v>
      </c>
      <c r="F1208" s="1" t="s">
        <v>19</v>
      </c>
      <c r="G1208" s="1" t="s">
        <v>20</v>
      </c>
      <c r="H1208" t="s">
        <v>21</v>
      </c>
      <c r="I1208" s="1" t="s">
        <v>26</v>
      </c>
      <c r="J1208" s="2">
        <v>43530.374340277776</v>
      </c>
      <c r="K1208" s="2">
        <v>43533.374340277776</v>
      </c>
      <c r="L1208" s="2">
        <v>43533.374340277776</v>
      </c>
      <c r="M1208" s="1">
        <f>_xlfn.DAYS(Table1[[#This Row],[actual_delivery_date]],Table1[[#This Row],[dispatch_date]])</f>
        <v>3</v>
      </c>
      <c r="N1208">
        <v>82</v>
      </c>
      <c r="O1208">
        <f>Table1[[#This Row],[transit_storage_cost]] * (1-'What -if Analysis'!$D$26)</f>
        <v>82</v>
      </c>
      <c r="P1208">
        <v>88</v>
      </c>
      <c r="Q1208">
        <v>713</v>
      </c>
    </row>
    <row r="1209" spans="1:17" x14ac:dyDescent="0.3">
      <c r="A1209">
        <v>454702</v>
      </c>
      <c r="B1209" s="1" t="s">
        <v>38</v>
      </c>
      <c r="C1209" s="1" t="s">
        <v>16</v>
      </c>
      <c r="D1209" s="1" t="s">
        <v>23</v>
      </c>
      <c r="E1209" s="1" t="s">
        <v>28</v>
      </c>
      <c r="F1209" s="1" t="s">
        <v>31</v>
      </c>
      <c r="G1209" s="1" t="s">
        <v>20</v>
      </c>
      <c r="H1209" t="s">
        <v>21</v>
      </c>
      <c r="I1209" s="1" t="s">
        <v>22</v>
      </c>
      <c r="J1209" s="2">
        <v>43529.378298611111</v>
      </c>
      <c r="K1209" s="2">
        <v>43533.378298611111</v>
      </c>
      <c r="L1209" s="2">
        <v>43532.378298611111</v>
      </c>
      <c r="M1209" s="1">
        <f>_xlfn.DAYS(Table1[[#This Row],[actual_delivery_date]],Table1[[#This Row],[dispatch_date]])</f>
        <v>4</v>
      </c>
      <c r="N1209">
        <v>37</v>
      </c>
      <c r="O1209">
        <f>Table1[[#This Row],[transit_storage_cost]] * (1-'What -if Analysis'!$D$26)</f>
        <v>37</v>
      </c>
      <c r="P1209">
        <v>122</v>
      </c>
      <c r="Q1209">
        <v>2213.8465303749335</v>
      </c>
    </row>
    <row r="1210" spans="1:17" x14ac:dyDescent="0.3">
      <c r="A1210">
        <v>360204</v>
      </c>
      <c r="B1210" s="1" t="s">
        <v>37</v>
      </c>
      <c r="C1210" s="1" t="s">
        <v>16</v>
      </c>
      <c r="D1210" s="1" t="s">
        <v>16</v>
      </c>
      <c r="E1210" s="1" t="s">
        <v>27</v>
      </c>
      <c r="F1210" s="1" t="s">
        <v>19</v>
      </c>
      <c r="G1210" s="1" t="s">
        <v>20</v>
      </c>
      <c r="H1210" t="s">
        <v>21</v>
      </c>
      <c r="I1210" s="1" t="s">
        <v>26</v>
      </c>
      <c r="J1210" s="2">
        <v>43532.380532407406</v>
      </c>
      <c r="K1210" s="2">
        <v>43533.380532407406</v>
      </c>
      <c r="L1210" s="2">
        <v>43538.380532407406</v>
      </c>
      <c r="M1210" s="1">
        <f>_xlfn.DAYS(Table1[[#This Row],[actual_delivery_date]],Table1[[#This Row],[dispatch_date]])</f>
        <v>1</v>
      </c>
      <c r="N1210">
        <v>0</v>
      </c>
      <c r="O1210">
        <f>Table1[[#This Row],[transit_storage_cost]] * (1-'What -if Analysis'!$D$26)</f>
        <v>0</v>
      </c>
      <c r="P1210">
        <v>122</v>
      </c>
      <c r="Q1210">
        <v>2626.68952758254</v>
      </c>
    </row>
    <row r="1211" spans="1:17" x14ac:dyDescent="0.3">
      <c r="A1211">
        <v>389065</v>
      </c>
      <c r="B1211" s="1" t="s">
        <v>38</v>
      </c>
      <c r="C1211" s="1" t="s">
        <v>23</v>
      </c>
      <c r="D1211" s="1" t="s">
        <v>23</v>
      </c>
      <c r="E1211" s="1" t="s">
        <v>28</v>
      </c>
      <c r="F1211" s="1" t="s">
        <v>29</v>
      </c>
      <c r="G1211" s="1" t="s">
        <v>20</v>
      </c>
      <c r="H1211" t="s">
        <v>30</v>
      </c>
      <c r="I1211" s="1" t="s">
        <v>22</v>
      </c>
      <c r="J1211" s="2">
        <v>43529.382268518515</v>
      </c>
      <c r="K1211" s="2">
        <v>43533.382268518515</v>
      </c>
      <c r="L1211" s="2">
        <v>43534.382268518515</v>
      </c>
      <c r="M1211" s="1">
        <f>_xlfn.DAYS(Table1[[#This Row],[actual_delivery_date]],Table1[[#This Row],[dispatch_date]])</f>
        <v>4</v>
      </c>
      <c r="N1211">
        <v>0</v>
      </c>
      <c r="O1211">
        <f>Table1[[#This Row],[transit_storage_cost]] * (1-'What -if Analysis'!$D$26)</f>
        <v>0</v>
      </c>
      <c r="P1211">
        <v>129</v>
      </c>
      <c r="Q1211">
        <v>908.11508861182244</v>
      </c>
    </row>
    <row r="1212" spans="1:17" x14ac:dyDescent="0.3">
      <c r="A1212">
        <v>214806</v>
      </c>
      <c r="B1212" s="1" t="s">
        <v>41</v>
      </c>
      <c r="C1212" s="1" t="s">
        <v>23</v>
      </c>
      <c r="D1212" s="1" t="s">
        <v>16</v>
      </c>
      <c r="E1212" s="1" t="s">
        <v>27</v>
      </c>
      <c r="F1212" s="1" t="s">
        <v>31</v>
      </c>
      <c r="G1212" s="1" t="s">
        <v>20</v>
      </c>
      <c r="H1212" t="s">
        <v>21</v>
      </c>
      <c r="I1212" s="1" t="s">
        <v>26</v>
      </c>
      <c r="J1212" s="2">
        <v>43530.382337962961</v>
      </c>
      <c r="K1212" s="2">
        <v>43533.382337962961</v>
      </c>
      <c r="L1212" s="2">
        <v>43536.382337962961</v>
      </c>
      <c r="M1212" s="1">
        <f>_xlfn.DAYS(Table1[[#This Row],[actual_delivery_date]],Table1[[#This Row],[dispatch_date]])</f>
        <v>3</v>
      </c>
      <c r="N1212">
        <v>45</v>
      </c>
      <c r="O1212">
        <f>Table1[[#This Row],[transit_storage_cost]] * (1-'What -if Analysis'!$D$26)</f>
        <v>45</v>
      </c>
      <c r="P1212">
        <v>122</v>
      </c>
      <c r="Q1212">
        <v>1727.8257218819338</v>
      </c>
    </row>
    <row r="1213" spans="1:17" x14ac:dyDescent="0.3">
      <c r="A1213">
        <v>515056</v>
      </c>
      <c r="B1213" s="1" t="s">
        <v>41</v>
      </c>
      <c r="C1213" s="1" t="s">
        <v>16</v>
      </c>
      <c r="D1213" s="1" t="s">
        <v>17</v>
      </c>
      <c r="E1213" s="1" t="s">
        <v>18</v>
      </c>
      <c r="F1213" s="1" t="s">
        <v>19</v>
      </c>
      <c r="G1213" s="1" t="s">
        <v>20</v>
      </c>
      <c r="H1213" t="s">
        <v>21</v>
      </c>
      <c r="I1213" s="1" t="s">
        <v>22</v>
      </c>
      <c r="J1213" s="2">
        <v>43530.383252314816</v>
      </c>
      <c r="K1213" s="2">
        <v>43533.383252314816</v>
      </c>
      <c r="L1213" s="2">
        <v>43535.383252314816</v>
      </c>
      <c r="M1213" s="1">
        <f>_xlfn.DAYS(Table1[[#This Row],[actual_delivery_date]],Table1[[#This Row],[dispatch_date]])</f>
        <v>3</v>
      </c>
      <c r="N1213">
        <v>47</v>
      </c>
      <c r="O1213">
        <f>Table1[[#This Row],[transit_storage_cost]] * (1-'What -if Analysis'!$D$26)</f>
        <v>47</v>
      </c>
      <c r="P1213">
        <v>108</v>
      </c>
      <c r="Q1213">
        <v>1679.2181550390133</v>
      </c>
    </row>
    <row r="1214" spans="1:17" x14ac:dyDescent="0.3">
      <c r="A1214">
        <v>24099</v>
      </c>
      <c r="B1214" s="1" t="s">
        <v>41</v>
      </c>
      <c r="C1214" s="1" t="s">
        <v>23</v>
      </c>
      <c r="D1214" s="1" t="s">
        <v>23</v>
      </c>
      <c r="E1214" s="1" t="s">
        <v>28</v>
      </c>
      <c r="F1214" s="1" t="s">
        <v>29</v>
      </c>
      <c r="G1214" s="1" t="s">
        <v>20</v>
      </c>
      <c r="H1214" t="s">
        <v>30</v>
      </c>
      <c r="I1214" s="1" t="s">
        <v>26</v>
      </c>
      <c r="J1214" s="2">
        <v>43531.384189814817</v>
      </c>
      <c r="K1214" s="2">
        <v>43533.384189814817</v>
      </c>
      <c r="L1214" s="2">
        <v>43538.384189814817</v>
      </c>
      <c r="M1214" s="1">
        <f>_xlfn.DAYS(Table1[[#This Row],[actual_delivery_date]],Table1[[#This Row],[dispatch_date]])</f>
        <v>2</v>
      </c>
      <c r="N1214">
        <v>0</v>
      </c>
      <c r="O1214">
        <f>Table1[[#This Row],[transit_storage_cost]] * (1-'What -if Analysis'!$D$26)</f>
        <v>0</v>
      </c>
      <c r="P1214">
        <v>124</v>
      </c>
      <c r="Q1214">
        <v>1492</v>
      </c>
    </row>
    <row r="1215" spans="1:17" x14ac:dyDescent="0.3">
      <c r="A1215">
        <v>4910</v>
      </c>
      <c r="B1215" s="1" t="s">
        <v>15</v>
      </c>
      <c r="C1215" s="1" t="s">
        <v>23</v>
      </c>
      <c r="D1215" s="1" t="s">
        <v>23</v>
      </c>
      <c r="E1215" s="1" t="s">
        <v>28</v>
      </c>
      <c r="F1215" s="1" t="s">
        <v>31</v>
      </c>
      <c r="G1215" s="1" t="s">
        <v>20</v>
      </c>
      <c r="H1215" t="s">
        <v>21</v>
      </c>
      <c r="I1215" s="1" t="s">
        <v>22</v>
      </c>
      <c r="J1215" s="2">
        <v>43533.391446759262</v>
      </c>
      <c r="K1215" s="2">
        <v>43533.391446759262</v>
      </c>
      <c r="L1215" s="2">
        <v>43538.391446759262</v>
      </c>
      <c r="M1215" s="1">
        <f>_xlfn.DAYS(Table1[[#This Row],[actual_delivery_date]],Table1[[#This Row],[dispatch_date]])</f>
        <v>0</v>
      </c>
      <c r="N1215">
        <v>0</v>
      </c>
      <c r="O1215">
        <f>Table1[[#This Row],[transit_storage_cost]] * (1-'What -if Analysis'!$D$26)</f>
        <v>0</v>
      </c>
      <c r="P1215">
        <v>120</v>
      </c>
      <c r="Q1215">
        <v>1352</v>
      </c>
    </row>
    <row r="1216" spans="1:17" x14ac:dyDescent="0.3">
      <c r="A1216">
        <v>651880</v>
      </c>
      <c r="B1216" s="1" t="s">
        <v>38</v>
      </c>
      <c r="C1216" s="1" t="s">
        <v>23</v>
      </c>
      <c r="D1216" s="1" t="s">
        <v>16</v>
      </c>
      <c r="E1216" s="1" t="s">
        <v>27</v>
      </c>
      <c r="F1216" s="1" t="s">
        <v>19</v>
      </c>
      <c r="G1216" s="1" t="s">
        <v>20</v>
      </c>
      <c r="H1216" t="s">
        <v>21</v>
      </c>
      <c r="I1216" s="1" t="s">
        <v>22</v>
      </c>
      <c r="J1216" s="2">
        <v>43530.392060185186</v>
      </c>
      <c r="K1216" s="2">
        <v>43533.392060185186</v>
      </c>
      <c r="L1216" s="2">
        <v>43535.392060185186</v>
      </c>
      <c r="M1216" s="1">
        <f>_xlfn.DAYS(Table1[[#This Row],[actual_delivery_date]],Table1[[#This Row],[dispatch_date]])</f>
        <v>3</v>
      </c>
      <c r="N1216">
        <v>27</v>
      </c>
      <c r="O1216">
        <f>Table1[[#This Row],[transit_storage_cost]] * (1-'What -if Analysis'!$D$26)</f>
        <v>27</v>
      </c>
      <c r="P1216">
        <v>127</v>
      </c>
      <c r="Q1216">
        <v>503.37873239321993</v>
      </c>
    </row>
    <row r="1217" spans="1:17" x14ac:dyDescent="0.3">
      <c r="A1217">
        <v>8076</v>
      </c>
      <c r="B1217" s="1" t="s">
        <v>15</v>
      </c>
      <c r="C1217" s="1" t="s">
        <v>23</v>
      </c>
      <c r="D1217" s="1" t="s">
        <v>23</v>
      </c>
      <c r="E1217" s="1" t="s">
        <v>28</v>
      </c>
      <c r="F1217" s="1" t="s">
        <v>19</v>
      </c>
      <c r="G1217" s="1" t="s">
        <v>20</v>
      </c>
      <c r="H1217" t="s">
        <v>21</v>
      </c>
      <c r="I1217" s="1" t="s">
        <v>26</v>
      </c>
      <c r="J1217" s="2">
        <v>43528.393263888887</v>
      </c>
      <c r="K1217" s="2">
        <v>43533.393263888887</v>
      </c>
      <c r="L1217" s="2">
        <v>43533.393263888887</v>
      </c>
      <c r="M1217" s="1">
        <f>_xlfn.DAYS(Table1[[#This Row],[actual_delivery_date]],Table1[[#This Row],[dispatch_date]])</f>
        <v>5</v>
      </c>
      <c r="N1217">
        <v>0</v>
      </c>
      <c r="O1217">
        <f>Table1[[#This Row],[transit_storage_cost]] * (1-'What -if Analysis'!$D$26)</f>
        <v>0</v>
      </c>
      <c r="P1217">
        <v>123</v>
      </c>
      <c r="Q1217">
        <v>1841.43</v>
      </c>
    </row>
    <row r="1218" spans="1:17" x14ac:dyDescent="0.3">
      <c r="A1218">
        <v>360541</v>
      </c>
      <c r="B1218" s="1" t="s">
        <v>15</v>
      </c>
      <c r="C1218" s="1" t="s">
        <v>23</v>
      </c>
      <c r="D1218" s="1" t="s">
        <v>17</v>
      </c>
      <c r="E1218" s="1" t="s">
        <v>18</v>
      </c>
      <c r="F1218" s="1" t="s">
        <v>29</v>
      </c>
      <c r="G1218" s="1" t="s">
        <v>20</v>
      </c>
      <c r="H1218" t="s">
        <v>30</v>
      </c>
      <c r="I1218" s="1" t="s">
        <v>22</v>
      </c>
      <c r="J1218" s="2">
        <v>43525.393414351849</v>
      </c>
      <c r="K1218" s="2">
        <v>43533.393414351849</v>
      </c>
      <c r="L1218" s="2">
        <v>43531.393414351849</v>
      </c>
      <c r="M1218" s="1">
        <f>_xlfn.DAYS(Table1[[#This Row],[actual_delivery_date]],Table1[[#This Row],[dispatch_date]])</f>
        <v>8</v>
      </c>
      <c r="N1218">
        <v>38</v>
      </c>
      <c r="O1218">
        <f>Table1[[#This Row],[transit_storage_cost]] * (1-'What -if Analysis'!$D$26)</f>
        <v>38</v>
      </c>
      <c r="P1218">
        <v>109</v>
      </c>
      <c r="Q1218">
        <v>2427.0499899679244</v>
      </c>
    </row>
    <row r="1219" spans="1:17" x14ac:dyDescent="0.3">
      <c r="A1219">
        <v>450661</v>
      </c>
      <c r="B1219" s="1" t="s">
        <v>37</v>
      </c>
      <c r="C1219" s="1" t="s">
        <v>23</v>
      </c>
      <c r="D1219" s="1" t="s">
        <v>17</v>
      </c>
      <c r="E1219" s="1" t="s">
        <v>18</v>
      </c>
      <c r="F1219" s="1" t="s">
        <v>29</v>
      </c>
      <c r="G1219" s="1" t="s">
        <v>20</v>
      </c>
      <c r="H1219" t="s">
        <v>30</v>
      </c>
      <c r="I1219" s="1" t="s">
        <v>22</v>
      </c>
      <c r="J1219" s="2">
        <v>43527.394837962966</v>
      </c>
      <c r="K1219" s="2">
        <v>43533.394837962966</v>
      </c>
      <c r="L1219" s="2">
        <v>43531.394837962966</v>
      </c>
      <c r="M1219" s="1">
        <f>_xlfn.DAYS(Table1[[#This Row],[actual_delivery_date]],Table1[[#This Row],[dispatch_date]])</f>
        <v>6</v>
      </c>
      <c r="N1219">
        <v>29</v>
      </c>
      <c r="O1219">
        <f>Table1[[#This Row],[transit_storage_cost]] * (1-'What -if Analysis'!$D$26)</f>
        <v>29</v>
      </c>
      <c r="P1219">
        <v>108</v>
      </c>
      <c r="Q1219">
        <v>1629.0411442453396</v>
      </c>
    </row>
    <row r="1220" spans="1:17" x14ac:dyDescent="0.3">
      <c r="A1220">
        <v>372074</v>
      </c>
      <c r="B1220" s="1" t="s">
        <v>39</v>
      </c>
      <c r="C1220" s="1" t="s">
        <v>16</v>
      </c>
      <c r="D1220" s="1" t="s">
        <v>16</v>
      </c>
      <c r="E1220" s="1" t="s">
        <v>27</v>
      </c>
      <c r="F1220" s="1" t="s">
        <v>31</v>
      </c>
      <c r="G1220" s="1" t="s">
        <v>20</v>
      </c>
      <c r="H1220" t="s">
        <v>21</v>
      </c>
      <c r="I1220" s="1" t="s">
        <v>22</v>
      </c>
      <c r="J1220" s="2">
        <v>43528.39775462963</v>
      </c>
      <c r="K1220" s="2">
        <v>43533.39775462963</v>
      </c>
      <c r="L1220" s="2">
        <v>43533.39775462963</v>
      </c>
      <c r="M1220" s="1">
        <f>_xlfn.DAYS(Table1[[#This Row],[actual_delivery_date]],Table1[[#This Row],[dispatch_date]])</f>
        <v>5</v>
      </c>
      <c r="N1220">
        <v>0</v>
      </c>
      <c r="O1220">
        <f>Table1[[#This Row],[transit_storage_cost]] * (1-'What -if Analysis'!$D$26)</f>
        <v>0</v>
      </c>
      <c r="P1220">
        <v>129</v>
      </c>
      <c r="Q1220">
        <v>3587.1656744127645</v>
      </c>
    </row>
    <row r="1221" spans="1:17" x14ac:dyDescent="0.3">
      <c r="A1221">
        <v>348165</v>
      </c>
      <c r="B1221" s="1" t="s">
        <v>40</v>
      </c>
      <c r="C1221" s="1" t="s">
        <v>16</v>
      </c>
      <c r="D1221" s="1" t="s">
        <v>17</v>
      </c>
      <c r="E1221" s="1" t="s">
        <v>18</v>
      </c>
      <c r="F1221" s="1" t="s">
        <v>29</v>
      </c>
      <c r="G1221" s="1" t="s">
        <v>20</v>
      </c>
      <c r="H1221" t="s">
        <v>30</v>
      </c>
      <c r="I1221" s="1" t="s">
        <v>26</v>
      </c>
      <c r="J1221" s="2">
        <v>43526.401585648149</v>
      </c>
      <c r="K1221" s="2">
        <v>43533.401585648149</v>
      </c>
      <c r="L1221" s="2">
        <v>43532.401585648149</v>
      </c>
      <c r="M1221" s="1">
        <f>_xlfn.DAYS(Table1[[#This Row],[actual_delivery_date]],Table1[[#This Row],[dispatch_date]])</f>
        <v>7</v>
      </c>
      <c r="N1221">
        <v>36</v>
      </c>
      <c r="O1221">
        <f>Table1[[#This Row],[transit_storage_cost]] * (1-'What -if Analysis'!$D$26)</f>
        <v>36</v>
      </c>
      <c r="P1221">
        <v>114</v>
      </c>
      <c r="Q1221">
        <v>3567.34</v>
      </c>
    </row>
    <row r="1222" spans="1:17" x14ac:dyDescent="0.3">
      <c r="A1222">
        <v>273929</v>
      </c>
      <c r="B1222" s="1" t="s">
        <v>40</v>
      </c>
      <c r="C1222" s="1" t="s">
        <v>16</v>
      </c>
      <c r="D1222" s="1" t="s">
        <v>32</v>
      </c>
      <c r="E1222" s="1" t="s">
        <v>33</v>
      </c>
      <c r="F1222" s="1" t="s">
        <v>29</v>
      </c>
      <c r="G1222" s="1" t="s">
        <v>20</v>
      </c>
      <c r="H1222" t="s">
        <v>30</v>
      </c>
      <c r="I1222" s="1" t="s">
        <v>22</v>
      </c>
      <c r="J1222" s="2">
        <v>43528.418425925927</v>
      </c>
      <c r="K1222" s="2">
        <v>43533.418425925927</v>
      </c>
      <c r="L1222" s="2">
        <v>43531.418425925927</v>
      </c>
      <c r="M1222" s="1">
        <f>_xlfn.DAYS(Table1[[#This Row],[actual_delivery_date]],Table1[[#This Row],[dispatch_date]])</f>
        <v>5</v>
      </c>
      <c r="N1222">
        <v>36</v>
      </c>
      <c r="O1222">
        <f>Table1[[#This Row],[transit_storage_cost]] * (1-'What -if Analysis'!$D$26)</f>
        <v>36</v>
      </c>
      <c r="P1222">
        <v>113</v>
      </c>
      <c r="Q1222">
        <v>1438.3647059096377</v>
      </c>
    </row>
    <row r="1223" spans="1:17" x14ac:dyDescent="0.3">
      <c r="A1223">
        <v>514739</v>
      </c>
      <c r="B1223" s="1" t="s">
        <v>37</v>
      </c>
      <c r="C1223" s="1" t="s">
        <v>23</v>
      </c>
      <c r="D1223" s="1" t="s">
        <v>16</v>
      </c>
      <c r="E1223" s="1" t="s">
        <v>27</v>
      </c>
      <c r="F1223" s="1" t="s">
        <v>29</v>
      </c>
      <c r="G1223" s="1" t="s">
        <v>20</v>
      </c>
      <c r="H1223" t="s">
        <v>30</v>
      </c>
      <c r="I1223" s="1" t="s">
        <v>22</v>
      </c>
      <c r="J1223" s="2">
        <v>43526.418796296297</v>
      </c>
      <c r="K1223" s="2">
        <v>43533.418796296297</v>
      </c>
      <c r="L1223" s="2">
        <v>43529.418796296297</v>
      </c>
      <c r="M1223" s="1">
        <f>_xlfn.DAYS(Table1[[#This Row],[actual_delivery_date]],Table1[[#This Row],[dispatch_date]])</f>
        <v>7</v>
      </c>
      <c r="N1223">
        <v>49</v>
      </c>
      <c r="O1223">
        <f>Table1[[#This Row],[transit_storage_cost]] * (1-'What -if Analysis'!$D$26)</f>
        <v>49</v>
      </c>
      <c r="P1223">
        <v>122</v>
      </c>
      <c r="Q1223">
        <v>3247.1099467574491</v>
      </c>
    </row>
    <row r="1224" spans="1:17" x14ac:dyDescent="0.3">
      <c r="A1224">
        <v>904250</v>
      </c>
      <c r="B1224" s="1" t="s">
        <v>41</v>
      </c>
      <c r="C1224" s="1" t="s">
        <v>16</v>
      </c>
      <c r="D1224" s="1" t="s">
        <v>16</v>
      </c>
      <c r="E1224" s="1" t="s">
        <v>27</v>
      </c>
      <c r="F1224" s="1" t="s">
        <v>19</v>
      </c>
      <c r="G1224" s="1" t="s">
        <v>20</v>
      </c>
      <c r="H1224" t="s">
        <v>21</v>
      </c>
      <c r="I1224" s="1" t="s">
        <v>22</v>
      </c>
      <c r="J1224" s="2">
        <v>43532.42114583333</v>
      </c>
      <c r="K1224" s="2">
        <v>43533.42114583333</v>
      </c>
      <c r="L1224" s="2">
        <v>43538.42114583333</v>
      </c>
      <c r="M1224" s="1">
        <f>_xlfn.DAYS(Table1[[#This Row],[actual_delivery_date]],Table1[[#This Row],[dispatch_date]])</f>
        <v>1</v>
      </c>
      <c r="N1224">
        <v>0</v>
      </c>
      <c r="O1224">
        <f>Table1[[#This Row],[transit_storage_cost]] * (1-'What -if Analysis'!$D$26)</f>
        <v>0</v>
      </c>
      <c r="P1224">
        <v>100</v>
      </c>
      <c r="Q1224">
        <v>765.56267064180065</v>
      </c>
    </row>
    <row r="1225" spans="1:17" x14ac:dyDescent="0.3">
      <c r="A1225">
        <v>593068</v>
      </c>
      <c r="B1225" s="1" t="s">
        <v>38</v>
      </c>
      <c r="C1225" s="1" t="s">
        <v>23</v>
      </c>
      <c r="D1225" s="1" t="s">
        <v>17</v>
      </c>
      <c r="E1225" s="1" t="s">
        <v>18</v>
      </c>
      <c r="F1225" s="1" t="s">
        <v>19</v>
      </c>
      <c r="G1225" s="1" t="s">
        <v>20</v>
      </c>
      <c r="H1225" t="s">
        <v>21</v>
      </c>
      <c r="I1225" s="1" t="s">
        <v>22</v>
      </c>
      <c r="J1225" s="2">
        <v>43530.430127314816</v>
      </c>
      <c r="K1225" s="2">
        <v>43533.430127314816</v>
      </c>
      <c r="L1225" s="2">
        <v>43537.430127314816</v>
      </c>
      <c r="M1225" s="1">
        <f>_xlfn.DAYS(Table1[[#This Row],[actual_delivery_date]],Table1[[#This Row],[dispatch_date]])</f>
        <v>3</v>
      </c>
      <c r="N1225">
        <v>71</v>
      </c>
      <c r="O1225">
        <f>Table1[[#This Row],[transit_storage_cost]] * (1-'What -if Analysis'!$D$26)</f>
        <v>71</v>
      </c>
      <c r="P1225">
        <v>91</v>
      </c>
      <c r="Q1225">
        <v>2527.990097391149</v>
      </c>
    </row>
    <row r="1226" spans="1:17" x14ac:dyDescent="0.3">
      <c r="A1226">
        <v>704075</v>
      </c>
      <c r="B1226" s="1" t="s">
        <v>41</v>
      </c>
      <c r="C1226" s="1" t="s">
        <v>23</v>
      </c>
      <c r="D1226" s="1" t="s">
        <v>17</v>
      </c>
      <c r="E1226" s="1" t="s">
        <v>18</v>
      </c>
      <c r="F1226" s="1" t="s">
        <v>29</v>
      </c>
      <c r="G1226" s="1" t="s">
        <v>20</v>
      </c>
      <c r="H1226" t="s">
        <v>30</v>
      </c>
      <c r="I1226" s="1" t="s">
        <v>22</v>
      </c>
      <c r="J1226" s="2">
        <v>43530.430428240739</v>
      </c>
      <c r="K1226" s="2">
        <v>43533.430428240739</v>
      </c>
      <c r="L1226" s="2">
        <v>43535.430428240739</v>
      </c>
      <c r="M1226" s="1">
        <f>_xlfn.DAYS(Table1[[#This Row],[actual_delivery_date]],Table1[[#This Row],[dispatch_date]])</f>
        <v>3</v>
      </c>
      <c r="N1226">
        <v>38</v>
      </c>
      <c r="O1226">
        <f>Table1[[#This Row],[transit_storage_cost]] * (1-'What -if Analysis'!$D$26)</f>
        <v>38</v>
      </c>
      <c r="P1226">
        <v>115</v>
      </c>
      <c r="Q1226">
        <v>2891.1722441738948</v>
      </c>
    </row>
    <row r="1227" spans="1:17" x14ac:dyDescent="0.3">
      <c r="A1227">
        <v>367048</v>
      </c>
      <c r="B1227" s="1" t="s">
        <v>15</v>
      </c>
      <c r="C1227" s="1" t="s">
        <v>16</v>
      </c>
      <c r="D1227" s="1" t="s">
        <v>32</v>
      </c>
      <c r="E1227" s="1" t="s">
        <v>33</v>
      </c>
      <c r="F1227" s="1" t="s">
        <v>19</v>
      </c>
      <c r="G1227" s="1" t="s">
        <v>20</v>
      </c>
      <c r="H1227" t="s">
        <v>21</v>
      </c>
      <c r="I1227" s="1" t="s">
        <v>22</v>
      </c>
      <c r="J1227" s="2">
        <v>43530.430555555555</v>
      </c>
      <c r="K1227" s="2">
        <v>43533.430555555555</v>
      </c>
      <c r="L1227" s="2">
        <v>43535.430555555555</v>
      </c>
      <c r="M1227" s="1">
        <f>_xlfn.DAYS(Table1[[#This Row],[actual_delivery_date]],Table1[[#This Row],[dispatch_date]])</f>
        <v>3</v>
      </c>
      <c r="N1227">
        <v>37</v>
      </c>
      <c r="O1227">
        <f>Table1[[#This Row],[transit_storage_cost]] * (1-'What -if Analysis'!$D$26)</f>
        <v>37</v>
      </c>
      <c r="P1227">
        <v>111</v>
      </c>
      <c r="Q1227">
        <v>2088.261888869461</v>
      </c>
    </row>
    <row r="1228" spans="1:17" x14ac:dyDescent="0.3">
      <c r="A1228">
        <v>83589</v>
      </c>
      <c r="B1228" s="1" t="s">
        <v>40</v>
      </c>
      <c r="C1228" s="1" t="s">
        <v>16</v>
      </c>
      <c r="D1228" s="1" t="s">
        <v>23</v>
      </c>
      <c r="E1228" s="1" t="s">
        <v>28</v>
      </c>
      <c r="F1228" s="1" t="s">
        <v>29</v>
      </c>
      <c r="G1228" s="1" t="s">
        <v>20</v>
      </c>
      <c r="H1228" t="s">
        <v>30</v>
      </c>
      <c r="I1228" s="1" t="s">
        <v>26</v>
      </c>
      <c r="J1228" s="2">
        <v>43529.436585648145</v>
      </c>
      <c r="K1228" s="2">
        <v>43533.436585648145</v>
      </c>
      <c r="L1228" s="2">
        <v>43535.436585648145</v>
      </c>
      <c r="M1228" s="1">
        <f>_xlfn.DAYS(Table1[[#This Row],[actual_delivery_date]],Table1[[#This Row],[dispatch_date]])</f>
        <v>4</v>
      </c>
      <c r="N1228">
        <v>38</v>
      </c>
      <c r="O1228">
        <f>Table1[[#This Row],[transit_storage_cost]] * (1-'What -if Analysis'!$D$26)</f>
        <v>38</v>
      </c>
      <c r="P1228">
        <v>120</v>
      </c>
      <c r="Q1228">
        <v>1279.95</v>
      </c>
    </row>
    <row r="1229" spans="1:17" x14ac:dyDescent="0.3">
      <c r="A1229">
        <v>918707</v>
      </c>
      <c r="B1229" s="1" t="s">
        <v>38</v>
      </c>
      <c r="C1229" s="1" t="s">
        <v>16</v>
      </c>
      <c r="D1229" s="1" t="s">
        <v>17</v>
      </c>
      <c r="E1229" s="1" t="s">
        <v>18</v>
      </c>
      <c r="F1229" s="1" t="s">
        <v>29</v>
      </c>
      <c r="G1229" s="1" t="s">
        <v>20</v>
      </c>
      <c r="H1229" t="s">
        <v>30</v>
      </c>
      <c r="I1229" s="1" t="s">
        <v>22</v>
      </c>
      <c r="J1229" s="2">
        <v>43526.44327546296</v>
      </c>
      <c r="K1229" s="2">
        <v>43533.44327546296</v>
      </c>
      <c r="L1229" s="2">
        <v>43532.44327546296</v>
      </c>
      <c r="M1229" s="1">
        <f>_xlfn.DAYS(Table1[[#This Row],[actual_delivery_date]],Table1[[#This Row],[dispatch_date]])</f>
        <v>7</v>
      </c>
      <c r="N1229">
        <v>30</v>
      </c>
      <c r="O1229">
        <f>Table1[[#This Row],[transit_storage_cost]] * (1-'What -if Analysis'!$D$26)</f>
        <v>30</v>
      </c>
      <c r="P1229">
        <v>111</v>
      </c>
      <c r="Q1229">
        <v>1304.0187953278846</v>
      </c>
    </row>
    <row r="1230" spans="1:17" x14ac:dyDescent="0.3">
      <c r="A1230">
        <v>166907</v>
      </c>
      <c r="B1230" s="1" t="s">
        <v>41</v>
      </c>
      <c r="C1230" s="1" t="s">
        <v>23</v>
      </c>
      <c r="D1230" s="1" t="s">
        <v>17</v>
      </c>
      <c r="E1230" s="1" t="s">
        <v>18</v>
      </c>
      <c r="F1230" s="1" t="s">
        <v>19</v>
      </c>
      <c r="G1230" s="1" t="s">
        <v>20</v>
      </c>
      <c r="H1230" t="s">
        <v>30</v>
      </c>
      <c r="I1230" s="1" t="s">
        <v>22</v>
      </c>
      <c r="J1230" s="2">
        <v>43531.450277777774</v>
      </c>
      <c r="K1230" s="2">
        <v>43533.450277777774</v>
      </c>
      <c r="L1230" s="2">
        <v>43536.450277777774</v>
      </c>
      <c r="M1230" s="1">
        <f>_xlfn.DAYS(Table1[[#This Row],[actual_delivery_date]],Table1[[#This Row],[dispatch_date]])</f>
        <v>2</v>
      </c>
      <c r="N1230">
        <v>87</v>
      </c>
      <c r="O1230">
        <f>Table1[[#This Row],[transit_storage_cost]] * (1-'What -if Analysis'!$D$26)</f>
        <v>87</v>
      </c>
      <c r="P1230">
        <v>87</v>
      </c>
      <c r="Q1230">
        <v>825.55480781152255</v>
      </c>
    </row>
    <row r="1231" spans="1:17" x14ac:dyDescent="0.3">
      <c r="A1231">
        <v>244995</v>
      </c>
      <c r="B1231" s="1" t="s">
        <v>38</v>
      </c>
      <c r="C1231" s="1" t="s">
        <v>16</v>
      </c>
      <c r="D1231" s="1" t="s">
        <v>32</v>
      </c>
      <c r="E1231" s="1" t="s">
        <v>33</v>
      </c>
      <c r="F1231" s="1" t="s">
        <v>19</v>
      </c>
      <c r="G1231" s="1" t="s">
        <v>20</v>
      </c>
      <c r="H1231" t="s">
        <v>30</v>
      </c>
      <c r="I1231" s="1" t="s">
        <v>26</v>
      </c>
      <c r="J1231" s="2">
        <v>43529.455625000002</v>
      </c>
      <c r="K1231" s="2">
        <v>43533.455625000002</v>
      </c>
      <c r="L1231" s="2">
        <v>43535.455625000002</v>
      </c>
      <c r="M1231" s="1">
        <f>_xlfn.DAYS(Table1[[#This Row],[actual_delivery_date]],Table1[[#This Row],[dispatch_date]])</f>
        <v>4</v>
      </c>
      <c r="N1231">
        <v>80</v>
      </c>
      <c r="O1231">
        <f>Table1[[#This Row],[transit_storage_cost]] * (1-'What -if Analysis'!$D$26)</f>
        <v>80</v>
      </c>
      <c r="P1231">
        <v>90</v>
      </c>
      <c r="Q1231">
        <v>2981.93</v>
      </c>
    </row>
    <row r="1232" spans="1:17" x14ac:dyDescent="0.3">
      <c r="A1232">
        <v>420502</v>
      </c>
      <c r="B1232" s="1" t="s">
        <v>41</v>
      </c>
      <c r="C1232" s="1" t="s">
        <v>23</v>
      </c>
      <c r="D1232" s="1" t="s">
        <v>17</v>
      </c>
      <c r="E1232" s="1" t="s">
        <v>18</v>
      </c>
      <c r="F1232" s="1" t="s">
        <v>31</v>
      </c>
      <c r="G1232" s="1" t="s">
        <v>20</v>
      </c>
      <c r="H1232" t="s">
        <v>21</v>
      </c>
      <c r="I1232" s="1" t="s">
        <v>22</v>
      </c>
      <c r="J1232" s="2">
        <v>43527.458321759259</v>
      </c>
      <c r="K1232" s="2">
        <v>43533.458321759259</v>
      </c>
      <c r="L1232" s="2">
        <v>43530.458321759259</v>
      </c>
      <c r="M1232" s="1">
        <f>_xlfn.DAYS(Table1[[#This Row],[actual_delivery_date]],Table1[[#This Row],[dispatch_date]])</f>
        <v>6</v>
      </c>
      <c r="N1232">
        <v>49</v>
      </c>
      <c r="O1232">
        <f>Table1[[#This Row],[transit_storage_cost]] * (1-'What -if Analysis'!$D$26)</f>
        <v>49</v>
      </c>
      <c r="P1232">
        <v>112</v>
      </c>
      <c r="Q1232">
        <v>365.92732074328728</v>
      </c>
    </row>
    <row r="1233" spans="1:17" x14ac:dyDescent="0.3">
      <c r="A1233">
        <v>489790</v>
      </c>
      <c r="B1233" s="1" t="s">
        <v>38</v>
      </c>
      <c r="C1233" s="1" t="s">
        <v>16</v>
      </c>
      <c r="D1233" s="1" t="s">
        <v>17</v>
      </c>
      <c r="E1233" s="1" t="s">
        <v>18</v>
      </c>
      <c r="F1233" s="1" t="s">
        <v>19</v>
      </c>
      <c r="G1233" s="1" t="s">
        <v>20</v>
      </c>
      <c r="H1233" t="s">
        <v>21</v>
      </c>
      <c r="I1233" s="1" t="s">
        <v>22</v>
      </c>
      <c r="J1233" s="2">
        <v>43527.459745370368</v>
      </c>
      <c r="K1233" s="2">
        <v>43533.459745370368</v>
      </c>
      <c r="L1233" s="2">
        <v>43533.459745370368</v>
      </c>
      <c r="M1233" s="1">
        <f>_xlfn.DAYS(Table1[[#This Row],[actual_delivery_date]],Table1[[#This Row],[dispatch_date]])</f>
        <v>6</v>
      </c>
      <c r="N1233">
        <v>82</v>
      </c>
      <c r="O1233">
        <f>Table1[[#This Row],[transit_storage_cost]] * (1-'What -if Analysis'!$D$26)</f>
        <v>82</v>
      </c>
      <c r="P1233">
        <v>86</v>
      </c>
      <c r="Q1233">
        <v>1848.9344441882197</v>
      </c>
    </row>
    <row r="1234" spans="1:17" x14ac:dyDescent="0.3">
      <c r="A1234">
        <v>551340</v>
      </c>
      <c r="B1234" s="1" t="s">
        <v>39</v>
      </c>
      <c r="C1234" s="1" t="s">
        <v>16</v>
      </c>
      <c r="D1234" s="1" t="s">
        <v>17</v>
      </c>
      <c r="E1234" s="1" t="s">
        <v>18</v>
      </c>
      <c r="F1234" s="1" t="s">
        <v>19</v>
      </c>
      <c r="G1234" s="1" t="s">
        <v>20</v>
      </c>
      <c r="H1234" t="s">
        <v>21</v>
      </c>
      <c r="I1234" s="1" t="s">
        <v>26</v>
      </c>
      <c r="J1234" s="2">
        <v>43527.467094907406</v>
      </c>
      <c r="K1234" s="2">
        <v>43533.467094907406</v>
      </c>
      <c r="L1234" s="2">
        <v>43534.467094907406</v>
      </c>
      <c r="M1234" s="1">
        <f>_xlfn.DAYS(Table1[[#This Row],[actual_delivery_date]],Table1[[#This Row],[dispatch_date]])</f>
        <v>6</v>
      </c>
      <c r="N1234">
        <v>44</v>
      </c>
      <c r="O1234">
        <f>Table1[[#This Row],[transit_storage_cost]] * (1-'What -if Analysis'!$D$26)</f>
        <v>44</v>
      </c>
      <c r="P1234">
        <v>106</v>
      </c>
      <c r="Q1234">
        <v>695.34</v>
      </c>
    </row>
    <row r="1235" spans="1:17" x14ac:dyDescent="0.3">
      <c r="A1235">
        <v>267170</v>
      </c>
      <c r="B1235" s="1" t="s">
        <v>15</v>
      </c>
      <c r="C1235" s="1" t="s">
        <v>23</v>
      </c>
      <c r="D1235" s="1" t="s">
        <v>32</v>
      </c>
      <c r="E1235" s="1" t="s">
        <v>33</v>
      </c>
      <c r="F1235" s="1" t="s">
        <v>31</v>
      </c>
      <c r="G1235" s="1" t="s">
        <v>20</v>
      </c>
      <c r="H1235" t="s">
        <v>21</v>
      </c>
      <c r="I1235" s="1" t="s">
        <v>22</v>
      </c>
      <c r="J1235" s="2">
        <v>43527.47283564815</v>
      </c>
      <c r="K1235" s="2">
        <v>43533.47283564815</v>
      </c>
      <c r="L1235" s="2">
        <v>43530.47283564815</v>
      </c>
      <c r="M1235" s="1">
        <f>_xlfn.DAYS(Table1[[#This Row],[actual_delivery_date]],Table1[[#This Row],[dispatch_date]])</f>
        <v>6</v>
      </c>
      <c r="N1235">
        <v>41</v>
      </c>
      <c r="O1235">
        <f>Table1[[#This Row],[transit_storage_cost]] * (1-'What -if Analysis'!$D$26)</f>
        <v>41</v>
      </c>
      <c r="P1235">
        <v>105</v>
      </c>
      <c r="Q1235">
        <v>2963.7674436655007</v>
      </c>
    </row>
    <row r="1236" spans="1:17" x14ac:dyDescent="0.3">
      <c r="A1236">
        <v>105071</v>
      </c>
      <c r="B1236" s="1" t="s">
        <v>38</v>
      </c>
      <c r="C1236" s="1" t="s">
        <v>16</v>
      </c>
      <c r="D1236" s="1" t="s">
        <v>23</v>
      </c>
      <c r="E1236" s="1" t="s">
        <v>28</v>
      </c>
      <c r="F1236" s="1" t="s">
        <v>29</v>
      </c>
      <c r="G1236" s="1" t="s">
        <v>20</v>
      </c>
      <c r="H1236" t="s">
        <v>30</v>
      </c>
      <c r="I1236" s="1" t="s">
        <v>22</v>
      </c>
      <c r="J1236" s="2">
        <v>43528.475138888891</v>
      </c>
      <c r="K1236" s="2">
        <v>43533.475138888891</v>
      </c>
      <c r="L1236" s="2">
        <v>43534.475138888891</v>
      </c>
      <c r="M1236" s="1">
        <f>_xlfn.DAYS(Table1[[#This Row],[actual_delivery_date]],Table1[[#This Row],[dispatch_date]])</f>
        <v>5</v>
      </c>
      <c r="N1236">
        <v>48</v>
      </c>
      <c r="O1236">
        <f>Table1[[#This Row],[transit_storage_cost]] * (1-'What -if Analysis'!$D$26)</f>
        <v>48</v>
      </c>
      <c r="P1236">
        <v>121</v>
      </c>
      <c r="Q1236">
        <v>530.77620676644938</v>
      </c>
    </row>
    <row r="1237" spans="1:17" x14ac:dyDescent="0.3">
      <c r="A1237">
        <v>327369</v>
      </c>
      <c r="B1237" s="1" t="s">
        <v>40</v>
      </c>
      <c r="C1237" s="1" t="s">
        <v>16</v>
      </c>
      <c r="D1237" s="1" t="s">
        <v>23</v>
      </c>
      <c r="E1237" s="1" t="s">
        <v>28</v>
      </c>
      <c r="F1237" s="1" t="s">
        <v>29</v>
      </c>
      <c r="G1237" s="1" t="s">
        <v>20</v>
      </c>
      <c r="H1237" t="s">
        <v>34</v>
      </c>
      <c r="I1237" s="1" t="s">
        <v>26</v>
      </c>
      <c r="J1237" s="2">
        <v>43527.477037037039</v>
      </c>
      <c r="K1237" s="2">
        <v>43533.477037037039</v>
      </c>
      <c r="L1237" s="2">
        <v>43532.477037037039</v>
      </c>
      <c r="M1237" s="1">
        <f>_xlfn.DAYS(Table1[[#This Row],[actual_delivery_date]],Table1[[#This Row],[dispatch_date]])</f>
        <v>6</v>
      </c>
      <c r="N1237">
        <v>26</v>
      </c>
      <c r="O1237">
        <f>Table1[[#This Row],[transit_storage_cost]] * (1-'What -if Analysis'!$D$26)</f>
        <v>26</v>
      </c>
      <c r="P1237">
        <v>123</v>
      </c>
      <c r="Q1237">
        <v>1837.97</v>
      </c>
    </row>
    <row r="1238" spans="1:17" x14ac:dyDescent="0.3">
      <c r="A1238">
        <v>21175</v>
      </c>
      <c r="B1238" s="1" t="s">
        <v>41</v>
      </c>
      <c r="C1238" s="1" t="s">
        <v>23</v>
      </c>
      <c r="D1238" s="1" t="s">
        <v>24</v>
      </c>
      <c r="E1238" s="1" t="s">
        <v>25</v>
      </c>
      <c r="F1238" s="1" t="s">
        <v>29</v>
      </c>
      <c r="G1238" s="1" t="s">
        <v>20</v>
      </c>
      <c r="H1238" t="s">
        <v>34</v>
      </c>
      <c r="I1238" s="1" t="s">
        <v>22</v>
      </c>
      <c r="J1238" s="2">
        <v>43531.477534722224</v>
      </c>
      <c r="K1238" s="2">
        <v>43533.477534722224</v>
      </c>
      <c r="L1238" s="2">
        <v>43538.477534722224</v>
      </c>
      <c r="M1238" s="1">
        <f>_xlfn.DAYS(Table1[[#This Row],[actual_delivery_date]],Table1[[#This Row],[dispatch_date]])</f>
        <v>2</v>
      </c>
      <c r="N1238">
        <v>45</v>
      </c>
      <c r="O1238">
        <f>Table1[[#This Row],[transit_storage_cost]] * (1-'What -if Analysis'!$D$26)</f>
        <v>45</v>
      </c>
      <c r="P1238">
        <v>121</v>
      </c>
      <c r="Q1238">
        <v>3305.2333066813312</v>
      </c>
    </row>
    <row r="1239" spans="1:17" x14ac:dyDescent="0.3">
      <c r="A1239">
        <v>210693</v>
      </c>
      <c r="B1239" s="1" t="s">
        <v>37</v>
      </c>
      <c r="C1239" s="1" t="s">
        <v>16</v>
      </c>
      <c r="D1239" s="1" t="s">
        <v>16</v>
      </c>
      <c r="E1239" s="1" t="s">
        <v>27</v>
      </c>
      <c r="F1239" s="1" t="s">
        <v>29</v>
      </c>
      <c r="G1239" s="1" t="s">
        <v>20</v>
      </c>
      <c r="H1239" t="s">
        <v>34</v>
      </c>
      <c r="I1239" s="1" t="s">
        <v>26</v>
      </c>
      <c r="J1239" s="2">
        <v>43530.478391203702</v>
      </c>
      <c r="K1239" s="2">
        <v>43533.478391203702</v>
      </c>
      <c r="L1239" s="2">
        <v>43535.478391203702</v>
      </c>
      <c r="M1239" s="1">
        <f>_xlfn.DAYS(Table1[[#This Row],[actual_delivery_date]],Table1[[#This Row],[dispatch_date]])</f>
        <v>3</v>
      </c>
      <c r="N1239">
        <v>0</v>
      </c>
      <c r="O1239">
        <f>Table1[[#This Row],[transit_storage_cost]] * (1-'What -if Analysis'!$D$26)</f>
        <v>0</v>
      </c>
      <c r="P1239">
        <v>120</v>
      </c>
      <c r="Q1239">
        <v>2155.4931576975832</v>
      </c>
    </row>
    <row r="1240" spans="1:17" x14ac:dyDescent="0.3">
      <c r="A1240">
        <v>571672</v>
      </c>
      <c r="B1240" s="1" t="s">
        <v>15</v>
      </c>
      <c r="C1240" s="1" t="s">
        <v>23</v>
      </c>
      <c r="D1240" s="1" t="s">
        <v>32</v>
      </c>
      <c r="E1240" s="1" t="s">
        <v>33</v>
      </c>
      <c r="F1240" s="1" t="s">
        <v>19</v>
      </c>
      <c r="G1240" s="1" t="s">
        <v>20</v>
      </c>
      <c r="H1240" t="s">
        <v>21</v>
      </c>
      <c r="I1240" s="1" t="s">
        <v>22</v>
      </c>
      <c r="J1240" s="2">
        <v>43526.488136574073</v>
      </c>
      <c r="K1240" s="2">
        <v>43533.488136574073</v>
      </c>
      <c r="L1240" s="2">
        <v>43532.488136574073</v>
      </c>
      <c r="M1240" s="1">
        <f>_xlfn.DAYS(Table1[[#This Row],[actual_delivery_date]],Table1[[#This Row],[dispatch_date]])</f>
        <v>7</v>
      </c>
      <c r="N1240">
        <v>46</v>
      </c>
      <c r="O1240">
        <f>Table1[[#This Row],[transit_storage_cost]] * (1-'What -if Analysis'!$D$26)</f>
        <v>46</v>
      </c>
      <c r="P1240">
        <v>112</v>
      </c>
      <c r="Q1240">
        <v>2686.6345647921894</v>
      </c>
    </row>
    <row r="1241" spans="1:17" x14ac:dyDescent="0.3">
      <c r="A1241">
        <v>45221</v>
      </c>
      <c r="B1241" s="1" t="s">
        <v>41</v>
      </c>
      <c r="C1241" s="1" t="s">
        <v>23</v>
      </c>
      <c r="D1241" s="1" t="s">
        <v>23</v>
      </c>
      <c r="E1241" s="1" t="s">
        <v>28</v>
      </c>
      <c r="F1241" s="1" t="s">
        <v>19</v>
      </c>
      <c r="G1241" s="1" t="s">
        <v>20</v>
      </c>
      <c r="H1241" t="s">
        <v>30</v>
      </c>
      <c r="I1241" s="1" t="s">
        <v>22</v>
      </c>
      <c r="J1241" s="2">
        <v>43529.497997685183</v>
      </c>
      <c r="K1241" s="2">
        <v>43533.497997685183</v>
      </c>
      <c r="L1241" s="2">
        <v>43533.497997685183</v>
      </c>
      <c r="M1241" s="1">
        <f>_xlfn.DAYS(Table1[[#This Row],[actual_delivery_date]],Table1[[#This Row],[dispatch_date]])</f>
        <v>4</v>
      </c>
      <c r="N1241">
        <v>0</v>
      </c>
      <c r="O1241">
        <f>Table1[[#This Row],[transit_storage_cost]] * (1-'What -if Analysis'!$D$26)</f>
        <v>0</v>
      </c>
      <c r="P1241">
        <v>100</v>
      </c>
      <c r="Q1241">
        <v>1758.7001178515611</v>
      </c>
    </row>
    <row r="1242" spans="1:17" x14ac:dyDescent="0.3">
      <c r="A1242">
        <v>682746</v>
      </c>
      <c r="B1242" s="1" t="s">
        <v>39</v>
      </c>
      <c r="C1242" s="1" t="s">
        <v>23</v>
      </c>
      <c r="D1242" s="1" t="s">
        <v>23</v>
      </c>
      <c r="E1242" s="1" t="s">
        <v>28</v>
      </c>
      <c r="F1242" s="1" t="s">
        <v>31</v>
      </c>
      <c r="G1242" s="1" t="s">
        <v>20</v>
      </c>
      <c r="H1242" t="s">
        <v>21</v>
      </c>
      <c r="I1242" s="1" t="s">
        <v>26</v>
      </c>
      <c r="J1242" s="2">
        <v>43533.502013888887</v>
      </c>
      <c r="K1242" s="2">
        <v>43533.502013888887</v>
      </c>
      <c r="L1242" s="2">
        <v>43539.502013888887</v>
      </c>
      <c r="M1242" s="1">
        <f>_xlfn.DAYS(Table1[[#This Row],[actual_delivery_date]],Table1[[#This Row],[dispatch_date]])</f>
        <v>0</v>
      </c>
      <c r="N1242">
        <v>0</v>
      </c>
      <c r="O1242">
        <f>Table1[[#This Row],[transit_storage_cost]] * (1-'What -if Analysis'!$D$26)</f>
        <v>0</v>
      </c>
      <c r="P1242">
        <v>126</v>
      </c>
      <c r="Q1242">
        <v>2590</v>
      </c>
    </row>
    <row r="1243" spans="1:17" x14ac:dyDescent="0.3">
      <c r="A1243">
        <v>527236</v>
      </c>
      <c r="B1243" s="1" t="s">
        <v>37</v>
      </c>
      <c r="C1243" s="1" t="s">
        <v>23</v>
      </c>
      <c r="D1243" s="1" t="s">
        <v>23</v>
      </c>
      <c r="E1243" s="1" t="s">
        <v>28</v>
      </c>
      <c r="F1243" s="1" t="s">
        <v>19</v>
      </c>
      <c r="G1243" s="1" t="s">
        <v>20</v>
      </c>
      <c r="H1243" t="s">
        <v>21</v>
      </c>
      <c r="I1243" s="1" t="s">
        <v>22</v>
      </c>
      <c r="J1243" s="2">
        <v>43532.506793981483</v>
      </c>
      <c r="K1243" s="2">
        <v>43533.506793981483</v>
      </c>
      <c r="L1243" s="2">
        <v>43538.506793981483</v>
      </c>
      <c r="M1243" s="1">
        <f>_xlfn.DAYS(Table1[[#This Row],[actual_delivery_date]],Table1[[#This Row],[dispatch_date]])</f>
        <v>1</v>
      </c>
      <c r="N1243">
        <v>0</v>
      </c>
      <c r="O1243">
        <f>Table1[[#This Row],[transit_storage_cost]] * (1-'What -if Analysis'!$D$26)</f>
        <v>0</v>
      </c>
      <c r="P1243">
        <v>128</v>
      </c>
      <c r="Q1243">
        <v>3359.5009162572196</v>
      </c>
    </row>
    <row r="1244" spans="1:17" x14ac:dyDescent="0.3">
      <c r="A1244">
        <v>620031</v>
      </c>
      <c r="B1244" s="1" t="s">
        <v>40</v>
      </c>
      <c r="C1244" s="1" t="s">
        <v>23</v>
      </c>
      <c r="D1244" s="1" t="s">
        <v>17</v>
      </c>
      <c r="E1244" s="1" t="s">
        <v>18</v>
      </c>
      <c r="F1244" s="1" t="s">
        <v>29</v>
      </c>
      <c r="G1244" s="1" t="s">
        <v>20</v>
      </c>
      <c r="H1244" t="s">
        <v>30</v>
      </c>
      <c r="I1244" s="1" t="s">
        <v>26</v>
      </c>
      <c r="J1244" s="2">
        <v>43525.507465277777</v>
      </c>
      <c r="K1244" s="2">
        <v>43533.507465277777</v>
      </c>
      <c r="L1244" s="2">
        <v>43528.507465277777</v>
      </c>
      <c r="M1244" s="1">
        <f>_xlfn.DAYS(Table1[[#This Row],[actual_delivery_date]],Table1[[#This Row],[dispatch_date]])</f>
        <v>8</v>
      </c>
      <c r="N1244">
        <v>48</v>
      </c>
      <c r="O1244">
        <f>Table1[[#This Row],[transit_storage_cost]] * (1-'What -if Analysis'!$D$26)</f>
        <v>48</v>
      </c>
      <c r="P1244">
        <v>113</v>
      </c>
      <c r="Q1244">
        <v>1000.02</v>
      </c>
    </row>
    <row r="1245" spans="1:17" x14ac:dyDescent="0.3">
      <c r="A1245">
        <v>501702</v>
      </c>
      <c r="B1245" s="1" t="s">
        <v>38</v>
      </c>
      <c r="C1245" s="1" t="s">
        <v>16</v>
      </c>
      <c r="D1245" s="1" t="s">
        <v>16</v>
      </c>
      <c r="E1245" s="1" t="s">
        <v>27</v>
      </c>
      <c r="F1245" s="1" t="s">
        <v>19</v>
      </c>
      <c r="G1245" s="1" t="s">
        <v>20</v>
      </c>
      <c r="H1245" t="s">
        <v>21</v>
      </c>
      <c r="I1245" s="1" t="s">
        <v>26</v>
      </c>
      <c r="J1245" s="2">
        <v>43533.509259259263</v>
      </c>
      <c r="K1245" s="2">
        <v>43533.509259259263</v>
      </c>
      <c r="L1245" s="2">
        <v>43538.509259259263</v>
      </c>
      <c r="M1245" s="1">
        <f>_xlfn.DAYS(Table1[[#This Row],[actual_delivery_date]],Table1[[#This Row],[dispatch_date]])</f>
        <v>0</v>
      </c>
      <c r="N1245">
        <v>0</v>
      </c>
      <c r="O1245">
        <f>Table1[[#This Row],[transit_storage_cost]] * (1-'What -if Analysis'!$D$26)</f>
        <v>0</v>
      </c>
      <c r="P1245">
        <v>106</v>
      </c>
      <c r="Q1245">
        <v>1723.137495562187</v>
      </c>
    </row>
    <row r="1246" spans="1:17" x14ac:dyDescent="0.3">
      <c r="A1246">
        <v>173984</v>
      </c>
      <c r="B1246" s="1" t="s">
        <v>40</v>
      </c>
      <c r="C1246" s="1" t="s">
        <v>23</v>
      </c>
      <c r="D1246" s="1" t="s">
        <v>16</v>
      </c>
      <c r="E1246" s="1" t="s">
        <v>27</v>
      </c>
      <c r="F1246" s="1" t="s">
        <v>19</v>
      </c>
      <c r="G1246" s="1" t="s">
        <v>20</v>
      </c>
      <c r="H1246" t="s">
        <v>21</v>
      </c>
      <c r="I1246" s="1" t="s">
        <v>22</v>
      </c>
      <c r="J1246" s="2">
        <v>43530.510115740741</v>
      </c>
      <c r="K1246" s="2">
        <v>43533.510115740741</v>
      </c>
      <c r="L1246" s="2">
        <v>43534.510115740741</v>
      </c>
      <c r="M1246" s="1">
        <f>_xlfn.DAYS(Table1[[#This Row],[actual_delivery_date]],Table1[[#This Row],[dispatch_date]])</f>
        <v>3</v>
      </c>
      <c r="N1246">
        <v>42</v>
      </c>
      <c r="O1246">
        <f>Table1[[#This Row],[transit_storage_cost]] * (1-'What -if Analysis'!$D$26)</f>
        <v>42</v>
      </c>
      <c r="P1246">
        <v>129</v>
      </c>
      <c r="Q1246">
        <v>2765.8219777053937</v>
      </c>
    </row>
    <row r="1247" spans="1:17" x14ac:dyDescent="0.3">
      <c r="A1247">
        <v>791294</v>
      </c>
      <c r="B1247" s="1" t="s">
        <v>38</v>
      </c>
      <c r="C1247" s="1" t="s">
        <v>23</v>
      </c>
      <c r="D1247" s="1" t="s">
        <v>23</v>
      </c>
      <c r="E1247" s="1" t="s">
        <v>28</v>
      </c>
      <c r="F1247" s="1" t="s">
        <v>31</v>
      </c>
      <c r="G1247" s="1" t="s">
        <v>20</v>
      </c>
      <c r="H1247" t="s">
        <v>21</v>
      </c>
      <c r="I1247" s="1" t="s">
        <v>22</v>
      </c>
      <c r="J1247" s="2">
        <v>43532.511365740742</v>
      </c>
      <c r="K1247" s="2">
        <v>43533.511365740742</v>
      </c>
      <c r="L1247" s="2">
        <v>43535.511365740742</v>
      </c>
      <c r="M1247" s="1">
        <f>_xlfn.DAYS(Table1[[#This Row],[actual_delivery_date]],Table1[[#This Row],[dispatch_date]])</f>
        <v>1</v>
      </c>
      <c r="N1247">
        <v>0</v>
      </c>
      <c r="O1247">
        <f>Table1[[#This Row],[transit_storage_cost]] * (1-'What -if Analysis'!$D$26)</f>
        <v>0</v>
      </c>
      <c r="P1247">
        <v>126</v>
      </c>
      <c r="Q1247">
        <v>3109</v>
      </c>
    </row>
    <row r="1248" spans="1:17" x14ac:dyDescent="0.3">
      <c r="A1248">
        <v>628647</v>
      </c>
      <c r="B1248" s="1" t="s">
        <v>39</v>
      </c>
      <c r="C1248" s="1" t="s">
        <v>16</v>
      </c>
      <c r="D1248" s="1" t="s">
        <v>17</v>
      </c>
      <c r="E1248" s="1" t="s">
        <v>18</v>
      </c>
      <c r="F1248" s="1" t="s">
        <v>19</v>
      </c>
      <c r="G1248" s="1" t="s">
        <v>20</v>
      </c>
      <c r="H1248" t="s">
        <v>30</v>
      </c>
      <c r="I1248" s="1" t="s">
        <v>26</v>
      </c>
      <c r="J1248" s="2">
        <v>43529.51295138889</v>
      </c>
      <c r="K1248" s="2">
        <v>43533.51295138889</v>
      </c>
      <c r="L1248" s="2">
        <v>43532.51295138889</v>
      </c>
      <c r="M1248" s="1">
        <f>_xlfn.DAYS(Table1[[#This Row],[actual_delivery_date]],Table1[[#This Row],[dispatch_date]])</f>
        <v>4</v>
      </c>
      <c r="N1248">
        <v>88</v>
      </c>
      <c r="O1248">
        <f>Table1[[#This Row],[transit_storage_cost]] * (1-'What -if Analysis'!$D$26)</f>
        <v>88</v>
      </c>
      <c r="P1248">
        <v>92</v>
      </c>
      <c r="Q1248">
        <v>2832.78</v>
      </c>
    </row>
    <row r="1249" spans="1:17" x14ac:dyDescent="0.3">
      <c r="A1249">
        <v>645956</v>
      </c>
      <c r="B1249" s="1" t="s">
        <v>38</v>
      </c>
      <c r="C1249" s="1" t="s">
        <v>16</v>
      </c>
      <c r="D1249" s="1" t="s">
        <v>23</v>
      </c>
      <c r="E1249" s="1" t="s">
        <v>28</v>
      </c>
      <c r="F1249" s="1" t="s">
        <v>19</v>
      </c>
      <c r="G1249" s="1" t="s">
        <v>36</v>
      </c>
      <c r="H1249" t="s">
        <v>21</v>
      </c>
      <c r="I1249" s="1" t="s">
        <v>22</v>
      </c>
      <c r="J1249" s="2">
        <v>43528.5153587963</v>
      </c>
      <c r="K1249" s="2">
        <v>43533.5153587963</v>
      </c>
      <c r="L1249" s="2">
        <v>43532.5153587963</v>
      </c>
      <c r="M1249" s="1">
        <f>_xlfn.DAYS(Table1[[#This Row],[actual_delivery_date]],Table1[[#This Row],[dispatch_date]])</f>
        <v>5</v>
      </c>
      <c r="N1249">
        <v>44</v>
      </c>
      <c r="O1249">
        <f>Table1[[#This Row],[transit_storage_cost]] * (1-'What -if Analysis'!$D$26)</f>
        <v>44</v>
      </c>
      <c r="P1249">
        <v>124</v>
      </c>
      <c r="Q1249">
        <v>2891</v>
      </c>
    </row>
    <row r="1250" spans="1:17" x14ac:dyDescent="0.3">
      <c r="A1250">
        <v>269235</v>
      </c>
      <c r="B1250" s="1" t="s">
        <v>39</v>
      </c>
      <c r="C1250" s="1" t="s">
        <v>16</v>
      </c>
      <c r="D1250" s="1" t="s">
        <v>17</v>
      </c>
      <c r="E1250" s="1" t="s">
        <v>18</v>
      </c>
      <c r="F1250" s="1" t="s">
        <v>19</v>
      </c>
      <c r="G1250" s="1" t="s">
        <v>20</v>
      </c>
      <c r="H1250" t="s">
        <v>30</v>
      </c>
      <c r="I1250" s="1" t="s">
        <v>26</v>
      </c>
      <c r="J1250" s="2">
        <v>43531.525694444441</v>
      </c>
      <c r="K1250" s="2">
        <v>43533.525694444441</v>
      </c>
      <c r="L1250" s="2">
        <v>43535.525694444441</v>
      </c>
      <c r="M1250" s="1">
        <f>_xlfn.DAYS(Table1[[#This Row],[actual_delivery_date]],Table1[[#This Row],[dispatch_date]])</f>
        <v>2</v>
      </c>
      <c r="N1250">
        <v>80</v>
      </c>
      <c r="O1250">
        <f>Table1[[#This Row],[transit_storage_cost]] * (1-'What -if Analysis'!$D$26)</f>
        <v>80</v>
      </c>
      <c r="P1250">
        <v>93</v>
      </c>
      <c r="Q1250">
        <v>2325.5826378715287</v>
      </c>
    </row>
    <row r="1251" spans="1:17" x14ac:dyDescent="0.3">
      <c r="A1251">
        <v>423134</v>
      </c>
      <c r="B1251" s="1" t="s">
        <v>37</v>
      </c>
      <c r="C1251" s="1" t="s">
        <v>23</v>
      </c>
      <c r="D1251" s="1" t="s">
        <v>16</v>
      </c>
      <c r="E1251" s="1" t="s">
        <v>27</v>
      </c>
      <c r="F1251" s="1" t="s">
        <v>19</v>
      </c>
      <c r="G1251" s="1" t="s">
        <v>20</v>
      </c>
      <c r="H1251" t="s">
        <v>21</v>
      </c>
      <c r="I1251" s="1" t="s">
        <v>22</v>
      </c>
      <c r="J1251" s="2">
        <v>43531.528912037036</v>
      </c>
      <c r="K1251" s="2">
        <v>43533.528912037036</v>
      </c>
      <c r="L1251" s="2">
        <v>43538.528912037036</v>
      </c>
      <c r="M1251" s="1">
        <f>_xlfn.DAYS(Table1[[#This Row],[actual_delivery_date]],Table1[[#This Row],[dispatch_date]])</f>
        <v>2</v>
      </c>
      <c r="N1251">
        <v>65</v>
      </c>
      <c r="O1251">
        <f>Table1[[#This Row],[transit_storage_cost]] * (1-'What -if Analysis'!$D$26)</f>
        <v>65</v>
      </c>
      <c r="P1251">
        <v>106</v>
      </c>
      <c r="Q1251">
        <v>2010.9635765452747</v>
      </c>
    </row>
    <row r="1252" spans="1:17" x14ac:dyDescent="0.3">
      <c r="A1252">
        <v>123190</v>
      </c>
      <c r="B1252" s="1" t="s">
        <v>38</v>
      </c>
      <c r="C1252" s="1" t="s">
        <v>23</v>
      </c>
      <c r="D1252" s="1" t="s">
        <v>23</v>
      </c>
      <c r="E1252" s="1" t="s">
        <v>28</v>
      </c>
      <c r="F1252" s="1" t="s">
        <v>19</v>
      </c>
      <c r="G1252" s="1" t="s">
        <v>20</v>
      </c>
      <c r="H1252" t="s">
        <v>21</v>
      </c>
      <c r="I1252" s="1" t="s">
        <v>22</v>
      </c>
      <c r="J1252" s="2">
        <v>43529.532743055555</v>
      </c>
      <c r="K1252" s="2">
        <v>43533.532743055555</v>
      </c>
      <c r="L1252" s="2">
        <v>43532.532743055555</v>
      </c>
      <c r="M1252" s="1">
        <f>_xlfn.DAYS(Table1[[#This Row],[actual_delivery_date]],Table1[[#This Row],[dispatch_date]])</f>
        <v>4</v>
      </c>
      <c r="N1252">
        <v>0</v>
      </c>
      <c r="O1252">
        <f>Table1[[#This Row],[transit_storage_cost]] * (1-'What -if Analysis'!$D$26)</f>
        <v>0</v>
      </c>
      <c r="P1252">
        <v>100</v>
      </c>
      <c r="Q1252">
        <v>3667.2505460171737</v>
      </c>
    </row>
    <row r="1253" spans="1:17" x14ac:dyDescent="0.3">
      <c r="A1253">
        <v>199168</v>
      </c>
      <c r="B1253" s="1" t="s">
        <v>41</v>
      </c>
      <c r="C1253" s="1" t="s">
        <v>23</v>
      </c>
      <c r="D1253" s="1" t="s">
        <v>17</v>
      </c>
      <c r="E1253" s="1" t="s">
        <v>18</v>
      </c>
      <c r="F1253" s="1" t="s">
        <v>19</v>
      </c>
      <c r="G1253" s="1" t="s">
        <v>20</v>
      </c>
      <c r="H1253" t="s">
        <v>21</v>
      </c>
      <c r="I1253" s="1" t="s">
        <v>22</v>
      </c>
      <c r="J1253" s="2">
        <v>43531.53297453704</v>
      </c>
      <c r="K1253" s="2">
        <v>43533.53297453704</v>
      </c>
      <c r="L1253" s="2">
        <v>43534.53297453704</v>
      </c>
      <c r="M1253" s="1">
        <f>_xlfn.DAYS(Table1[[#This Row],[actual_delivery_date]],Table1[[#This Row],[dispatch_date]])</f>
        <v>2</v>
      </c>
      <c r="N1253">
        <v>35</v>
      </c>
      <c r="O1253">
        <f>Table1[[#This Row],[transit_storage_cost]] * (1-'What -if Analysis'!$D$26)</f>
        <v>35</v>
      </c>
      <c r="P1253">
        <v>112</v>
      </c>
      <c r="Q1253">
        <v>1408.0688876926963</v>
      </c>
    </row>
    <row r="1254" spans="1:17" x14ac:dyDescent="0.3">
      <c r="A1254">
        <v>493816</v>
      </c>
      <c r="B1254" s="1" t="s">
        <v>38</v>
      </c>
      <c r="C1254" s="1" t="s">
        <v>23</v>
      </c>
      <c r="D1254" s="1" t="s">
        <v>24</v>
      </c>
      <c r="E1254" s="1" t="s">
        <v>25</v>
      </c>
      <c r="F1254" s="1" t="s">
        <v>19</v>
      </c>
      <c r="G1254" s="1" t="s">
        <v>20</v>
      </c>
      <c r="H1254" t="s">
        <v>21</v>
      </c>
      <c r="I1254" s="1" t="s">
        <v>22</v>
      </c>
      <c r="J1254" s="2">
        <v>43529.535486111112</v>
      </c>
      <c r="K1254" s="2">
        <v>43533.535486111112</v>
      </c>
      <c r="L1254" s="2">
        <v>43532.535486111112</v>
      </c>
      <c r="M1254" s="1">
        <f>_xlfn.DAYS(Table1[[#This Row],[actual_delivery_date]],Table1[[#This Row],[dispatch_date]])</f>
        <v>4</v>
      </c>
      <c r="N1254">
        <v>45</v>
      </c>
      <c r="O1254">
        <f>Table1[[#This Row],[transit_storage_cost]] * (1-'What -if Analysis'!$D$26)</f>
        <v>45</v>
      </c>
      <c r="P1254">
        <v>129</v>
      </c>
      <c r="Q1254">
        <v>2593.8071922373156</v>
      </c>
    </row>
    <row r="1255" spans="1:17" x14ac:dyDescent="0.3">
      <c r="A1255">
        <v>724009</v>
      </c>
      <c r="B1255" s="1" t="s">
        <v>40</v>
      </c>
      <c r="C1255" s="1" t="s">
        <v>23</v>
      </c>
      <c r="D1255" s="1" t="s">
        <v>23</v>
      </c>
      <c r="E1255" s="1" t="s">
        <v>28</v>
      </c>
      <c r="F1255" s="1" t="s">
        <v>29</v>
      </c>
      <c r="G1255" s="1" t="s">
        <v>20</v>
      </c>
      <c r="H1255" t="s">
        <v>30</v>
      </c>
      <c r="I1255" s="1" t="s">
        <v>22</v>
      </c>
      <c r="J1255" s="2">
        <v>43532.539988425924</v>
      </c>
      <c r="K1255" s="2">
        <v>43533.539988425924</v>
      </c>
      <c r="L1255" s="2">
        <v>43535.539988425924</v>
      </c>
      <c r="M1255" s="1">
        <f>_xlfn.DAYS(Table1[[#This Row],[actual_delivery_date]],Table1[[#This Row],[dispatch_date]])</f>
        <v>1</v>
      </c>
      <c r="N1255">
        <v>0</v>
      </c>
      <c r="O1255">
        <f>Table1[[#This Row],[transit_storage_cost]] * (1-'What -if Analysis'!$D$26)</f>
        <v>0</v>
      </c>
      <c r="P1255">
        <v>125</v>
      </c>
      <c r="Q1255">
        <v>717.63156780621398</v>
      </c>
    </row>
    <row r="1256" spans="1:17" x14ac:dyDescent="0.3">
      <c r="A1256">
        <v>272959</v>
      </c>
      <c r="B1256" s="1" t="s">
        <v>40</v>
      </c>
      <c r="C1256" s="1" t="s">
        <v>16</v>
      </c>
      <c r="D1256" s="1" t="s">
        <v>17</v>
      </c>
      <c r="E1256" s="1" t="s">
        <v>18</v>
      </c>
      <c r="F1256" s="1" t="s">
        <v>29</v>
      </c>
      <c r="G1256" s="1" t="s">
        <v>20</v>
      </c>
      <c r="H1256" t="s">
        <v>30</v>
      </c>
      <c r="I1256" s="1" t="s">
        <v>22</v>
      </c>
      <c r="J1256" s="2">
        <v>43527.542881944442</v>
      </c>
      <c r="K1256" s="2">
        <v>43533.542881944442</v>
      </c>
      <c r="L1256" s="2">
        <v>43530.542881944442</v>
      </c>
      <c r="M1256" s="1">
        <f>_xlfn.DAYS(Table1[[#This Row],[actual_delivery_date]],Table1[[#This Row],[dispatch_date]])</f>
        <v>6</v>
      </c>
      <c r="N1256">
        <v>39</v>
      </c>
      <c r="O1256">
        <f>Table1[[#This Row],[transit_storage_cost]] * (1-'What -if Analysis'!$D$26)</f>
        <v>39</v>
      </c>
      <c r="P1256">
        <v>109</v>
      </c>
      <c r="Q1256">
        <v>2360.0830148036839</v>
      </c>
    </row>
    <row r="1257" spans="1:17" x14ac:dyDescent="0.3">
      <c r="A1257">
        <v>89042</v>
      </c>
      <c r="B1257" s="1" t="s">
        <v>38</v>
      </c>
      <c r="C1257" s="1" t="s">
        <v>16</v>
      </c>
      <c r="D1257" s="1" t="s">
        <v>16</v>
      </c>
      <c r="E1257" s="1" t="s">
        <v>27</v>
      </c>
      <c r="F1257" s="1" t="s">
        <v>31</v>
      </c>
      <c r="G1257" s="1" t="s">
        <v>20</v>
      </c>
      <c r="H1257" t="s">
        <v>21</v>
      </c>
      <c r="I1257" s="1" t="s">
        <v>22</v>
      </c>
      <c r="J1257" s="2">
        <v>43530.544594907406</v>
      </c>
      <c r="K1257" s="2">
        <v>43533.544594907406</v>
      </c>
      <c r="L1257" s="2">
        <v>43536.544594907406</v>
      </c>
      <c r="M1257" s="1">
        <f>_xlfn.DAYS(Table1[[#This Row],[actual_delivery_date]],Table1[[#This Row],[dispatch_date]])</f>
        <v>3</v>
      </c>
      <c r="N1257">
        <v>0</v>
      </c>
      <c r="O1257">
        <f>Table1[[#This Row],[transit_storage_cost]] * (1-'What -if Analysis'!$D$26)</f>
        <v>0</v>
      </c>
      <c r="P1257">
        <v>124</v>
      </c>
      <c r="Q1257">
        <v>2017.7636213702383</v>
      </c>
    </row>
    <row r="1258" spans="1:17" x14ac:dyDescent="0.3">
      <c r="A1258">
        <v>480938</v>
      </c>
      <c r="B1258" s="1" t="s">
        <v>39</v>
      </c>
      <c r="C1258" s="1" t="s">
        <v>23</v>
      </c>
      <c r="D1258" s="1" t="s">
        <v>23</v>
      </c>
      <c r="E1258" s="1" t="s">
        <v>28</v>
      </c>
      <c r="F1258" s="1" t="s">
        <v>31</v>
      </c>
      <c r="G1258" s="1" t="s">
        <v>20</v>
      </c>
      <c r="H1258" t="s">
        <v>21</v>
      </c>
      <c r="I1258" s="1" t="s">
        <v>22</v>
      </c>
      <c r="J1258" s="2">
        <v>43532.546597222223</v>
      </c>
      <c r="K1258" s="2">
        <v>43533.546597222223</v>
      </c>
      <c r="L1258" s="2">
        <v>43538.546597222223</v>
      </c>
      <c r="M1258" s="1">
        <f>_xlfn.DAYS(Table1[[#This Row],[actual_delivery_date]],Table1[[#This Row],[dispatch_date]])</f>
        <v>1</v>
      </c>
      <c r="N1258">
        <v>0</v>
      </c>
      <c r="O1258">
        <f>Table1[[#This Row],[transit_storage_cost]] * (1-'What -if Analysis'!$D$26)</f>
        <v>0</v>
      </c>
      <c r="P1258">
        <v>122</v>
      </c>
      <c r="Q1258">
        <v>849.27475537926171</v>
      </c>
    </row>
    <row r="1259" spans="1:17" x14ac:dyDescent="0.3">
      <c r="A1259">
        <v>481102</v>
      </c>
      <c r="B1259" s="1" t="s">
        <v>38</v>
      </c>
      <c r="C1259" s="1" t="s">
        <v>16</v>
      </c>
      <c r="D1259" s="1" t="s">
        <v>23</v>
      </c>
      <c r="E1259" s="1" t="s">
        <v>28</v>
      </c>
      <c r="F1259" s="1" t="s">
        <v>19</v>
      </c>
      <c r="G1259" s="1" t="s">
        <v>20</v>
      </c>
      <c r="H1259" t="s">
        <v>21</v>
      </c>
      <c r="I1259" s="1" t="s">
        <v>22</v>
      </c>
      <c r="J1259" s="2">
        <v>43530.550706018519</v>
      </c>
      <c r="K1259" s="2">
        <v>43533.550706018519</v>
      </c>
      <c r="L1259" s="2">
        <v>43537.550706018519</v>
      </c>
      <c r="M1259" s="1">
        <f>_xlfn.DAYS(Table1[[#This Row],[actual_delivery_date]],Table1[[#This Row],[dispatch_date]])</f>
        <v>3</v>
      </c>
      <c r="N1259">
        <v>62</v>
      </c>
      <c r="O1259">
        <f>Table1[[#This Row],[transit_storage_cost]] * (1-'What -if Analysis'!$D$26)</f>
        <v>62</v>
      </c>
      <c r="P1259">
        <v>104</v>
      </c>
      <c r="Q1259">
        <v>3715.9963062928946</v>
      </c>
    </row>
    <row r="1260" spans="1:17" x14ac:dyDescent="0.3">
      <c r="A1260">
        <v>193488</v>
      </c>
      <c r="B1260" s="1" t="s">
        <v>39</v>
      </c>
      <c r="C1260" s="1" t="s">
        <v>16</v>
      </c>
      <c r="D1260" s="1" t="s">
        <v>32</v>
      </c>
      <c r="E1260" s="1" t="s">
        <v>33</v>
      </c>
      <c r="F1260" s="1" t="s">
        <v>19</v>
      </c>
      <c r="G1260" s="1" t="s">
        <v>20</v>
      </c>
      <c r="H1260" t="s">
        <v>21</v>
      </c>
      <c r="I1260" s="1" t="s">
        <v>26</v>
      </c>
      <c r="J1260" s="2">
        <v>43529.554872685185</v>
      </c>
      <c r="K1260" s="2">
        <v>43533.554872685185</v>
      </c>
      <c r="L1260" s="2">
        <v>43534.554872685185</v>
      </c>
      <c r="M1260" s="1">
        <f>_xlfn.DAYS(Table1[[#This Row],[actual_delivery_date]],Table1[[#This Row],[dispatch_date]])</f>
        <v>4</v>
      </c>
      <c r="N1260">
        <v>31</v>
      </c>
      <c r="O1260">
        <f>Table1[[#This Row],[transit_storage_cost]] * (1-'What -if Analysis'!$D$26)</f>
        <v>31</v>
      </c>
      <c r="P1260">
        <v>115</v>
      </c>
      <c r="Q1260">
        <v>2439.89</v>
      </c>
    </row>
    <row r="1261" spans="1:17" x14ac:dyDescent="0.3">
      <c r="A1261">
        <v>583896</v>
      </c>
      <c r="B1261" s="1" t="s">
        <v>39</v>
      </c>
      <c r="C1261" s="1" t="s">
        <v>23</v>
      </c>
      <c r="D1261" s="1" t="s">
        <v>17</v>
      </c>
      <c r="E1261" s="1" t="s">
        <v>18</v>
      </c>
      <c r="F1261" s="1" t="s">
        <v>19</v>
      </c>
      <c r="G1261" s="1" t="s">
        <v>20</v>
      </c>
      <c r="H1261" t="s">
        <v>21</v>
      </c>
      <c r="I1261" s="1" t="s">
        <v>26</v>
      </c>
      <c r="J1261" s="2">
        <v>43529.561006944445</v>
      </c>
      <c r="K1261" s="2">
        <v>43533.561006944445</v>
      </c>
      <c r="L1261" s="2">
        <v>43532.561006944445</v>
      </c>
      <c r="M1261" s="1">
        <f>_xlfn.DAYS(Table1[[#This Row],[actual_delivery_date]],Table1[[#This Row],[dispatch_date]])</f>
        <v>4</v>
      </c>
      <c r="N1261">
        <v>33</v>
      </c>
      <c r="O1261">
        <f>Table1[[#This Row],[transit_storage_cost]] * (1-'What -if Analysis'!$D$26)</f>
        <v>33</v>
      </c>
      <c r="P1261">
        <v>110</v>
      </c>
      <c r="Q1261">
        <v>1832.15</v>
      </c>
    </row>
    <row r="1262" spans="1:17" x14ac:dyDescent="0.3">
      <c r="A1262">
        <v>140965</v>
      </c>
      <c r="B1262" s="1" t="s">
        <v>38</v>
      </c>
      <c r="C1262" s="1" t="s">
        <v>16</v>
      </c>
      <c r="D1262" s="1" t="s">
        <v>17</v>
      </c>
      <c r="E1262" s="1" t="s">
        <v>18</v>
      </c>
      <c r="F1262" s="1" t="s">
        <v>29</v>
      </c>
      <c r="G1262" s="1" t="s">
        <v>20</v>
      </c>
      <c r="H1262" t="s">
        <v>30</v>
      </c>
      <c r="I1262" s="1" t="s">
        <v>22</v>
      </c>
      <c r="J1262" s="2">
        <v>43527.563425925924</v>
      </c>
      <c r="K1262" s="2">
        <v>43533.563425925924</v>
      </c>
      <c r="L1262" s="2">
        <v>43534.563425925924</v>
      </c>
      <c r="M1262" s="1">
        <f>_xlfn.DAYS(Table1[[#This Row],[actual_delivery_date]],Table1[[#This Row],[dispatch_date]])</f>
        <v>6</v>
      </c>
      <c r="N1262">
        <v>41</v>
      </c>
      <c r="O1262">
        <f>Table1[[#This Row],[transit_storage_cost]] * (1-'What -if Analysis'!$D$26)</f>
        <v>41</v>
      </c>
      <c r="P1262">
        <v>106</v>
      </c>
      <c r="Q1262">
        <v>2827.1306458523045</v>
      </c>
    </row>
    <row r="1263" spans="1:17" x14ac:dyDescent="0.3">
      <c r="A1263">
        <v>769008</v>
      </c>
      <c r="B1263" s="1" t="s">
        <v>38</v>
      </c>
      <c r="C1263" s="1" t="s">
        <v>23</v>
      </c>
      <c r="D1263" s="1" t="s">
        <v>17</v>
      </c>
      <c r="E1263" s="1" t="s">
        <v>18</v>
      </c>
      <c r="F1263" s="1" t="s">
        <v>19</v>
      </c>
      <c r="G1263" s="1" t="s">
        <v>20</v>
      </c>
      <c r="H1263" t="s">
        <v>21</v>
      </c>
      <c r="I1263" s="1" t="s">
        <v>26</v>
      </c>
      <c r="J1263" s="2">
        <v>43528.568101851852</v>
      </c>
      <c r="K1263" s="2">
        <v>43533.568101851852</v>
      </c>
      <c r="L1263" s="2">
        <v>43531.568101851852</v>
      </c>
      <c r="M1263" s="1">
        <f>_xlfn.DAYS(Table1[[#This Row],[actual_delivery_date]],Table1[[#This Row],[dispatch_date]])</f>
        <v>5</v>
      </c>
      <c r="N1263">
        <v>40</v>
      </c>
      <c r="O1263">
        <f>Table1[[#This Row],[transit_storage_cost]] * (1-'What -if Analysis'!$D$26)</f>
        <v>40</v>
      </c>
      <c r="P1263">
        <v>113</v>
      </c>
      <c r="Q1263">
        <v>917.32</v>
      </c>
    </row>
    <row r="1264" spans="1:17" x14ac:dyDescent="0.3">
      <c r="A1264">
        <v>36620</v>
      </c>
      <c r="B1264" s="1" t="s">
        <v>38</v>
      </c>
      <c r="C1264" s="1" t="s">
        <v>23</v>
      </c>
      <c r="D1264" s="1" t="s">
        <v>16</v>
      </c>
      <c r="E1264" s="1" t="s">
        <v>27</v>
      </c>
      <c r="F1264" s="1" t="s">
        <v>19</v>
      </c>
      <c r="G1264" s="1" t="s">
        <v>20</v>
      </c>
      <c r="H1264" t="s">
        <v>21</v>
      </c>
      <c r="I1264" s="1" t="s">
        <v>22</v>
      </c>
      <c r="J1264" s="2">
        <v>43527.56958333333</v>
      </c>
      <c r="K1264" s="2">
        <v>43533.56958333333</v>
      </c>
      <c r="L1264" s="2">
        <v>43534.56958333333</v>
      </c>
      <c r="M1264" s="1">
        <f>_xlfn.DAYS(Table1[[#This Row],[actual_delivery_date]],Table1[[#This Row],[dispatch_date]])</f>
        <v>6</v>
      </c>
      <c r="N1264">
        <v>39</v>
      </c>
      <c r="O1264">
        <f>Table1[[#This Row],[transit_storage_cost]] * (1-'What -if Analysis'!$D$26)</f>
        <v>39</v>
      </c>
      <c r="P1264">
        <v>123</v>
      </c>
      <c r="Q1264">
        <v>1098.753378621763</v>
      </c>
    </row>
    <row r="1265" spans="1:17" x14ac:dyDescent="0.3">
      <c r="A1265">
        <v>556119</v>
      </c>
      <c r="B1265" s="1" t="s">
        <v>37</v>
      </c>
      <c r="C1265" s="1" t="s">
        <v>16</v>
      </c>
      <c r="D1265" s="1" t="s">
        <v>17</v>
      </c>
      <c r="E1265" s="1" t="s">
        <v>18</v>
      </c>
      <c r="F1265" s="1" t="s">
        <v>29</v>
      </c>
      <c r="G1265" s="1" t="s">
        <v>20</v>
      </c>
      <c r="H1265" t="s">
        <v>30</v>
      </c>
      <c r="I1265" s="1" t="s">
        <v>26</v>
      </c>
      <c r="J1265" s="2">
        <v>43526.570787037039</v>
      </c>
      <c r="K1265" s="2">
        <v>43533.570787037039</v>
      </c>
      <c r="L1265" s="2">
        <v>43530.570787037039</v>
      </c>
      <c r="M1265" s="1">
        <f>_xlfn.DAYS(Table1[[#This Row],[actual_delivery_date]],Table1[[#This Row],[dispatch_date]])</f>
        <v>7</v>
      </c>
      <c r="N1265">
        <v>48</v>
      </c>
      <c r="O1265">
        <f>Table1[[#This Row],[transit_storage_cost]] * (1-'What -if Analysis'!$D$26)</f>
        <v>48</v>
      </c>
      <c r="P1265">
        <v>113</v>
      </c>
      <c r="Q1265">
        <v>2057.88</v>
      </c>
    </row>
    <row r="1266" spans="1:17" x14ac:dyDescent="0.3">
      <c r="A1266">
        <v>281985</v>
      </c>
      <c r="B1266" s="1" t="s">
        <v>38</v>
      </c>
      <c r="C1266" s="1" t="s">
        <v>16</v>
      </c>
      <c r="D1266" s="1" t="s">
        <v>23</v>
      </c>
      <c r="E1266" s="1" t="s">
        <v>28</v>
      </c>
      <c r="F1266" s="1" t="s">
        <v>29</v>
      </c>
      <c r="G1266" s="1" t="s">
        <v>20</v>
      </c>
      <c r="H1266" t="s">
        <v>30</v>
      </c>
      <c r="I1266" s="1" t="s">
        <v>26</v>
      </c>
      <c r="J1266" s="2">
        <v>43528.570937500001</v>
      </c>
      <c r="K1266" s="2">
        <v>43533.570937500001</v>
      </c>
      <c r="L1266" s="2">
        <v>43531.570937500001</v>
      </c>
      <c r="M1266" s="1">
        <f>_xlfn.DAYS(Table1[[#This Row],[actual_delivery_date]],Table1[[#This Row],[dispatch_date]])</f>
        <v>5</v>
      </c>
      <c r="N1266">
        <v>50</v>
      </c>
      <c r="O1266">
        <f>Table1[[#This Row],[transit_storage_cost]] * (1-'What -if Analysis'!$D$26)</f>
        <v>50</v>
      </c>
      <c r="P1266">
        <v>126</v>
      </c>
      <c r="Q1266">
        <v>2076.73</v>
      </c>
    </row>
    <row r="1267" spans="1:17" x14ac:dyDescent="0.3">
      <c r="A1267">
        <v>662342</v>
      </c>
      <c r="B1267" s="1" t="s">
        <v>37</v>
      </c>
      <c r="C1267" s="1" t="s">
        <v>23</v>
      </c>
      <c r="D1267" s="1" t="s">
        <v>16</v>
      </c>
      <c r="E1267" s="1" t="s">
        <v>27</v>
      </c>
      <c r="F1267" s="1" t="s">
        <v>31</v>
      </c>
      <c r="G1267" s="1" t="s">
        <v>20</v>
      </c>
      <c r="H1267" t="s">
        <v>21</v>
      </c>
      <c r="I1267" s="1" t="s">
        <v>22</v>
      </c>
      <c r="J1267" s="2">
        <v>43528.573819444442</v>
      </c>
      <c r="K1267" s="2">
        <v>43533.573819444442</v>
      </c>
      <c r="L1267" s="2">
        <v>43534.573819444442</v>
      </c>
      <c r="M1267" s="1">
        <f>_xlfn.DAYS(Table1[[#This Row],[actual_delivery_date]],Table1[[#This Row],[dispatch_date]])</f>
        <v>5</v>
      </c>
      <c r="N1267">
        <v>30</v>
      </c>
      <c r="O1267">
        <f>Table1[[#This Row],[transit_storage_cost]] * (1-'What -if Analysis'!$D$26)</f>
        <v>30</v>
      </c>
      <c r="P1267">
        <v>128</v>
      </c>
      <c r="Q1267">
        <v>1044.8825907765658</v>
      </c>
    </row>
    <row r="1268" spans="1:17" x14ac:dyDescent="0.3">
      <c r="A1268">
        <v>558152</v>
      </c>
      <c r="B1268" s="1" t="s">
        <v>40</v>
      </c>
      <c r="C1268" s="1" t="s">
        <v>16</v>
      </c>
      <c r="D1268" s="1" t="s">
        <v>32</v>
      </c>
      <c r="E1268" s="1" t="s">
        <v>33</v>
      </c>
      <c r="F1268" s="1" t="s">
        <v>19</v>
      </c>
      <c r="G1268" s="1" t="s">
        <v>20</v>
      </c>
      <c r="H1268" t="s">
        <v>21</v>
      </c>
      <c r="I1268" s="1" t="s">
        <v>22</v>
      </c>
      <c r="J1268" s="2">
        <v>43529.574131944442</v>
      </c>
      <c r="K1268" s="2">
        <v>43533.574131944442</v>
      </c>
      <c r="L1268" s="2">
        <v>43533.574131944442</v>
      </c>
      <c r="M1268" s="1">
        <f>_xlfn.DAYS(Table1[[#This Row],[actual_delivery_date]],Table1[[#This Row],[dispatch_date]])</f>
        <v>4</v>
      </c>
      <c r="N1268">
        <v>45</v>
      </c>
      <c r="O1268">
        <f>Table1[[#This Row],[transit_storage_cost]] * (1-'What -if Analysis'!$D$26)</f>
        <v>45</v>
      </c>
      <c r="P1268">
        <v>106</v>
      </c>
      <c r="Q1268">
        <v>791.57020570476629</v>
      </c>
    </row>
    <row r="1269" spans="1:17" x14ac:dyDescent="0.3">
      <c r="A1269">
        <v>97974</v>
      </c>
      <c r="B1269" s="1" t="s">
        <v>41</v>
      </c>
      <c r="C1269" s="1" t="s">
        <v>23</v>
      </c>
      <c r="D1269" s="1" t="s">
        <v>32</v>
      </c>
      <c r="E1269" s="1" t="s">
        <v>33</v>
      </c>
      <c r="F1269" s="1" t="s">
        <v>31</v>
      </c>
      <c r="G1269" s="1" t="s">
        <v>20</v>
      </c>
      <c r="H1269" t="s">
        <v>21</v>
      </c>
      <c r="I1269" s="1" t="s">
        <v>26</v>
      </c>
      <c r="J1269" s="2">
        <v>43531.575208333335</v>
      </c>
      <c r="K1269" s="2">
        <v>43533.575208333335</v>
      </c>
      <c r="L1269" s="2">
        <v>43537.575208333335</v>
      </c>
      <c r="M1269" s="1">
        <f>_xlfn.DAYS(Table1[[#This Row],[actual_delivery_date]],Table1[[#This Row],[dispatch_date]])</f>
        <v>2</v>
      </c>
      <c r="N1269">
        <v>43</v>
      </c>
      <c r="O1269">
        <f>Table1[[#This Row],[transit_storage_cost]] * (1-'What -if Analysis'!$D$26)</f>
        <v>43</v>
      </c>
      <c r="P1269">
        <v>112</v>
      </c>
      <c r="Q1269">
        <v>1410</v>
      </c>
    </row>
    <row r="1270" spans="1:17" x14ac:dyDescent="0.3">
      <c r="A1270">
        <v>281658</v>
      </c>
      <c r="B1270" s="1" t="s">
        <v>15</v>
      </c>
      <c r="C1270" s="1" t="s">
        <v>23</v>
      </c>
      <c r="D1270" s="1" t="s">
        <v>16</v>
      </c>
      <c r="E1270" s="1" t="s">
        <v>27</v>
      </c>
      <c r="F1270" s="1" t="s">
        <v>31</v>
      </c>
      <c r="G1270" s="1" t="s">
        <v>20</v>
      </c>
      <c r="H1270" t="s">
        <v>21</v>
      </c>
      <c r="I1270" s="1" t="s">
        <v>26</v>
      </c>
      <c r="J1270" s="2">
        <v>43528.578645833331</v>
      </c>
      <c r="K1270" s="2">
        <v>43533.578645833331</v>
      </c>
      <c r="L1270" s="2">
        <v>43535.578645833331</v>
      </c>
      <c r="M1270" s="1">
        <f>_xlfn.DAYS(Table1[[#This Row],[actual_delivery_date]],Table1[[#This Row],[dispatch_date]])</f>
        <v>5</v>
      </c>
      <c r="N1270">
        <v>41</v>
      </c>
      <c r="O1270">
        <f>Table1[[#This Row],[transit_storage_cost]] * (1-'What -if Analysis'!$D$26)</f>
        <v>41</v>
      </c>
      <c r="P1270">
        <v>128</v>
      </c>
      <c r="Q1270">
        <v>2487.12</v>
      </c>
    </row>
    <row r="1271" spans="1:17" x14ac:dyDescent="0.3">
      <c r="A1271">
        <v>662223</v>
      </c>
      <c r="B1271" s="1" t="s">
        <v>38</v>
      </c>
      <c r="C1271" s="1" t="s">
        <v>23</v>
      </c>
      <c r="D1271" s="1" t="s">
        <v>24</v>
      </c>
      <c r="E1271" s="1" t="s">
        <v>25</v>
      </c>
      <c r="F1271" s="1" t="s">
        <v>19</v>
      </c>
      <c r="G1271" s="1" t="s">
        <v>20</v>
      </c>
      <c r="H1271" t="s">
        <v>30</v>
      </c>
      <c r="I1271" s="1" t="s">
        <v>26</v>
      </c>
      <c r="J1271" s="2">
        <v>43528.579201388886</v>
      </c>
      <c r="K1271" s="2">
        <v>43533.579201388886</v>
      </c>
      <c r="L1271" s="2">
        <v>43534.579201388886</v>
      </c>
      <c r="M1271" s="1">
        <f>_xlfn.DAYS(Table1[[#This Row],[actual_delivery_date]],Table1[[#This Row],[dispatch_date]])</f>
        <v>5</v>
      </c>
      <c r="N1271">
        <v>78</v>
      </c>
      <c r="O1271">
        <f>Table1[[#This Row],[transit_storage_cost]] * (1-'What -if Analysis'!$D$26)</f>
        <v>78</v>
      </c>
      <c r="P1271">
        <v>107</v>
      </c>
      <c r="Q1271">
        <v>2212.94</v>
      </c>
    </row>
    <row r="1272" spans="1:17" x14ac:dyDescent="0.3">
      <c r="A1272">
        <v>750797</v>
      </c>
      <c r="B1272" s="1" t="s">
        <v>38</v>
      </c>
      <c r="C1272" s="1" t="s">
        <v>16</v>
      </c>
      <c r="D1272" s="1" t="s">
        <v>16</v>
      </c>
      <c r="E1272" s="1" t="s">
        <v>27</v>
      </c>
      <c r="F1272" s="1" t="s">
        <v>29</v>
      </c>
      <c r="G1272" s="1" t="s">
        <v>20</v>
      </c>
      <c r="H1272" t="s">
        <v>30</v>
      </c>
      <c r="I1272" s="1" t="s">
        <v>22</v>
      </c>
      <c r="J1272" s="2">
        <v>43529.58016203704</v>
      </c>
      <c r="K1272" s="2">
        <v>43533.58016203704</v>
      </c>
      <c r="L1272" s="2">
        <v>43535.58016203704</v>
      </c>
      <c r="M1272" s="1">
        <f>_xlfn.DAYS(Table1[[#This Row],[actual_delivery_date]],Table1[[#This Row],[dispatch_date]])</f>
        <v>4</v>
      </c>
      <c r="N1272">
        <v>0</v>
      </c>
      <c r="O1272">
        <f>Table1[[#This Row],[transit_storage_cost]] * (1-'What -if Analysis'!$D$26)</f>
        <v>0</v>
      </c>
      <c r="P1272">
        <v>122</v>
      </c>
      <c r="Q1272">
        <v>2881.2380141581421</v>
      </c>
    </row>
    <row r="1273" spans="1:17" x14ac:dyDescent="0.3">
      <c r="A1273">
        <v>385097</v>
      </c>
      <c r="B1273" s="1" t="s">
        <v>39</v>
      </c>
      <c r="C1273" s="1" t="s">
        <v>16</v>
      </c>
      <c r="D1273" s="1" t="s">
        <v>17</v>
      </c>
      <c r="E1273" s="1" t="s">
        <v>18</v>
      </c>
      <c r="F1273" s="1" t="s">
        <v>29</v>
      </c>
      <c r="G1273" s="1" t="s">
        <v>20</v>
      </c>
      <c r="H1273" t="s">
        <v>30</v>
      </c>
      <c r="I1273" s="1" t="s">
        <v>22</v>
      </c>
      <c r="J1273" s="2">
        <v>43526.582928240743</v>
      </c>
      <c r="K1273" s="2">
        <v>43533.582928240743</v>
      </c>
      <c r="L1273" s="2">
        <v>43530.582928240743</v>
      </c>
      <c r="M1273" s="1">
        <f>_xlfn.DAYS(Table1[[#This Row],[actual_delivery_date]],Table1[[#This Row],[dispatch_date]])</f>
        <v>7</v>
      </c>
      <c r="N1273">
        <v>29</v>
      </c>
      <c r="O1273">
        <f>Table1[[#This Row],[transit_storage_cost]] * (1-'What -if Analysis'!$D$26)</f>
        <v>29</v>
      </c>
      <c r="P1273">
        <v>115</v>
      </c>
      <c r="Q1273">
        <v>1246.8149037138298</v>
      </c>
    </row>
    <row r="1274" spans="1:17" x14ac:dyDescent="0.3">
      <c r="A1274">
        <v>381073</v>
      </c>
      <c r="B1274" s="1" t="s">
        <v>38</v>
      </c>
      <c r="C1274" s="1" t="s">
        <v>23</v>
      </c>
      <c r="D1274" s="1" t="s">
        <v>16</v>
      </c>
      <c r="E1274" s="1" t="s">
        <v>27</v>
      </c>
      <c r="F1274" s="1" t="s">
        <v>19</v>
      </c>
      <c r="G1274" s="1" t="s">
        <v>20</v>
      </c>
      <c r="H1274" t="s">
        <v>34</v>
      </c>
      <c r="I1274" s="1" t="s">
        <v>22</v>
      </c>
      <c r="J1274" s="2">
        <v>43527.589745370373</v>
      </c>
      <c r="K1274" s="2">
        <v>43533.589745370373</v>
      </c>
      <c r="L1274" s="2">
        <v>43533.589745370373</v>
      </c>
      <c r="M1274" s="1">
        <f>_xlfn.DAYS(Table1[[#This Row],[actual_delivery_date]],Table1[[#This Row],[dispatch_date]])</f>
        <v>6</v>
      </c>
      <c r="N1274">
        <v>69</v>
      </c>
      <c r="O1274">
        <f>Table1[[#This Row],[transit_storage_cost]] * (1-'What -if Analysis'!$D$26)</f>
        <v>69</v>
      </c>
      <c r="P1274">
        <v>106</v>
      </c>
      <c r="Q1274">
        <v>1372.8621703155461</v>
      </c>
    </row>
    <row r="1275" spans="1:17" x14ac:dyDescent="0.3">
      <c r="A1275">
        <v>198797</v>
      </c>
      <c r="B1275" s="1" t="s">
        <v>40</v>
      </c>
      <c r="C1275" s="1" t="s">
        <v>16</v>
      </c>
      <c r="D1275" s="1" t="s">
        <v>16</v>
      </c>
      <c r="E1275" s="1" t="s">
        <v>27</v>
      </c>
      <c r="F1275" s="1" t="s">
        <v>29</v>
      </c>
      <c r="G1275" s="1" t="s">
        <v>20</v>
      </c>
      <c r="H1275" t="s">
        <v>30</v>
      </c>
      <c r="I1275" s="1" t="s">
        <v>22</v>
      </c>
      <c r="J1275" s="2">
        <v>43526.592199074075</v>
      </c>
      <c r="K1275" s="2">
        <v>43533.592199074075</v>
      </c>
      <c r="L1275" s="2">
        <v>43529.592199074075</v>
      </c>
      <c r="M1275" s="1">
        <f>_xlfn.DAYS(Table1[[#This Row],[actual_delivery_date]],Table1[[#This Row],[dispatch_date]])</f>
        <v>7</v>
      </c>
      <c r="N1275">
        <v>0</v>
      </c>
      <c r="O1275">
        <f>Table1[[#This Row],[transit_storage_cost]] * (1-'What -if Analysis'!$D$26)</f>
        <v>0</v>
      </c>
      <c r="P1275">
        <v>126</v>
      </c>
      <c r="Q1275">
        <v>2105.2761506183351</v>
      </c>
    </row>
    <row r="1276" spans="1:17" x14ac:dyDescent="0.3">
      <c r="A1276">
        <v>558195</v>
      </c>
      <c r="B1276" s="1" t="s">
        <v>37</v>
      </c>
      <c r="C1276" s="1" t="s">
        <v>16</v>
      </c>
      <c r="D1276" s="1" t="s">
        <v>32</v>
      </c>
      <c r="E1276" s="1" t="s">
        <v>33</v>
      </c>
      <c r="F1276" s="1" t="s">
        <v>29</v>
      </c>
      <c r="G1276" s="1" t="s">
        <v>20</v>
      </c>
      <c r="H1276" t="s">
        <v>30</v>
      </c>
      <c r="I1276" s="1" t="s">
        <v>26</v>
      </c>
      <c r="J1276" s="2">
        <v>43527.602303240739</v>
      </c>
      <c r="K1276" s="2">
        <v>43533.602303240739</v>
      </c>
      <c r="L1276" s="2">
        <v>43531.602303240739</v>
      </c>
      <c r="M1276" s="1">
        <f>_xlfn.DAYS(Table1[[#This Row],[actual_delivery_date]],Table1[[#This Row],[dispatch_date]])</f>
        <v>6</v>
      </c>
      <c r="N1276">
        <v>48</v>
      </c>
      <c r="O1276">
        <f>Table1[[#This Row],[transit_storage_cost]] * (1-'What -if Analysis'!$D$26)</f>
        <v>48</v>
      </c>
      <c r="P1276">
        <v>110</v>
      </c>
      <c r="Q1276">
        <v>393.73</v>
      </c>
    </row>
    <row r="1277" spans="1:17" x14ac:dyDescent="0.3">
      <c r="A1277">
        <v>536120</v>
      </c>
      <c r="B1277" s="1" t="s">
        <v>40</v>
      </c>
      <c r="C1277" s="1" t="s">
        <v>16</v>
      </c>
      <c r="D1277" s="1" t="s">
        <v>17</v>
      </c>
      <c r="E1277" s="1" t="s">
        <v>18</v>
      </c>
      <c r="F1277" s="1" t="s">
        <v>19</v>
      </c>
      <c r="G1277" s="1" t="s">
        <v>20</v>
      </c>
      <c r="H1277" t="s">
        <v>21</v>
      </c>
      <c r="I1277" s="1" t="s">
        <v>22</v>
      </c>
      <c r="J1277" s="2">
        <v>43528.60670138889</v>
      </c>
      <c r="K1277" s="2">
        <v>43533.60670138889</v>
      </c>
      <c r="L1277" s="2">
        <v>43535.60670138889</v>
      </c>
      <c r="M1277" s="1">
        <f>_xlfn.DAYS(Table1[[#This Row],[actual_delivery_date]],Table1[[#This Row],[dispatch_date]])</f>
        <v>5</v>
      </c>
      <c r="N1277">
        <v>32</v>
      </c>
      <c r="O1277">
        <f>Table1[[#This Row],[transit_storage_cost]] * (1-'What -if Analysis'!$D$26)</f>
        <v>32</v>
      </c>
      <c r="P1277">
        <v>111</v>
      </c>
      <c r="Q1277">
        <v>3041.2588859063799</v>
      </c>
    </row>
    <row r="1278" spans="1:17" x14ac:dyDescent="0.3">
      <c r="A1278">
        <v>192708</v>
      </c>
      <c r="B1278" s="1" t="s">
        <v>38</v>
      </c>
      <c r="C1278" s="1" t="s">
        <v>23</v>
      </c>
      <c r="D1278" s="1" t="s">
        <v>32</v>
      </c>
      <c r="E1278" s="1" t="s">
        <v>33</v>
      </c>
      <c r="F1278" s="1" t="s">
        <v>19</v>
      </c>
      <c r="G1278" s="1" t="s">
        <v>20</v>
      </c>
      <c r="H1278" t="s">
        <v>21</v>
      </c>
      <c r="I1278" s="1" t="s">
        <v>26</v>
      </c>
      <c r="J1278" s="2">
        <v>43530.608090277776</v>
      </c>
      <c r="K1278" s="2">
        <v>43533.608090277776</v>
      </c>
      <c r="L1278" s="2">
        <v>43535.608090277776</v>
      </c>
      <c r="M1278" s="1">
        <f>_xlfn.DAYS(Table1[[#This Row],[actual_delivery_date]],Table1[[#This Row],[dispatch_date]])</f>
        <v>3</v>
      </c>
      <c r="N1278">
        <v>70</v>
      </c>
      <c r="O1278">
        <f>Table1[[#This Row],[transit_storage_cost]] * (1-'What -if Analysis'!$D$26)</f>
        <v>70</v>
      </c>
      <c r="P1278">
        <v>93</v>
      </c>
      <c r="Q1278">
        <v>1621</v>
      </c>
    </row>
    <row r="1279" spans="1:17" x14ac:dyDescent="0.3">
      <c r="A1279">
        <v>566750</v>
      </c>
      <c r="B1279" s="1" t="s">
        <v>37</v>
      </c>
      <c r="C1279" s="1" t="s">
        <v>23</v>
      </c>
      <c r="D1279" s="1" t="s">
        <v>16</v>
      </c>
      <c r="E1279" s="1" t="s">
        <v>27</v>
      </c>
      <c r="F1279" s="1" t="s">
        <v>31</v>
      </c>
      <c r="G1279" s="1" t="s">
        <v>20</v>
      </c>
      <c r="H1279" t="s">
        <v>21</v>
      </c>
      <c r="I1279" s="1" t="s">
        <v>22</v>
      </c>
      <c r="J1279" s="2">
        <v>43529.617546296293</v>
      </c>
      <c r="K1279" s="2">
        <v>43533.617546296293</v>
      </c>
      <c r="L1279" s="2">
        <v>43536.617546296293</v>
      </c>
      <c r="M1279" s="1">
        <f>_xlfn.DAYS(Table1[[#This Row],[actual_delivery_date]],Table1[[#This Row],[dispatch_date]])</f>
        <v>4</v>
      </c>
      <c r="N1279">
        <v>30</v>
      </c>
      <c r="O1279">
        <f>Table1[[#This Row],[transit_storage_cost]] * (1-'What -if Analysis'!$D$26)</f>
        <v>30</v>
      </c>
      <c r="P1279">
        <v>121</v>
      </c>
      <c r="Q1279">
        <v>3527.7019029089652</v>
      </c>
    </row>
    <row r="1280" spans="1:17" x14ac:dyDescent="0.3">
      <c r="A1280">
        <v>762747</v>
      </c>
      <c r="B1280" s="1" t="s">
        <v>38</v>
      </c>
      <c r="C1280" s="1" t="s">
        <v>23</v>
      </c>
      <c r="D1280" s="1" t="s">
        <v>16</v>
      </c>
      <c r="E1280" s="1" t="s">
        <v>27</v>
      </c>
      <c r="F1280" s="1" t="s">
        <v>29</v>
      </c>
      <c r="G1280" s="1" t="s">
        <v>20</v>
      </c>
      <c r="H1280" t="s">
        <v>30</v>
      </c>
      <c r="I1280" s="1" t="s">
        <v>26</v>
      </c>
      <c r="J1280" s="2">
        <v>43530.618217592593</v>
      </c>
      <c r="K1280" s="2">
        <v>43533.618217592593</v>
      </c>
      <c r="L1280" s="2">
        <v>43535.618217592593</v>
      </c>
      <c r="M1280" s="1">
        <f>_xlfn.DAYS(Table1[[#This Row],[actual_delivery_date]],Table1[[#This Row],[dispatch_date]])</f>
        <v>3</v>
      </c>
      <c r="N1280">
        <v>38</v>
      </c>
      <c r="O1280">
        <f>Table1[[#This Row],[transit_storage_cost]] * (1-'What -if Analysis'!$D$26)</f>
        <v>38</v>
      </c>
      <c r="P1280">
        <v>120</v>
      </c>
      <c r="Q1280">
        <v>2046.1365183941543</v>
      </c>
    </row>
    <row r="1281" spans="1:17" x14ac:dyDescent="0.3">
      <c r="A1281">
        <v>571843</v>
      </c>
      <c r="B1281" s="1" t="s">
        <v>39</v>
      </c>
      <c r="C1281" s="1" t="s">
        <v>23</v>
      </c>
      <c r="D1281" s="1" t="s">
        <v>32</v>
      </c>
      <c r="E1281" s="1" t="s">
        <v>33</v>
      </c>
      <c r="F1281" s="1" t="s">
        <v>29</v>
      </c>
      <c r="G1281" s="1" t="s">
        <v>20</v>
      </c>
      <c r="H1281" t="s">
        <v>30</v>
      </c>
      <c r="I1281" s="1" t="s">
        <v>22</v>
      </c>
      <c r="J1281" s="2">
        <v>43531.623611111114</v>
      </c>
      <c r="K1281" s="2">
        <v>43533.623611111114</v>
      </c>
      <c r="L1281" s="2">
        <v>43536.623611111114</v>
      </c>
      <c r="M1281" s="1">
        <f>_xlfn.DAYS(Table1[[#This Row],[actual_delivery_date]],Table1[[#This Row],[dispatch_date]])</f>
        <v>2</v>
      </c>
      <c r="N1281">
        <v>32</v>
      </c>
      <c r="O1281">
        <f>Table1[[#This Row],[transit_storage_cost]] * (1-'What -if Analysis'!$D$26)</f>
        <v>32</v>
      </c>
      <c r="P1281">
        <v>113</v>
      </c>
      <c r="Q1281">
        <v>2521.7803064290251</v>
      </c>
    </row>
    <row r="1282" spans="1:17" x14ac:dyDescent="0.3">
      <c r="A1282">
        <v>331969</v>
      </c>
      <c r="B1282" s="1" t="s">
        <v>37</v>
      </c>
      <c r="C1282" s="1" t="s">
        <v>16</v>
      </c>
      <c r="D1282" s="1" t="s">
        <v>16</v>
      </c>
      <c r="E1282" s="1" t="s">
        <v>27</v>
      </c>
      <c r="F1282" s="1" t="s">
        <v>29</v>
      </c>
      <c r="G1282" s="1" t="s">
        <v>20</v>
      </c>
      <c r="H1282" t="s">
        <v>30</v>
      </c>
      <c r="I1282" s="1" t="s">
        <v>22</v>
      </c>
      <c r="J1282" s="2">
        <v>43526.626898148148</v>
      </c>
      <c r="K1282" s="2">
        <v>43533.626898148148</v>
      </c>
      <c r="L1282" s="2">
        <v>43531.626898148148</v>
      </c>
      <c r="M1282" s="1">
        <f>_xlfn.DAYS(Table1[[#This Row],[actual_delivery_date]],Table1[[#This Row],[dispatch_date]])</f>
        <v>7</v>
      </c>
      <c r="N1282">
        <v>0</v>
      </c>
      <c r="O1282">
        <f>Table1[[#This Row],[transit_storage_cost]] * (1-'What -if Analysis'!$D$26)</f>
        <v>0</v>
      </c>
      <c r="P1282">
        <v>121</v>
      </c>
      <c r="Q1282">
        <v>509.86313735958817</v>
      </c>
    </row>
    <row r="1283" spans="1:17" x14ac:dyDescent="0.3">
      <c r="A1283">
        <v>509663</v>
      </c>
      <c r="B1283" s="1" t="s">
        <v>38</v>
      </c>
      <c r="C1283" s="1" t="s">
        <v>16</v>
      </c>
      <c r="D1283" s="1" t="s">
        <v>24</v>
      </c>
      <c r="E1283" s="1" t="s">
        <v>25</v>
      </c>
      <c r="F1283" s="1" t="s">
        <v>29</v>
      </c>
      <c r="G1283" s="1" t="s">
        <v>20</v>
      </c>
      <c r="H1283" t="s">
        <v>34</v>
      </c>
      <c r="I1283" s="1" t="s">
        <v>22</v>
      </c>
      <c r="J1283" s="2">
        <v>43531.63008101852</v>
      </c>
      <c r="K1283" s="2">
        <v>43533.63008101852</v>
      </c>
      <c r="L1283" s="2">
        <v>43534.63008101852</v>
      </c>
      <c r="M1283" s="1">
        <f>_xlfn.DAYS(Table1[[#This Row],[actual_delivery_date]],Table1[[#This Row],[dispatch_date]])</f>
        <v>2</v>
      </c>
      <c r="N1283">
        <v>42</v>
      </c>
      <c r="O1283">
        <f>Table1[[#This Row],[transit_storage_cost]] * (1-'What -if Analysis'!$D$26)</f>
        <v>42</v>
      </c>
      <c r="P1283">
        <v>128</v>
      </c>
      <c r="Q1283">
        <v>530.19257370722994</v>
      </c>
    </row>
    <row r="1284" spans="1:17" x14ac:dyDescent="0.3">
      <c r="A1284">
        <v>861021</v>
      </c>
      <c r="B1284" s="1" t="s">
        <v>38</v>
      </c>
      <c r="C1284" s="1" t="s">
        <v>16</v>
      </c>
      <c r="D1284" s="1" t="s">
        <v>16</v>
      </c>
      <c r="E1284" s="1" t="s">
        <v>27</v>
      </c>
      <c r="F1284" s="1" t="s">
        <v>29</v>
      </c>
      <c r="G1284" s="1" t="s">
        <v>20</v>
      </c>
      <c r="H1284" t="s">
        <v>34</v>
      </c>
      <c r="I1284" s="1" t="s">
        <v>26</v>
      </c>
      <c r="J1284" s="2">
        <v>43528.632835648146</v>
      </c>
      <c r="K1284" s="2">
        <v>43533.632835648146</v>
      </c>
      <c r="L1284" s="2">
        <v>43535.632835648146</v>
      </c>
      <c r="M1284" s="1">
        <f>_xlfn.DAYS(Table1[[#This Row],[actual_delivery_date]],Table1[[#This Row],[dispatch_date]])</f>
        <v>5</v>
      </c>
      <c r="N1284">
        <v>0</v>
      </c>
      <c r="O1284">
        <f>Table1[[#This Row],[transit_storage_cost]] * (1-'What -if Analysis'!$D$26)</f>
        <v>0</v>
      </c>
      <c r="P1284">
        <v>122</v>
      </c>
      <c r="Q1284">
        <v>832.05</v>
      </c>
    </row>
    <row r="1285" spans="1:17" x14ac:dyDescent="0.3">
      <c r="A1285">
        <v>892645</v>
      </c>
      <c r="B1285" s="1" t="s">
        <v>41</v>
      </c>
      <c r="C1285" s="1" t="s">
        <v>23</v>
      </c>
      <c r="D1285" s="1" t="s">
        <v>23</v>
      </c>
      <c r="E1285" s="1" t="s">
        <v>28</v>
      </c>
      <c r="F1285" s="1" t="s">
        <v>29</v>
      </c>
      <c r="G1285" s="1" t="s">
        <v>20</v>
      </c>
      <c r="H1285" t="s">
        <v>30</v>
      </c>
      <c r="I1285" s="1" t="s">
        <v>22</v>
      </c>
      <c r="J1285" s="2">
        <v>43527.637314814812</v>
      </c>
      <c r="K1285" s="2">
        <v>43533.637314814812</v>
      </c>
      <c r="L1285" s="2">
        <v>43531.637314814812</v>
      </c>
      <c r="M1285" s="1">
        <f>_xlfn.DAYS(Table1[[#This Row],[actual_delivery_date]],Table1[[#This Row],[dispatch_date]])</f>
        <v>6</v>
      </c>
      <c r="N1285">
        <v>0</v>
      </c>
      <c r="O1285">
        <f>Table1[[#This Row],[transit_storage_cost]] * (1-'What -if Analysis'!$D$26)</f>
        <v>0</v>
      </c>
      <c r="P1285">
        <v>130</v>
      </c>
      <c r="Q1285">
        <v>971.22182678386162</v>
      </c>
    </row>
    <row r="1286" spans="1:17" x14ac:dyDescent="0.3">
      <c r="A1286">
        <v>769575</v>
      </c>
      <c r="B1286" s="1" t="s">
        <v>40</v>
      </c>
      <c r="C1286" s="1" t="s">
        <v>16</v>
      </c>
      <c r="D1286" s="1" t="s">
        <v>24</v>
      </c>
      <c r="E1286" s="1" t="s">
        <v>25</v>
      </c>
      <c r="F1286" s="1" t="s">
        <v>19</v>
      </c>
      <c r="G1286" s="1" t="s">
        <v>20</v>
      </c>
      <c r="H1286" t="s">
        <v>30</v>
      </c>
      <c r="I1286" s="1" t="s">
        <v>26</v>
      </c>
      <c r="J1286" s="2">
        <v>43527.641041666669</v>
      </c>
      <c r="K1286" s="2">
        <v>43533.641041666669</v>
      </c>
      <c r="L1286" s="2">
        <v>43531.641041666669</v>
      </c>
      <c r="M1286" s="1">
        <f>_xlfn.DAYS(Table1[[#This Row],[actual_delivery_date]],Table1[[#This Row],[dispatch_date]])</f>
        <v>6</v>
      </c>
      <c r="N1286">
        <v>68</v>
      </c>
      <c r="O1286">
        <f>Table1[[#This Row],[transit_storage_cost]] * (1-'What -if Analysis'!$D$26)</f>
        <v>68</v>
      </c>
      <c r="P1286">
        <v>107</v>
      </c>
      <c r="Q1286">
        <v>1853.29</v>
      </c>
    </row>
    <row r="1287" spans="1:17" x14ac:dyDescent="0.3">
      <c r="A1287">
        <v>621272</v>
      </c>
      <c r="B1287" s="1" t="s">
        <v>40</v>
      </c>
      <c r="C1287" s="1" t="s">
        <v>16</v>
      </c>
      <c r="D1287" s="1" t="s">
        <v>17</v>
      </c>
      <c r="E1287" s="1" t="s">
        <v>18</v>
      </c>
      <c r="F1287" s="1" t="s">
        <v>19</v>
      </c>
      <c r="G1287" s="1" t="s">
        <v>20</v>
      </c>
      <c r="H1287" t="s">
        <v>21</v>
      </c>
      <c r="I1287" s="1" t="s">
        <v>22</v>
      </c>
      <c r="J1287" s="2">
        <v>43530.641562500001</v>
      </c>
      <c r="K1287" s="2">
        <v>43533.641562500001</v>
      </c>
      <c r="L1287" s="2">
        <v>43535.641562500001</v>
      </c>
      <c r="M1287" s="1">
        <f>_xlfn.DAYS(Table1[[#This Row],[actual_delivery_date]],Table1[[#This Row],[dispatch_date]])</f>
        <v>3</v>
      </c>
      <c r="N1287">
        <v>46</v>
      </c>
      <c r="O1287">
        <f>Table1[[#This Row],[transit_storage_cost]] * (1-'What -if Analysis'!$D$26)</f>
        <v>46</v>
      </c>
      <c r="P1287">
        <v>113</v>
      </c>
      <c r="Q1287">
        <v>1254.8461153482183</v>
      </c>
    </row>
    <row r="1288" spans="1:17" x14ac:dyDescent="0.3">
      <c r="A1288">
        <v>677301</v>
      </c>
      <c r="B1288" s="1" t="s">
        <v>40</v>
      </c>
      <c r="C1288" s="1" t="s">
        <v>16</v>
      </c>
      <c r="D1288" s="1" t="s">
        <v>32</v>
      </c>
      <c r="E1288" s="1" t="s">
        <v>33</v>
      </c>
      <c r="F1288" s="1" t="s">
        <v>29</v>
      </c>
      <c r="G1288" s="1" t="s">
        <v>20</v>
      </c>
      <c r="H1288" t="s">
        <v>30</v>
      </c>
      <c r="I1288" s="1" t="s">
        <v>26</v>
      </c>
      <c r="J1288" s="2">
        <v>43530.641759259262</v>
      </c>
      <c r="K1288" s="2">
        <v>43533.641759259262</v>
      </c>
      <c r="L1288" s="2">
        <v>43536.641759259262</v>
      </c>
      <c r="M1288" s="1">
        <f>_xlfn.DAYS(Table1[[#This Row],[actual_delivery_date]],Table1[[#This Row],[dispatch_date]])</f>
        <v>3</v>
      </c>
      <c r="N1288">
        <v>35</v>
      </c>
      <c r="O1288">
        <f>Table1[[#This Row],[transit_storage_cost]] * (1-'What -if Analysis'!$D$26)</f>
        <v>35</v>
      </c>
      <c r="P1288">
        <v>108</v>
      </c>
      <c r="Q1288">
        <v>2075.66494641597</v>
      </c>
    </row>
    <row r="1289" spans="1:17" x14ac:dyDescent="0.3">
      <c r="A1289">
        <v>568522</v>
      </c>
      <c r="B1289" s="1" t="s">
        <v>41</v>
      </c>
      <c r="C1289" s="1" t="s">
        <v>23</v>
      </c>
      <c r="D1289" s="1" t="s">
        <v>24</v>
      </c>
      <c r="E1289" s="1" t="s">
        <v>25</v>
      </c>
      <c r="F1289" s="1" t="s">
        <v>31</v>
      </c>
      <c r="G1289" s="1" t="s">
        <v>20</v>
      </c>
      <c r="H1289" t="s">
        <v>21</v>
      </c>
      <c r="I1289" s="1" t="s">
        <v>22</v>
      </c>
      <c r="J1289" s="2">
        <v>43529.642835648148</v>
      </c>
      <c r="K1289" s="2">
        <v>43533.642835648148</v>
      </c>
      <c r="L1289" s="2">
        <v>43532.642835648148</v>
      </c>
      <c r="M1289" s="1">
        <f>_xlfn.DAYS(Table1[[#This Row],[actual_delivery_date]],Table1[[#This Row],[dispatch_date]])</f>
        <v>4</v>
      </c>
      <c r="N1289">
        <v>30</v>
      </c>
      <c r="O1289">
        <f>Table1[[#This Row],[transit_storage_cost]] * (1-'What -if Analysis'!$D$26)</f>
        <v>30</v>
      </c>
      <c r="P1289">
        <v>129</v>
      </c>
      <c r="Q1289">
        <v>1895.3303767160587</v>
      </c>
    </row>
    <row r="1290" spans="1:17" x14ac:dyDescent="0.3">
      <c r="A1290">
        <v>904060</v>
      </c>
      <c r="B1290" s="1" t="s">
        <v>41</v>
      </c>
      <c r="C1290" s="1" t="s">
        <v>23</v>
      </c>
      <c r="D1290" s="1" t="s">
        <v>16</v>
      </c>
      <c r="E1290" s="1" t="s">
        <v>27</v>
      </c>
      <c r="F1290" s="1" t="s">
        <v>19</v>
      </c>
      <c r="G1290" s="1" t="s">
        <v>20</v>
      </c>
      <c r="H1290" t="s">
        <v>21</v>
      </c>
      <c r="I1290" s="1" t="s">
        <v>22</v>
      </c>
      <c r="J1290" s="2">
        <v>43528.652222222219</v>
      </c>
      <c r="K1290" s="2">
        <v>43533.652222222219</v>
      </c>
      <c r="L1290" s="2">
        <v>43534.652222222219</v>
      </c>
      <c r="M1290" s="1">
        <f>_xlfn.DAYS(Table1[[#This Row],[actual_delivery_date]],Table1[[#This Row],[dispatch_date]])</f>
        <v>5</v>
      </c>
      <c r="N1290">
        <v>29</v>
      </c>
      <c r="O1290">
        <f>Table1[[#This Row],[transit_storage_cost]] * (1-'What -if Analysis'!$D$26)</f>
        <v>29</v>
      </c>
      <c r="P1290">
        <v>128</v>
      </c>
      <c r="Q1290">
        <v>2967.7244971395962</v>
      </c>
    </row>
    <row r="1291" spans="1:17" x14ac:dyDescent="0.3">
      <c r="A1291">
        <v>544245</v>
      </c>
      <c r="B1291" s="1" t="s">
        <v>38</v>
      </c>
      <c r="C1291" s="1" t="s">
        <v>23</v>
      </c>
      <c r="D1291" s="1" t="s">
        <v>17</v>
      </c>
      <c r="E1291" s="1" t="s">
        <v>18</v>
      </c>
      <c r="F1291" s="1" t="s">
        <v>29</v>
      </c>
      <c r="G1291" s="1" t="s">
        <v>20</v>
      </c>
      <c r="H1291" t="s">
        <v>30</v>
      </c>
      <c r="I1291" s="1" t="s">
        <v>26</v>
      </c>
      <c r="J1291" s="2">
        <v>43527.657233796293</v>
      </c>
      <c r="K1291" s="2">
        <v>43533.657233796293</v>
      </c>
      <c r="L1291" s="2">
        <v>43533.657233796293</v>
      </c>
      <c r="M1291" s="1">
        <f>_xlfn.DAYS(Table1[[#This Row],[actual_delivery_date]],Table1[[#This Row],[dispatch_date]])</f>
        <v>6</v>
      </c>
      <c r="N1291">
        <v>43</v>
      </c>
      <c r="O1291">
        <f>Table1[[#This Row],[transit_storage_cost]] * (1-'What -if Analysis'!$D$26)</f>
        <v>43</v>
      </c>
      <c r="P1291">
        <v>108</v>
      </c>
      <c r="Q1291">
        <v>2860.12</v>
      </c>
    </row>
    <row r="1292" spans="1:17" x14ac:dyDescent="0.3">
      <c r="A1292">
        <v>385690</v>
      </c>
      <c r="B1292" s="1" t="s">
        <v>37</v>
      </c>
      <c r="C1292" s="1" t="s">
        <v>23</v>
      </c>
      <c r="D1292" s="1" t="s">
        <v>32</v>
      </c>
      <c r="E1292" s="1" t="s">
        <v>33</v>
      </c>
      <c r="F1292" s="1" t="s">
        <v>31</v>
      </c>
      <c r="G1292" s="1" t="s">
        <v>20</v>
      </c>
      <c r="H1292" t="s">
        <v>21</v>
      </c>
      <c r="I1292" s="1" t="s">
        <v>22</v>
      </c>
      <c r="J1292" s="2">
        <v>43530.663113425922</v>
      </c>
      <c r="K1292" s="2">
        <v>43533.663113425922</v>
      </c>
      <c r="L1292" s="2">
        <v>43537.663113425922</v>
      </c>
      <c r="M1292" s="1">
        <f>_xlfn.DAYS(Table1[[#This Row],[actual_delivery_date]],Table1[[#This Row],[dispatch_date]])</f>
        <v>3</v>
      </c>
      <c r="N1292">
        <v>33</v>
      </c>
      <c r="O1292">
        <f>Table1[[#This Row],[transit_storage_cost]] * (1-'What -if Analysis'!$D$26)</f>
        <v>33</v>
      </c>
      <c r="P1292">
        <v>112</v>
      </c>
      <c r="Q1292">
        <v>3039.5435206115912</v>
      </c>
    </row>
    <row r="1293" spans="1:17" x14ac:dyDescent="0.3">
      <c r="A1293">
        <v>838788</v>
      </c>
      <c r="B1293" s="1" t="s">
        <v>37</v>
      </c>
      <c r="C1293" s="1" t="s">
        <v>16</v>
      </c>
      <c r="D1293" s="1" t="s">
        <v>16</v>
      </c>
      <c r="E1293" s="1" t="s">
        <v>27</v>
      </c>
      <c r="F1293" s="1" t="s">
        <v>19</v>
      </c>
      <c r="G1293" s="1" t="s">
        <v>20</v>
      </c>
      <c r="H1293" t="s">
        <v>21</v>
      </c>
      <c r="I1293" s="1" t="s">
        <v>26</v>
      </c>
      <c r="J1293" s="2">
        <v>43533.665659722225</v>
      </c>
      <c r="K1293" s="2">
        <v>43533.665659722225</v>
      </c>
      <c r="L1293" s="2">
        <v>43539.665659722225</v>
      </c>
      <c r="M1293" s="1">
        <f>_xlfn.DAYS(Table1[[#This Row],[actual_delivery_date]],Table1[[#This Row],[dispatch_date]])</f>
        <v>0</v>
      </c>
      <c r="N1293">
        <v>0</v>
      </c>
      <c r="O1293">
        <f>Table1[[#This Row],[transit_storage_cost]] * (1-'What -if Analysis'!$D$26)</f>
        <v>0</v>
      </c>
      <c r="P1293">
        <v>106</v>
      </c>
      <c r="Q1293">
        <v>1239.8447573285523</v>
      </c>
    </row>
    <row r="1294" spans="1:17" x14ac:dyDescent="0.3">
      <c r="A1294">
        <v>852773</v>
      </c>
      <c r="B1294" s="1" t="s">
        <v>37</v>
      </c>
      <c r="C1294" s="1" t="s">
        <v>16</v>
      </c>
      <c r="D1294" s="1" t="s">
        <v>24</v>
      </c>
      <c r="E1294" s="1" t="s">
        <v>25</v>
      </c>
      <c r="F1294" s="1" t="s">
        <v>29</v>
      </c>
      <c r="G1294" s="1" t="s">
        <v>20</v>
      </c>
      <c r="H1294" t="s">
        <v>30</v>
      </c>
      <c r="I1294" s="1" t="s">
        <v>22</v>
      </c>
      <c r="J1294" s="2">
        <v>43531.669108796297</v>
      </c>
      <c r="K1294" s="2">
        <v>43533.669108796297</v>
      </c>
      <c r="L1294" s="2">
        <v>43535.669108796297</v>
      </c>
      <c r="M1294" s="1">
        <f>_xlfn.DAYS(Table1[[#This Row],[actual_delivery_date]],Table1[[#This Row],[dispatch_date]])</f>
        <v>2</v>
      </c>
      <c r="N1294">
        <v>27</v>
      </c>
      <c r="O1294">
        <f>Table1[[#This Row],[transit_storage_cost]] * (1-'What -if Analysis'!$D$26)</f>
        <v>27</v>
      </c>
      <c r="P1294">
        <v>123</v>
      </c>
      <c r="Q1294">
        <v>1261</v>
      </c>
    </row>
    <row r="1295" spans="1:17" x14ac:dyDescent="0.3">
      <c r="A1295">
        <v>674736</v>
      </c>
      <c r="B1295" s="1" t="s">
        <v>39</v>
      </c>
      <c r="C1295" s="1" t="s">
        <v>23</v>
      </c>
      <c r="D1295" s="1" t="s">
        <v>24</v>
      </c>
      <c r="E1295" s="1" t="s">
        <v>25</v>
      </c>
      <c r="F1295" s="1" t="s">
        <v>19</v>
      </c>
      <c r="G1295" s="1" t="s">
        <v>20</v>
      </c>
      <c r="H1295" t="s">
        <v>21</v>
      </c>
      <c r="I1295" s="1" t="s">
        <v>26</v>
      </c>
      <c r="J1295" s="2">
        <v>43527.67328703704</v>
      </c>
      <c r="K1295" s="2">
        <v>43533.67328703704</v>
      </c>
      <c r="L1295" s="2">
        <v>43530.67328703704</v>
      </c>
      <c r="M1295" s="1">
        <f>_xlfn.DAYS(Table1[[#This Row],[actual_delivery_date]],Table1[[#This Row],[dispatch_date]])</f>
        <v>6</v>
      </c>
      <c r="N1295">
        <v>43</v>
      </c>
      <c r="O1295">
        <f>Table1[[#This Row],[transit_storage_cost]] * (1-'What -if Analysis'!$D$26)</f>
        <v>43</v>
      </c>
      <c r="P1295">
        <v>123</v>
      </c>
      <c r="Q1295">
        <v>1774.08</v>
      </c>
    </row>
    <row r="1296" spans="1:17" x14ac:dyDescent="0.3">
      <c r="A1296">
        <v>114534</v>
      </c>
      <c r="B1296" s="1" t="s">
        <v>37</v>
      </c>
      <c r="C1296" s="1" t="s">
        <v>16</v>
      </c>
      <c r="D1296" s="1" t="s">
        <v>23</v>
      </c>
      <c r="E1296" s="1" t="s">
        <v>28</v>
      </c>
      <c r="F1296" s="1" t="s">
        <v>19</v>
      </c>
      <c r="G1296" s="1" t="s">
        <v>20</v>
      </c>
      <c r="H1296" t="s">
        <v>21</v>
      </c>
      <c r="I1296" s="1" t="s">
        <v>26</v>
      </c>
      <c r="J1296" s="2">
        <v>43530.676099537035</v>
      </c>
      <c r="K1296" s="2">
        <v>43533.676099537035</v>
      </c>
      <c r="L1296" s="2">
        <v>43537.676099537035</v>
      </c>
      <c r="M1296" s="1">
        <f>_xlfn.DAYS(Table1[[#This Row],[actual_delivery_date]],Table1[[#This Row],[dispatch_date]])</f>
        <v>3</v>
      </c>
      <c r="N1296">
        <v>72</v>
      </c>
      <c r="O1296">
        <f>Table1[[#This Row],[transit_storage_cost]] * (1-'What -if Analysis'!$D$26)</f>
        <v>72</v>
      </c>
      <c r="P1296">
        <v>109</v>
      </c>
      <c r="Q1296">
        <v>2487.7925090240929</v>
      </c>
    </row>
    <row r="1297" spans="1:17" x14ac:dyDescent="0.3">
      <c r="A1297">
        <v>815660</v>
      </c>
      <c r="B1297" s="1" t="s">
        <v>37</v>
      </c>
      <c r="C1297" s="1" t="s">
        <v>16</v>
      </c>
      <c r="D1297" s="1" t="s">
        <v>16</v>
      </c>
      <c r="E1297" s="1" t="s">
        <v>27</v>
      </c>
      <c r="F1297" s="1" t="s">
        <v>19</v>
      </c>
      <c r="G1297" s="1" t="s">
        <v>20</v>
      </c>
      <c r="H1297" t="s">
        <v>21</v>
      </c>
      <c r="I1297" s="1" t="s">
        <v>22</v>
      </c>
      <c r="J1297" s="2">
        <v>43528.678599537037</v>
      </c>
      <c r="K1297" s="2">
        <v>43533.678599537037</v>
      </c>
      <c r="L1297" s="2">
        <v>43534.678599537037</v>
      </c>
      <c r="M1297" s="1">
        <f>_xlfn.DAYS(Table1[[#This Row],[actual_delivery_date]],Table1[[#This Row],[dispatch_date]])</f>
        <v>5</v>
      </c>
      <c r="N1297">
        <v>0</v>
      </c>
      <c r="O1297">
        <f>Table1[[#This Row],[transit_storage_cost]] * (1-'What -if Analysis'!$D$26)</f>
        <v>0</v>
      </c>
      <c r="P1297">
        <v>124</v>
      </c>
      <c r="Q1297">
        <v>3263.6169458858153</v>
      </c>
    </row>
    <row r="1298" spans="1:17" x14ac:dyDescent="0.3">
      <c r="A1298">
        <v>56795</v>
      </c>
      <c r="B1298" s="1" t="s">
        <v>41</v>
      </c>
      <c r="C1298" s="1" t="s">
        <v>23</v>
      </c>
      <c r="D1298" s="1" t="s">
        <v>23</v>
      </c>
      <c r="E1298" s="1" t="s">
        <v>28</v>
      </c>
      <c r="F1298" s="1" t="s">
        <v>19</v>
      </c>
      <c r="G1298" s="1" t="s">
        <v>20</v>
      </c>
      <c r="H1298" t="s">
        <v>30</v>
      </c>
      <c r="I1298" s="1" t="s">
        <v>22</v>
      </c>
      <c r="J1298" s="2">
        <v>43533.678923611114</v>
      </c>
      <c r="K1298" s="2">
        <v>43533.678923611114</v>
      </c>
      <c r="L1298" s="2">
        <v>43537.678923611114</v>
      </c>
      <c r="M1298" s="1">
        <f>_xlfn.DAYS(Table1[[#This Row],[actual_delivery_date]],Table1[[#This Row],[dispatch_date]])</f>
        <v>0</v>
      </c>
      <c r="N1298">
        <v>0</v>
      </c>
      <c r="O1298">
        <f>Table1[[#This Row],[transit_storage_cost]] * (1-'What -if Analysis'!$D$26)</f>
        <v>0</v>
      </c>
      <c r="P1298">
        <v>101</v>
      </c>
      <c r="Q1298">
        <v>3528</v>
      </c>
    </row>
    <row r="1299" spans="1:17" x14ac:dyDescent="0.3">
      <c r="A1299">
        <v>751062</v>
      </c>
      <c r="B1299" s="1" t="s">
        <v>37</v>
      </c>
      <c r="C1299" s="1" t="s">
        <v>23</v>
      </c>
      <c r="D1299" s="1" t="s">
        <v>17</v>
      </c>
      <c r="E1299" s="1" t="s">
        <v>18</v>
      </c>
      <c r="F1299" s="1" t="s">
        <v>31</v>
      </c>
      <c r="G1299" s="1" t="s">
        <v>20</v>
      </c>
      <c r="H1299" t="s">
        <v>21</v>
      </c>
      <c r="I1299" s="1" t="s">
        <v>26</v>
      </c>
      <c r="J1299" s="2">
        <v>43526.680393518516</v>
      </c>
      <c r="K1299" s="2">
        <v>43533.680393518516</v>
      </c>
      <c r="L1299" s="2">
        <v>43529.680393518516</v>
      </c>
      <c r="M1299" s="1">
        <f>_xlfn.DAYS(Table1[[#This Row],[actual_delivery_date]],Table1[[#This Row],[dispatch_date]])</f>
        <v>7</v>
      </c>
      <c r="N1299">
        <v>48</v>
      </c>
      <c r="O1299">
        <f>Table1[[#This Row],[transit_storage_cost]] * (1-'What -if Analysis'!$D$26)</f>
        <v>48</v>
      </c>
      <c r="P1299">
        <v>109</v>
      </c>
      <c r="Q1299">
        <v>1123.24</v>
      </c>
    </row>
    <row r="1300" spans="1:17" x14ac:dyDescent="0.3">
      <c r="A1300">
        <v>723607</v>
      </c>
      <c r="B1300" s="1" t="s">
        <v>39</v>
      </c>
      <c r="C1300" s="1" t="s">
        <v>23</v>
      </c>
      <c r="D1300" s="1" t="s">
        <v>17</v>
      </c>
      <c r="E1300" s="1" t="s">
        <v>18</v>
      </c>
      <c r="F1300" s="1" t="s">
        <v>29</v>
      </c>
      <c r="G1300" s="1" t="s">
        <v>20</v>
      </c>
      <c r="H1300" t="s">
        <v>30</v>
      </c>
      <c r="I1300" s="1" t="s">
        <v>22</v>
      </c>
      <c r="J1300" s="2">
        <v>43527.685532407406</v>
      </c>
      <c r="K1300" s="2">
        <v>43533.685532407406</v>
      </c>
      <c r="L1300" s="2">
        <v>43533.685532407406</v>
      </c>
      <c r="M1300" s="1">
        <f>_xlfn.DAYS(Table1[[#This Row],[actual_delivery_date]],Table1[[#This Row],[dispatch_date]])</f>
        <v>6</v>
      </c>
      <c r="N1300">
        <v>50</v>
      </c>
      <c r="O1300">
        <f>Table1[[#This Row],[transit_storage_cost]] * (1-'What -if Analysis'!$D$26)</f>
        <v>50</v>
      </c>
      <c r="P1300">
        <v>108</v>
      </c>
      <c r="Q1300">
        <v>3139.4433316765826</v>
      </c>
    </row>
    <row r="1301" spans="1:17" x14ac:dyDescent="0.3">
      <c r="A1301">
        <v>586826</v>
      </c>
      <c r="B1301" s="1" t="s">
        <v>37</v>
      </c>
      <c r="C1301" s="1" t="s">
        <v>16</v>
      </c>
      <c r="D1301" s="1" t="s">
        <v>23</v>
      </c>
      <c r="E1301" s="1" t="s">
        <v>28</v>
      </c>
      <c r="F1301" s="1" t="s">
        <v>31</v>
      </c>
      <c r="G1301" s="1" t="s">
        <v>20</v>
      </c>
      <c r="H1301" t="s">
        <v>21</v>
      </c>
      <c r="I1301" s="1" t="s">
        <v>22</v>
      </c>
      <c r="J1301" s="2">
        <v>43529.689085648148</v>
      </c>
      <c r="K1301" s="2">
        <v>43533.689085648148</v>
      </c>
      <c r="L1301" s="2">
        <v>43534.689085648148</v>
      </c>
      <c r="M1301" s="1">
        <f>_xlfn.DAYS(Table1[[#This Row],[actual_delivery_date]],Table1[[#This Row],[dispatch_date]])</f>
        <v>4</v>
      </c>
      <c r="N1301">
        <v>37</v>
      </c>
      <c r="O1301">
        <f>Table1[[#This Row],[transit_storage_cost]] * (1-'What -if Analysis'!$D$26)</f>
        <v>37</v>
      </c>
      <c r="P1301">
        <v>121</v>
      </c>
      <c r="Q1301">
        <v>1916.2654770454235</v>
      </c>
    </row>
    <row r="1302" spans="1:17" x14ac:dyDescent="0.3">
      <c r="A1302">
        <v>385142</v>
      </c>
      <c r="B1302" s="1" t="s">
        <v>38</v>
      </c>
      <c r="C1302" s="1" t="s">
        <v>23</v>
      </c>
      <c r="D1302" s="1" t="s">
        <v>16</v>
      </c>
      <c r="E1302" s="1" t="s">
        <v>27</v>
      </c>
      <c r="F1302" s="1" t="s">
        <v>19</v>
      </c>
      <c r="G1302" s="1" t="s">
        <v>20</v>
      </c>
      <c r="H1302" t="s">
        <v>21</v>
      </c>
      <c r="I1302" s="1" t="s">
        <v>22</v>
      </c>
      <c r="J1302" s="2">
        <v>43531.696342592593</v>
      </c>
      <c r="K1302" s="2">
        <v>43533.696342592593</v>
      </c>
      <c r="L1302" s="2">
        <v>43537.696342592593</v>
      </c>
      <c r="M1302" s="1">
        <f>_xlfn.DAYS(Table1[[#This Row],[actual_delivery_date]],Table1[[#This Row],[dispatch_date]])</f>
        <v>2</v>
      </c>
      <c r="N1302">
        <v>79</v>
      </c>
      <c r="O1302">
        <f>Table1[[#This Row],[transit_storage_cost]] * (1-'What -if Analysis'!$D$26)</f>
        <v>79</v>
      </c>
      <c r="P1302">
        <v>108</v>
      </c>
      <c r="Q1302">
        <v>3591.9579053355224</v>
      </c>
    </row>
    <row r="1303" spans="1:17" x14ac:dyDescent="0.3">
      <c r="A1303">
        <v>139553</v>
      </c>
      <c r="B1303" s="1" t="s">
        <v>37</v>
      </c>
      <c r="C1303" s="1" t="s">
        <v>16</v>
      </c>
      <c r="D1303" s="1" t="s">
        <v>16</v>
      </c>
      <c r="E1303" s="1" t="s">
        <v>27</v>
      </c>
      <c r="F1303" s="1" t="s">
        <v>29</v>
      </c>
      <c r="G1303" s="1" t="s">
        <v>20</v>
      </c>
      <c r="H1303" t="s">
        <v>30</v>
      </c>
      <c r="I1303" s="1" t="s">
        <v>22</v>
      </c>
      <c r="J1303" s="2">
        <v>43526.703912037039</v>
      </c>
      <c r="K1303" s="2">
        <v>43533.703912037039</v>
      </c>
      <c r="L1303" s="2">
        <v>43532.703912037039</v>
      </c>
      <c r="M1303" s="1">
        <f>_xlfn.DAYS(Table1[[#This Row],[actual_delivery_date]],Table1[[#This Row],[dispatch_date]])</f>
        <v>7</v>
      </c>
      <c r="N1303">
        <v>0</v>
      </c>
      <c r="O1303">
        <f>Table1[[#This Row],[transit_storage_cost]] * (1-'What -if Analysis'!$D$26)</f>
        <v>0</v>
      </c>
      <c r="P1303">
        <v>127</v>
      </c>
      <c r="Q1303">
        <v>397.09271617017424</v>
      </c>
    </row>
    <row r="1304" spans="1:17" x14ac:dyDescent="0.3">
      <c r="A1304">
        <v>449445</v>
      </c>
      <c r="B1304" s="1" t="s">
        <v>41</v>
      </c>
      <c r="C1304" s="1" t="s">
        <v>16</v>
      </c>
      <c r="D1304" s="1" t="s">
        <v>16</v>
      </c>
      <c r="E1304" s="1" t="s">
        <v>27</v>
      </c>
      <c r="F1304" s="1" t="s">
        <v>19</v>
      </c>
      <c r="G1304" s="1" t="s">
        <v>20</v>
      </c>
      <c r="H1304" t="s">
        <v>30</v>
      </c>
      <c r="I1304" s="1" t="s">
        <v>26</v>
      </c>
      <c r="J1304" s="2">
        <v>43528.703923611109</v>
      </c>
      <c r="K1304" s="2">
        <v>43533.703923611109</v>
      </c>
      <c r="L1304" s="2">
        <v>43535.703923611109</v>
      </c>
      <c r="M1304" s="1">
        <f>_xlfn.DAYS(Table1[[#This Row],[actual_delivery_date]],Table1[[#This Row],[dispatch_date]])</f>
        <v>5</v>
      </c>
      <c r="N1304">
        <v>0</v>
      </c>
      <c r="O1304">
        <f>Table1[[#This Row],[transit_storage_cost]] * (1-'What -if Analysis'!$D$26)</f>
        <v>0</v>
      </c>
      <c r="P1304">
        <v>109</v>
      </c>
      <c r="Q1304">
        <v>2732.64</v>
      </c>
    </row>
    <row r="1305" spans="1:17" x14ac:dyDescent="0.3">
      <c r="A1305">
        <v>585346</v>
      </c>
      <c r="B1305" s="1" t="s">
        <v>38</v>
      </c>
      <c r="C1305" s="1" t="s">
        <v>16</v>
      </c>
      <c r="D1305" s="1" t="s">
        <v>23</v>
      </c>
      <c r="E1305" s="1" t="s">
        <v>28</v>
      </c>
      <c r="F1305" s="1" t="s">
        <v>19</v>
      </c>
      <c r="G1305" s="1" t="s">
        <v>20</v>
      </c>
      <c r="H1305" t="s">
        <v>21</v>
      </c>
      <c r="I1305" s="1" t="s">
        <v>22</v>
      </c>
      <c r="J1305" s="2">
        <v>43531.704224537039</v>
      </c>
      <c r="K1305" s="2">
        <v>43533.704224537039</v>
      </c>
      <c r="L1305" s="2">
        <v>43538.704224537039</v>
      </c>
      <c r="M1305" s="1">
        <f>_xlfn.DAYS(Table1[[#This Row],[actual_delivery_date]],Table1[[#This Row],[dispatch_date]])</f>
        <v>2</v>
      </c>
      <c r="N1305">
        <v>78</v>
      </c>
      <c r="O1305">
        <f>Table1[[#This Row],[transit_storage_cost]] * (1-'What -if Analysis'!$D$26)</f>
        <v>78</v>
      </c>
      <c r="P1305">
        <v>102</v>
      </c>
      <c r="Q1305">
        <v>3411.9989413811763</v>
      </c>
    </row>
    <row r="1306" spans="1:17" x14ac:dyDescent="0.3">
      <c r="A1306">
        <v>699368</v>
      </c>
      <c r="B1306" s="1" t="s">
        <v>15</v>
      </c>
      <c r="C1306" s="1" t="s">
        <v>23</v>
      </c>
      <c r="D1306" s="1" t="s">
        <v>16</v>
      </c>
      <c r="E1306" s="1" t="s">
        <v>27</v>
      </c>
      <c r="F1306" s="1" t="s">
        <v>19</v>
      </c>
      <c r="G1306" s="1" t="s">
        <v>20</v>
      </c>
      <c r="H1306" t="s">
        <v>21</v>
      </c>
      <c r="I1306" s="1" t="s">
        <v>22</v>
      </c>
      <c r="J1306" s="2">
        <v>43531.706307870372</v>
      </c>
      <c r="K1306" s="2">
        <v>43533.706307870372</v>
      </c>
      <c r="L1306" s="2">
        <v>43538.706307870372</v>
      </c>
      <c r="M1306" s="1">
        <f>_xlfn.DAYS(Table1[[#This Row],[actual_delivery_date]],Table1[[#This Row],[dispatch_date]])</f>
        <v>2</v>
      </c>
      <c r="N1306">
        <v>41</v>
      </c>
      <c r="O1306">
        <f>Table1[[#This Row],[transit_storage_cost]] * (1-'What -if Analysis'!$D$26)</f>
        <v>41</v>
      </c>
      <c r="P1306">
        <v>121</v>
      </c>
      <c r="Q1306">
        <v>3759.0452672376714</v>
      </c>
    </row>
    <row r="1307" spans="1:17" x14ac:dyDescent="0.3">
      <c r="A1307">
        <v>627778</v>
      </c>
      <c r="B1307" s="1" t="s">
        <v>40</v>
      </c>
      <c r="C1307" s="1" t="s">
        <v>23</v>
      </c>
      <c r="D1307" s="1" t="s">
        <v>23</v>
      </c>
      <c r="E1307" s="1" t="s">
        <v>28</v>
      </c>
      <c r="F1307" s="1" t="s">
        <v>31</v>
      </c>
      <c r="G1307" s="1" t="s">
        <v>20</v>
      </c>
      <c r="H1307" t="s">
        <v>21</v>
      </c>
      <c r="I1307" s="1" t="s">
        <v>22</v>
      </c>
      <c r="J1307" s="2">
        <v>43531.709548611114</v>
      </c>
      <c r="K1307" s="2">
        <v>43533.709548611114</v>
      </c>
      <c r="L1307" s="2">
        <v>43538.709548611114</v>
      </c>
      <c r="M1307" s="1">
        <f>_xlfn.DAYS(Table1[[#This Row],[actual_delivery_date]],Table1[[#This Row],[dispatch_date]])</f>
        <v>2</v>
      </c>
      <c r="N1307">
        <v>0</v>
      </c>
      <c r="O1307">
        <f>Table1[[#This Row],[transit_storage_cost]] * (1-'What -if Analysis'!$D$26)</f>
        <v>0</v>
      </c>
      <c r="P1307">
        <v>121</v>
      </c>
      <c r="Q1307">
        <v>541.2940049081601</v>
      </c>
    </row>
    <row r="1308" spans="1:17" x14ac:dyDescent="0.3">
      <c r="A1308">
        <v>415864</v>
      </c>
      <c r="B1308" s="1" t="s">
        <v>38</v>
      </c>
      <c r="C1308" s="1" t="s">
        <v>16</v>
      </c>
      <c r="D1308" s="1" t="s">
        <v>24</v>
      </c>
      <c r="E1308" s="1" t="s">
        <v>25</v>
      </c>
      <c r="F1308" s="1" t="s">
        <v>19</v>
      </c>
      <c r="G1308" s="1" t="s">
        <v>20</v>
      </c>
      <c r="H1308" t="s">
        <v>21</v>
      </c>
      <c r="I1308" s="1" t="s">
        <v>22</v>
      </c>
      <c r="J1308" s="2">
        <v>43525.710277777776</v>
      </c>
      <c r="K1308" s="2">
        <v>43533.710277777776</v>
      </c>
      <c r="L1308" s="2">
        <v>43528.710277777776</v>
      </c>
      <c r="M1308" s="1">
        <f>_xlfn.DAYS(Table1[[#This Row],[actual_delivery_date]],Table1[[#This Row],[dispatch_date]])</f>
        <v>8</v>
      </c>
      <c r="N1308">
        <v>78</v>
      </c>
      <c r="O1308">
        <f>Table1[[#This Row],[transit_storage_cost]] * (1-'What -if Analysis'!$D$26)</f>
        <v>78</v>
      </c>
      <c r="P1308">
        <v>102</v>
      </c>
      <c r="Q1308">
        <v>532.38139655092084</v>
      </c>
    </row>
    <row r="1309" spans="1:17" x14ac:dyDescent="0.3">
      <c r="A1309">
        <v>624794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31</v>
      </c>
      <c r="G1309" s="1" t="s">
        <v>20</v>
      </c>
      <c r="H1309" t="s">
        <v>21</v>
      </c>
      <c r="I1309" s="1" t="s">
        <v>22</v>
      </c>
      <c r="J1309" s="2">
        <v>43526.711296296293</v>
      </c>
      <c r="K1309" s="2">
        <v>43533.711296296293</v>
      </c>
      <c r="L1309" s="2">
        <v>43531.711296296293</v>
      </c>
      <c r="M1309" s="1">
        <f>_xlfn.DAYS(Table1[[#This Row],[actual_delivery_date]],Table1[[#This Row],[dispatch_date]])</f>
        <v>7</v>
      </c>
      <c r="N1309">
        <v>45</v>
      </c>
      <c r="O1309">
        <f>Table1[[#This Row],[transit_storage_cost]] * (1-'What -if Analysis'!$D$26)</f>
        <v>45</v>
      </c>
      <c r="P1309">
        <v>107</v>
      </c>
      <c r="Q1309">
        <v>2196.3113185081174</v>
      </c>
    </row>
    <row r="1310" spans="1:17" x14ac:dyDescent="0.3">
      <c r="A1310">
        <v>896172</v>
      </c>
      <c r="B1310" s="1" t="s">
        <v>37</v>
      </c>
      <c r="C1310" s="1" t="s">
        <v>23</v>
      </c>
      <c r="D1310" s="1" t="s">
        <v>16</v>
      </c>
      <c r="E1310" s="1" t="s">
        <v>27</v>
      </c>
      <c r="F1310" s="1" t="s">
        <v>19</v>
      </c>
      <c r="G1310" s="1" t="s">
        <v>20</v>
      </c>
      <c r="H1310" t="s">
        <v>21</v>
      </c>
      <c r="I1310" s="1" t="s">
        <v>26</v>
      </c>
      <c r="J1310" s="2">
        <v>43531.711331018516</v>
      </c>
      <c r="K1310" s="2">
        <v>43533.711331018516</v>
      </c>
      <c r="L1310" s="2">
        <v>43534.711331018516</v>
      </c>
      <c r="M1310" s="1">
        <f>_xlfn.DAYS(Table1[[#This Row],[actual_delivery_date]],Table1[[#This Row],[dispatch_date]])</f>
        <v>2</v>
      </c>
      <c r="N1310">
        <v>26</v>
      </c>
      <c r="O1310">
        <f>Table1[[#This Row],[transit_storage_cost]] * (1-'What -if Analysis'!$D$26)</f>
        <v>26</v>
      </c>
      <c r="P1310">
        <v>123</v>
      </c>
      <c r="Q1310">
        <v>1532.5705107030169</v>
      </c>
    </row>
    <row r="1311" spans="1:17" x14ac:dyDescent="0.3">
      <c r="A1311">
        <v>73476</v>
      </c>
      <c r="B1311" s="1" t="s">
        <v>39</v>
      </c>
      <c r="C1311" s="1" t="s">
        <v>23</v>
      </c>
      <c r="D1311" s="1" t="s">
        <v>16</v>
      </c>
      <c r="E1311" s="1" t="s">
        <v>27</v>
      </c>
      <c r="F1311" s="1" t="s">
        <v>19</v>
      </c>
      <c r="G1311" s="1" t="s">
        <v>20</v>
      </c>
      <c r="H1311" t="s">
        <v>21</v>
      </c>
      <c r="I1311" s="1" t="s">
        <v>26</v>
      </c>
      <c r="J1311" s="2">
        <v>43529.713495370372</v>
      </c>
      <c r="K1311" s="2">
        <v>43533.713495370372</v>
      </c>
      <c r="L1311" s="2">
        <v>43534.713495370372</v>
      </c>
      <c r="M1311" s="1">
        <f>_xlfn.DAYS(Table1[[#This Row],[actual_delivery_date]],Table1[[#This Row],[dispatch_date]])</f>
        <v>4</v>
      </c>
      <c r="N1311">
        <v>73</v>
      </c>
      <c r="O1311">
        <f>Table1[[#This Row],[transit_storage_cost]] * (1-'What -if Analysis'!$D$26)</f>
        <v>73</v>
      </c>
      <c r="P1311">
        <v>108</v>
      </c>
      <c r="Q1311">
        <v>519.66</v>
      </c>
    </row>
    <row r="1312" spans="1:17" x14ac:dyDescent="0.3">
      <c r="A1312">
        <v>553216</v>
      </c>
      <c r="B1312" s="1" t="s">
        <v>39</v>
      </c>
      <c r="C1312" s="1" t="s">
        <v>16</v>
      </c>
      <c r="D1312" s="1" t="s">
        <v>17</v>
      </c>
      <c r="E1312" s="1" t="s">
        <v>18</v>
      </c>
      <c r="F1312" s="1" t="s">
        <v>19</v>
      </c>
      <c r="G1312" s="1" t="s">
        <v>20</v>
      </c>
      <c r="H1312" t="s">
        <v>21</v>
      </c>
      <c r="I1312" s="1" t="s">
        <v>22</v>
      </c>
      <c r="J1312" s="2">
        <v>43527.717499999999</v>
      </c>
      <c r="K1312" s="2">
        <v>43533.717499999999</v>
      </c>
      <c r="L1312" s="2">
        <v>43530.717499999999</v>
      </c>
      <c r="M1312" s="1">
        <f>_xlfn.DAYS(Table1[[#This Row],[actual_delivery_date]],Table1[[#This Row],[dispatch_date]])</f>
        <v>6</v>
      </c>
      <c r="N1312">
        <v>66</v>
      </c>
      <c r="O1312">
        <f>Table1[[#This Row],[transit_storage_cost]] * (1-'What -if Analysis'!$D$26)</f>
        <v>66</v>
      </c>
      <c r="P1312">
        <v>92</v>
      </c>
      <c r="Q1312">
        <v>2038.33052197538</v>
      </c>
    </row>
    <row r="1313" spans="1:17" x14ac:dyDescent="0.3">
      <c r="A1313">
        <v>741278</v>
      </c>
      <c r="B1313" s="1" t="s">
        <v>39</v>
      </c>
      <c r="C1313" s="1" t="s">
        <v>16</v>
      </c>
      <c r="D1313" s="1" t="s">
        <v>23</v>
      </c>
      <c r="E1313" s="1" t="s">
        <v>28</v>
      </c>
      <c r="F1313" s="1" t="s">
        <v>19</v>
      </c>
      <c r="G1313" s="1" t="s">
        <v>20</v>
      </c>
      <c r="H1313" t="s">
        <v>21</v>
      </c>
      <c r="I1313" s="1" t="s">
        <v>22</v>
      </c>
      <c r="J1313" s="2">
        <v>43531.719444444447</v>
      </c>
      <c r="K1313" s="2">
        <v>43533.719444444447</v>
      </c>
      <c r="L1313" s="2">
        <v>43535.719444444447</v>
      </c>
      <c r="M1313" s="1">
        <f>_xlfn.DAYS(Table1[[#This Row],[actual_delivery_date]],Table1[[#This Row],[dispatch_date]])</f>
        <v>2</v>
      </c>
      <c r="N1313">
        <v>62</v>
      </c>
      <c r="O1313">
        <f>Table1[[#This Row],[transit_storage_cost]] * (1-'What -if Analysis'!$D$26)</f>
        <v>62</v>
      </c>
      <c r="P1313">
        <v>103</v>
      </c>
      <c r="Q1313">
        <v>3437</v>
      </c>
    </row>
    <row r="1314" spans="1:17" x14ac:dyDescent="0.3">
      <c r="A1314">
        <v>303499</v>
      </c>
      <c r="B1314" s="1" t="s">
        <v>39</v>
      </c>
      <c r="C1314" s="1" t="s">
        <v>23</v>
      </c>
      <c r="D1314" s="1" t="s">
        <v>16</v>
      </c>
      <c r="E1314" s="1" t="s">
        <v>27</v>
      </c>
      <c r="F1314" s="1" t="s">
        <v>19</v>
      </c>
      <c r="G1314" s="1" t="s">
        <v>20</v>
      </c>
      <c r="H1314" t="s">
        <v>34</v>
      </c>
      <c r="I1314" s="1" t="s">
        <v>22</v>
      </c>
      <c r="J1314" s="2">
        <v>43527.727418981478</v>
      </c>
      <c r="K1314" s="2">
        <v>43533.727418981478</v>
      </c>
      <c r="L1314" s="2">
        <v>43530.727418981478</v>
      </c>
      <c r="M1314" s="1">
        <f>_xlfn.DAYS(Table1[[#This Row],[actual_delivery_date]],Table1[[#This Row],[dispatch_date]])</f>
        <v>6</v>
      </c>
      <c r="N1314">
        <v>68</v>
      </c>
      <c r="O1314">
        <f>Table1[[#This Row],[transit_storage_cost]] * (1-'What -if Analysis'!$D$26)</f>
        <v>68</v>
      </c>
      <c r="P1314">
        <v>108</v>
      </c>
      <c r="Q1314">
        <v>3079.830641027419</v>
      </c>
    </row>
    <row r="1315" spans="1:17" x14ac:dyDescent="0.3">
      <c r="A1315">
        <v>3453</v>
      </c>
      <c r="B1315" s="1" t="s">
        <v>38</v>
      </c>
      <c r="C1315" s="1" t="s">
        <v>23</v>
      </c>
      <c r="D1315" s="1" t="s">
        <v>16</v>
      </c>
      <c r="E1315" s="1" t="s">
        <v>27</v>
      </c>
      <c r="F1315" s="1" t="s">
        <v>19</v>
      </c>
      <c r="G1315" s="1" t="s">
        <v>20</v>
      </c>
      <c r="H1315" t="s">
        <v>30</v>
      </c>
      <c r="I1315" s="1" t="s">
        <v>26</v>
      </c>
      <c r="J1315" s="2">
        <v>43530.729155092595</v>
      </c>
      <c r="K1315" s="2">
        <v>43533.729155092595</v>
      </c>
      <c r="L1315" s="2">
        <v>43537.729155092595</v>
      </c>
      <c r="M1315" s="1">
        <f>_xlfn.DAYS(Table1[[#This Row],[actual_delivery_date]],Table1[[#This Row],[dispatch_date]])</f>
        <v>3</v>
      </c>
      <c r="N1315">
        <v>75</v>
      </c>
      <c r="O1315">
        <f>Table1[[#This Row],[transit_storage_cost]] * (1-'What -if Analysis'!$D$26)</f>
        <v>75</v>
      </c>
      <c r="P1315">
        <v>109</v>
      </c>
      <c r="Q1315">
        <v>2487.4769262999957</v>
      </c>
    </row>
    <row r="1316" spans="1:17" x14ac:dyDescent="0.3">
      <c r="A1316">
        <v>504805</v>
      </c>
      <c r="B1316" s="1" t="s">
        <v>40</v>
      </c>
      <c r="C1316" s="1" t="s">
        <v>16</v>
      </c>
      <c r="D1316" s="1" t="s">
        <v>23</v>
      </c>
      <c r="E1316" s="1" t="s">
        <v>28</v>
      </c>
      <c r="F1316" s="1" t="s">
        <v>29</v>
      </c>
      <c r="G1316" s="1" t="s">
        <v>36</v>
      </c>
      <c r="H1316" t="s">
        <v>34</v>
      </c>
      <c r="I1316" s="1" t="s">
        <v>22</v>
      </c>
      <c r="J1316" s="2">
        <v>43529.731365740743</v>
      </c>
      <c r="K1316" s="2">
        <v>43533.731365740743</v>
      </c>
      <c r="L1316" s="2">
        <v>43534.731365740743</v>
      </c>
      <c r="M1316" s="1">
        <f>_xlfn.DAYS(Table1[[#This Row],[actual_delivery_date]],Table1[[#This Row],[dispatch_date]])</f>
        <v>4</v>
      </c>
      <c r="N1316">
        <v>38</v>
      </c>
      <c r="O1316">
        <f>Table1[[#This Row],[transit_storage_cost]] * (1-'What -if Analysis'!$D$26)</f>
        <v>38</v>
      </c>
      <c r="P1316">
        <v>129</v>
      </c>
      <c r="Q1316">
        <v>1765.1339747011407</v>
      </c>
    </row>
    <row r="1317" spans="1:17" x14ac:dyDescent="0.3">
      <c r="A1317">
        <v>195369</v>
      </c>
      <c r="B1317" s="1" t="s">
        <v>40</v>
      </c>
      <c r="C1317" s="1" t="s">
        <v>16</v>
      </c>
      <c r="D1317" s="1" t="s">
        <v>23</v>
      </c>
      <c r="E1317" s="1" t="s">
        <v>28</v>
      </c>
      <c r="F1317" s="1" t="s">
        <v>29</v>
      </c>
      <c r="G1317" s="1" t="s">
        <v>20</v>
      </c>
      <c r="H1317" t="s">
        <v>30</v>
      </c>
      <c r="I1317" s="1" t="s">
        <v>26</v>
      </c>
      <c r="J1317" s="2">
        <v>43525.73369212963</v>
      </c>
      <c r="K1317" s="2">
        <v>43533.73369212963</v>
      </c>
      <c r="L1317" s="2">
        <v>43532.73369212963</v>
      </c>
      <c r="M1317" s="1">
        <f>_xlfn.DAYS(Table1[[#This Row],[actual_delivery_date]],Table1[[#This Row],[dispatch_date]])</f>
        <v>8</v>
      </c>
      <c r="N1317">
        <v>39</v>
      </c>
      <c r="O1317">
        <f>Table1[[#This Row],[transit_storage_cost]] * (1-'What -if Analysis'!$D$26)</f>
        <v>39</v>
      </c>
      <c r="P1317">
        <v>126</v>
      </c>
      <c r="Q1317">
        <v>1530.56</v>
      </c>
    </row>
    <row r="1318" spans="1:17" x14ac:dyDescent="0.3">
      <c r="A1318">
        <v>721022</v>
      </c>
      <c r="B1318" s="1" t="s">
        <v>40</v>
      </c>
      <c r="C1318" s="1" t="s">
        <v>16</v>
      </c>
      <c r="D1318" s="1" t="s">
        <v>16</v>
      </c>
      <c r="E1318" s="1" t="s">
        <v>27</v>
      </c>
      <c r="F1318" s="1" t="s">
        <v>19</v>
      </c>
      <c r="G1318" s="1" t="s">
        <v>20</v>
      </c>
      <c r="H1318" t="s">
        <v>21</v>
      </c>
      <c r="I1318" s="1" t="s">
        <v>22</v>
      </c>
      <c r="J1318" s="2">
        <v>43533.73474537037</v>
      </c>
      <c r="K1318" s="2">
        <v>43533.73474537037</v>
      </c>
      <c r="L1318" s="2">
        <v>43539.73474537037</v>
      </c>
      <c r="M1318" s="1">
        <f>_xlfn.DAYS(Table1[[#This Row],[actual_delivery_date]],Table1[[#This Row],[dispatch_date]])</f>
        <v>0</v>
      </c>
      <c r="N1318">
        <v>0</v>
      </c>
      <c r="O1318">
        <f>Table1[[#This Row],[transit_storage_cost]] * (1-'What -if Analysis'!$D$26)</f>
        <v>0</v>
      </c>
      <c r="P1318">
        <v>109</v>
      </c>
      <c r="Q1318">
        <v>1204.8681049851832</v>
      </c>
    </row>
    <row r="1319" spans="1:17" x14ac:dyDescent="0.3">
      <c r="A1319">
        <v>434564</v>
      </c>
      <c r="B1319" s="1" t="s">
        <v>38</v>
      </c>
      <c r="C1319" s="1" t="s">
        <v>23</v>
      </c>
      <c r="D1319" s="1" t="s">
        <v>17</v>
      </c>
      <c r="E1319" s="1" t="s">
        <v>18</v>
      </c>
      <c r="F1319" s="1" t="s">
        <v>19</v>
      </c>
      <c r="G1319" s="1" t="s">
        <v>20</v>
      </c>
      <c r="H1319" t="s">
        <v>21</v>
      </c>
      <c r="I1319" s="1" t="s">
        <v>22</v>
      </c>
      <c r="J1319" s="2">
        <v>43528.738136574073</v>
      </c>
      <c r="K1319" s="2">
        <v>43533.738136574073</v>
      </c>
      <c r="L1319" s="2">
        <v>43533.738136574073</v>
      </c>
      <c r="M1319" s="1">
        <f>_xlfn.DAYS(Table1[[#This Row],[actual_delivery_date]],Table1[[#This Row],[dispatch_date]])</f>
        <v>5</v>
      </c>
      <c r="N1319">
        <v>26</v>
      </c>
      <c r="O1319">
        <f>Table1[[#This Row],[transit_storage_cost]] * (1-'What -if Analysis'!$D$26)</f>
        <v>26</v>
      </c>
      <c r="P1319">
        <v>111</v>
      </c>
      <c r="Q1319">
        <v>1224.1260158146788</v>
      </c>
    </row>
    <row r="1320" spans="1:17" x14ac:dyDescent="0.3">
      <c r="A1320">
        <v>463089</v>
      </c>
      <c r="B1320" s="1" t="s">
        <v>39</v>
      </c>
      <c r="C1320" s="1" t="s">
        <v>23</v>
      </c>
      <c r="D1320" s="1" t="s">
        <v>24</v>
      </c>
      <c r="E1320" s="1" t="s">
        <v>25</v>
      </c>
      <c r="F1320" s="1" t="s">
        <v>29</v>
      </c>
      <c r="G1320" s="1" t="s">
        <v>20</v>
      </c>
      <c r="H1320" t="s">
        <v>30</v>
      </c>
      <c r="I1320" s="1" t="s">
        <v>26</v>
      </c>
      <c r="J1320" s="2">
        <v>43531.740393518521</v>
      </c>
      <c r="K1320" s="2">
        <v>43533.740393518521</v>
      </c>
      <c r="L1320" s="2">
        <v>43537.740393518521</v>
      </c>
      <c r="M1320" s="1">
        <f>_xlfn.DAYS(Table1[[#This Row],[actual_delivery_date]],Table1[[#This Row],[dispatch_date]])</f>
        <v>2</v>
      </c>
      <c r="N1320">
        <v>33</v>
      </c>
      <c r="O1320">
        <f>Table1[[#This Row],[transit_storage_cost]] * (1-'What -if Analysis'!$D$26)</f>
        <v>33</v>
      </c>
      <c r="P1320">
        <v>130</v>
      </c>
      <c r="Q1320">
        <v>1424</v>
      </c>
    </row>
    <row r="1321" spans="1:17" x14ac:dyDescent="0.3">
      <c r="A1321">
        <v>643933</v>
      </c>
      <c r="B1321" s="1" t="s">
        <v>37</v>
      </c>
      <c r="C1321" s="1" t="s">
        <v>23</v>
      </c>
      <c r="D1321" s="1" t="s">
        <v>17</v>
      </c>
      <c r="E1321" s="1" t="s">
        <v>18</v>
      </c>
      <c r="F1321" s="1" t="s">
        <v>29</v>
      </c>
      <c r="G1321" s="1" t="s">
        <v>20</v>
      </c>
      <c r="H1321" t="s">
        <v>30</v>
      </c>
      <c r="I1321" s="1" t="s">
        <v>22</v>
      </c>
      <c r="J1321" s="2">
        <v>43526.74391203704</v>
      </c>
      <c r="K1321" s="2">
        <v>43533.74391203704</v>
      </c>
      <c r="L1321" s="2">
        <v>43533.74391203704</v>
      </c>
      <c r="M1321" s="1">
        <f>_xlfn.DAYS(Table1[[#This Row],[actual_delivery_date]],Table1[[#This Row],[dispatch_date]])</f>
        <v>7</v>
      </c>
      <c r="N1321">
        <v>40</v>
      </c>
      <c r="O1321">
        <f>Table1[[#This Row],[transit_storage_cost]] * (1-'What -if Analysis'!$D$26)</f>
        <v>40</v>
      </c>
      <c r="P1321">
        <v>113</v>
      </c>
      <c r="Q1321">
        <v>3179.5341738990637</v>
      </c>
    </row>
    <row r="1322" spans="1:17" x14ac:dyDescent="0.3">
      <c r="A1322">
        <v>588110</v>
      </c>
      <c r="B1322" s="1" t="s">
        <v>39</v>
      </c>
      <c r="C1322" s="1" t="s">
        <v>23</v>
      </c>
      <c r="D1322" s="1" t="s">
        <v>17</v>
      </c>
      <c r="E1322" s="1" t="s">
        <v>18</v>
      </c>
      <c r="F1322" s="1" t="s">
        <v>31</v>
      </c>
      <c r="G1322" s="1" t="s">
        <v>20</v>
      </c>
      <c r="H1322" t="s">
        <v>21</v>
      </c>
      <c r="I1322" s="1" t="s">
        <v>22</v>
      </c>
      <c r="J1322" s="2">
        <v>43527.746574074074</v>
      </c>
      <c r="K1322" s="2">
        <v>43533.746574074074</v>
      </c>
      <c r="L1322" s="2">
        <v>43534.746574074074</v>
      </c>
      <c r="M1322" s="1">
        <f>_xlfn.DAYS(Table1[[#This Row],[actual_delivery_date]],Table1[[#This Row],[dispatch_date]])</f>
        <v>6</v>
      </c>
      <c r="N1322">
        <v>43</v>
      </c>
      <c r="O1322">
        <f>Table1[[#This Row],[transit_storage_cost]] * (1-'What -if Analysis'!$D$26)</f>
        <v>43</v>
      </c>
      <c r="P1322">
        <v>111</v>
      </c>
      <c r="Q1322">
        <v>1273.6463662519484</v>
      </c>
    </row>
    <row r="1323" spans="1:17" x14ac:dyDescent="0.3">
      <c r="A1323">
        <v>541706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31</v>
      </c>
      <c r="G1323" s="1" t="s">
        <v>20</v>
      </c>
      <c r="H1323" t="s">
        <v>21</v>
      </c>
      <c r="I1323" s="1" t="s">
        <v>22</v>
      </c>
      <c r="J1323" s="2">
        <v>43526.749247685184</v>
      </c>
      <c r="K1323" s="2">
        <v>43533.749247685184</v>
      </c>
      <c r="L1323" s="2">
        <v>43531.749247685184</v>
      </c>
      <c r="M1323" s="1">
        <f>_xlfn.DAYS(Table1[[#This Row],[actual_delivery_date]],Table1[[#This Row],[dispatch_date]])</f>
        <v>7</v>
      </c>
      <c r="N1323">
        <v>31</v>
      </c>
      <c r="O1323">
        <f>Table1[[#This Row],[transit_storage_cost]] * (1-'What -if Analysis'!$D$26)</f>
        <v>31</v>
      </c>
      <c r="P1323">
        <v>107</v>
      </c>
      <c r="Q1323">
        <v>1359.5125096388149</v>
      </c>
    </row>
    <row r="1324" spans="1:17" x14ac:dyDescent="0.3">
      <c r="A1324">
        <v>346390</v>
      </c>
      <c r="B1324" s="1" t="s">
        <v>39</v>
      </c>
      <c r="C1324" s="1" t="s">
        <v>23</v>
      </c>
      <c r="D1324" s="1" t="s">
        <v>23</v>
      </c>
      <c r="E1324" s="1" t="s">
        <v>28</v>
      </c>
      <c r="F1324" s="1" t="s">
        <v>31</v>
      </c>
      <c r="G1324" s="1" t="s">
        <v>20</v>
      </c>
      <c r="H1324" t="s">
        <v>21</v>
      </c>
      <c r="I1324" s="1" t="s">
        <v>22</v>
      </c>
      <c r="J1324" s="2">
        <v>43529.757511574076</v>
      </c>
      <c r="K1324" s="2">
        <v>43533.757511574076</v>
      </c>
      <c r="L1324" s="2">
        <v>43532.757511574076</v>
      </c>
      <c r="M1324" s="1">
        <f>_xlfn.DAYS(Table1[[#This Row],[actual_delivery_date]],Table1[[#This Row],[dispatch_date]])</f>
        <v>4</v>
      </c>
      <c r="N1324">
        <v>0</v>
      </c>
      <c r="O1324">
        <f>Table1[[#This Row],[transit_storage_cost]] * (1-'What -if Analysis'!$D$26)</f>
        <v>0</v>
      </c>
      <c r="P1324">
        <v>125</v>
      </c>
      <c r="Q1324">
        <v>1750.6128359630595</v>
      </c>
    </row>
    <row r="1325" spans="1:17" x14ac:dyDescent="0.3">
      <c r="A1325">
        <v>322073</v>
      </c>
      <c r="B1325" s="1" t="s">
        <v>39</v>
      </c>
      <c r="C1325" s="1" t="s">
        <v>23</v>
      </c>
      <c r="D1325" s="1" t="s">
        <v>32</v>
      </c>
      <c r="E1325" s="1" t="s">
        <v>33</v>
      </c>
      <c r="F1325" s="1" t="s">
        <v>19</v>
      </c>
      <c r="G1325" s="1" t="s">
        <v>20</v>
      </c>
      <c r="H1325" t="s">
        <v>30</v>
      </c>
      <c r="I1325" s="1" t="s">
        <v>22</v>
      </c>
      <c r="J1325" s="2">
        <v>43527.758645833332</v>
      </c>
      <c r="K1325" s="2">
        <v>43533.758645833332</v>
      </c>
      <c r="L1325" s="2">
        <v>43532.758645833332</v>
      </c>
      <c r="M1325" s="1">
        <f>_xlfn.DAYS(Table1[[#This Row],[actual_delivery_date]],Table1[[#This Row],[dispatch_date]])</f>
        <v>6</v>
      </c>
      <c r="N1325">
        <v>64</v>
      </c>
      <c r="O1325">
        <f>Table1[[#This Row],[transit_storage_cost]] * (1-'What -if Analysis'!$D$26)</f>
        <v>64</v>
      </c>
      <c r="P1325">
        <v>91</v>
      </c>
      <c r="Q1325">
        <v>2090.8103415774158</v>
      </c>
    </row>
    <row r="1326" spans="1:17" x14ac:dyDescent="0.3">
      <c r="A1326">
        <v>480275</v>
      </c>
      <c r="B1326" s="1" t="s">
        <v>39</v>
      </c>
      <c r="C1326" s="1" t="s">
        <v>23</v>
      </c>
      <c r="D1326" s="1" t="s">
        <v>17</v>
      </c>
      <c r="E1326" s="1" t="s">
        <v>18</v>
      </c>
      <c r="F1326" s="1" t="s">
        <v>29</v>
      </c>
      <c r="G1326" s="1" t="s">
        <v>20</v>
      </c>
      <c r="H1326" t="s">
        <v>30</v>
      </c>
      <c r="I1326" s="1" t="s">
        <v>22</v>
      </c>
      <c r="J1326" s="2">
        <v>43528.76353009259</v>
      </c>
      <c r="K1326" s="2">
        <v>43533.76353009259</v>
      </c>
      <c r="L1326" s="2">
        <v>43533.76353009259</v>
      </c>
      <c r="M1326" s="1">
        <f>_xlfn.DAYS(Table1[[#This Row],[actual_delivery_date]],Table1[[#This Row],[dispatch_date]])</f>
        <v>5</v>
      </c>
      <c r="N1326">
        <v>44</v>
      </c>
      <c r="O1326">
        <f>Table1[[#This Row],[transit_storage_cost]] * (1-'What -if Analysis'!$D$26)</f>
        <v>44</v>
      </c>
      <c r="P1326">
        <v>114</v>
      </c>
      <c r="Q1326">
        <v>579.57459139309776</v>
      </c>
    </row>
    <row r="1327" spans="1:17" x14ac:dyDescent="0.3">
      <c r="A1327">
        <v>413898</v>
      </c>
      <c r="B1327" s="1" t="s">
        <v>41</v>
      </c>
      <c r="C1327" s="1" t="s">
        <v>16</v>
      </c>
      <c r="D1327" s="1" t="s">
        <v>17</v>
      </c>
      <c r="E1327" s="1" t="s">
        <v>18</v>
      </c>
      <c r="F1327" s="1" t="s">
        <v>31</v>
      </c>
      <c r="G1327" s="1" t="s">
        <v>20</v>
      </c>
      <c r="H1327" t="s">
        <v>21</v>
      </c>
      <c r="I1327" s="1" t="s">
        <v>26</v>
      </c>
      <c r="J1327" s="2">
        <v>43529.766006944446</v>
      </c>
      <c r="K1327" s="2">
        <v>43533.766006944446</v>
      </c>
      <c r="L1327" s="2">
        <v>43535.766006944446</v>
      </c>
      <c r="M1327" s="1">
        <f>_xlfn.DAYS(Table1[[#This Row],[actual_delivery_date]],Table1[[#This Row],[dispatch_date]])</f>
        <v>4</v>
      </c>
      <c r="N1327">
        <v>44</v>
      </c>
      <c r="O1327">
        <f>Table1[[#This Row],[transit_storage_cost]] * (1-'What -if Analysis'!$D$26)</f>
        <v>44</v>
      </c>
      <c r="P1327">
        <v>114</v>
      </c>
      <c r="Q1327">
        <v>897.72</v>
      </c>
    </row>
    <row r="1328" spans="1:17" x14ac:dyDescent="0.3">
      <c r="A1328">
        <v>577016</v>
      </c>
      <c r="B1328" s="1" t="s">
        <v>38</v>
      </c>
      <c r="C1328" s="1" t="s">
        <v>16</v>
      </c>
      <c r="D1328" s="1" t="s">
        <v>16</v>
      </c>
      <c r="E1328" s="1" t="s">
        <v>27</v>
      </c>
      <c r="F1328" s="1" t="s">
        <v>19</v>
      </c>
      <c r="G1328" s="1" t="s">
        <v>20</v>
      </c>
      <c r="H1328" t="s">
        <v>21</v>
      </c>
      <c r="I1328" s="1" t="s">
        <v>22</v>
      </c>
      <c r="J1328" s="2">
        <v>43533.767604166664</v>
      </c>
      <c r="K1328" s="2">
        <v>43533.767604166664</v>
      </c>
      <c r="L1328" s="2">
        <v>43538.767604166664</v>
      </c>
      <c r="M1328" s="1">
        <f>_xlfn.DAYS(Table1[[#This Row],[actual_delivery_date]],Table1[[#This Row],[dispatch_date]])</f>
        <v>0</v>
      </c>
      <c r="N1328">
        <v>0</v>
      </c>
      <c r="O1328">
        <f>Table1[[#This Row],[transit_storage_cost]] * (1-'What -if Analysis'!$D$26)</f>
        <v>0</v>
      </c>
      <c r="P1328">
        <v>104</v>
      </c>
      <c r="Q1328">
        <v>2155.2953850057638</v>
      </c>
    </row>
    <row r="1329" spans="1:17" x14ac:dyDescent="0.3">
      <c r="A1329">
        <v>879102</v>
      </c>
      <c r="B1329" s="1" t="s">
        <v>37</v>
      </c>
      <c r="C1329" s="1" t="s">
        <v>16</v>
      </c>
      <c r="D1329" s="1" t="s">
        <v>23</v>
      </c>
      <c r="E1329" s="1" t="s">
        <v>28</v>
      </c>
      <c r="F1329" s="1" t="s">
        <v>31</v>
      </c>
      <c r="G1329" s="1" t="s">
        <v>20</v>
      </c>
      <c r="H1329" t="s">
        <v>21</v>
      </c>
      <c r="I1329" s="1" t="s">
        <v>26</v>
      </c>
      <c r="J1329" s="2">
        <v>43526.769490740742</v>
      </c>
      <c r="K1329" s="2">
        <v>43533.769490740742</v>
      </c>
      <c r="L1329" s="2">
        <v>43531.769490740742</v>
      </c>
      <c r="M1329" s="1">
        <f>_xlfn.DAYS(Table1[[#This Row],[actual_delivery_date]],Table1[[#This Row],[dispatch_date]])</f>
        <v>7</v>
      </c>
      <c r="N1329">
        <v>46</v>
      </c>
      <c r="O1329">
        <f>Table1[[#This Row],[transit_storage_cost]] * (1-'What -if Analysis'!$D$26)</f>
        <v>46</v>
      </c>
      <c r="P1329">
        <v>123</v>
      </c>
      <c r="Q1329">
        <v>536.91999999999996</v>
      </c>
    </row>
    <row r="1330" spans="1:17" x14ac:dyDescent="0.3">
      <c r="A1330">
        <v>72243</v>
      </c>
      <c r="B1330" s="1" t="s">
        <v>37</v>
      </c>
      <c r="C1330" s="1" t="s">
        <v>16</v>
      </c>
      <c r="D1330" s="1" t="s">
        <v>23</v>
      </c>
      <c r="E1330" s="1" t="s">
        <v>28</v>
      </c>
      <c r="F1330" s="1" t="s">
        <v>19</v>
      </c>
      <c r="G1330" s="1" t="s">
        <v>20</v>
      </c>
      <c r="H1330" t="s">
        <v>30</v>
      </c>
      <c r="I1330" s="1" t="s">
        <v>26</v>
      </c>
      <c r="J1330" s="2">
        <v>43528.773946759262</v>
      </c>
      <c r="K1330" s="2">
        <v>43533.773946759262</v>
      </c>
      <c r="L1330" s="2">
        <v>43532.773946759262</v>
      </c>
      <c r="M1330" s="1">
        <f>_xlfn.DAYS(Table1[[#This Row],[actual_delivery_date]],Table1[[#This Row],[dispatch_date]])</f>
        <v>5</v>
      </c>
      <c r="N1330">
        <v>73</v>
      </c>
      <c r="O1330">
        <f>Table1[[#This Row],[transit_storage_cost]] * (1-'What -if Analysis'!$D$26)</f>
        <v>73</v>
      </c>
      <c r="P1330">
        <v>108</v>
      </c>
      <c r="Q1330">
        <v>630.65</v>
      </c>
    </row>
    <row r="1331" spans="1:17" x14ac:dyDescent="0.3">
      <c r="A1331">
        <v>846959</v>
      </c>
      <c r="B1331" s="1" t="s">
        <v>39</v>
      </c>
      <c r="C1331" s="1" t="s">
        <v>23</v>
      </c>
      <c r="D1331" s="1" t="s">
        <v>16</v>
      </c>
      <c r="E1331" s="1" t="s">
        <v>27</v>
      </c>
      <c r="F1331" s="1" t="s">
        <v>29</v>
      </c>
      <c r="G1331" s="1" t="s">
        <v>20</v>
      </c>
      <c r="H1331" t="s">
        <v>30</v>
      </c>
      <c r="I1331" s="1" t="s">
        <v>22</v>
      </c>
      <c r="J1331" s="2">
        <v>43528.774907407409</v>
      </c>
      <c r="K1331" s="2">
        <v>43533.774907407409</v>
      </c>
      <c r="L1331" s="2">
        <v>43534.774907407409</v>
      </c>
      <c r="M1331" s="1">
        <f>_xlfn.DAYS(Table1[[#This Row],[actual_delivery_date]],Table1[[#This Row],[dispatch_date]])</f>
        <v>5</v>
      </c>
      <c r="N1331">
        <v>26</v>
      </c>
      <c r="O1331">
        <f>Table1[[#This Row],[transit_storage_cost]] * (1-'What -if Analysis'!$D$26)</f>
        <v>26</v>
      </c>
      <c r="P1331">
        <v>129</v>
      </c>
      <c r="Q1331">
        <v>1817.4665149887976</v>
      </c>
    </row>
    <row r="1332" spans="1:17" x14ac:dyDescent="0.3">
      <c r="A1332">
        <v>112070</v>
      </c>
      <c r="B1332" s="1" t="s">
        <v>38</v>
      </c>
      <c r="C1332" s="1" t="s">
        <v>23</v>
      </c>
      <c r="D1332" s="1" t="s">
        <v>23</v>
      </c>
      <c r="E1332" s="1" t="s">
        <v>28</v>
      </c>
      <c r="F1332" s="1" t="s">
        <v>31</v>
      </c>
      <c r="G1332" s="1" t="s">
        <v>20</v>
      </c>
      <c r="H1332" t="s">
        <v>21</v>
      </c>
      <c r="I1332" s="1" t="s">
        <v>22</v>
      </c>
      <c r="J1332" s="2">
        <v>43533.775509259256</v>
      </c>
      <c r="K1332" s="2">
        <v>43533.775509259256</v>
      </c>
      <c r="L1332" s="2">
        <v>43540.775509259256</v>
      </c>
      <c r="M1332" s="1">
        <f>_xlfn.DAYS(Table1[[#This Row],[actual_delivery_date]],Table1[[#This Row],[dispatch_date]])</f>
        <v>0</v>
      </c>
      <c r="N1332">
        <v>0</v>
      </c>
      <c r="O1332">
        <f>Table1[[#This Row],[transit_storage_cost]] * (1-'What -if Analysis'!$D$26)</f>
        <v>0</v>
      </c>
      <c r="P1332">
        <v>120</v>
      </c>
      <c r="Q1332">
        <v>1727.0426821867036</v>
      </c>
    </row>
    <row r="1333" spans="1:17" x14ac:dyDescent="0.3">
      <c r="A1333">
        <v>421690</v>
      </c>
      <c r="B1333" s="1" t="s">
        <v>37</v>
      </c>
      <c r="C1333" s="1" t="s">
        <v>16</v>
      </c>
      <c r="D1333" s="1" t="s">
        <v>24</v>
      </c>
      <c r="E1333" s="1" t="s">
        <v>25</v>
      </c>
      <c r="F1333" s="1" t="s">
        <v>31</v>
      </c>
      <c r="G1333" s="1" t="s">
        <v>20</v>
      </c>
      <c r="H1333" t="s">
        <v>21</v>
      </c>
      <c r="I1333" s="1" t="s">
        <v>22</v>
      </c>
      <c r="J1333" s="2">
        <v>43529.775648148148</v>
      </c>
      <c r="K1333" s="2">
        <v>43533.775648148148</v>
      </c>
      <c r="L1333" s="2">
        <v>43533.775648148148</v>
      </c>
      <c r="M1333" s="1">
        <f>_xlfn.DAYS(Table1[[#This Row],[actual_delivery_date]],Table1[[#This Row],[dispatch_date]])</f>
        <v>4</v>
      </c>
      <c r="N1333">
        <v>39</v>
      </c>
      <c r="O1333">
        <f>Table1[[#This Row],[transit_storage_cost]] * (1-'What -if Analysis'!$D$26)</f>
        <v>39</v>
      </c>
      <c r="P1333">
        <v>129</v>
      </c>
      <c r="Q1333">
        <v>3292.7680457328634</v>
      </c>
    </row>
    <row r="1334" spans="1:17" x14ac:dyDescent="0.3">
      <c r="A1334">
        <v>917208</v>
      </c>
      <c r="B1334" s="1" t="s">
        <v>38</v>
      </c>
      <c r="C1334" s="1" t="s">
        <v>16</v>
      </c>
      <c r="D1334" s="1" t="s">
        <v>24</v>
      </c>
      <c r="E1334" s="1" t="s">
        <v>25</v>
      </c>
      <c r="F1334" s="1" t="s">
        <v>19</v>
      </c>
      <c r="G1334" s="1" t="s">
        <v>20</v>
      </c>
      <c r="H1334" t="s">
        <v>21</v>
      </c>
      <c r="I1334" s="1" t="s">
        <v>26</v>
      </c>
      <c r="J1334" s="2">
        <v>43527.778541666667</v>
      </c>
      <c r="K1334" s="2">
        <v>43533.778541666667</v>
      </c>
      <c r="L1334" s="2">
        <v>43531.778541666667</v>
      </c>
      <c r="M1334" s="1">
        <f>_xlfn.DAYS(Table1[[#This Row],[actual_delivery_date]],Table1[[#This Row],[dispatch_date]])</f>
        <v>6</v>
      </c>
      <c r="N1334">
        <v>68</v>
      </c>
      <c r="O1334">
        <f>Table1[[#This Row],[transit_storage_cost]] * (1-'What -if Analysis'!$D$26)</f>
        <v>68</v>
      </c>
      <c r="P1334">
        <v>106</v>
      </c>
      <c r="Q1334">
        <v>2557.5300000000002</v>
      </c>
    </row>
    <row r="1335" spans="1:17" x14ac:dyDescent="0.3">
      <c r="A1335">
        <v>103461</v>
      </c>
      <c r="B1335" s="1" t="s">
        <v>38</v>
      </c>
      <c r="C1335" s="1" t="s">
        <v>16</v>
      </c>
      <c r="D1335" s="1" t="s">
        <v>16</v>
      </c>
      <c r="E1335" s="1" t="s">
        <v>27</v>
      </c>
      <c r="F1335" s="1" t="s">
        <v>29</v>
      </c>
      <c r="G1335" s="1" t="s">
        <v>20</v>
      </c>
      <c r="H1335" t="s">
        <v>30</v>
      </c>
      <c r="I1335" s="1" t="s">
        <v>26</v>
      </c>
      <c r="J1335" s="2">
        <v>43531.782210648147</v>
      </c>
      <c r="K1335" s="2">
        <v>43533.782210648147</v>
      </c>
      <c r="L1335" s="2">
        <v>43535.782210648147</v>
      </c>
      <c r="M1335" s="1">
        <f>_xlfn.DAYS(Table1[[#This Row],[actual_delivery_date]],Table1[[#This Row],[dispatch_date]])</f>
        <v>2</v>
      </c>
      <c r="N1335">
        <v>0</v>
      </c>
      <c r="O1335">
        <f>Table1[[#This Row],[transit_storage_cost]] * (1-'What -if Analysis'!$D$26)</f>
        <v>0</v>
      </c>
      <c r="P1335">
        <v>127</v>
      </c>
      <c r="Q1335">
        <v>2208.5988608419102</v>
      </c>
    </row>
    <row r="1336" spans="1:17" x14ac:dyDescent="0.3">
      <c r="A1336">
        <v>557696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19</v>
      </c>
      <c r="G1336" s="1" t="s">
        <v>20</v>
      </c>
      <c r="H1336" t="s">
        <v>21</v>
      </c>
      <c r="I1336" s="1" t="s">
        <v>22</v>
      </c>
      <c r="J1336" s="2">
        <v>43531.782986111109</v>
      </c>
      <c r="K1336" s="2">
        <v>43533.782986111109</v>
      </c>
      <c r="L1336" s="2">
        <v>43537.782986111109</v>
      </c>
      <c r="M1336" s="1">
        <f>_xlfn.DAYS(Table1[[#This Row],[actual_delivery_date]],Table1[[#This Row],[dispatch_date]])</f>
        <v>2</v>
      </c>
      <c r="N1336">
        <v>78</v>
      </c>
      <c r="O1336">
        <f>Table1[[#This Row],[transit_storage_cost]] * (1-'What -if Analysis'!$D$26)</f>
        <v>78</v>
      </c>
      <c r="P1336">
        <v>91</v>
      </c>
      <c r="Q1336">
        <v>1523.8723472210718</v>
      </c>
    </row>
    <row r="1337" spans="1:17" x14ac:dyDescent="0.3">
      <c r="A1337">
        <v>202159</v>
      </c>
      <c r="B1337" s="1" t="s">
        <v>40</v>
      </c>
      <c r="C1337" s="1" t="s">
        <v>16</v>
      </c>
      <c r="D1337" s="1" t="s">
        <v>32</v>
      </c>
      <c r="E1337" s="1" t="s">
        <v>33</v>
      </c>
      <c r="F1337" s="1" t="s">
        <v>29</v>
      </c>
      <c r="G1337" s="1" t="s">
        <v>20</v>
      </c>
      <c r="H1337" t="s">
        <v>30</v>
      </c>
      <c r="I1337" s="1" t="s">
        <v>22</v>
      </c>
      <c r="J1337" s="2">
        <v>43528.784375000003</v>
      </c>
      <c r="K1337" s="2">
        <v>43533.784375000003</v>
      </c>
      <c r="L1337" s="2">
        <v>43534.784375000003</v>
      </c>
      <c r="M1337" s="1">
        <f>_xlfn.DAYS(Table1[[#This Row],[actual_delivery_date]],Table1[[#This Row],[dispatch_date]])</f>
        <v>5</v>
      </c>
      <c r="N1337">
        <v>43</v>
      </c>
      <c r="O1337">
        <f>Table1[[#This Row],[transit_storage_cost]] * (1-'What -if Analysis'!$D$26)</f>
        <v>43</v>
      </c>
      <c r="P1337">
        <v>108</v>
      </c>
      <c r="Q1337">
        <v>2457.2024335787582</v>
      </c>
    </row>
    <row r="1338" spans="1:17" x14ac:dyDescent="0.3">
      <c r="A1338">
        <v>536337</v>
      </c>
      <c r="B1338" s="1" t="s">
        <v>38</v>
      </c>
      <c r="C1338" s="1" t="s">
        <v>16</v>
      </c>
      <c r="D1338" s="1" t="s">
        <v>16</v>
      </c>
      <c r="E1338" s="1" t="s">
        <v>27</v>
      </c>
      <c r="F1338" s="1" t="s">
        <v>19</v>
      </c>
      <c r="G1338" s="1" t="s">
        <v>20</v>
      </c>
      <c r="H1338" t="s">
        <v>30</v>
      </c>
      <c r="I1338" s="1" t="s">
        <v>26</v>
      </c>
      <c r="J1338" s="2">
        <v>43528.784583333334</v>
      </c>
      <c r="K1338" s="2">
        <v>43533.784583333334</v>
      </c>
      <c r="L1338" s="2">
        <v>43534.784583333334</v>
      </c>
      <c r="M1338" s="1">
        <f>_xlfn.DAYS(Table1[[#This Row],[actual_delivery_date]],Table1[[#This Row],[dispatch_date]])</f>
        <v>5</v>
      </c>
      <c r="N1338">
        <v>0</v>
      </c>
      <c r="O1338">
        <f>Table1[[#This Row],[transit_storage_cost]] * (1-'What -if Analysis'!$D$26)</f>
        <v>0</v>
      </c>
      <c r="P1338">
        <v>103</v>
      </c>
      <c r="Q1338">
        <v>231.1</v>
      </c>
    </row>
    <row r="1339" spans="1:17" x14ac:dyDescent="0.3">
      <c r="A1339">
        <v>12491</v>
      </c>
      <c r="B1339" s="1" t="s">
        <v>38</v>
      </c>
      <c r="C1339" s="1" t="s">
        <v>16</v>
      </c>
      <c r="D1339" s="1" t="s">
        <v>23</v>
      </c>
      <c r="E1339" s="1" t="s">
        <v>28</v>
      </c>
      <c r="F1339" s="1" t="s">
        <v>29</v>
      </c>
      <c r="G1339" s="1" t="s">
        <v>20</v>
      </c>
      <c r="H1339" t="s">
        <v>30</v>
      </c>
      <c r="I1339" s="1" t="s">
        <v>22</v>
      </c>
      <c r="J1339" s="2">
        <v>43527.786574074074</v>
      </c>
      <c r="K1339" s="2">
        <v>43533.786574074074</v>
      </c>
      <c r="L1339" s="2">
        <v>43533.786574074074</v>
      </c>
      <c r="M1339" s="1">
        <f>_xlfn.DAYS(Table1[[#This Row],[actual_delivery_date]],Table1[[#This Row],[dispatch_date]])</f>
        <v>6</v>
      </c>
      <c r="N1339">
        <v>28</v>
      </c>
      <c r="O1339">
        <f>Table1[[#This Row],[transit_storage_cost]] * (1-'What -if Analysis'!$D$26)</f>
        <v>28</v>
      </c>
      <c r="P1339">
        <v>123</v>
      </c>
      <c r="Q1339">
        <v>414.63381379877751</v>
      </c>
    </row>
    <row r="1340" spans="1:17" x14ac:dyDescent="0.3">
      <c r="A1340">
        <v>353120</v>
      </c>
      <c r="B1340" s="1" t="s">
        <v>37</v>
      </c>
      <c r="C1340" s="1" t="s">
        <v>23</v>
      </c>
      <c r="D1340" s="1" t="s">
        <v>16</v>
      </c>
      <c r="E1340" s="1" t="s">
        <v>27</v>
      </c>
      <c r="F1340" s="1" t="s">
        <v>19</v>
      </c>
      <c r="G1340" s="1" t="s">
        <v>20</v>
      </c>
      <c r="H1340" t="s">
        <v>21</v>
      </c>
      <c r="I1340" s="1" t="s">
        <v>22</v>
      </c>
      <c r="J1340" s="2">
        <v>43529.789120370369</v>
      </c>
      <c r="K1340" s="2">
        <v>43533.789120370369</v>
      </c>
      <c r="L1340" s="2">
        <v>43536.789120370369</v>
      </c>
      <c r="M1340" s="1">
        <f>_xlfn.DAYS(Table1[[#This Row],[actual_delivery_date]],Table1[[#This Row],[dispatch_date]])</f>
        <v>4</v>
      </c>
      <c r="N1340">
        <v>64</v>
      </c>
      <c r="O1340">
        <f>Table1[[#This Row],[transit_storage_cost]] * (1-'What -if Analysis'!$D$26)</f>
        <v>64</v>
      </c>
      <c r="P1340">
        <v>107</v>
      </c>
      <c r="Q1340">
        <v>669.26792993673234</v>
      </c>
    </row>
    <row r="1341" spans="1:17" x14ac:dyDescent="0.3">
      <c r="A1341">
        <v>122786</v>
      </c>
      <c r="B1341" s="1" t="s">
        <v>37</v>
      </c>
      <c r="C1341" s="1" t="s">
        <v>23</v>
      </c>
      <c r="D1341" s="1" t="s">
        <v>24</v>
      </c>
      <c r="E1341" s="1" t="s">
        <v>25</v>
      </c>
      <c r="F1341" s="1" t="s">
        <v>31</v>
      </c>
      <c r="G1341" s="1" t="s">
        <v>20</v>
      </c>
      <c r="H1341" t="s">
        <v>21</v>
      </c>
      <c r="I1341" s="1" t="s">
        <v>22</v>
      </c>
      <c r="J1341" s="2">
        <v>43530.799861111111</v>
      </c>
      <c r="K1341" s="2">
        <v>43533.799861111111</v>
      </c>
      <c r="L1341" s="2">
        <v>43534.799861111111</v>
      </c>
      <c r="M1341" s="1">
        <f>_xlfn.DAYS(Table1[[#This Row],[actual_delivery_date]],Table1[[#This Row],[dispatch_date]])</f>
        <v>3</v>
      </c>
      <c r="N1341">
        <v>33</v>
      </c>
      <c r="O1341">
        <f>Table1[[#This Row],[transit_storage_cost]] * (1-'What -if Analysis'!$D$26)</f>
        <v>33</v>
      </c>
      <c r="P1341">
        <v>124</v>
      </c>
      <c r="Q1341">
        <v>3364.0769171499128</v>
      </c>
    </row>
    <row r="1342" spans="1:17" x14ac:dyDescent="0.3">
      <c r="A1342">
        <v>710889</v>
      </c>
      <c r="B1342" s="1" t="s">
        <v>40</v>
      </c>
      <c r="C1342" s="1" t="s">
        <v>16</v>
      </c>
      <c r="D1342" s="1" t="s">
        <v>17</v>
      </c>
      <c r="E1342" s="1" t="s">
        <v>18</v>
      </c>
      <c r="F1342" s="1" t="s">
        <v>29</v>
      </c>
      <c r="G1342" s="1" t="s">
        <v>20</v>
      </c>
      <c r="H1342" t="s">
        <v>30</v>
      </c>
      <c r="I1342" s="1" t="s">
        <v>26</v>
      </c>
      <c r="J1342" s="2">
        <v>43527.800347222219</v>
      </c>
      <c r="K1342" s="2">
        <v>43533.800347222219</v>
      </c>
      <c r="L1342" s="2">
        <v>43532.800347222219</v>
      </c>
      <c r="M1342" s="1">
        <f>_xlfn.DAYS(Table1[[#This Row],[actual_delivery_date]],Table1[[#This Row],[dispatch_date]])</f>
        <v>6</v>
      </c>
      <c r="N1342">
        <v>33</v>
      </c>
      <c r="O1342">
        <f>Table1[[#This Row],[transit_storage_cost]] * (1-'What -if Analysis'!$D$26)</f>
        <v>33</v>
      </c>
      <c r="P1342">
        <v>113</v>
      </c>
      <c r="Q1342">
        <v>1410.98</v>
      </c>
    </row>
    <row r="1343" spans="1:17" x14ac:dyDescent="0.3">
      <c r="A1343">
        <v>38794</v>
      </c>
      <c r="B1343" s="1" t="s">
        <v>37</v>
      </c>
      <c r="C1343" s="1" t="s">
        <v>16</v>
      </c>
      <c r="D1343" s="1" t="s">
        <v>17</v>
      </c>
      <c r="E1343" s="1" t="s">
        <v>18</v>
      </c>
      <c r="F1343" s="1" t="s">
        <v>19</v>
      </c>
      <c r="G1343" s="1" t="s">
        <v>20</v>
      </c>
      <c r="H1343" t="s">
        <v>21</v>
      </c>
      <c r="I1343" s="1" t="s">
        <v>22</v>
      </c>
      <c r="J1343" s="2">
        <v>43530.800532407404</v>
      </c>
      <c r="K1343" s="2">
        <v>43533.800532407404</v>
      </c>
      <c r="L1343" s="2">
        <v>43535.800532407404</v>
      </c>
      <c r="M1343" s="1">
        <f>_xlfn.DAYS(Table1[[#This Row],[actual_delivery_date]],Table1[[#This Row],[dispatch_date]])</f>
        <v>3</v>
      </c>
      <c r="N1343">
        <v>64</v>
      </c>
      <c r="O1343">
        <f>Table1[[#This Row],[transit_storage_cost]] * (1-'What -if Analysis'!$D$26)</f>
        <v>64</v>
      </c>
      <c r="P1343">
        <v>92</v>
      </c>
      <c r="Q1343">
        <v>2689.3753947441373</v>
      </c>
    </row>
    <row r="1344" spans="1:17" x14ac:dyDescent="0.3">
      <c r="A1344">
        <v>922600</v>
      </c>
      <c r="B1344" s="1" t="s">
        <v>37</v>
      </c>
      <c r="C1344" s="1" t="s">
        <v>23</v>
      </c>
      <c r="D1344" s="1" t="s">
        <v>16</v>
      </c>
      <c r="E1344" s="1" t="s">
        <v>27</v>
      </c>
      <c r="F1344" s="1" t="s">
        <v>19</v>
      </c>
      <c r="G1344" s="1" t="s">
        <v>20</v>
      </c>
      <c r="H1344" t="s">
        <v>21</v>
      </c>
      <c r="I1344" s="1" t="s">
        <v>22</v>
      </c>
      <c r="J1344" s="2">
        <v>43530.801898148151</v>
      </c>
      <c r="K1344" s="2">
        <v>43533.801898148151</v>
      </c>
      <c r="L1344" s="2">
        <v>43537.801898148151</v>
      </c>
      <c r="M1344" s="1">
        <f>_xlfn.DAYS(Table1[[#This Row],[actual_delivery_date]],Table1[[#This Row],[dispatch_date]])</f>
        <v>3</v>
      </c>
      <c r="N1344">
        <v>81</v>
      </c>
      <c r="O1344">
        <f>Table1[[#This Row],[transit_storage_cost]] * (1-'What -if Analysis'!$D$26)</f>
        <v>81</v>
      </c>
      <c r="P1344">
        <v>106</v>
      </c>
      <c r="Q1344">
        <v>3770.3622776922534</v>
      </c>
    </row>
    <row r="1345" spans="1:17" x14ac:dyDescent="0.3">
      <c r="A1345">
        <v>217695</v>
      </c>
      <c r="B1345" s="1" t="s">
        <v>15</v>
      </c>
      <c r="C1345" s="1" t="s">
        <v>16</v>
      </c>
      <c r="D1345" s="1" t="s">
        <v>23</v>
      </c>
      <c r="E1345" s="1" t="s">
        <v>28</v>
      </c>
      <c r="F1345" s="1" t="s">
        <v>19</v>
      </c>
      <c r="G1345" s="1" t="s">
        <v>20</v>
      </c>
      <c r="H1345" t="s">
        <v>30</v>
      </c>
      <c r="I1345" s="1" t="s">
        <v>26</v>
      </c>
      <c r="J1345" s="2">
        <v>43530.809467592589</v>
      </c>
      <c r="K1345" s="2">
        <v>43533.809467592589</v>
      </c>
      <c r="L1345" s="2">
        <v>43536.809467592589</v>
      </c>
      <c r="M1345" s="1">
        <f>_xlfn.DAYS(Table1[[#This Row],[actual_delivery_date]],Table1[[#This Row],[dispatch_date]])</f>
        <v>3</v>
      </c>
      <c r="N1345">
        <v>75</v>
      </c>
      <c r="O1345">
        <f>Table1[[#This Row],[transit_storage_cost]] * (1-'What -if Analysis'!$D$26)</f>
        <v>75</v>
      </c>
      <c r="P1345">
        <v>102</v>
      </c>
      <c r="Q1345">
        <v>1228.3454809249583</v>
      </c>
    </row>
    <row r="1346" spans="1:17" x14ac:dyDescent="0.3">
      <c r="A1346">
        <v>26473</v>
      </c>
      <c r="B1346" s="1" t="s">
        <v>37</v>
      </c>
      <c r="C1346" s="1" t="s">
        <v>16</v>
      </c>
      <c r="D1346" s="1" t="s">
        <v>17</v>
      </c>
      <c r="E1346" s="1" t="s">
        <v>18</v>
      </c>
      <c r="F1346" s="1" t="s">
        <v>19</v>
      </c>
      <c r="G1346" s="1" t="s">
        <v>20</v>
      </c>
      <c r="H1346" t="s">
        <v>30</v>
      </c>
      <c r="I1346" s="1" t="s">
        <v>22</v>
      </c>
      <c r="J1346" s="2">
        <v>43531.820092592592</v>
      </c>
      <c r="K1346" s="2">
        <v>43533.820092592592</v>
      </c>
      <c r="L1346" s="2">
        <v>43538.820092592592</v>
      </c>
      <c r="M1346" s="1">
        <f>_xlfn.DAYS(Table1[[#This Row],[actual_delivery_date]],Table1[[#This Row],[dispatch_date]])</f>
        <v>2</v>
      </c>
      <c r="N1346">
        <v>69</v>
      </c>
      <c r="O1346">
        <f>Table1[[#This Row],[transit_storage_cost]] * (1-'What -if Analysis'!$D$26)</f>
        <v>69</v>
      </c>
      <c r="P1346">
        <v>91</v>
      </c>
      <c r="Q1346">
        <v>1765</v>
      </c>
    </row>
    <row r="1347" spans="1:17" x14ac:dyDescent="0.3">
      <c r="A1347">
        <v>631303</v>
      </c>
      <c r="B1347" s="1" t="s">
        <v>39</v>
      </c>
      <c r="C1347" s="1" t="s">
        <v>16</v>
      </c>
      <c r="D1347" s="1" t="s">
        <v>32</v>
      </c>
      <c r="E1347" s="1" t="s">
        <v>33</v>
      </c>
      <c r="F1347" s="1" t="s">
        <v>29</v>
      </c>
      <c r="G1347" s="1" t="s">
        <v>20</v>
      </c>
      <c r="H1347" t="s">
        <v>30</v>
      </c>
      <c r="I1347" s="1" t="s">
        <v>22</v>
      </c>
      <c r="J1347" s="2">
        <v>43529.826006944444</v>
      </c>
      <c r="K1347" s="2">
        <v>43533.826006944444</v>
      </c>
      <c r="L1347" s="2">
        <v>43535.826006944444</v>
      </c>
      <c r="M1347" s="1">
        <f>_xlfn.DAYS(Table1[[#This Row],[actual_delivery_date]],Table1[[#This Row],[dispatch_date]])</f>
        <v>4</v>
      </c>
      <c r="N1347">
        <v>35</v>
      </c>
      <c r="O1347">
        <f>Table1[[#This Row],[transit_storage_cost]] * (1-'What -if Analysis'!$D$26)</f>
        <v>35</v>
      </c>
      <c r="P1347">
        <v>111</v>
      </c>
      <c r="Q1347">
        <v>1526.3212129209371</v>
      </c>
    </row>
    <row r="1348" spans="1:17" x14ac:dyDescent="0.3">
      <c r="A1348">
        <v>765904</v>
      </c>
      <c r="B1348" s="1" t="s">
        <v>15</v>
      </c>
      <c r="C1348" s="1" t="s">
        <v>16</v>
      </c>
      <c r="D1348" s="1" t="s">
        <v>16</v>
      </c>
      <c r="E1348" s="1" t="s">
        <v>27</v>
      </c>
      <c r="F1348" s="1" t="s">
        <v>19</v>
      </c>
      <c r="G1348" s="1" t="s">
        <v>20</v>
      </c>
      <c r="H1348" t="s">
        <v>21</v>
      </c>
      <c r="I1348" s="1" t="s">
        <v>22</v>
      </c>
      <c r="J1348" s="2">
        <v>43529.827430555553</v>
      </c>
      <c r="K1348" s="2">
        <v>43533.827430555553</v>
      </c>
      <c r="L1348" s="2">
        <v>43534.827430555553</v>
      </c>
      <c r="M1348" s="1">
        <f>_xlfn.DAYS(Table1[[#This Row],[actual_delivery_date]],Table1[[#This Row],[dispatch_date]])</f>
        <v>4</v>
      </c>
      <c r="N1348">
        <v>0</v>
      </c>
      <c r="O1348">
        <f>Table1[[#This Row],[transit_storage_cost]] * (1-'What -if Analysis'!$D$26)</f>
        <v>0</v>
      </c>
      <c r="P1348">
        <v>126</v>
      </c>
      <c r="Q1348">
        <v>2494.989617999363</v>
      </c>
    </row>
    <row r="1349" spans="1:17" x14ac:dyDescent="0.3">
      <c r="A1349">
        <v>697829</v>
      </c>
      <c r="B1349" s="1" t="s">
        <v>37</v>
      </c>
      <c r="C1349" s="1" t="s">
        <v>23</v>
      </c>
      <c r="D1349" s="1" t="s">
        <v>16</v>
      </c>
      <c r="E1349" s="1" t="s">
        <v>27</v>
      </c>
      <c r="F1349" s="1" t="s">
        <v>19</v>
      </c>
      <c r="G1349" s="1" t="s">
        <v>20</v>
      </c>
      <c r="H1349" t="s">
        <v>30</v>
      </c>
      <c r="I1349" s="1" t="s">
        <v>22</v>
      </c>
      <c r="J1349" s="2">
        <v>43531.829780092594</v>
      </c>
      <c r="K1349" s="2">
        <v>43533.829780092594</v>
      </c>
      <c r="L1349" s="2">
        <v>43535.829780092594</v>
      </c>
      <c r="M1349" s="1">
        <f>_xlfn.DAYS(Table1[[#This Row],[actual_delivery_date]],Table1[[#This Row],[dispatch_date]])</f>
        <v>2</v>
      </c>
      <c r="N1349">
        <v>71</v>
      </c>
      <c r="O1349">
        <f>Table1[[#This Row],[transit_storage_cost]] * (1-'What -if Analysis'!$D$26)</f>
        <v>71</v>
      </c>
      <c r="P1349">
        <v>106</v>
      </c>
      <c r="Q1349">
        <v>3403</v>
      </c>
    </row>
    <row r="1350" spans="1:17" x14ac:dyDescent="0.3">
      <c r="A1350">
        <v>835558</v>
      </c>
      <c r="B1350" s="1" t="s">
        <v>39</v>
      </c>
      <c r="C1350" s="1" t="s">
        <v>23</v>
      </c>
      <c r="D1350" s="1" t="s">
        <v>32</v>
      </c>
      <c r="E1350" s="1" t="s">
        <v>33</v>
      </c>
      <c r="F1350" s="1" t="s">
        <v>31</v>
      </c>
      <c r="G1350" s="1" t="s">
        <v>20</v>
      </c>
      <c r="H1350" t="s">
        <v>21</v>
      </c>
      <c r="I1350" s="1" t="s">
        <v>22</v>
      </c>
      <c r="J1350" s="2">
        <v>43530.833124999997</v>
      </c>
      <c r="K1350" s="2">
        <v>43533.833124999997</v>
      </c>
      <c r="L1350" s="2">
        <v>43537.833124999997</v>
      </c>
      <c r="M1350" s="1">
        <f>_xlfn.DAYS(Table1[[#This Row],[actual_delivery_date]],Table1[[#This Row],[dispatch_date]])</f>
        <v>3</v>
      </c>
      <c r="N1350">
        <v>37</v>
      </c>
      <c r="O1350">
        <f>Table1[[#This Row],[transit_storage_cost]] * (1-'What -if Analysis'!$D$26)</f>
        <v>37</v>
      </c>
      <c r="P1350">
        <v>110</v>
      </c>
      <c r="Q1350">
        <v>1558.463081358826</v>
      </c>
    </row>
    <row r="1351" spans="1:17" x14ac:dyDescent="0.3">
      <c r="A1351">
        <v>864394</v>
      </c>
      <c r="B1351" s="1" t="s">
        <v>40</v>
      </c>
      <c r="C1351" s="1" t="s">
        <v>16</v>
      </c>
      <c r="D1351" s="1" t="s">
        <v>32</v>
      </c>
      <c r="E1351" s="1" t="s">
        <v>33</v>
      </c>
      <c r="F1351" s="1" t="s">
        <v>19</v>
      </c>
      <c r="G1351" s="1" t="s">
        <v>20</v>
      </c>
      <c r="H1351" t="s">
        <v>21</v>
      </c>
      <c r="I1351" s="1" t="s">
        <v>22</v>
      </c>
      <c r="J1351" s="2">
        <v>43529.836064814815</v>
      </c>
      <c r="K1351" s="2">
        <v>43533.836064814815</v>
      </c>
      <c r="L1351" s="2">
        <v>43535.836064814815</v>
      </c>
      <c r="M1351" s="1">
        <f>_xlfn.DAYS(Table1[[#This Row],[actual_delivery_date]],Table1[[#This Row],[dispatch_date]])</f>
        <v>4</v>
      </c>
      <c r="N1351">
        <v>59</v>
      </c>
      <c r="O1351">
        <f>Table1[[#This Row],[transit_storage_cost]] * (1-'What -if Analysis'!$D$26)</f>
        <v>59</v>
      </c>
      <c r="P1351">
        <v>85</v>
      </c>
      <c r="Q1351">
        <v>2980.4566056421581</v>
      </c>
    </row>
    <row r="1352" spans="1:17" x14ac:dyDescent="0.3">
      <c r="A1352">
        <v>544341</v>
      </c>
      <c r="B1352" s="1" t="s">
        <v>41</v>
      </c>
      <c r="C1352" s="1" t="s">
        <v>16</v>
      </c>
      <c r="D1352" s="1" t="s">
        <v>23</v>
      </c>
      <c r="E1352" s="1" t="s">
        <v>28</v>
      </c>
      <c r="F1352" s="1" t="s">
        <v>19</v>
      </c>
      <c r="G1352" s="1" t="s">
        <v>20</v>
      </c>
      <c r="H1352" t="s">
        <v>34</v>
      </c>
      <c r="I1352" s="1" t="s">
        <v>26</v>
      </c>
      <c r="J1352" s="2">
        <v>43531.839386574073</v>
      </c>
      <c r="K1352" s="2">
        <v>43533.839386574073</v>
      </c>
      <c r="L1352" s="2">
        <v>43535.839386574073</v>
      </c>
      <c r="M1352" s="1">
        <f>_xlfn.DAYS(Table1[[#This Row],[actual_delivery_date]],Table1[[#This Row],[dispatch_date]])</f>
        <v>2</v>
      </c>
      <c r="N1352">
        <v>60</v>
      </c>
      <c r="O1352">
        <f>Table1[[#This Row],[transit_storage_cost]] * (1-'What -if Analysis'!$D$26)</f>
        <v>60</v>
      </c>
      <c r="P1352">
        <v>106</v>
      </c>
      <c r="Q1352">
        <v>1297.2120702378779</v>
      </c>
    </row>
    <row r="1353" spans="1:17" x14ac:dyDescent="0.3">
      <c r="A1353">
        <v>148789</v>
      </c>
      <c r="B1353" s="1" t="s">
        <v>40</v>
      </c>
      <c r="C1353" s="1" t="s">
        <v>23</v>
      </c>
      <c r="D1353" s="1" t="s">
        <v>16</v>
      </c>
      <c r="E1353" s="1" t="s">
        <v>27</v>
      </c>
      <c r="F1353" s="1" t="s">
        <v>29</v>
      </c>
      <c r="G1353" s="1" t="s">
        <v>20</v>
      </c>
      <c r="H1353" t="s">
        <v>30</v>
      </c>
      <c r="I1353" s="1" t="s">
        <v>22</v>
      </c>
      <c r="J1353" s="2">
        <v>43526.842916666668</v>
      </c>
      <c r="K1353" s="2">
        <v>43533.842916666668</v>
      </c>
      <c r="L1353" s="2">
        <v>43533.842916666668</v>
      </c>
      <c r="M1353" s="1">
        <f>_xlfn.DAYS(Table1[[#This Row],[actual_delivery_date]],Table1[[#This Row],[dispatch_date]])</f>
        <v>7</v>
      </c>
      <c r="N1353">
        <v>40</v>
      </c>
      <c r="O1353">
        <f>Table1[[#This Row],[transit_storage_cost]] * (1-'What -if Analysis'!$D$26)</f>
        <v>40</v>
      </c>
      <c r="P1353">
        <v>122</v>
      </c>
      <c r="Q1353">
        <v>525.05894471196973</v>
      </c>
    </row>
    <row r="1354" spans="1:17" x14ac:dyDescent="0.3">
      <c r="A1354">
        <v>227474</v>
      </c>
      <c r="B1354" s="1" t="s">
        <v>37</v>
      </c>
      <c r="C1354" s="1" t="s">
        <v>16</v>
      </c>
      <c r="D1354" s="1" t="s">
        <v>23</v>
      </c>
      <c r="E1354" s="1" t="s">
        <v>28</v>
      </c>
      <c r="F1354" s="1" t="s">
        <v>31</v>
      </c>
      <c r="G1354" s="1" t="s">
        <v>20</v>
      </c>
      <c r="H1354" t="s">
        <v>21</v>
      </c>
      <c r="I1354" s="1" t="s">
        <v>22</v>
      </c>
      <c r="J1354" s="2">
        <v>43528.844305555554</v>
      </c>
      <c r="K1354" s="2">
        <v>43533.844305555554</v>
      </c>
      <c r="L1354" s="2">
        <v>43535.844305555554</v>
      </c>
      <c r="M1354" s="1">
        <f>_xlfn.DAYS(Table1[[#This Row],[actual_delivery_date]],Table1[[#This Row],[dispatch_date]])</f>
        <v>5</v>
      </c>
      <c r="N1354">
        <v>36</v>
      </c>
      <c r="O1354">
        <f>Table1[[#This Row],[transit_storage_cost]] * (1-'What -if Analysis'!$D$26)</f>
        <v>36</v>
      </c>
      <c r="P1354">
        <v>120</v>
      </c>
      <c r="Q1354">
        <v>3066.6480753517344</v>
      </c>
    </row>
    <row r="1355" spans="1:17" x14ac:dyDescent="0.3">
      <c r="A1355">
        <v>967181</v>
      </c>
      <c r="B1355" s="1" t="s">
        <v>38</v>
      </c>
      <c r="C1355" s="1" t="s">
        <v>16</v>
      </c>
      <c r="D1355" s="1" t="s">
        <v>16</v>
      </c>
      <c r="E1355" s="1" t="s">
        <v>27</v>
      </c>
      <c r="F1355" s="1" t="s">
        <v>29</v>
      </c>
      <c r="G1355" s="1" t="s">
        <v>20</v>
      </c>
      <c r="H1355" t="s">
        <v>30</v>
      </c>
      <c r="I1355" s="1" t="s">
        <v>22</v>
      </c>
      <c r="J1355" s="2">
        <v>43531.852187500001</v>
      </c>
      <c r="K1355" s="2">
        <v>43533.852187500001</v>
      </c>
      <c r="L1355" s="2">
        <v>43537.852187500001</v>
      </c>
      <c r="M1355" s="1">
        <f>_xlfn.DAYS(Table1[[#This Row],[actual_delivery_date]],Table1[[#This Row],[dispatch_date]])</f>
        <v>2</v>
      </c>
      <c r="N1355">
        <v>0</v>
      </c>
      <c r="O1355">
        <f>Table1[[#This Row],[transit_storage_cost]] * (1-'What -if Analysis'!$D$26)</f>
        <v>0</v>
      </c>
      <c r="P1355">
        <v>120</v>
      </c>
      <c r="Q1355">
        <v>1720.2453513098253</v>
      </c>
    </row>
    <row r="1356" spans="1:17" x14ac:dyDescent="0.3">
      <c r="A1356">
        <v>820203</v>
      </c>
      <c r="B1356" s="1" t="s">
        <v>37</v>
      </c>
      <c r="C1356" s="1" t="s">
        <v>23</v>
      </c>
      <c r="D1356" s="1" t="s">
        <v>24</v>
      </c>
      <c r="E1356" s="1" t="s">
        <v>25</v>
      </c>
      <c r="F1356" s="1" t="s">
        <v>29</v>
      </c>
      <c r="G1356" s="1" t="s">
        <v>20</v>
      </c>
      <c r="H1356" t="s">
        <v>30</v>
      </c>
      <c r="I1356" s="1" t="s">
        <v>26</v>
      </c>
      <c r="J1356" s="2">
        <v>43531.853356481479</v>
      </c>
      <c r="K1356" s="2">
        <v>43533.853356481479</v>
      </c>
      <c r="L1356" s="2">
        <v>43537.853356481479</v>
      </c>
      <c r="M1356" s="1">
        <f>_xlfn.DAYS(Table1[[#This Row],[actual_delivery_date]],Table1[[#This Row],[dispatch_date]])</f>
        <v>2</v>
      </c>
      <c r="N1356">
        <v>41</v>
      </c>
      <c r="O1356">
        <f>Table1[[#This Row],[transit_storage_cost]] * (1-'What -if Analysis'!$D$26)</f>
        <v>41</v>
      </c>
      <c r="P1356">
        <v>129</v>
      </c>
      <c r="Q1356">
        <v>1050</v>
      </c>
    </row>
    <row r="1357" spans="1:17" x14ac:dyDescent="0.3">
      <c r="A1357">
        <v>736023</v>
      </c>
      <c r="B1357" s="1" t="s">
        <v>39</v>
      </c>
      <c r="C1357" s="1" t="s">
        <v>16</v>
      </c>
      <c r="D1357" s="1" t="s">
        <v>17</v>
      </c>
      <c r="E1357" s="1" t="s">
        <v>18</v>
      </c>
      <c r="F1357" s="1" t="s">
        <v>29</v>
      </c>
      <c r="G1357" s="1" t="s">
        <v>20</v>
      </c>
      <c r="H1357" t="s">
        <v>30</v>
      </c>
      <c r="I1357" s="1" t="s">
        <v>26</v>
      </c>
      <c r="J1357" s="2">
        <v>43526.853888888887</v>
      </c>
      <c r="K1357" s="2">
        <v>43533.853888888887</v>
      </c>
      <c r="L1357" s="2">
        <v>43530.853888888887</v>
      </c>
      <c r="M1357" s="1">
        <f>_xlfn.DAYS(Table1[[#This Row],[actual_delivery_date]],Table1[[#This Row],[dispatch_date]])</f>
        <v>7</v>
      </c>
      <c r="N1357">
        <v>47</v>
      </c>
      <c r="O1357">
        <f>Table1[[#This Row],[transit_storage_cost]] * (1-'What -if Analysis'!$D$26)</f>
        <v>47</v>
      </c>
      <c r="P1357">
        <v>113</v>
      </c>
      <c r="Q1357">
        <v>2549.77</v>
      </c>
    </row>
    <row r="1358" spans="1:17" x14ac:dyDescent="0.3">
      <c r="A1358">
        <v>899244</v>
      </c>
      <c r="B1358" s="1" t="s">
        <v>39</v>
      </c>
      <c r="C1358" s="1" t="s">
        <v>23</v>
      </c>
      <c r="D1358" s="1" t="s">
        <v>17</v>
      </c>
      <c r="E1358" s="1" t="s">
        <v>18</v>
      </c>
      <c r="F1358" s="1" t="s">
        <v>19</v>
      </c>
      <c r="G1358" s="1" t="s">
        <v>20</v>
      </c>
      <c r="H1358" t="s">
        <v>21</v>
      </c>
      <c r="I1358" s="1" t="s">
        <v>26</v>
      </c>
      <c r="J1358" s="2">
        <v>43527.855069444442</v>
      </c>
      <c r="K1358" s="2">
        <v>43533.855069444442</v>
      </c>
      <c r="L1358" s="2">
        <v>43531.855069444442</v>
      </c>
      <c r="M1358" s="1">
        <f>_xlfn.DAYS(Table1[[#This Row],[actual_delivery_date]],Table1[[#This Row],[dispatch_date]])</f>
        <v>6</v>
      </c>
      <c r="N1358">
        <v>50</v>
      </c>
      <c r="O1358">
        <f>Table1[[#This Row],[transit_storage_cost]] * (1-'What -if Analysis'!$D$26)</f>
        <v>50</v>
      </c>
      <c r="P1358">
        <v>109</v>
      </c>
      <c r="Q1358">
        <v>180.85</v>
      </c>
    </row>
    <row r="1359" spans="1:17" x14ac:dyDescent="0.3">
      <c r="A1359">
        <v>485916</v>
      </c>
      <c r="B1359" s="1" t="s">
        <v>37</v>
      </c>
      <c r="C1359" s="1" t="s">
        <v>16</v>
      </c>
      <c r="D1359" s="1" t="s">
        <v>16</v>
      </c>
      <c r="E1359" s="1" t="s">
        <v>27</v>
      </c>
      <c r="F1359" s="1" t="s">
        <v>19</v>
      </c>
      <c r="G1359" s="1" t="s">
        <v>36</v>
      </c>
      <c r="H1359" t="s">
        <v>21</v>
      </c>
      <c r="I1359" s="1" t="s">
        <v>26</v>
      </c>
      <c r="J1359" s="2">
        <v>43530.859386574077</v>
      </c>
      <c r="K1359" s="2">
        <v>43533.859386574077</v>
      </c>
      <c r="L1359" s="2">
        <v>43534.859386574077</v>
      </c>
      <c r="M1359" s="1">
        <f>_xlfn.DAYS(Table1[[#This Row],[actual_delivery_date]],Table1[[#This Row],[dispatch_date]])</f>
        <v>3</v>
      </c>
      <c r="N1359">
        <v>0</v>
      </c>
      <c r="O1359">
        <f>Table1[[#This Row],[transit_storage_cost]] * (1-'What -if Analysis'!$D$26)</f>
        <v>0</v>
      </c>
      <c r="P1359">
        <v>125</v>
      </c>
      <c r="Q1359">
        <v>1548.7591977243917</v>
      </c>
    </row>
    <row r="1360" spans="1:17" x14ac:dyDescent="0.3">
      <c r="A1360">
        <v>148179</v>
      </c>
      <c r="B1360" s="1" t="s">
        <v>37</v>
      </c>
      <c r="C1360" s="1" t="s">
        <v>23</v>
      </c>
      <c r="D1360" s="1" t="s">
        <v>24</v>
      </c>
      <c r="E1360" s="1" t="s">
        <v>25</v>
      </c>
      <c r="F1360" s="1" t="s">
        <v>19</v>
      </c>
      <c r="G1360" s="1" t="s">
        <v>20</v>
      </c>
      <c r="H1360" t="s">
        <v>30</v>
      </c>
      <c r="I1360" s="1" t="s">
        <v>26</v>
      </c>
      <c r="J1360" s="2">
        <v>43529.86037037037</v>
      </c>
      <c r="K1360" s="2">
        <v>43533.86037037037</v>
      </c>
      <c r="L1360" s="2">
        <v>43536.86037037037</v>
      </c>
      <c r="M1360" s="1">
        <f>_xlfn.DAYS(Table1[[#This Row],[actual_delivery_date]],Table1[[#This Row],[dispatch_date]])</f>
        <v>4</v>
      </c>
      <c r="N1360">
        <v>67</v>
      </c>
      <c r="O1360">
        <f>Table1[[#This Row],[transit_storage_cost]] * (1-'What -if Analysis'!$D$26)</f>
        <v>67</v>
      </c>
      <c r="P1360">
        <v>110</v>
      </c>
      <c r="Q1360">
        <v>1418.56</v>
      </c>
    </row>
    <row r="1361" spans="1:17" x14ac:dyDescent="0.3">
      <c r="A1361">
        <v>728942</v>
      </c>
      <c r="B1361" s="1" t="s">
        <v>38</v>
      </c>
      <c r="C1361" s="1" t="s">
        <v>23</v>
      </c>
      <c r="D1361" s="1" t="s">
        <v>17</v>
      </c>
      <c r="E1361" s="1" t="s">
        <v>18</v>
      </c>
      <c r="F1361" s="1" t="s">
        <v>31</v>
      </c>
      <c r="G1361" s="1" t="s">
        <v>20</v>
      </c>
      <c r="H1361" t="s">
        <v>21</v>
      </c>
      <c r="I1361" s="1" t="s">
        <v>22</v>
      </c>
      <c r="J1361" s="2">
        <v>43525.863807870373</v>
      </c>
      <c r="K1361" s="2">
        <v>43533.863807870373</v>
      </c>
      <c r="L1361" s="2">
        <v>43531.863807870373</v>
      </c>
      <c r="M1361" s="1">
        <f>_xlfn.DAYS(Table1[[#This Row],[actual_delivery_date]],Table1[[#This Row],[dispatch_date]])</f>
        <v>8</v>
      </c>
      <c r="N1361">
        <v>37</v>
      </c>
      <c r="O1361">
        <f>Table1[[#This Row],[transit_storage_cost]] * (1-'What -if Analysis'!$D$26)</f>
        <v>37</v>
      </c>
      <c r="P1361">
        <v>106</v>
      </c>
      <c r="Q1361">
        <v>3069.3277555739533</v>
      </c>
    </row>
    <row r="1362" spans="1:17" x14ac:dyDescent="0.3">
      <c r="A1362">
        <v>77922</v>
      </c>
      <c r="B1362" s="1" t="s">
        <v>38</v>
      </c>
      <c r="C1362" s="1" t="s">
        <v>16</v>
      </c>
      <c r="D1362" s="1" t="s">
        <v>16</v>
      </c>
      <c r="E1362" s="1" t="s">
        <v>27</v>
      </c>
      <c r="F1362" s="1" t="s">
        <v>31</v>
      </c>
      <c r="G1362" s="1" t="s">
        <v>20</v>
      </c>
      <c r="H1362" t="s">
        <v>21</v>
      </c>
      <c r="I1362" s="1" t="s">
        <v>26</v>
      </c>
      <c r="J1362" s="2">
        <v>43526.876030092593</v>
      </c>
      <c r="K1362" s="2">
        <v>43533.876030092593</v>
      </c>
      <c r="L1362" s="2">
        <v>43531.876030092593</v>
      </c>
      <c r="M1362" s="1">
        <f>_xlfn.DAYS(Table1[[#This Row],[actual_delivery_date]],Table1[[#This Row],[dispatch_date]])</f>
        <v>7</v>
      </c>
      <c r="N1362">
        <v>0</v>
      </c>
      <c r="O1362">
        <f>Table1[[#This Row],[transit_storage_cost]] * (1-'What -if Analysis'!$D$26)</f>
        <v>0</v>
      </c>
      <c r="P1362">
        <v>130</v>
      </c>
      <c r="Q1362">
        <v>511.24</v>
      </c>
    </row>
    <row r="1363" spans="1:17" x14ac:dyDescent="0.3">
      <c r="A1363">
        <v>124559</v>
      </c>
      <c r="B1363" s="1" t="s">
        <v>38</v>
      </c>
      <c r="C1363" s="1" t="s">
        <v>23</v>
      </c>
      <c r="D1363" s="1" t="s">
        <v>32</v>
      </c>
      <c r="E1363" s="1" t="s">
        <v>33</v>
      </c>
      <c r="F1363" s="1" t="s">
        <v>29</v>
      </c>
      <c r="G1363" s="1" t="s">
        <v>20</v>
      </c>
      <c r="H1363" t="s">
        <v>30</v>
      </c>
      <c r="I1363" s="1" t="s">
        <v>22</v>
      </c>
      <c r="J1363" s="2">
        <v>43526.877708333333</v>
      </c>
      <c r="K1363" s="2">
        <v>43533.877708333333</v>
      </c>
      <c r="L1363" s="2">
        <v>43532.877708333333</v>
      </c>
      <c r="M1363" s="1">
        <f>_xlfn.DAYS(Table1[[#This Row],[actual_delivery_date]],Table1[[#This Row],[dispatch_date]])</f>
        <v>7</v>
      </c>
      <c r="N1363">
        <v>40</v>
      </c>
      <c r="O1363">
        <f>Table1[[#This Row],[transit_storage_cost]] * (1-'What -if Analysis'!$D$26)</f>
        <v>40</v>
      </c>
      <c r="P1363">
        <v>108</v>
      </c>
      <c r="Q1363">
        <v>2262.0087742575683</v>
      </c>
    </row>
    <row r="1364" spans="1:17" x14ac:dyDescent="0.3">
      <c r="A1364">
        <v>771113</v>
      </c>
      <c r="B1364" s="1" t="s">
        <v>38</v>
      </c>
      <c r="C1364" s="1" t="s">
        <v>23</v>
      </c>
      <c r="D1364" s="1" t="s">
        <v>17</v>
      </c>
      <c r="E1364" s="1" t="s">
        <v>18</v>
      </c>
      <c r="F1364" s="1" t="s">
        <v>29</v>
      </c>
      <c r="G1364" s="1" t="s">
        <v>20</v>
      </c>
      <c r="H1364" t="s">
        <v>34</v>
      </c>
      <c r="I1364" s="1" t="s">
        <v>22</v>
      </c>
      <c r="J1364" s="2">
        <v>43529.878217592595</v>
      </c>
      <c r="K1364" s="2">
        <v>43533.878217592595</v>
      </c>
      <c r="L1364" s="2">
        <v>43532.878217592595</v>
      </c>
      <c r="M1364" s="1">
        <f>_xlfn.DAYS(Table1[[#This Row],[actual_delivery_date]],Table1[[#This Row],[dispatch_date]])</f>
        <v>4</v>
      </c>
      <c r="N1364">
        <v>32</v>
      </c>
      <c r="O1364">
        <f>Table1[[#This Row],[transit_storage_cost]] * (1-'What -if Analysis'!$D$26)</f>
        <v>32</v>
      </c>
      <c r="P1364">
        <v>109</v>
      </c>
      <c r="Q1364">
        <v>3562.1141125776044</v>
      </c>
    </row>
    <row r="1365" spans="1:17" x14ac:dyDescent="0.3">
      <c r="A1365">
        <v>493259</v>
      </c>
      <c r="B1365" s="1" t="s">
        <v>15</v>
      </c>
      <c r="C1365" s="1" t="s">
        <v>16</v>
      </c>
      <c r="D1365" s="1" t="s">
        <v>16</v>
      </c>
      <c r="E1365" s="1" t="s">
        <v>27</v>
      </c>
      <c r="F1365" s="1" t="s">
        <v>19</v>
      </c>
      <c r="G1365" s="1" t="s">
        <v>20</v>
      </c>
      <c r="H1365" t="s">
        <v>30</v>
      </c>
      <c r="I1365" s="1" t="s">
        <v>22</v>
      </c>
      <c r="J1365" s="2">
        <v>43530.878240740742</v>
      </c>
      <c r="K1365" s="2">
        <v>43533.878240740742</v>
      </c>
      <c r="L1365" s="2">
        <v>43534.878240740742</v>
      </c>
      <c r="M1365" s="1">
        <f>_xlfn.DAYS(Table1[[#This Row],[actual_delivery_date]],Table1[[#This Row],[dispatch_date]])</f>
        <v>3</v>
      </c>
      <c r="N1365">
        <v>0</v>
      </c>
      <c r="O1365">
        <f>Table1[[#This Row],[transit_storage_cost]] * (1-'What -if Analysis'!$D$26)</f>
        <v>0</v>
      </c>
      <c r="P1365">
        <v>107</v>
      </c>
      <c r="Q1365">
        <v>3042.5348367689917</v>
      </c>
    </row>
    <row r="1366" spans="1:17" x14ac:dyDescent="0.3">
      <c r="A1366">
        <v>81357</v>
      </c>
      <c r="B1366" s="1" t="s">
        <v>38</v>
      </c>
      <c r="C1366" s="1" t="s">
        <v>16</v>
      </c>
      <c r="D1366" s="1" t="s">
        <v>23</v>
      </c>
      <c r="E1366" s="1" t="s">
        <v>28</v>
      </c>
      <c r="F1366" s="1" t="s">
        <v>19</v>
      </c>
      <c r="G1366" s="1" t="s">
        <v>20</v>
      </c>
      <c r="H1366" t="s">
        <v>30</v>
      </c>
      <c r="I1366" s="1" t="s">
        <v>26</v>
      </c>
      <c r="J1366" s="2">
        <v>43527.880416666667</v>
      </c>
      <c r="K1366" s="2">
        <v>43533.880416666667</v>
      </c>
      <c r="L1366" s="2">
        <v>43530.880416666667</v>
      </c>
      <c r="M1366" s="1">
        <f>_xlfn.DAYS(Table1[[#This Row],[actual_delivery_date]],Table1[[#This Row],[dispatch_date]])</f>
        <v>6</v>
      </c>
      <c r="N1366">
        <v>64</v>
      </c>
      <c r="O1366">
        <f>Table1[[#This Row],[transit_storage_cost]] * (1-'What -if Analysis'!$D$26)</f>
        <v>64</v>
      </c>
      <c r="P1366">
        <v>104</v>
      </c>
      <c r="Q1366">
        <v>1223.5899999999999</v>
      </c>
    </row>
    <row r="1367" spans="1:17" x14ac:dyDescent="0.3">
      <c r="A1367">
        <v>246424</v>
      </c>
      <c r="B1367" s="1" t="s">
        <v>38</v>
      </c>
      <c r="C1367" s="1" t="s">
        <v>16</v>
      </c>
      <c r="D1367" s="1" t="s">
        <v>16</v>
      </c>
      <c r="E1367" s="1" t="s">
        <v>27</v>
      </c>
      <c r="F1367" s="1" t="s">
        <v>19</v>
      </c>
      <c r="G1367" s="1" t="s">
        <v>20</v>
      </c>
      <c r="H1367" t="s">
        <v>21</v>
      </c>
      <c r="I1367" s="1" t="s">
        <v>22</v>
      </c>
      <c r="J1367" s="2">
        <v>43533.884479166663</v>
      </c>
      <c r="K1367" s="2">
        <v>43533.884479166663</v>
      </c>
      <c r="L1367" s="2">
        <v>43537.884479166663</v>
      </c>
      <c r="M1367" s="1">
        <f>_xlfn.DAYS(Table1[[#This Row],[actual_delivery_date]],Table1[[#This Row],[dispatch_date]])</f>
        <v>0</v>
      </c>
      <c r="N1367">
        <v>0</v>
      </c>
      <c r="O1367">
        <f>Table1[[#This Row],[transit_storage_cost]] * (1-'What -if Analysis'!$D$26)</f>
        <v>0</v>
      </c>
      <c r="P1367">
        <v>129</v>
      </c>
      <c r="Q1367">
        <v>507.34288717276274</v>
      </c>
    </row>
    <row r="1368" spans="1:17" x14ac:dyDescent="0.3">
      <c r="A1368">
        <v>558559</v>
      </c>
      <c r="B1368" s="1" t="s">
        <v>41</v>
      </c>
      <c r="C1368" s="1" t="s">
        <v>16</v>
      </c>
      <c r="D1368" s="1" t="s">
        <v>23</v>
      </c>
      <c r="E1368" s="1" t="s">
        <v>28</v>
      </c>
      <c r="F1368" s="1" t="s">
        <v>29</v>
      </c>
      <c r="G1368" s="1" t="s">
        <v>20</v>
      </c>
      <c r="H1368" t="s">
        <v>30</v>
      </c>
      <c r="I1368" s="1" t="s">
        <v>22</v>
      </c>
      <c r="J1368" s="2">
        <v>43528.888495370367</v>
      </c>
      <c r="K1368" s="2">
        <v>43533.888495370367</v>
      </c>
      <c r="L1368" s="2">
        <v>43535.888495370367</v>
      </c>
      <c r="M1368" s="1">
        <f>_xlfn.DAYS(Table1[[#This Row],[actual_delivery_date]],Table1[[#This Row],[dispatch_date]])</f>
        <v>5</v>
      </c>
      <c r="N1368">
        <v>42</v>
      </c>
      <c r="O1368">
        <f>Table1[[#This Row],[transit_storage_cost]] * (1-'What -if Analysis'!$D$26)</f>
        <v>42</v>
      </c>
      <c r="P1368">
        <v>125</v>
      </c>
      <c r="Q1368">
        <v>2134.848955850011</v>
      </c>
    </row>
    <row r="1369" spans="1:17" x14ac:dyDescent="0.3">
      <c r="A1369">
        <v>235626</v>
      </c>
      <c r="B1369" s="1" t="s">
        <v>38</v>
      </c>
      <c r="C1369" s="1" t="s">
        <v>23</v>
      </c>
      <c r="D1369" s="1" t="s">
        <v>16</v>
      </c>
      <c r="E1369" s="1" t="s">
        <v>27</v>
      </c>
      <c r="F1369" s="1" t="s">
        <v>31</v>
      </c>
      <c r="G1369" s="1" t="s">
        <v>20</v>
      </c>
      <c r="H1369" t="s">
        <v>21</v>
      </c>
      <c r="I1369" s="1" t="s">
        <v>26</v>
      </c>
      <c r="J1369" s="2">
        <v>43525.891967592594</v>
      </c>
      <c r="K1369" s="2">
        <v>43533.891967592594</v>
      </c>
      <c r="L1369" s="2">
        <v>43531.891967592594</v>
      </c>
      <c r="M1369" s="1">
        <f>_xlfn.DAYS(Table1[[#This Row],[actual_delivery_date]],Table1[[#This Row],[dispatch_date]])</f>
        <v>8</v>
      </c>
      <c r="N1369">
        <v>50</v>
      </c>
      <c r="O1369">
        <f>Table1[[#This Row],[transit_storage_cost]] * (1-'What -if Analysis'!$D$26)</f>
        <v>50</v>
      </c>
      <c r="P1369">
        <v>130</v>
      </c>
      <c r="Q1369">
        <v>1151.01</v>
      </c>
    </row>
    <row r="1370" spans="1:17" x14ac:dyDescent="0.3">
      <c r="A1370">
        <v>672748</v>
      </c>
      <c r="B1370" s="1" t="s">
        <v>37</v>
      </c>
      <c r="C1370" s="1" t="s">
        <v>23</v>
      </c>
      <c r="D1370" s="1" t="s">
        <v>32</v>
      </c>
      <c r="E1370" s="1" t="s">
        <v>33</v>
      </c>
      <c r="F1370" s="1" t="s">
        <v>19</v>
      </c>
      <c r="G1370" s="1" t="s">
        <v>20</v>
      </c>
      <c r="H1370" t="s">
        <v>21</v>
      </c>
      <c r="I1370" s="1" t="s">
        <v>22</v>
      </c>
      <c r="J1370" s="2">
        <v>43525.892094907409</v>
      </c>
      <c r="K1370" s="2">
        <v>43533.892094907409</v>
      </c>
      <c r="L1370" s="2">
        <v>43530.892094907409</v>
      </c>
      <c r="M1370" s="1">
        <f>_xlfn.DAYS(Table1[[#This Row],[actual_delivery_date]],Table1[[#This Row],[dispatch_date]])</f>
        <v>8</v>
      </c>
      <c r="N1370">
        <v>63</v>
      </c>
      <c r="O1370">
        <f>Table1[[#This Row],[transit_storage_cost]] * (1-'What -if Analysis'!$D$26)</f>
        <v>63</v>
      </c>
      <c r="P1370">
        <v>93</v>
      </c>
      <c r="Q1370">
        <v>3133.5814587915152</v>
      </c>
    </row>
    <row r="1371" spans="1:17" x14ac:dyDescent="0.3">
      <c r="A1371">
        <v>567656</v>
      </c>
      <c r="B1371" s="1" t="s">
        <v>38</v>
      </c>
      <c r="C1371" s="1" t="s">
        <v>16</v>
      </c>
      <c r="D1371" s="1" t="s">
        <v>23</v>
      </c>
      <c r="E1371" s="1" t="s">
        <v>28</v>
      </c>
      <c r="F1371" s="1" t="s">
        <v>19</v>
      </c>
      <c r="G1371" s="1" t="s">
        <v>20</v>
      </c>
      <c r="H1371" t="s">
        <v>21</v>
      </c>
      <c r="I1371" s="1" t="s">
        <v>22</v>
      </c>
      <c r="J1371" s="2">
        <v>43531.892245370371</v>
      </c>
      <c r="K1371" s="2">
        <v>43533.892245370371</v>
      </c>
      <c r="L1371" s="2">
        <v>43535.892245370371</v>
      </c>
      <c r="M1371" s="1">
        <f>_xlfn.DAYS(Table1[[#This Row],[actual_delivery_date]],Table1[[#This Row],[dispatch_date]])</f>
        <v>2</v>
      </c>
      <c r="N1371">
        <v>41</v>
      </c>
      <c r="O1371">
        <f>Table1[[#This Row],[transit_storage_cost]] * (1-'What -if Analysis'!$D$26)</f>
        <v>41</v>
      </c>
      <c r="P1371">
        <v>127</v>
      </c>
      <c r="Q1371">
        <v>3631.7560990800562</v>
      </c>
    </row>
    <row r="1372" spans="1:17" x14ac:dyDescent="0.3">
      <c r="A1372">
        <v>350939</v>
      </c>
      <c r="B1372" s="1" t="s">
        <v>38</v>
      </c>
      <c r="C1372" s="1" t="s">
        <v>23</v>
      </c>
      <c r="D1372" s="1" t="s">
        <v>23</v>
      </c>
      <c r="E1372" s="1" t="s">
        <v>28</v>
      </c>
      <c r="F1372" s="1" t="s">
        <v>19</v>
      </c>
      <c r="G1372" s="1" t="s">
        <v>20</v>
      </c>
      <c r="H1372" t="s">
        <v>30</v>
      </c>
      <c r="I1372" s="1" t="s">
        <v>22</v>
      </c>
      <c r="J1372" s="2">
        <v>43533.896516203706</v>
      </c>
      <c r="K1372" s="2">
        <v>43533.896516203706</v>
      </c>
      <c r="L1372" s="2">
        <v>43536.896516203706</v>
      </c>
      <c r="M1372" s="1">
        <f>_xlfn.DAYS(Table1[[#This Row],[actual_delivery_date]],Table1[[#This Row],[dispatch_date]])</f>
        <v>0</v>
      </c>
      <c r="N1372">
        <v>0</v>
      </c>
      <c r="O1372">
        <f>Table1[[#This Row],[transit_storage_cost]] * (1-'What -if Analysis'!$D$26)</f>
        <v>0</v>
      </c>
      <c r="P1372">
        <v>109</v>
      </c>
      <c r="Q1372">
        <v>2391.5270669885585</v>
      </c>
    </row>
    <row r="1373" spans="1:17" x14ac:dyDescent="0.3">
      <c r="A1373">
        <v>504829</v>
      </c>
      <c r="B1373" s="1" t="s">
        <v>41</v>
      </c>
      <c r="C1373" s="1" t="s">
        <v>16</v>
      </c>
      <c r="D1373" s="1" t="s">
        <v>17</v>
      </c>
      <c r="E1373" s="1" t="s">
        <v>18</v>
      </c>
      <c r="F1373" s="1" t="s">
        <v>19</v>
      </c>
      <c r="G1373" s="1" t="s">
        <v>20</v>
      </c>
      <c r="H1373" t="s">
        <v>30</v>
      </c>
      <c r="I1373" s="1" t="s">
        <v>22</v>
      </c>
      <c r="J1373" s="2">
        <v>43529.897465277776</v>
      </c>
      <c r="K1373" s="2">
        <v>43533.897465277776</v>
      </c>
      <c r="L1373" s="2">
        <v>43532.897465277776</v>
      </c>
      <c r="M1373" s="1">
        <f>_xlfn.DAYS(Table1[[#This Row],[actual_delivery_date]],Table1[[#This Row],[dispatch_date]])</f>
        <v>4</v>
      </c>
      <c r="N1373">
        <v>62</v>
      </c>
      <c r="O1373">
        <f>Table1[[#This Row],[transit_storage_cost]] * (1-'What -if Analysis'!$D$26)</f>
        <v>62</v>
      </c>
      <c r="P1373">
        <v>90</v>
      </c>
      <c r="Q1373">
        <v>2845.591218443647</v>
      </c>
    </row>
    <row r="1374" spans="1:17" x14ac:dyDescent="0.3">
      <c r="A1374">
        <v>813190</v>
      </c>
      <c r="B1374" s="1" t="s">
        <v>38</v>
      </c>
      <c r="C1374" s="1" t="s">
        <v>16</v>
      </c>
      <c r="D1374" s="1" t="s">
        <v>16</v>
      </c>
      <c r="E1374" s="1" t="s">
        <v>27</v>
      </c>
      <c r="F1374" s="1" t="s">
        <v>19</v>
      </c>
      <c r="G1374" s="1" t="s">
        <v>20</v>
      </c>
      <c r="H1374" t="s">
        <v>21</v>
      </c>
      <c r="I1374" s="1" t="s">
        <v>22</v>
      </c>
      <c r="J1374" s="2">
        <v>43533.8981712963</v>
      </c>
      <c r="K1374" s="2">
        <v>43533.8981712963</v>
      </c>
      <c r="L1374" s="2">
        <v>43538.8981712963</v>
      </c>
      <c r="M1374" s="1">
        <f>_xlfn.DAYS(Table1[[#This Row],[actual_delivery_date]],Table1[[#This Row],[dispatch_date]])</f>
        <v>0</v>
      </c>
      <c r="N1374">
        <v>0</v>
      </c>
      <c r="O1374">
        <f>Table1[[#This Row],[transit_storage_cost]] * (1-'What -if Analysis'!$D$26)</f>
        <v>0</v>
      </c>
      <c r="P1374">
        <v>103</v>
      </c>
      <c r="Q1374">
        <v>338.74226071218635</v>
      </c>
    </row>
    <row r="1375" spans="1:17" x14ac:dyDescent="0.3">
      <c r="A1375">
        <v>536485</v>
      </c>
      <c r="B1375" s="1" t="s">
        <v>15</v>
      </c>
      <c r="C1375" s="1" t="s">
        <v>23</v>
      </c>
      <c r="D1375" s="1" t="s">
        <v>16</v>
      </c>
      <c r="E1375" s="1" t="s">
        <v>27</v>
      </c>
      <c r="F1375" s="1" t="s">
        <v>19</v>
      </c>
      <c r="G1375" s="1" t="s">
        <v>20</v>
      </c>
      <c r="H1375" t="s">
        <v>30</v>
      </c>
      <c r="I1375" s="1" t="s">
        <v>22</v>
      </c>
      <c r="J1375" s="2">
        <v>43531.903634259259</v>
      </c>
      <c r="K1375" s="2">
        <v>43533.903634259259</v>
      </c>
      <c r="L1375" s="2">
        <v>43535.903634259259</v>
      </c>
      <c r="M1375" s="1">
        <f>_xlfn.DAYS(Table1[[#This Row],[actual_delivery_date]],Table1[[#This Row],[dispatch_date]])</f>
        <v>2</v>
      </c>
      <c r="N1375">
        <v>75</v>
      </c>
      <c r="O1375">
        <f>Table1[[#This Row],[transit_storage_cost]] * (1-'What -if Analysis'!$D$26)</f>
        <v>75</v>
      </c>
      <c r="P1375">
        <v>103</v>
      </c>
      <c r="Q1375">
        <v>2171.3348725397718</v>
      </c>
    </row>
    <row r="1376" spans="1:17" x14ac:dyDescent="0.3">
      <c r="A1376">
        <v>748323</v>
      </c>
      <c r="B1376" s="1" t="s">
        <v>39</v>
      </c>
      <c r="C1376" s="1" t="s">
        <v>16</v>
      </c>
      <c r="D1376" s="1" t="s">
        <v>16</v>
      </c>
      <c r="E1376" s="1" t="s">
        <v>27</v>
      </c>
      <c r="F1376" s="1" t="s">
        <v>29</v>
      </c>
      <c r="G1376" s="1" t="s">
        <v>20</v>
      </c>
      <c r="H1376" t="s">
        <v>30</v>
      </c>
      <c r="I1376" s="1" t="s">
        <v>26</v>
      </c>
      <c r="J1376" s="2">
        <v>43527.904131944444</v>
      </c>
      <c r="K1376" s="2">
        <v>43533.904131944444</v>
      </c>
      <c r="L1376" s="2">
        <v>43534.904131944444</v>
      </c>
      <c r="M1376" s="1">
        <f>_xlfn.DAYS(Table1[[#This Row],[actual_delivery_date]],Table1[[#This Row],[dispatch_date]])</f>
        <v>6</v>
      </c>
      <c r="N1376">
        <v>0</v>
      </c>
      <c r="O1376">
        <f>Table1[[#This Row],[transit_storage_cost]] * (1-'What -if Analysis'!$D$26)</f>
        <v>0</v>
      </c>
      <c r="P1376">
        <v>122</v>
      </c>
      <c r="Q1376">
        <v>1545.83</v>
      </c>
    </row>
    <row r="1377" spans="1:17" x14ac:dyDescent="0.3">
      <c r="A1377">
        <v>267644</v>
      </c>
      <c r="B1377" s="1" t="s">
        <v>41</v>
      </c>
      <c r="C1377" s="1" t="s">
        <v>16</v>
      </c>
      <c r="D1377" s="1" t="s">
        <v>23</v>
      </c>
      <c r="E1377" s="1" t="s">
        <v>28</v>
      </c>
      <c r="F1377" s="1" t="s">
        <v>19</v>
      </c>
      <c r="G1377" s="1" t="s">
        <v>20</v>
      </c>
      <c r="H1377" t="s">
        <v>21</v>
      </c>
      <c r="I1377" s="1" t="s">
        <v>22</v>
      </c>
      <c r="J1377" s="2">
        <v>43529.904340277775</v>
      </c>
      <c r="K1377" s="2">
        <v>43533.904340277775</v>
      </c>
      <c r="L1377" s="2">
        <v>43534.904340277775</v>
      </c>
      <c r="M1377" s="1">
        <f>_xlfn.DAYS(Table1[[#This Row],[actual_delivery_date]],Table1[[#This Row],[dispatch_date]])</f>
        <v>4</v>
      </c>
      <c r="N1377">
        <v>75</v>
      </c>
      <c r="O1377">
        <f>Table1[[#This Row],[transit_storage_cost]] * (1-'What -if Analysis'!$D$26)</f>
        <v>75</v>
      </c>
      <c r="P1377">
        <v>106</v>
      </c>
      <c r="Q1377">
        <v>1651.3871852009313</v>
      </c>
    </row>
    <row r="1378" spans="1:17" x14ac:dyDescent="0.3">
      <c r="A1378">
        <v>79324</v>
      </c>
      <c r="B1378" s="1" t="s">
        <v>39</v>
      </c>
      <c r="C1378" s="1" t="s">
        <v>23</v>
      </c>
      <c r="D1378" s="1" t="s">
        <v>23</v>
      </c>
      <c r="E1378" s="1" t="s">
        <v>28</v>
      </c>
      <c r="F1378" s="1" t="s">
        <v>19</v>
      </c>
      <c r="G1378" s="1" t="s">
        <v>20</v>
      </c>
      <c r="H1378" t="s">
        <v>21</v>
      </c>
      <c r="I1378" s="1" t="s">
        <v>22</v>
      </c>
      <c r="J1378" s="2">
        <v>43533.91028935185</v>
      </c>
      <c r="K1378" s="2">
        <v>43533.91028935185</v>
      </c>
      <c r="L1378" s="2">
        <v>43540.91028935185</v>
      </c>
      <c r="M1378" s="1">
        <f>_xlfn.DAYS(Table1[[#This Row],[actual_delivery_date]],Table1[[#This Row],[dispatch_date]])</f>
        <v>0</v>
      </c>
      <c r="N1378">
        <v>0</v>
      </c>
      <c r="O1378">
        <f>Table1[[#This Row],[transit_storage_cost]] * (1-'What -if Analysis'!$D$26)</f>
        <v>0</v>
      </c>
      <c r="P1378">
        <v>127</v>
      </c>
      <c r="Q1378">
        <v>669.45863020349452</v>
      </c>
    </row>
    <row r="1379" spans="1:17" x14ac:dyDescent="0.3">
      <c r="A1379">
        <v>50711</v>
      </c>
      <c r="B1379" s="1" t="s">
        <v>39</v>
      </c>
      <c r="C1379" s="1" t="s">
        <v>16</v>
      </c>
      <c r="D1379" s="1" t="s">
        <v>32</v>
      </c>
      <c r="E1379" s="1" t="s">
        <v>33</v>
      </c>
      <c r="F1379" s="1" t="s">
        <v>19</v>
      </c>
      <c r="G1379" s="1" t="s">
        <v>20</v>
      </c>
      <c r="H1379" t="s">
        <v>30</v>
      </c>
      <c r="I1379" s="1" t="s">
        <v>22</v>
      </c>
      <c r="J1379" s="2">
        <v>43529.918483796297</v>
      </c>
      <c r="K1379" s="2">
        <v>43533.918483796297</v>
      </c>
      <c r="L1379" s="2">
        <v>43536.918483796297</v>
      </c>
      <c r="M1379" s="1">
        <f>_xlfn.DAYS(Table1[[#This Row],[actual_delivery_date]],Table1[[#This Row],[dispatch_date]])</f>
        <v>4</v>
      </c>
      <c r="N1379">
        <v>83</v>
      </c>
      <c r="O1379">
        <f>Table1[[#This Row],[transit_storage_cost]] * (1-'What -if Analysis'!$D$26)</f>
        <v>83</v>
      </c>
      <c r="P1379">
        <v>92</v>
      </c>
      <c r="Q1379">
        <v>901.48439950508941</v>
      </c>
    </row>
    <row r="1380" spans="1:17" x14ac:dyDescent="0.3">
      <c r="A1380">
        <v>340293</v>
      </c>
      <c r="B1380" s="1" t="s">
        <v>37</v>
      </c>
      <c r="C1380" s="1" t="s">
        <v>16</v>
      </c>
      <c r="D1380" s="1" t="s">
        <v>16</v>
      </c>
      <c r="E1380" s="1" t="s">
        <v>27</v>
      </c>
      <c r="F1380" s="1" t="s">
        <v>29</v>
      </c>
      <c r="G1380" s="1" t="s">
        <v>20</v>
      </c>
      <c r="H1380" t="s">
        <v>30</v>
      </c>
      <c r="I1380" s="1" t="s">
        <v>26</v>
      </c>
      <c r="J1380" s="2">
        <v>43530.918877314813</v>
      </c>
      <c r="K1380" s="2">
        <v>43533.918877314813</v>
      </c>
      <c r="L1380" s="2">
        <v>43537.918877314813</v>
      </c>
      <c r="M1380" s="1">
        <f>_xlfn.DAYS(Table1[[#This Row],[actual_delivery_date]],Table1[[#This Row],[dispatch_date]])</f>
        <v>3</v>
      </c>
      <c r="N1380">
        <v>0</v>
      </c>
      <c r="O1380">
        <f>Table1[[#This Row],[transit_storage_cost]] * (1-'What -if Analysis'!$D$26)</f>
        <v>0</v>
      </c>
      <c r="P1380">
        <v>126</v>
      </c>
      <c r="Q1380">
        <v>2670.0517425883781</v>
      </c>
    </row>
    <row r="1381" spans="1:17" x14ac:dyDescent="0.3">
      <c r="A1381">
        <v>566112</v>
      </c>
      <c r="B1381" s="1" t="s">
        <v>39</v>
      </c>
      <c r="C1381" s="1" t="s">
        <v>23</v>
      </c>
      <c r="D1381" s="1" t="s">
        <v>17</v>
      </c>
      <c r="E1381" s="1" t="s">
        <v>18</v>
      </c>
      <c r="F1381" s="1" t="s">
        <v>19</v>
      </c>
      <c r="G1381" s="1" t="s">
        <v>20</v>
      </c>
      <c r="H1381" t="s">
        <v>21</v>
      </c>
      <c r="I1381" s="1" t="s">
        <v>26</v>
      </c>
      <c r="J1381" s="2">
        <v>43531.926828703705</v>
      </c>
      <c r="K1381" s="2">
        <v>43533.926828703705</v>
      </c>
      <c r="L1381" s="2">
        <v>43536.926828703705</v>
      </c>
      <c r="M1381" s="1">
        <f>_xlfn.DAYS(Table1[[#This Row],[actual_delivery_date]],Table1[[#This Row],[dispatch_date]])</f>
        <v>2</v>
      </c>
      <c r="N1381">
        <v>42</v>
      </c>
      <c r="O1381">
        <f>Table1[[#This Row],[transit_storage_cost]] * (1-'What -if Analysis'!$D$26)</f>
        <v>42</v>
      </c>
      <c r="P1381">
        <v>112</v>
      </c>
      <c r="Q1381">
        <v>557</v>
      </c>
    </row>
    <row r="1382" spans="1:17" x14ac:dyDescent="0.3">
      <c r="A1382">
        <v>191041</v>
      </c>
      <c r="B1382" s="1" t="s">
        <v>41</v>
      </c>
      <c r="C1382" s="1" t="s">
        <v>16</v>
      </c>
      <c r="D1382" s="1" t="s">
        <v>17</v>
      </c>
      <c r="E1382" s="1" t="s">
        <v>18</v>
      </c>
      <c r="F1382" s="1" t="s">
        <v>19</v>
      </c>
      <c r="G1382" s="1" t="s">
        <v>20</v>
      </c>
      <c r="H1382" t="s">
        <v>30</v>
      </c>
      <c r="I1382" s="1" t="s">
        <v>22</v>
      </c>
      <c r="J1382" s="2">
        <v>43531.928576388891</v>
      </c>
      <c r="K1382" s="2">
        <v>43533.928576388891</v>
      </c>
      <c r="L1382" s="2">
        <v>43536.928576388891</v>
      </c>
      <c r="M1382" s="1">
        <f>_xlfn.DAYS(Table1[[#This Row],[actual_delivery_date]],Table1[[#This Row],[dispatch_date]])</f>
        <v>2</v>
      </c>
      <c r="N1382">
        <v>68</v>
      </c>
      <c r="O1382">
        <f>Table1[[#This Row],[transit_storage_cost]] * (1-'What -if Analysis'!$D$26)</f>
        <v>68</v>
      </c>
      <c r="P1382">
        <v>93</v>
      </c>
      <c r="Q1382">
        <v>1218.5347431590478</v>
      </c>
    </row>
    <row r="1383" spans="1:17" x14ac:dyDescent="0.3">
      <c r="A1383">
        <v>241812</v>
      </c>
      <c r="B1383" s="1" t="s">
        <v>38</v>
      </c>
      <c r="C1383" s="1" t="s">
        <v>23</v>
      </c>
      <c r="D1383" s="1" t="s">
        <v>32</v>
      </c>
      <c r="E1383" s="1" t="s">
        <v>33</v>
      </c>
      <c r="F1383" s="1" t="s">
        <v>19</v>
      </c>
      <c r="G1383" s="1" t="s">
        <v>20</v>
      </c>
      <c r="H1383" t="s">
        <v>21</v>
      </c>
      <c r="I1383" s="1" t="s">
        <v>26</v>
      </c>
      <c r="J1383" s="2">
        <v>43527.933634259258</v>
      </c>
      <c r="K1383" s="2">
        <v>43533.933634259258</v>
      </c>
      <c r="L1383" s="2">
        <v>43534.933634259258</v>
      </c>
      <c r="M1383" s="1">
        <f>_xlfn.DAYS(Table1[[#This Row],[actual_delivery_date]],Table1[[#This Row],[dispatch_date]])</f>
        <v>6</v>
      </c>
      <c r="N1383">
        <v>82</v>
      </c>
      <c r="O1383">
        <f>Table1[[#This Row],[transit_storage_cost]] * (1-'What -if Analysis'!$D$26)</f>
        <v>82</v>
      </c>
      <c r="P1383">
        <v>95</v>
      </c>
      <c r="Q1383">
        <v>1237.6300000000001</v>
      </c>
    </row>
    <row r="1384" spans="1:17" x14ac:dyDescent="0.3">
      <c r="A1384">
        <v>111574</v>
      </c>
      <c r="B1384" s="1" t="s">
        <v>15</v>
      </c>
      <c r="C1384" s="1" t="s">
        <v>23</v>
      </c>
      <c r="D1384" s="1" t="s">
        <v>17</v>
      </c>
      <c r="E1384" s="1" t="s">
        <v>18</v>
      </c>
      <c r="F1384" s="1" t="s">
        <v>19</v>
      </c>
      <c r="G1384" s="1" t="s">
        <v>20</v>
      </c>
      <c r="H1384" t="s">
        <v>21</v>
      </c>
      <c r="I1384" s="1" t="s">
        <v>22</v>
      </c>
      <c r="J1384" s="2">
        <v>43531.935300925928</v>
      </c>
      <c r="K1384" s="2">
        <v>43533.935300925928</v>
      </c>
      <c r="L1384" s="2">
        <v>43534.935300925928</v>
      </c>
      <c r="M1384" s="1">
        <f>_xlfn.DAYS(Table1[[#This Row],[actual_delivery_date]],Table1[[#This Row],[dispatch_date]])</f>
        <v>2</v>
      </c>
      <c r="N1384">
        <v>75</v>
      </c>
      <c r="O1384">
        <f>Table1[[#This Row],[transit_storage_cost]] * (1-'What -if Analysis'!$D$26)</f>
        <v>75</v>
      </c>
      <c r="P1384">
        <v>87</v>
      </c>
      <c r="Q1384">
        <v>465.25185903586794</v>
      </c>
    </row>
    <row r="1385" spans="1:17" x14ac:dyDescent="0.3">
      <c r="A1385">
        <v>55883</v>
      </c>
      <c r="B1385" s="1" t="s">
        <v>15</v>
      </c>
      <c r="C1385" s="1" t="s">
        <v>16</v>
      </c>
      <c r="D1385" s="1" t="s">
        <v>24</v>
      </c>
      <c r="E1385" s="1" t="s">
        <v>25</v>
      </c>
      <c r="F1385" s="1" t="s">
        <v>29</v>
      </c>
      <c r="G1385" s="1" t="s">
        <v>20</v>
      </c>
      <c r="H1385" t="s">
        <v>30</v>
      </c>
      <c r="I1385" s="1" t="s">
        <v>22</v>
      </c>
      <c r="J1385" s="2">
        <v>43526.935578703706</v>
      </c>
      <c r="K1385" s="2">
        <v>43533.935578703706</v>
      </c>
      <c r="L1385" s="2">
        <v>43532.935578703706</v>
      </c>
      <c r="M1385" s="1">
        <f>_xlfn.DAYS(Table1[[#This Row],[actual_delivery_date]],Table1[[#This Row],[dispatch_date]])</f>
        <v>7</v>
      </c>
      <c r="N1385">
        <v>41</v>
      </c>
      <c r="O1385">
        <f>Table1[[#This Row],[transit_storage_cost]] * (1-'What -if Analysis'!$D$26)</f>
        <v>41</v>
      </c>
      <c r="P1385">
        <v>125</v>
      </c>
      <c r="Q1385">
        <v>3689.4098844801265</v>
      </c>
    </row>
    <row r="1386" spans="1:17" x14ac:dyDescent="0.3">
      <c r="A1386">
        <v>111849</v>
      </c>
      <c r="B1386" s="1" t="s">
        <v>38</v>
      </c>
      <c r="C1386" s="1" t="s">
        <v>16</v>
      </c>
      <c r="D1386" s="1" t="s">
        <v>16</v>
      </c>
      <c r="E1386" s="1" t="s">
        <v>27</v>
      </c>
      <c r="F1386" s="1" t="s">
        <v>29</v>
      </c>
      <c r="G1386" s="1" t="s">
        <v>20</v>
      </c>
      <c r="H1386" t="s">
        <v>30</v>
      </c>
      <c r="I1386" s="1" t="s">
        <v>26</v>
      </c>
      <c r="J1386" s="2">
        <v>43532.936215277776</v>
      </c>
      <c r="K1386" s="2">
        <v>43533.936215277776</v>
      </c>
      <c r="L1386" s="2">
        <v>43535.936215277776</v>
      </c>
      <c r="M1386" s="1">
        <f>_xlfn.DAYS(Table1[[#This Row],[actual_delivery_date]],Table1[[#This Row],[dispatch_date]])</f>
        <v>1</v>
      </c>
      <c r="N1386">
        <v>0</v>
      </c>
      <c r="O1386">
        <f>Table1[[#This Row],[transit_storage_cost]] * (1-'What -if Analysis'!$D$26)</f>
        <v>0</v>
      </c>
      <c r="P1386">
        <v>126</v>
      </c>
      <c r="Q1386">
        <v>2090.5130245904165</v>
      </c>
    </row>
    <row r="1387" spans="1:17" x14ac:dyDescent="0.3">
      <c r="A1387">
        <v>869799</v>
      </c>
      <c r="B1387" s="1" t="s">
        <v>41</v>
      </c>
      <c r="C1387" s="1" t="s">
        <v>23</v>
      </c>
      <c r="D1387" s="1" t="s">
        <v>32</v>
      </c>
      <c r="E1387" s="1" t="s">
        <v>33</v>
      </c>
      <c r="F1387" s="1" t="s">
        <v>29</v>
      </c>
      <c r="G1387" s="1" t="s">
        <v>20</v>
      </c>
      <c r="H1387" t="s">
        <v>34</v>
      </c>
      <c r="I1387" s="1" t="s">
        <v>26</v>
      </c>
      <c r="J1387" s="2">
        <v>43531.94222222222</v>
      </c>
      <c r="K1387" s="2">
        <v>43533.94222222222</v>
      </c>
      <c r="L1387" s="2">
        <v>43534.94222222222</v>
      </c>
      <c r="M1387" s="1">
        <f>_xlfn.DAYS(Table1[[#This Row],[actual_delivery_date]],Table1[[#This Row],[dispatch_date]])</f>
        <v>2</v>
      </c>
      <c r="N1387">
        <v>50</v>
      </c>
      <c r="O1387">
        <f>Table1[[#This Row],[transit_storage_cost]] * (1-'What -if Analysis'!$D$26)</f>
        <v>50</v>
      </c>
      <c r="P1387">
        <v>113</v>
      </c>
      <c r="Q1387">
        <v>1984</v>
      </c>
    </row>
    <row r="1388" spans="1:17" x14ac:dyDescent="0.3">
      <c r="A1388">
        <v>501500</v>
      </c>
      <c r="B1388" s="1" t="s">
        <v>38</v>
      </c>
      <c r="C1388" s="1" t="s">
        <v>16</v>
      </c>
      <c r="D1388" s="1" t="s">
        <v>17</v>
      </c>
      <c r="E1388" s="1" t="s">
        <v>18</v>
      </c>
      <c r="F1388" s="1" t="s">
        <v>19</v>
      </c>
      <c r="G1388" s="1" t="s">
        <v>20</v>
      </c>
      <c r="H1388" t="s">
        <v>21</v>
      </c>
      <c r="I1388" s="1" t="s">
        <v>22</v>
      </c>
      <c r="J1388" s="2">
        <v>43531.942673611113</v>
      </c>
      <c r="K1388" s="2">
        <v>43533.942673611113</v>
      </c>
      <c r="L1388" s="2">
        <v>43534.942673611113</v>
      </c>
      <c r="M1388" s="1">
        <f>_xlfn.DAYS(Table1[[#This Row],[actual_delivery_date]],Table1[[#This Row],[dispatch_date]])</f>
        <v>2</v>
      </c>
      <c r="N1388">
        <v>46</v>
      </c>
      <c r="O1388">
        <f>Table1[[#This Row],[transit_storage_cost]] * (1-'What -if Analysis'!$D$26)</f>
        <v>46</v>
      </c>
      <c r="P1388">
        <v>111</v>
      </c>
      <c r="Q1388">
        <v>1078.4223075162342</v>
      </c>
    </row>
    <row r="1389" spans="1:17" x14ac:dyDescent="0.3">
      <c r="A1389">
        <v>486832</v>
      </c>
      <c r="B1389" s="1" t="s">
        <v>40</v>
      </c>
      <c r="C1389" s="1" t="s">
        <v>23</v>
      </c>
      <c r="D1389" s="1" t="s">
        <v>32</v>
      </c>
      <c r="E1389" s="1" t="s">
        <v>33</v>
      </c>
      <c r="F1389" s="1" t="s">
        <v>19</v>
      </c>
      <c r="G1389" s="1" t="s">
        <v>20</v>
      </c>
      <c r="H1389" t="s">
        <v>21</v>
      </c>
      <c r="I1389" s="1" t="s">
        <v>22</v>
      </c>
      <c r="J1389" s="2">
        <v>43526.944768518515</v>
      </c>
      <c r="K1389" s="2">
        <v>43533.944768518515</v>
      </c>
      <c r="L1389" s="2">
        <v>43532.944768518515</v>
      </c>
      <c r="M1389" s="1">
        <f>_xlfn.DAYS(Table1[[#This Row],[actual_delivery_date]],Table1[[#This Row],[dispatch_date]])</f>
        <v>7</v>
      </c>
      <c r="N1389">
        <v>62</v>
      </c>
      <c r="O1389">
        <f>Table1[[#This Row],[transit_storage_cost]] * (1-'What -if Analysis'!$D$26)</f>
        <v>62</v>
      </c>
      <c r="P1389">
        <v>88</v>
      </c>
      <c r="Q1389">
        <v>303.6298078902978</v>
      </c>
    </row>
    <row r="1390" spans="1:17" x14ac:dyDescent="0.3">
      <c r="A1390">
        <v>525433</v>
      </c>
      <c r="B1390" s="1" t="s">
        <v>38</v>
      </c>
      <c r="C1390" s="1" t="s">
        <v>16</v>
      </c>
      <c r="D1390" s="1" t="s">
        <v>24</v>
      </c>
      <c r="E1390" s="1" t="s">
        <v>25</v>
      </c>
      <c r="F1390" s="1" t="s">
        <v>29</v>
      </c>
      <c r="G1390" s="1" t="s">
        <v>20</v>
      </c>
      <c r="H1390" t="s">
        <v>30</v>
      </c>
      <c r="I1390" s="1" t="s">
        <v>22</v>
      </c>
      <c r="J1390" s="2">
        <v>43526.946828703702</v>
      </c>
      <c r="K1390" s="2">
        <v>43533.946828703702</v>
      </c>
      <c r="L1390" s="2">
        <v>43532.946828703702</v>
      </c>
      <c r="M1390" s="1">
        <f>_xlfn.DAYS(Table1[[#This Row],[actual_delivery_date]],Table1[[#This Row],[dispatch_date]])</f>
        <v>7</v>
      </c>
      <c r="N1390">
        <v>41</v>
      </c>
      <c r="O1390">
        <f>Table1[[#This Row],[transit_storage_cost]] * (1-'What -if Analysis'!$D$26)</f>
        <v>41</v>
      </c>
      <c r="P1390">
        <v>127</v>
      </c>
      <c r="Q1390">
        <v>2162.4772515844174</v>
      </c>
    </row>
    <row r="1391" spans="1:17" x14ac:dyDescent="0.3">
      <c r="A1391">
        <v>605039</v>
      </c>
      <c r="B1391" s="1" t="s">
        <v>38</v>
      </c>
      <c r="C1391" s="1" t="s">
        <v>16</v>
      </c>
      <c r="D1391" s="1" t="s">
        <v>24</v>
      </c>
      <c r="E1391" s="1" t="s">
        <v>25</v>
      </c>
      <c r="F1391" s="1" t="s">
        <v>29</v>
      </c>
      <c r="G1391" s="1" t="s">
        <v>20</v>
      </c>
      <c r="H1391" t="s">
        <v>30</v>
      </c>
      <c r="I1391" s="1" t="s">
        <v>22</v>
      </c>
      <c r="J1391" s="2">
        <v>43526.951562499999</v>
      </c>
      <c r="K1391" s="2">
        <v>43533.951562499999</v>
      </c>
      <c r="L1391" s="2">
        <v>43532.951562499999</v>
      </c>
      <c r="M1391" s="1">
        <f>_xlfn.DAYS(Table1[[#This Row],[actual_delivery_date]],Table1[[#This Row],[dispatch_date]])</f>
        <v>7</v>
      </c>
      <c r="N1391">
        <v>26</v>
      </c>
      <c r="O1391">
        <f>Table1[[#This Row],[transit_storage_cost]] * (1-'What -if Analysis'!$D$26)</f>
        <v>26</v>
      </c>
      <c r="P1391">
        <v>121</v>
      </c>
      <c r="Q1391">
        <v>2330.4926594945491</v>
      </c>
    </row>
    <row r="1392" spans="1:17" x14ac:dyDescent="0.3">
      <c r="A1392">
        <v>144517</v>
      </c>
      <c r="B1392" s="1" t="s">
        <v>38</v>
      </c>
      <c r="C1392" s="1" t="s">
        <v>23</v>
      </c>
      <c r="D1392" s="1" t="s">
        <v>17</v>
      </c>
      <c r="E1392" s="1" t="s">
        <v>18</v>
      </c>
      <c r="F1392" s="1" t="s">
        <v>19</v>
      </c>
      <c r="G1392" s="1" t="s">
        <v>20</v>
      </c>
      <c r="H1392" t="s">
        <v>30</v>
      </c>
      <c r="I1392" s="1" t="s">
        <v>22</v>
      </c>
      <c r="J1392" s="2">
        <v>43528.957569444443</v>
      </c>
      <c r="K1392" s="2">
        <v>43533.957569444443</v>
      </c>
      <c r="L1392" s="2">
        <v>43534.957569444443</v>
      </c>
      <c r="M1392" s="1">
        <f>_xlfn.DAYS(Table1[[#This Row],[actual_delivery_date]],Table1[[#This Row],[dispatch_date]])</f>
        <v>5</v>
      </c>
      <c r="N1392">
        <v>69</v>
      </c>
      <c r="O1392">
        <f>Table1[[#This Row],[transit_storage_cost]] * (1-'What -if Analysis'!$D$26)</f>
        <v>69</v>
      </c>
      <c r="P1392">
        <v>92</v>
      </c>
      <c r="Q1392">
        <v>2380.0845260708734</v>
      </c>
    </row>
    <row r="1393" spans="1:17" x14ac:dyDescent="0.3">
      <c r="A1393">
        <v>168359</v>
      </c>
      <c r="B1393" s="1" t="s">
        <v>40</v>
      </c>
      <c r="C1393" s="1" t="s">
        <v>16</v>
      </c>
      <c r="D1393" s="1" t="s">
        <v>17</v>
      </c>
      <c r="E1393" s="1" t="s">
        <v>18</v>
      </c>
      <c r="F1393" s="1" t="s">
        <v>29</v>
      </c>
      <c r="G1393" s="1" t="s">
        <v>20</v>
      </c>
      <c r="H1393" t="s">
        <v>30</v>
      </c>
      <c r="I1393" s="1" t="s">
        <v>22</v>
      </c>
      <c r="J1393" s="2">
        <v>43530.960081018522</v>
      </c>
      <c r="K1393" s="2">
        <v>43533.960081018522</v>
      </c>
      <c r="L1393" s="2">
        <v>43535.960081018522</v>
      </c>
      <c r="M1393" s="1">
        <f>_xlfn.DAYS(Table1[[#This Row],[actual_delivery_date]],Table1[[#This Row],[dispatch_date]])</f>
        <v>3</v>
      </c>
      <c r="N1393">
        <v>37</v>
      </c>
      <c r="O1393">
        <f>Table1[[#This Row],[transit_storage_cost]] * (1-'What -if Analysis'!$D$26)</f>
        <v>37</v>
      </c>
      <c r="P1393">
        <v>115</v>
      </c>
      <c r="Q1393">
        <v>1271.7160632297664</v>
      </c>
    </row>
    <row r="1394" spans="1:17" x14ac:dyDescent="0.3">
      <c r="A1394">
        <v>434029</v>
      </c>
      <c r="B1394" s="1" t="s">
        <v>38</v>
      </c>
      <c r="C1394" s="1" t="s">
        <v>16</v>
      </c>
      <c r="D1394" s="1" t="s">
        <v>24</v>
      </c>
      <c r="E1394" s="1" t="s">
        <v>25</v>
      </c>
      <c r="F1394" s="1" t="s">
        <v>29</v>
      </c>
      <c r="G1394" s="1" t="s">
        <v>20</v>
      </c>
      <c r="H1394" t="s">
        <v>30</v>
      </c>
      <c r="I1394" s="1" t="s">
        <v>22</v>
      </c>
      <c r="J1394" s="2">
        <v>43527.971076388887</v>
      </c>
      <c r="K1394" s="2">
        <v>43533.971076388887</v>
      </c>
      <c r="L1394" s="2">
        <v>43530.971076388887</v>
      </c>
      <c r="M1394" s="1">
        <f>_xlfn.DAYS(Table1[[#This Row],[actual_delivery_date]],Table1[[#This Row],[dispatch_date]])</f>
        <v>6</v>
      </c>
      <c r="N1394">
        <v>45</v>
      </c>
      <c r="O1394">
        <f>Table1[[#This Row],[transit_storage_cost]] * (1-'What -if Analysis'!$D$26)</f>
        <v>45</v>
      </c>
      <c r="P1394">
        <v>124</v>
      </c>
      <c r="Q1394">
        <v>1962.5585229913916</v>
      </c>
    </row>
    <row r="1395" spans="1:17" x14ac:dyDescent="0.3">
      <c r="A1395">
        <v>588236</v>
      </c>
      <c r="B1395" s="1" t="s">
        <v>15</v>
      </c>
      <c r="C1395" s="1" t="s">
        <v>16</v>
      </c>
      <c r="D1395" s="1" t="s">
        <v>16</v>
      </c>
      <c r="E1395" s="1" t="s">
        <v>27</v>
      </c>
      <c r="F1395" s="1" t="s">
        <v>19</v>
      </c>
      <c r="G1395" s="1" t="s">
        <v>20</v>
      </c>
      <c r="H1395" t="s">
        <v>21</v>
      </c>
      <c r="I1395" s="1" t="s">
        <v>22</v>
      </c>
      <c r="J1395" s="2">
        <v>43530.972557870373</v>
      </c>
      <c r="K1395" s="2">
        <v>43533.972557870373</v>
      </c>
      <c r="L1395" s="2">
        <v>43537.972557870373</v>
      </c>
      <c r="M1395" s="1">
        <f>_xlfn.DAYS(Table1[[#This Row],[actual_delivery_date]],Table1[[#This Row],[dispatch_date]])</f>
        <v>3</v>
      </c>
      <c r="N1395">
        <v>0</v>
      </c>
      <c r="O1395">
        <f>Table1[[#This Row],[transit_storage_cost]] * (1-'What -if Analysis'!$D$26)</f>
        <v>0</v>
      </c>
      <c r="P1395">
        <v>109</v>
      </c>
      <c r="Q1395">
        <v>802</v>
      </c>
    </row>
    <row r="1396" spans="1:17" x14ac:dyDescent="0.3">
      <c r="A1396">
        <v>14864</v>
      </c>
      <c r="B1396" s="1" t="s">
        <v>38</v>
      </c>
      <c r="C1396" s="1" t="s">
        <v>16</v>
      </c>
      <c r="D1396" s="1" t="s">
        <v>24</v>
      </c>
      <c r="E1396" s="1" t="s">
        <v>25</v>
      </c>
      <c r="F1396" s="1" t="s">
        <v>19</v>
      </c>
      <c r="G1396" s="1" t="s">
        <v>20</v>
      </c>
      <c r="H1396" t="s">
        <v>21</v>
      </c>
      <c r="I1396" s="1" t="s">
        <v>22</v>
      </c>
      <c r="J1396" s="2">
        <v>43528.975173611114</v>
      </c>
      <c r="K1396" s="2">
        <v>43533.975173611114</v>
      </c>
      <c r="L1396" s="2">
        <v>43532.975173611114</v>
      </c>
      <c r="M1396" s="1">
        <f>_xlfn.DAYS(Table1[[#This Row],[actual_delivery_date]],Table1[[#This Row],[dispatch_date]])</f>
        <v>5</v>
      </c>
      <c r="N1396">
        <v>29</v>
      </c>
      <c r="O1396">
        <f>Table1[[#This Row],[transit_storage_cost]] * (1-'What -if Analysis'!$D$26)</f>
        <v>29</v>
      </c>
      <c r="P1396">
        <v>130</v>
      </c>
      <c r="Q1396">
        <v>1279.2459998179288</v>
      </c>
    </row>
    <row r="1397" spans="1:17" x14ac:dyDescent="0.3">
      <c r="A1397">
        <v>274208</v>
      </c>
      <c r="B1397" s="1" t="s">
        <v>37</v>
      </c>
      <c r="C1397" s="1" t="s">
        <v>23</v>
      </c>
      <c r="D1397" s="1" t="s">
        <v>23</v>
      </c>
      <c r="E1397" s="1" t="s">
        <v>28</v>
      </c>
      <c r="F1397" s="1" t="s">
        <v>19</v>
      </c>
      <c r="G1397" s="1" t="s">
        <v>20</v>
      </c>
      <c r="H1397" t="s">
        <v>21</v>
      </c>
      <c r="I1397" s="1" t="s">
        <v>22</v>
      </c>
      <c r="J1397" s="2">
        <v>43532.988923611112</v>
      </c>
      <c r="K1397" s="2">
        <v>43533.988923611112</v>
      </c>
      <c r="L1397" s="2">
        <v>43537.988923611112</v>
      </c>
      <c r="M1397" s="1">
        <f>_xlfn.DAYS(Table1[[#This Row],[actual_delivery_date]],Table1[[#This Row],[dispatch_date]])</f>
        <v>1</v>
      </c>
      <c r="N1397">
        <v>0</v>
      </c>
      <c r="O1397">
        <f>Table1[[#This Row],[transit_storage_cost]] * (1-'What -if Analysis'!$D$26)</f>
        <v>0</v>
      </c>
      <c r="P1397">
        <v>129</v>
      </c>
      <c r="Q1397">
        <v>2289.9396811773399</v>
      </c>
    </row>
    <row r="1398" spans="1:17" x14ac:dyDescent="0.3">
      <c r="A1398">
        <v>768776</v>
      </c>
      <c r="B1398" s="1" t="s">
        <v>40</v>
      </c>
      <c r="C1398" s="1" t="s">
        <v>16</v>
      </c>
      <c r="D1398" s="1" t="s">
        <v>16</v>
      </c>
      <c r="E1398" s="1" t="s">
        <v>27</v>
      </c>
      <c r="F1398" s="1" t="s">
        <v>19</v>
      </c>
      <c r="G1398" s="1" t="s">
        <v>20</v>
      </c>
      <c r="H1398" t="s">
        <v>21</v>
      </c>
      <c r="I1398" s="1" t="s">
        <v>22</v>
      </c>
      <c r="J1398" s="2">
        <v>43533.989791666667</v>
      </c>
      <c r="K1398" s="2">
        <v>43533.989791666667</v>
      </c>
      <c r="L1398" s="2">
        <v>43536.989791666667</v>
      </c>
      <c r="M1398" s="1">
        <f>_xlfn.DAYS(Table1[[#This Row],[actual_delivery_date]],Table1[[#This Row],[dispatch_date]])</f>
        <v>0</v>
      </c>
      <c r="N1398">
        <v>0</v>
      </c>
      <c r="O1398">
        <f>Table1[[#This Row],[transit_storage_cost]] * (1-'What -if Analysis'!$D$26)</f>
        <v>0</v>
      </c>
      <c r="P1398">
        <v>110</v>
      </c>
      <c r="Q1398">
        <v>2751.5217382972683</v>
      </c>
    </row>
    <row r="1399" spans="1:17" x14ac:dyDescent="0.3">
      <c r="A1399">
        <v>238007</v>
      </c>
      <c r="B1399" s="1" t="s">
        <v>39</v>
      </c>
      <c r="C1399" s="1" t="s">
        <v>16</v>
      </c>
      <c r="D1399" s="1" t="s">
        <v>16</v>
      </c>
      <c r="E1399" s="1" t="s">
        <v>27</v>
      </c>
      <c r="F1399" s="1" t="s">
        <v>29</v>
      </c>
      <c r="G1399" s="1" t="s">
        <v>20</v>
      </c>
      <c r="H1399" t="s">
        <v>34</v>
      </c>
      <c r="I1399" s="1" t="s">
        <v>22</v>
      </c>
      <c r="J1399" s="2">
        <v>43531.989976851852</v>
      </c>
      <c r="K1399" s="2">
        <v>43533.989976851852</v>
      </c>
      <c r="L1399" s="2">
        <v>43537.989976851852</v>
      </c>
      <c r="M1399" s="1">
        <f>_xlfn.DAYS(Table1[[#This Row],[actual_delivery_date]],Table1[[#This Row],[dispatch_date]])</f>
        <v>2</v>
      </c>
      <c r="N1399">
        <v>0</v>
      </c>
      <c r="O1399">
        <f>Table1[[#This Row],[transit_storage_cost]] * (1-'What -if Analysis'!$D$26)</f>
        <v>0</v>
      </c>
      <c r="P1399">
        <v>128</v>
      </c>
      <c r="Q1399">
        <v>2334.8356500878267</v>
      </c>
    </row>
    <row r="1400" spans="1:17" x14ac:dyDescent="0.3">
      <c r="A1400">
        <v>873180</v>
      </c>
      <c r="B1400" s="1" t="s">
        <v>39</v>
      </c>
      <c r="C1400" s="1" t="s">
        <v>23</v>
      </c>
      <c r="D1400" s="1" t="s">
        <v>17</v>
      </c>
      <c r="E1400" s="1" t="s">
        <v>18</v>
      </c>
      <c r="F1400" s="1" t="s">
        <v>19</v>
      </c>
      <c r="G1400" s="1" t="s">
        <v>20</v>
      </c>
      <c r="H1400" t="s">
        <v>21</v>
      </c>
      <c r="I1400" s="1" t="s">
        <v>26</v>
      </c>
      <c r="J1400" s="2">
        <v>43530.991412037038</v>
      </c>
      <c r="K1400" s="2">
        <v>43533.991412037038</v>
      </c>
      <c r="L1400" s="2">
        <v>43537.991412037038</v>
      </c>
      <c r="M1400" s="1">
        <f>_xlfn.DAYS(Table1[[#This Row],[actual_delivery_date]],Table1[[#This Row],[dispatch_date]])</f>
        <v>3</v>
      </c>
      <c r="N1400">
        <v>83</v>
      </c>
      <c r="O1400">
        <f>Table1[[#This Row],[transit_storage_cost]] * (1-'What -if Analysis'!$D$26)</f>
        <v>83</v>
      </c>
      <c r="P1400">
        <v>92</v>
      </c>
      <c r="Q1400">
        <v>3589.3815944574367</v>
      </c>
    </row>
    <row r="1401" spans="1:17" x14ac:dyDescent="0.3">
      <c r="A1401">
        <v>340998</v>
      </c>
      <c r="B1401" s="1" t="s">
        <v>37</v>
      </c>
      <c r="C1401" s="1" t="s">
        <v>16</v>
      </c>
      <c r="D1401" s="1" t="s">
        <v>17</v>
      </c>
      <c r="E1401" s="1" t="s">
        <v>18</v>
      </c>
      <c r="F1401" s="1" t="s">
        <v>31</v>
      </c>
      <c r="G1401" s="1" t="s">
        <v>20</v>
      </c>
      <c r="H1401" t="s">
        <v>21</v>
      </c>
      <c r="I1401" s="1" t="s">
        <v>26</v>
      </c>
      <c r="J1401" s="2">
        <v>43527.99355324074</v>
      </c>
      <c r="K1401" s="2">
        <v>43533.99355324074</v>
      </c>
      <c r="L1401" s="2">
        <v>43532.99355324074</v>
      </c>
      <c r="M1401" s="1">
        <f>_xlfn.DAYS(Table1[[#This Row],[actual_delivery_date]],Table1[[#This Row],[dispatch_date]])</f>
        <v>6</v>
      </c>
      <c r="N1401">
        <v>49</v>
      </c>
      <c r="O1401">
        <f>Table1[[#This Row],[transit_storage_cost]] * (1-'What -if Analysis'!$D$26)</f>
        <v>49</v>
      </c>
      <c r="P1401">
        <v>105</v>
      </c>
      <c r="Q1401">
        <v>492.24</v>
      </c>
    </row>
    <row r="1402" spans="1:17" x14ac:dyDescent="0.3">
      <c r="A1402">
        <v>63604</v>
      </c>
      <c r="B1402" s="1" t="s">
        <v>38</v>
      </c>
      <c r="C1402" s="1" t="s">
        <v>16</v>
      </c>
      <c r="D1402" s="1" t="s">
        <v>17</v>
      </c>
      <c r="E1402" s="1" t="s">
        <v>18</v>
      </c>
      <c r="F1402" s="1" t="s">
        <v>19</v>
      </c>
      <c r="G1402" s="1" t="s">
        <v>20</v>
      </c>
      <c r="H1402" t="s">
        <v>21</v>
      </c>
      <c r="I1402" s="1" t="s">
        <v>22</v>
      </c>
      <c r="J1402" s="2">
        <v>43529.994409722225</v>
      </c>
      <c r="K1402" s="2">
        <v>43533.994409722225</v>
      </c>
      <c r="L1402" s="2">
        <v>43533.994409722225</v>
      </c>
      <c r="M1402" s="1">
        <f>_xlfn.DAYS(Table1[[#This Row],[actual_delivery_date]],Table1[[#This Row],[dispatch_date]])</f>
        <v>4</v>
      </c>
      <c r="N1402">
        <v>80</v>
      </c>
      <c r="O1402">
        <f>Table1[[#This Row],[transit_storage_cost]] * (1-'What -if Analysis'!$D$26)</f>
        <v>80</v>
      </c>
      <c r="P1402">
        <v>87</v>
      </c>
      <c r="Q1402">
        <v>1872.3281917099191</v>
      </c>
    </row>
    <row r="1403" spans="1:17" x14ac:dyDescent="0.3">
      <c r="A1403">
        <v>978806</v>
      </c>
      <c r="B1403" s="1" t="s">
        <v>38</v>
      </c>
      <c r="C1403" s="1" t="s">
        <v>23</v>
      </c>
      <c r="D1403" s="1" t="s">
        <v>32</v>
      </c>
      <c r="E1403" s="1" t="s">
        <v>33</v>
      </c>
      <c r="F1403" s="1" t="s">
        <v>31</v>
      </c>
      <c r="G1403" s="1" t="s">
        <v>20</v>
      </c>
      <c r="H1403" t="s">
        <v>21</v>
      </c>
      <c r="I1403" s="1" t="s">
        <v>22</v>
      </c>
      <c r="J1403" s="2">
        <v>43531.995115740741</v>
      </c>
      <c r="K1403" s="2">
        <v>43533.995115740741</v>
      </c>
      <c r="L1403" s="2">
        <v>43538.995115740741</v>
      </c>
      <c r="M1403" s="1">
        <f>_xlfn.DAYS(Table1[[#This Row],[actual_delivery_date]],Table1[[#This Row],[dispatch_date]])</f>
        <v>2</v>
      </c>
      <c r="N1403">
        <v>50</v>
      </c>
      <c r="O1403">
        <f>Table1[[#This Row],[transit_storage_cost]] * (1-'What -if Analysis'!$D$26)</f>
        <v>50</v>
      </c>
      <c r="P1403">
        <v>109</v>
      </c>
      <c r="Q1403">
        <v>1371</v>
      </c>
    </row>
    <row r="1404" spans="1:17" x14ac:dyDescent="0.3">
      <c r="A1404">
        <v>790550</v>
      </c>
      <c r="B1404" s="1" t="s">
        <v>37</v>
      </c>
      <c r="C1404" s="1" t="s">
        <v>23</v>
      </c>
      <c r="D1404" s="1" t="s">
        <v>32</v>
      </c>
      <c r="E1404" s="1" t="s">
        <v>33</v>
      </c>
      <c r="F1404" s="1" t="s">
        <v>31</v>
      </c>
      <c r="G1404" s="1" t="s">
        <v>20</v>
      </c>
      <c r="H1404" t="s">
        <v>21</v>
      </c>
      <c r="I1404" s="1" t="s">
        <v>22</v>
      </c>
      <c r="J1404" s="2">
        <v>43526.996122685188</v>
      </c>
      <c r="K1404" s="2">
        <v>43533.996122685188</v>
      </c>
      <c r="L1404" s="2">
        <v>43531.996122685188</v>
      </c>
      <c r="M1404" s="1">
        <f>_xlfn.DAYS(Table1[[#This Row],[actual_delivery_date]],Table1[[#This Row],[dispatch_date]])</f>
        <v>7</v>
      </c>
      <c r="N1404">
        <v>47</v>
      </c>
      <c r="O1404">
        <f>Table1[[#This Row],[transit_storage_cost]] * (1-'What -if Analysis'!$D$26)</f>
        <v>47</v>
      </c>
      <c r="P1404">
        <v>108</v>
      </c>
      <c r="Q1404">
        <v>635.68474820669246</v>
      </c>
    </row>
    <row r="1405" spans="1:17" x14ac:dyDescent="0.3">
      <c r="A1405">
        <v>119382</v>
      </c>
      <c r="B1405" s="1" t="s">
        <v>38</v>
      </c>
      <c r="C1405" s="1" t="s">
        <v>16</v>
      </c>
      <c r="D1405" s="1" t="s">
        <v>16</v>
      </c>
      <c r="E1405" s="1" t="s">
        <v>27</v>
      </c>
      <c r="F1405" s="1" t="s">
        <v>31</v>
      </c>
      <c r="G1405" s="1" t="s">
        <v>20</v>
      </c>
      <c r="H1405" t="s">
        <v>21</v>
      </c>
      <c r="I1405" s="1" t="s">
        <v>26</v>
      </c>
      <c r="J1405" s="2">
        <v>43529.998240740744</v>
      </c>
      <c r="K1405" s="2">
        <v>43533.998240740744</v>
      </c>
      <c r="L1405" s="2">
        <v>43532.998240740744</v>
      </c>
      <c r="M1405" s="1">
        <f>_xlfn.DAYS(Table1[[#This Row],[actual_delivery_date]],Table1[[#This Row],[dispatch_date]])</f>
        <v>4</v>
      </c>
      <c r="N1405">
        <v>0</v>
      </c>
      <c r="O1405">
        <f>Table1[[#This Row],[transit_storage_cost]] * (1-'What -if Analysis'!$D$26)</f>
        <v>0</v>
      </c>
      <c r="P1405">
        <v>130</v>
      </c>
      <c r="Q1405">
        <v>2887.2</v>
      </c>
    </row>
    <row r="1406" spans="1:17" x14ac:dyDescent="0.3">
      <c r="A1406">
        <v>19188</v>
      </c>
      <c r="B1406" s="1" t="s">
        <v>39</v>
      </c>
      <c r="C1406" s="1" t="s">
        <v>16</v>
      </c>
      <c r="D1406" s="1" t="s">
        <v>17</v>
      </c>
      <c r="E1406" s="1" t="s">
        <v>18</v>
      </c>
      <c r="F1406" s="1" t="s">
        <v>19</v>
      </c>
      <c r="G1406" s="1" t="s">
        <v>20</v>
      </c>
      <c r="H1406" t="s">
        <v>21</v>
      </c>
      <c r="I1406" s="1" t="s">
        <v>26</v>
      </c>
      <c r="J1406" s="2">
        <v>43527.999907407408</v>
      </c>
      <c r="K1406" s="2">
        <v>43533.999907407408</v>
      </c>
      <c r="L1406" s="2">
        <v>43534.999907407408</v>
      </c>
      <c r="M1406" s="1">
        <f>_xlfn.DAYS(Table1[[#This Row],[actual_delivery_date]],Table1[[#This Row],[dispatch_date]])</f>
        <v>6</v>
      </c>
      <c r="N1406">
        <v>82</v>
      </c>
      <c r="O1406">
        <f>Table1[[#This Row],[transit_storage_cost]] * (1-'What -if Analysis'!$D$26)</f>
        <v>82</v>
      </c>
      <c r="P1406">
        <v>87</v>
      </c>
      <c r="Q1406">
        <v>1482.8</v>
      </c>
    </row>
    <row r="1407" spans="1:17" x14ac:dyDescent="0.3">
      <c r="A1407">
        <v>946438</v>
      </c>
      <c r="B1407" s="1" t="s">
        <v>39</v>
      </c>
      <c r="C1407" s="1" t="s">
        <v>23</v>
      </c>
      <c r="D1407" s="1" t="s">
        <v>24</v>
      </c>
      <c r="E1407" s="1" t="s">
        <v>25</v>
      </c>
      <c r="F1407" s="1" t="s">
        <v>31</v>
      </c>
      <c r="G1407" s="1" t="s">
        <v>20</v>
      </c>
      <c r="H1407" t="s">
        <v>21</v>
      </c>
      <c r="I1407" s="1" t="s">
        <v>22</v>
      </c>
      <c r="J1407" s="2">
        <v>43531.000428240739</v>
      </c>
      <c r="K1407" s="2">
        <v>43534.000428240739</v>
      </c>
      <c r="L1407" s="2">
        <v>43535.000428240739</v>
      </c>
      <c r="M1407" s="1">
        <f>_xlfn.DAYS(Table1[[#This Row],[actual_delivery_date]],Table1[[#This Row],[dispatch_date]])</f>
        <v>3</v>
      </c>
      <c r="N1407">
        <v>49</v>
      </c>
      <c r="O1407">
        <f>Table1[[#This Row],[transit_storage_cost]] * (1-'What -if Analysis'!$D$26)</f>
        <v>49</v>
      </c>
      <c r="P1407">
        <v>123</v>
      </c>
      <c r="Q1407">
        <v>1586</v>
      </c>
    </row>
    <row r="1408" spans="1:17" x14ac:dyDescent="0.3">
      <c r="A1408">
        <v>186385</v>
      </c>
      <c r="B1408" s="1" t="s">
        <v>41</v>
      </c>
      <c r="C1408" s="1" t="s">
        <v>23</v>
      </c>
      <c r="D1408" s="1" t="s">
        <v>23</v>
      </c>
      <c r="E1408" s="1" t="s">
        <v>28</v>
      </c>
      <c r="F1408" s="1" t="s">
        <v>19</v>
      </c>
      <c r="G1408" s="1" t="s">
        <v>20</v>
      </c>
      <c r="H1408" t="s">
        <v>30</v>
      </c>
      <c r="I1408" s="1" t="s">
        <v>22</v>
      </c>
      <c r="J1408" s="2">
        <v>43534.013101851851</v>
      </c>
      <c r="K1408" s="2">
        <v>43534.013101851851</v>
      </c>
      <c r="L1408" s="2">
        <v>43541.013101851851</v>
      </c>
      <c r="M1408" s="1">
        <f>_xlfn.DAYS(Table1[[#This Row],[actual_delivery_date]],Table1[[#This Row],[dispatch_date]])</f>
        <v>0</v>
      </c>
      <c r="N1408">
        <v>0</v>
      </c>
      <c r="O1408">
        <f>Table1[[#This Row],[transit_storage_cost]] * (1-'What -if Analysis'!$D$26)</f>
        <v>0</v>
      </c>
      <c r="P1408">
        <v>102</v>
      </c>
      <c r="Q1408">
        <v>1494.2514483283419</v>
      </c>
    </row>
    <row r="1409" spans="1:17" x14ac:dyDescent="0.3">
      <c r="A1409">
        <v>753448</v>
      </c>
      <c r="B1409" s="1" t="s">
        <v>40</v>
      </c>
      <c r="C1409" s="1" t="s">
        <v>16</v>
      </c>
      <c r="D1409" s="1" t="s">
        <v>16</v>
      </c>
      <c r="E1409" s="1" t="s">
        <v>27</v>
      </c>
      <c r="F1409" s="1" t="s">
        <v>19</v>
      </c>
      <c r="G1409" s="1" t="s">
        <v>20</v>
      </c>
      <c r="H1409" t="s">
        <v>21</v>
      </c>
      <c r="I1409" s="1" t="s">
        <v>22</v>
      </c>
      <c r="J1409" s="2">
        <v>43529.013379629629</v>
      </c>
      <c r="K1409" s="2">
        <v>43534.013379629629</v>
      </c>
      <c r="L1409" s="2">
        <v>43536.013379629629</v>
      </c>
      <c r="M1409" s="1">
        <f>_xlfn.DAYS(Table1[[#This Row],[actual_delivery_date]],Table1[[#This Row],[dispatch_date]])</f>
        <v>5</v>
      </c>
      <c r="N1409">
        <v>0</v>
      </c>
      <c r="O1409">
        <f>Table1[[#This Row],[transit_storage_cost]] * (1-'What -if Analysis'!$D$26)</f>
        <v>0</v>
      </c>
      <c r="P1409">
        <v>126</v>
      </c>
      <c r="Q1409">
        <v>3137.7738065663307</v>
      </c>
    </row>
    <row r="1410" spans="1:17" x14ac:dyDescent="0.3">
      <c r="A1410">
        <v>306457</v>
      </c>
      <c r="B1410" s="1" t="s">
        <v>41</v>
      </c>
      <c r="C1410" s="1" t="s">
        <v>16</v>
      </c>
      <c r="D1410" s="1" t="s">
        <v>17</v>
      </c>
      <c r="E1410" s="1" t="s">
        <v>18</v>
      </c>
      <c r="F1410" s="1" t="s">
        <v>29</v>
      </c>
      <c r="G1410" s="1" t="s">
        <v>20</v>
      </c>
      <c r="H1410" t="s">
        <v>30</v>
      </c>
      <c r="I1410" s="1" t="s">
        <v>22</v>
      </c>
      <c r="J1410" s="2">
        <v>43530.015972222223</v>
      </c>
      <c r="K1410" s="2">
        <v>43534.015972222223</v>
      </c>
      <c r="L1410" s="2">
        <v>43535.015972222223</v>
      </c>
      <c r="M1410" s="1">
        <f>_xlfn.DAYS(Table1[[#This Row],[actual_delivery_date]],Table1[[#This Row],[dispatch_date]])</f>
        <v>4</v>
      </c>
      <c r="N1410">
        <v>33</v>
      </c>
      <c r="O1410">
        <f>Table1[[#This Row],[transit_storage_cost]] * (1-'What -if Analysis'!$D$26)</f>
        <v>33</v>
      </c>
      <c r="P1410">
        <v>108</v>
      </c>
      <c r="Q1410">
        <v>1336.2929447245783</v>
      </c>
    </row>
    <row r="1411" spans="1:17" x14ac:dyDescent="0.3">
      <c r="A1411">
        <v>108576</v>
      </c>
      <c r="B1411" s="1" t="s">
        <v>37</v>
      </c>
      <c r="C1411" s="1" t="s">
        <v>23</v>
      </c>
      <c r="D1411" s="1" t="s">
        <v>17</v>
      </c>
      <c r="E1411" s="1" t="s">
        <v>18</v>
      </c>
      <c r="F1411" s="1" t="s">
        <v>19</v>
      </c>
      <c r="G1411" s="1" t="s">
        <v>20</v>
      </c>
      <c r="H1411" t="s">
        <v>21</v>
      </c>
      <c r="I1411" s="1" t="s">
        <v>26</v>
      </c>
      <c r="J1411" s="2">
        <v>43528.026342592595</v>
      </c>
      <c r="K1411" s="2">
        <v>43534.026342592595</v>
      </c>
      <c r="L1411" s="2">
        <v>43533.026342592595</v>
      </c>
      <c r="M1411" s="1">
        <f>_xlfn.DAYS(Table1[[#This Row],[actual_delivery_date]],Table1[[#This Row],[dispatch_date]])</f>
        <v>6</v>
      </c>
      <c r="N1411">
        <v>43</v>
      </c>
      <c r="O1411">
        <f>Table1[[#This Row],[transit_storage_cost]] * (1-'What -if Analysis'!$D$26)</f>
        <v>43</v>
      </c>
      <c r="P1411">
        <v>106</v>
      </c>
      <c r="Q1411">
        <v>2480.66</v>
      </c>
    </row>
    <row r="1412" spans="1:17" x14ac:dyDescent="0.3">
      <c r="A1412">
        <v>464475</v>
      </c>
      <c r="B1412" s="1" t="s">
        <v>38</v>
      </c>
      <c r="C1412" s="1" t="s">
        <v>16</v>
      </c>
      <c r="D1412" s="1" t="s">
        <v>17</v>
      </c>
      <c r="E1412" s="1" t="s">
        <v>18</v>
      </c>
      <c r="F1412" s="1" t="s">
        <v>29</v>
      </c>
      <c r="G1412" s="1" t="s">
        <v>20</v>
      </c>
      <c r="H1412" t="s">
        <v>30</v>
      </c>
      <c r="I1412" s="1" t="s">
        <v>26</v>
      </c>
      <c r="J1412" s="2">
        <v>43528.040393518517</v>
      </c>
      <c r="K1412" s="2">
        <v>43534.040393518517</v>
      </c>
      <c r="L1412" s="2">
        <v>43532.040393518517</v>
      </c>
      <c r="M1412" s="1">
        <f>_xlfn.DAYS(Table1[[#This Row],[actual_delivery_date]],Table1[[#This Row],[dispatch_date]])</f>
        <v>6</v>
      </c>
      <c r="N1412">
        <v>30</v>
      </c>
      <c r="O1412">
        <f>Table1[[#This Row],[transit_storage_cost]] * (1-'What -if Analysis'!$D$26)</f>
        <v>30</v>
      </c>
      <c r="P1412">
        <v>106</v>
      </c>
      <c r="Q1412">
        <v>1832.71</v>
      </c>
    </row>
    <row r="1413" spans="1:17" x14ac:dyDescent="0.3">
      <c r="A1413">
        <v>830571</v>
      </c>
      <c r="B1413" s="1" t="s">
        <v>41</v>
      </c>
      <c r="C1413" s="1" t="s">
        <v>16</v>
      </c>
      <c r="D1413" s="1" t="s">
        <v>32</v>
      </c>
      <c r="E1413" s="1" t="s">
        <v>33</v>
      </c>
      <c r="F1413" s="1" t="s">
        <v>29</v>
      </c>
      <c r="G1413" s="1" t="s">
        <v>20</v>
      </c>
      <c r="H1413" t="s">
        <v>34</v>
      </c>
      <c r="I1413" s="1" t="s">
        <v>26</v>
      </c>
      <c r="J1413" s="2">
        <v>43530.046574074076</v>
      </c>
      <c r="K1413" s="2">
        <v>43534.046574074076</v>
      </c>
      <c r="L1413" s="2">
        <v>43536.046574074076</v>
      </c>
      <c r="M1413" s="1">
        <f>_xlfn.DAYS(Table1[[#This Row],[actual_delivery_date]],Table1[[#This Row],[dispatch_date]])</f>
        <v>4</v>
      </c>
      <c r="N1413">
        <v>34</v>
      </c>
      <c r="O1413">
        <f>Table1[[#This Row],[transit_storage_cost]] * (1-'What -if Analysis'!$D$26)</f>
        <v>34</v>
      </c>
      <c r="P1413">
        <v>110</v>
      </c>
      <c r="Q1413">
        <v>1477.28</v>
      </c>
    </row>
    <row r="1414" spans="1:17" x14ac:dyDescent="0.3">
      <c r="A1414">
        <v>128822</v>
      </c>
      <c r="B1414" s="1" t="s">
        <v>37</v>
      </c>
      <c r="C1414" s="1" t="s">
        <v>23</v>
      </c>
      <c r="D1414" s="1" t="s">
        <v>32</v>
      </c>
      <c r="E1414" s="1" t="s">
        <v>33</v>
      </c>
      <c r="F1414" s="1" t="s">
        <v>31</v>
      </c>
      <c r="G1414" s="1" t="s">
        <v>20</v>
      </c>
      <c r="H1414" t="s">
        <v>21</v>
      </c>
      <c r="I1414" s="1" t="s">
        <v>22</v>
      </c>
      <c r="J1414" s="2">
        <v>43528.04791666667</v>
      </c>
      <c r="K1414" s="2">
        <v>43534.04791666667</v>
      </c>
      <c r="L1414" s="2">
        <v>43534.04791666667</v>
      </c>
      <c r="M1414" s="1">
        <f>_xlfn.DAYS(Table1[[#This Row],[actual_delivery_date]],Table1[[#This Row],[dispatch_date]])</f>
        <v>6</v>
      </c>
      <c r="N1414">
        <v>29</v>
      </c>
      <c r="O1414">
        <f>Table1[[#This Row],[transit_storage_cost]] * (1-'What -if Analysis'!$D$26)</f>
        <v>29</v>
      </c>
      <c r="P1414">
        <v>114</v>
      </c>
      <c r="Q1414">
        <v>1326.8515580789135</v>
      </c>
    </row>
    <row r="1415" spans="1:17" x14ac:dyDescent="0.3">
      <c r="A1415">
        <v>233956</v>
      </c>
      <c r="B1415" s="1" t="s">
        <v>39</v>
      </c>
      <c r="C1415" s="1" t="s">
        <v>23</v>
      </c>
      <c r="D1415" s="1" t="s">
        <v>16</v>
      </c>
      <c r="E1415" s="1" t="s">
        <v>27</v>
      </c>
      <c r="F1415" s="1" t="s">
        <v>19</v>
      </c>
      <c r="G1415" s="1" t="s">
        <v>20</v>
      </c>
      <c r="H1415" t="s">
        <v>21</v>
      </c>
      <c r="I1415" s="1" t="s">
        <v>22</v>
      </c>
      <c r="J1415" s="2">
        <v>43528.050902777781</v>
      </c>
      <c r="K1415" s="2">
        <v>43534.050902777781</v>
      </c>
      <c r="L1415" s="2">
        <v>43532.050902777781</v>
      </c>
      <c r="M1415" s="1">
        <f>_xlfn.DAYS(Table1[[#This Row],[actual_delivery_date]],Table1[[#This Row],[dispatch_date]])</f>
        <v>6</v>
      </c>
      <c r="N1415">
        <v>38</v>
      </c>
      <c r="O1415">
        <f>Table1[[#This Row],[transit_storage_cost]] * (1-'What -if Analysis'!$D$26)</f>
        <v>38</v>
      </c>
      <c r="P1415">
        <v>123</v>
      </c>
      <c r="Q1415">
        <v>1079.5984712134191</v>
      </c>
    </row>
    <row r="1416" spans="1:17" x14ac:dyDescent="0.3">
      <c r="A1416">
        <v>994994</v>
      </c>
      <c r="B1416" s="1" t="s">
        <v>40</v>
      </c>
      <c r="C1416" s="1" t="s">
        <v>23</v>
      </c>
      <c r="D1416" s="1" t="s">
        <v>17</v>
      </c>
      <c r="E1416" s="1" t="s">
        <v>18</v>
      </c>
      <c r="F1416" s="1" t="s">
        <v>19</v>
      </c>
      <c r="G1416" s="1" t="s">
        <v>20</v>
      </c>
      <c r="H1416" t="s">
        <v>21</v>
      </c>
      <c r="I1416" s="1" t="s">
        <v>22</v>
      </c>
      <c r="J1416" s="2">
        <v>43530.051087962966</v>
      </c>
      <c r="K1416" s="2">
        <v>43534.051087962966</v>
      </c>
      <c r="L1416" s="2">
        <v>43534.051087962966</v>
      </c>
      <c r="M1416" s="1">
        <f>_xlfn.DAYS(Table1[[#This Row],[actual_delivery_date]],Table1[[#This Row],[dispatch_date]])</f>
        <v>4</v>
      </c>
      <c r="N1416">
        <v>81</v>
      </c>
      <c r="O1416">
        <f>Table1[[#This Row],[transit_storage_cost]] * (1-'What -if Analysis'!$D$26)</f>
        <v>81</v>
      </c>
      <c r="P1416">
        <v>86</v>
      </c>
      <c r="Q1416">
        <v>1983.2170865538001</v>
      </c>
    </row>
    <row r="1417" spans="1:17" x14ac:dyDescent="0.3">
      <c r="A1417">
        <v>223262</v>
      </c>
      <c r="B1417" s="1" t="s">
        <v>15</v>
      </c>
      <c r="C1417" s="1" t="s">
        <v>23</v>
      </c>
      <c r="D1417" s="1" t="s">
        <v>24</v>
      </c>
      <c r="E1417" s="1" t="s">
        <v>25</v>
      </c>
      <c r="F1417" s="1" t="s">
        <v>31</v>
      </c>
      <c r="G1417" s="1" t="s">
        <v>20</v>
      </c>
      <c r="H1417" t="s">
        <v>21</v>
      </c>
      <c r="I1417" s="1" t="s">
        <v>22</v>
      </c>
      <c r="J1417" s="2">
        <v>43532.059606481482</v>
      </c>
      <c r="K1417" s="2">
        <v>43534.059606481482</v>
      </c>
      <c r="L1417" s="2">
        <v>43538.059606481482</v>
      </c>
      <c r="M1417" s="1">
        <f>_xlfn.DAYS(Table1[[#This Row],[actual_delivery_date]],Table1[[#This Row],[dispatch_date]])</f>
        <v>2</v>
      </c>
      <c r="N1417">
        <v>38</v>
      </c>
      <c r="O1417">
        <f>Table1[[#This Row],[transit_storage_cost]] * (1-'What -if Analysis'!$D$26)</f>
        <v>38</v>
      </c>
      <c r="P1417">
        <v>121</v>
      </c>
      <c r="Q1417">
        <v>674.17365029452935</v>
      </c>
    </row>
    <row r="1418" spans="1:17" x14ac:dyDescent="0.3">
      <c r="A1418">
        <v>698490</v>
      </c>
      <c r="B1418" s="1" t="s">
        <v>38</v>
      </c>
      <c r="C1418" s="1" t="s">
        <v>16</v>
      </c>
      <c r="D1418" s="1" t="s">
        <v>24</v>
      </c>
      <c r="E1418" s="1" t="s">
        <v>25</v>
      </c>
      <c r="F1418" s="1" t="s">
        <v>31</v>
      </c>
      <c r="G1418" s="1" t="s">
        <v>20</v>
      </c>
      <c r="H1418" t="s">
        <v>21</v>
      </c>
      <c r="I1418" s="1" t="s">
        <v>26</v>
      </c>
      <c r="J1418" s="2">
        <v>43532.059641203705</v>
      </c>
      <c r="K1418" s="2">
        <v>43534.059641203705</v>
      </c>
      <c r="L1418" s="2">
        <v>43535.059641203705</v>
      </c>
      <c r="M1418" s="1">
        <f>_xlfn.DAYS(Table1[[#This Row],[actual_delivery_date]],Table1[[#This Row],[dispatch_date]])</f>
        <v>2</v>
      </c>
      <c r="N1418">
        <v>42</v>
      </c>
      <c r="O1418">
        <f>Table1[[#This Row],[transit_storage_cost]] * (1-'What -if Analysis'!$D$26)</f>
        <v>42</v>
      </c>
      <c r="P1418">
        <v>127</v>
      </c>
      <c r="Q1418">
        <v>1660</v>
      </c>
    </row>
    <row r="1419" spans="1:17" x14ac:dyDescent="0.3">
      <c r="A1419">
        <v>354572</v>
      </c>
      <c r="B1419" s="1" t="s">
        <v>37</v>
      </c>
      <c r="C1419" s="1" t="s">
        <v>23</v>
      </c>
      <c r="D1419" s="1" t="s">
        <v>24</v>
      </c>
      <c r="E1419" s="1" t="s">
        <v>25</v>
      </c>
      <c r="F1419" s="1" t="s">
        <v>19</v>
      </c>
      <c r="G1419" s="1" t="s">
        <v>20</v>
      </c>
      <c r="H1419" t="s">
        <v>21</v>
      </c>
      <c r="I1419" s="1" t="s">
        <v>22</v>
      </c>
      <c r="J1419" s="2">
        <v>43530.059872685182</v>
      </c>
      <c r="K1419" s="2">
        <v>43534.059872685182</v>
      </c>
      <c r="L1419" s="2">
        <v>43536.059872685182</v>
      </c>
      <c r="M1419" s="1">
        <f>_xlfn.DAYS(Table1[[#This Row],[actual_delivery_date]],Table1[[#This Row],[dispatch_date]])</f>
        <v>4</v>
      </c>
      <c r="N1419">
        <v>35</v>
      </c>
      <c r="O1419">
        <f>Table1[[#This Row],[transit_storage_cost]] * (1-'What -if Analysis'!$D$26)</f>
        <v>35</v>
      </c>
      <c r="P1419">
        <v>124</v>
      </c>
      <c r="Q1419">
        <v>2232.9032192197028</v>
      </c>
    </row>
    <row r="1420" spans="1:17" x14ac:dyDescent="0.3">
      <c r="A1420">
        <v>512494</v>
      </c>
      <c r="B1420" s="1" t="s">
        <v>37</v>
      </c>
      <c r="C1420" s="1" t="s">
        <v>23</v>
      </c>
      <c r="D1420" s="1" t="s">
        <v>24</v>
      </c>
      <c r="E1420" s="1" t="s">
        <v>25</v>
      </c>
      <c r="F1420" s="1" t="s">
        <v>19</v>
      </c>
      <c r="G1420" s="1" t="s">
        <v>20</v>
      </c>
      <c r="H1420" t="s">
        <v>21</v>
      </c>
      <c r="I1420" s="1" t="s">
        <v>22</v>
      </c>
      <c r="J1420" s="2">
        <v>43527.060069444444</v>
      </c>
      <c r="K1420" s="2">
        <v>43534.060069444444</v>
      </c>
      <c r="L1420" s="2">
        <v>43533.060069444444</v>
      </c>
      <c r="M1420" s="1">
        <f>_xlfn.DAYS(Table1[[#This Row],[actual_delivery_date]],Table1[[#This Row],[dispatch_date]])</f>
        <v>7</v>
      </c>
      <c r="N1420">
        <v>71</v>
      </c>
      <c r="O1420">
        <f>Table1[[#This Row],[transit_storage_cost]] * (1-'What -if Analysis'!$D$26)</f>
        <v>71</v>
      </c>
      <c r="P1420">
        <v>107</v>
      </c>
      <c r="Q1420">
        <v>3360.2410967319233</v>
      </c>
    </row>
    <row r="1421" spans="1:17" x14ac:dyDescent="0.3">
      <c r="A1421">
        <v>178544</v>
      </c>
      <c r="B1421" s="1" t="s">
        <v>37</v>
      </c>
      <c r="C1421" s="1" t="s">
        <v>16</v>
      </c>
      <c r="D1421" s="1" t="s">
        <v>17</v>
      </c>
      <c r="E1421" s="1" t="s">
        <v>18</v>
      </c>
      <c r="F1421" s="1" t="s">
        <v>19</v>
      </c>
      <c r="G1421" s="1" t="s">
        <v>20</v>
      </c>
      <c r="H1421" t="s">
        <v>21</v>
      </c>
      <c r="I1421" s="1" t="s">
        <v>22</v>
      </c>
      <c r="J1421" s="2">
        <v>43530.060115740744</v>
      </c>
      <c r="K1421" s="2">
        <v>43534.060115740744</v>
      </c>
      <c r="L1421" s="2">
        <v>43533.060115740744</v>
      </c>
      <c r="M1421" s="1">
        <f>_xlfn.DAYS(Table1[[#This Row],[actual_delivery_date]],Table1[[#This Row],[dispatch_date]])</f>
        <v>4</v>
      </c>
      <c r="N1421">
        <v>31</v>
      </c>
      <c r="O1421">
        <f>Table1[[#This Row],[transit_storage_cost]] * (1-'What -if Analysis'!$D$26)</f>
        <v>31</v>
      </c>
      <c r="P1421">
        <v>111</v>
      </c>
      <c r="Q1421">
        <v>2291.5407380887737</v>
      </c>
    </row>
    <row r="1422" spans="1:17" x14ac:dyDescent="0.3">
      <c r="A1422">
        <v>308348</v>
      </c>
      <c r="B1422" s="1" t="s">
        <v>41</v>
      </c>
      <c r="C1422" s="1" t="s">
        <v>16</v>
      </c>
      <c r="D1422" s="1" t="s">
        <v>24</v>
      </c>
      <c r="E1422" s="1" t="s">
        <v>25</v>
      </c>
      <c r="F1422" s="1" t="s">
        <v>19</v>
      </c>
      <c r="G1422" s="1" t="s">
        <v>20</v>
      </c>
      <c r="H1422" t="s">
        <v>21</v>
      </c>
      <c r="I1422" s="1" t="s">
        <v>22</v>
      </c>
      <c r="J1422" s="2">
        <v>43529.060185185182</v>
      </c>
      <c r="K1422" s="2">
        <v>43534.060185185182</v>
      </c>
      <c r="L1422" s="2">
        <v>43533.060185185182</v>
      </c>
      <c r="M1422" s="1">
        <f>_xlfn.DAYS(Table1[[#This Row],[actual_delivery_date]],Table1[[#This Row],[dispatch_date]])</f>
        <v>5</v>
      </c>
      <c r="N1422">
        <v>42</v>
      </c>
      <c r="O1422">
        <f>Table1[[#This Row],[transit_storage_cost]] * (1-'What -if Analysis'!$D$26)</f>
        <v>42</v>
      </c>
      <c r="P1422">
        <v>128</v>
      </c>
      <c r="Q1422">
        <v>1865.0453172502016</v>
      </c>
    </row>
    <row r="1423" spans="1:17" x14ac:dyDescent="0.3">
      <c r="A1423">
        <v>660724</v>
      </c>
      <c r="B1423" s="1" t="s">
        <v>38</v>
      </c>
      <c r="C1423" s="1" t="s">
        <v>16</v>
      </c>
      <c r="D1423" s="1" t="s">
        <v>16</v>
      </c>
      <c r="E1423" s="1" t="s">
        <v>27</v>
      </c>
      <c r="F1423" s="1" t="s">
        <v>19</v>
      </c>
      <c r="G1423" s="1" t="s">
        <v>20</v>
      </c>
      <c r="H1423" t="s">
        <v>21</v>
      </c>
      <c r="I1423" s="1" t="s">
        <v>22</v>
      </c>
      <c r="J1423" s="2">
        <v>43530.065682870372</v>
      </c>
      <c r="K1423" s="2">
        <v>43534.065682870372</v>
      </c>
      <c r="L1423" s="2">
        <v>43533.065682870372</v>
      </c>
      <c r="M1423" s="1">
        <f>_xlfn.DAYS(Table1[[#This Row],[actual_delivery_date]],Table1[[#This Row],[dispatch_date]])</f>
        <v>4</v>
      </c>
      <c r="N1423">
        <v>0</v>
      </c>
      <c r="O1423">
        <f>Table1[[#This Row],[transit_storage_cost]] * (1-'What -if Analysis'!$D$26)</f>
        <v>0</v>
      </c>
      <c r="P1423">
        <v>129</v>
      </c>
      <c r="Q1423">
        <v>3115.1606809947048</v>
      </c>
    </row>
    <row r="1424" spans="1:17" x14ac:dyDescent="0.3">
      <c r="A1424">
        <v>489693</v>
      </c>
      <c r="B1424" s="1" t="s">
        <v>38</v>
      </c>
      <c r="C1424" s="1" t="s">
        <v>16</v>
      </c>
      <c r="D1424" s="1" t="s">
        <v>23</v>
      </c>
      <c r="E1424" s="1" t="s">
        <v>28</v>
      </c>
      <c r="F1424" s="1" t="s">
        <v>19</v>
      </c>
      <c r="G1424" s="1" t="s">
        <v>20</v>
      </c>
      <c r="H1424" t="s">
        <v>30</v>
      </c>
      <c r="I1424" s="1" t="s">
        <v>26</v>
      </c>
      <c r="J1424" s="2">
        <v>43532.066400462965</v>
      </c>
      <c r="K1424" s="2">
        <v>43534.066400462965</v>
      </c>
      <c r="L1424" s="2">
        <v>43536.066400462965</v>
      </c>
      <c r="M1424" s="1">
        <f>_xlfn.DAYS(Table1[[#This Row],[actual_delivery_date]],Table1[[#This Row],[dispatch_date]])</f>
        <v>2</v>
      </c>
      <c r="N1424">
        <v>65</v>
      </c>
      <c r="O1424">
        <f>Table1[[#This Row],[transit_storage_cost]] * (1-'What -if Analysis'!$D$26)</f>
        <v>65</v>
      </c>
      <c r="P1424">
        <v>101</v>
      </c>
      <c r="Q1424">
        <v>3493</v>
      </c>
    </row>
    <row r="1425" spans="1:17" x14ac:dyDescent="0.3">
      <c r="A1425">
        <v>304979</v>
      </c>
      <c r="B1425" s="1" t="s">
        <v>41</v>
      </c>
      <c r="C1425" s="1" t="s">
        <v>16</v>
      </c>
      <c r="D1425" s="1" t="s">
        <v>24</v>
      </c>
      <c r="E1425" s="1" t="s">
        <v>25</v>
      </c>
      <c r="F1425" s="1" t="s">
        <v>29</v>
      </c>
      <c r="G1425" s="1" t="s">
        <v>20</v>
      </c>
      <c r="H1425" t="s">
        <v>30</v>
      </c>
      <c r="I1425" s="1" t="s">
        <v>22</v>
      </c>
      <c r="J1425" s="2">
        <v>43529.070231481484</v>
      </c>
      <c r="K1425" s="2">
        <v>43534.070231481484</v>
      </c>
      <c r="L1425" s="2">
        <v>43532.070231481484</v>
      </c>
      <c r="M1425" s="1">
        <f>_xlfn.DAYS(Table1[[#This Row],[actual_delivery_date]],Table1[[#This Row],[dispatch_date]])</f>
        <v>5</v>
      </c>
      <c r="N1425">
        <v>39</v>
      </c>
      <c r="O1425">
        <f>Table1[[#This Row],[transit_storage_cost]] * (1-'What -if Analysis'!$D$26)</f>
        <v>39</v>
      </c>
      <c r="P1425">
        <v>125</v>
      </c>
      <c r="Q1425">
        <v>2340.9130357852891</v>
      </c>
    </row>
    <row r="1426" spans="1:17" x14ac:dyDescent="0.3">
      <c r="A1426">
        <v>741405</v>
      </c>
      <c r="B1426" s="1" t="s">
        <v>15</v>
      </c>
      <c r="C1426" s="1" t="s">
        <v>16</v>
      </c>
      <c r="D1426" s="1" t="s">
        <v>17</v>
      </c>
      <c r="E1426" s="1" t="s">
        <v>18</v>
      </c>
      <c r="F1426" s="1" t="s">
        <v>19</v>
      </c>
      <c r="G1426" s="1" t="s">
        <v>20</v>
      </c>
      <c r="H1426" t="s">
        <v>34</v>
      </c>
      <c r="I1426" s="1" t="s">
        <v>26</v>
      </c>
      <c r="J1426" s="2">
        <v>43532.071331018517</v>
      </c>
      <c r="K1426" s="2">
        <v>43534.071331018517</v>
      </c>
      <c r="L1426" s="2">
        <v>43539.071331018517</v>
      </c>
      <c r="M1426" s="1">
        <f>_xlfn.DAYS(Table1[[#This Row],[actual_delivery_date]],Table1[[#This Row],[dispatch_date]])</f>
        <v>2</v>
      </c>
      <c r="N1426">
        <v>72</v>
      </c>
      <c r="O1426">
        <f>Table1[[#This Row],[transit_storage_cost]] * (1-'What -if Analysis'!$D$26)</f>
        <v>72</v>
      </c>
      <c r="P1426">
        <v>92</v>
      </c>
      <c r="Q1426">
        <v>3485.2124954897808</v>
      </c>
    </row>
    <row r="1427" spans="1:17" x14ac:dyDescent="0.3">
      <c r="A1427">
        <v>715182</v>
      </c>
      <c r="B1427" s="1" t="s">
        <v>38</v>
      </c>
      <c r="C1427" s="1" t="s">
        <v>23</v>
      </c>
      <c r="D1427" s="1" t="s">
        <v>16</v>
      </c>
      <c r="E1427" s="1" t="s">
        <v>27</v>
      </c>
      <c r="F1427" s="1" t="s">
        <v>19</v>
      </c>
      <c r="G1427" s="1" t="s">
        <v>20</v>
      </c>
      <c r="H1427" t="s">
        <v>21</v>
      </c>
      <c r="I1427" s="1" t="s">
        <v>26</v>
      </c>
      <c r="J1427" s="2">
        <v>43530.07298611111</v>
      </c>
      <c r="K1427" s="2">
        <v>43534.07298611111</v>
      </c>
      <c r="L1427" s="2">
        <v>43537.07298611111</v>
      </c>
      <c r="M1427" s="1">
        <f>_xlfn.DAYS(Table1[[#This Row],[actual_delivery_date]],Table1[[#This Row],[dispatch_date]])</f>
        <v>4</v>
      </c>
      <c r="N1427">
        <v>63</v>
      </c>
      <c r="O1427">
        <f>Table1[[#This Row],[transit_storage_cost]] * (1-'What -if Analysis'!$D$26)</f>
        <v>63</v>
      </c>
      <c r="P1427">
        <v>104</v>
      </c>
      <c r="Q1427">
        <v>448.82</v>
      </c>
    </row>
    <row r="1428" spans="1:17" x14ac:dyDescent="0.3">
      <c r="A1428">
        <v>998273</v>
      </c>
      <c r="B1428" s="1" t="s">
        <v>38</v>
      </c>
      <c r="C1428" s="1" t="s">
        <v>23</v>
      </c>
      <c r="D1428" s="1" t="s">
        <v>16</v>
      </c>
      <c r="E1428" s="1" t="s">
        <v>27</v>
      </c>
      <c r="F1428" s="1" t="s">
        <v>29</v>
      </c>
      <c r="G1428" s="1" t="s">
        <v>20</v>
      </c>
      <c r="H1428" t="s">
        <v>30</v>
      </c>
      <c r="I1428" s="1" t="s">
        <v>22</v>
      </c>
      <c r="J1428" s="2">
        <v>43525.077731481484</v>
      </c>
      <c r="K1428" s="2">
        <v>43534.077731481484</v>
      </c>
      <c r="L1428" s="2">
        <v>43532.077731481484</v>
      </c>
      <c r="M1428" s="1">
        <f>_xlfn.DAYS(Table1[[#This Row],[actual_delivery_date]],Table1[[#This Row],[dispatch_date]])</f>
        <v>9</v>
      </c>
      <c r="N1428">
        <v>36</v>
      </c>
      <c r="O1428">
        <f>Table1[[#This Row],[transit_storage_cost]] * (1-'What -if Analysis'!$D$26)</f>
        <v>36</v>
      </c>
      <c r="P1428">
        <v>129</v>
      </c>
      <c r="Q1428">
        <v>1608.4491998628337</v>
      </c>
    </row>
    <row r="1429" spans="1:17" x14ac:dyDescent="0.3">
      <c r="A1429">
        <v>310257</v>
      </c>
      <c r="B1429" s="1" t="s">
        <v>37</v>
      </c>
      <c r="C1429" s="1" t="s">
        <v>16</v>
      </c>
      <c r="D1429" s="1" t="s">
        <v>16</v>
      </c>
      <c r="E1429" s="1" t="s">
        <v>27</v>
      </c>
      <c r="F1429" s="1" t="s">
        <v>29</v>
      </c>
      <c r="G1429" s="1" t="s">
        <v>20</v>
      </c>
      <c r="H1429" t="s">
        <v>30</v>
      </c>
      <c r="I1429" s="1" t="s">
        <v>26</v>
      </c>
      <c r="J1429" s="2">
        <v>43529.079062500001</v>
      </c>
      <c r="K1429" s="2">
        <v>43534.079062500001</v>
      </c>
      <c r="L1429" s="2">
        <v>43534.079062500001</v>
      </c>
      <c r="M1429" s="1">
        <f>_xlfn.DAYS(Table1[[#This Row],[actual_delivery_date]],Table1[[#This Row],[dispatch_date]])</f>
        <v>5</v>
      </c>
      <c r="N1429">
        <v>0</v>
      </c>
      <c r="O1429">
        <f>Table1[[#This Row],[transit_storage_cost]] * (1-'What -if Analysis'!$D$26)</f>
        <v>0</v>
      </c>
      <c r="P1429">
        <v>127</v>
      </c>
      <c r="Q1429">
        <v>1785.58</v>
      </c>
    </row>
    <row r="1430" spans="1:17" x14ac:dyDescent="0.3">
      <c r="A1430">
        <v>811504</v>
      </c>
      <c r="B1430" s="1" t="s">
        <v>15</v>
      </c>
      <c r="C1430" s="1" t="s">
        <v>23</v>
      </c>
      <c r="D1430" s="1" t="s">
        <v>16</v>
      </c>
      <c r="E1430" s="1" t="s">
        <v>27</v>
      </c>
      <c r="F1430" s="1" t="s">
        <v>19</v>
      </c>
      <c r="G1430" s="1" t="s">
        <v>20</v>
      </c>
      <c r="H1430" t="s">
        <v>21</v>
      </c>
      <c r="I1430" s="1" t="s">
        <v>22</v>
      </c>
      <c r="J1430" s="2">
        <v>43529.085011574076</v>
      </c>
      <c r="K1430" s="2">
        <v>43534.085011574076</v>
      </c>
      <c r="L1430" s="2">
        <v>43536.085011574076</v>
      </c>
      <c r="M1430" s="1">
        <f>_xlfn.DAYS(Table1[[#This Row],[actual_delivery_date]],Table1[[#This Row],[dispatch_date]])</f>
        <v>5</v>
      </c>
      <c r="N1430">
        <v>43</v>
      </c>
      <c r="O1430">
        <f>Table1[[#This Row],[transit_storage_cost]] * (1-'What -if Analysis'!$D$26)</f>
        <v>43</v>
      </c>
      <c r="P1430">
        <v>124</v>
      </c>
      <c r="Q1430">
        <v>3734.0237356904618</v>
      </c>
    </row>
    <row r="1431" spans="1:17" x14ac:dyDescent="0.3">
      <c r="A1431">
        <v>131354</v>
      </c>
      <c r="B1431" s="1" t="s">
        <v>15</v>
      </c>
      <c r="C1431" s="1" t="s">
        <v>16</v>
      </c>
      <c r="D1431" s="1" t="s">
        <v>24</v>
      </c>
      <c r="E1431" s="1" t="s">
        <v>25</v>
      </c>
      <c r="F1431" s="1" t="s">
        <v>31</v>
      </c>
      <c r="G1431" s="1" t="s">
        <v>20</v>
      </c>
      <c r="H1431" t="s">
        <v>21</v>
      </c>
      <c r="I1431" s="1" t="s">
        <v>22</v>
      </c>
      <c r="J1431" s="2">
        <v>43529.08520833333</v>
      </c>
      <c r="K1431" s="2">
        <v>43534.08520833333</v>
      </c>
      <c r="L1431" s="2">
        <v>43534.08520833333</v>
      </c>
      <c r="M1431" s="1">
        <f>_xlfn.DAYS(Table1[[#This Row],[actual_delivery_date]],Table1[[#This Row],[dispatch_date]])</f>
        <v>5</v>
      </c>
      <c r="N1431">
        <v>26</v>
      </c>
      <c r="O1431">
        <f>Table1[[#This Row],[transit_storage_cost]] * (1-'What -if Analysis'!$D$26)</f>
        <v>26</v>
      </c>
      <c r="P1431">
        <v>120</v>
      </c>
      <c r="Q1431">
        <v>1964.7940937189328</v>
      </c>
    </row>
    <row r="1432" spans="1:17" x14ac:dyDescent="0.3">
      <c r="A1432">
        <v>345817</v>
      </c>
      <c r="B1432" s="1" t="s">
        <v>37</v>
      </c>
      <c r="C1432" s="1" t="s">
        <v>23</v>
      </c>
      <c r="D1432" s="1" t="s">
        <v>17</v>
      </c>
      <c r="E1432" s="1" t="s">
        <v>18</v>
      </c>
      <c r="F1432" s="1" t="s">
        <v>19</v>
      </c>
      <c r="G1432" s="1" t="s">
        <v>20</v>
      </c>
      <c r="H1432" t="s">
        <v>30</v>
      </c>
      <c r="I1432" s="1" t="s">
        <v>22</v>
      </c>
      <c r="J1432" s="2">
        <v>43532.088148148148</v>
      </c>
      <c r="K1432" s="2">
        <v>43534.088148148148</v>
      </c>
      <c r="L1432" s="2">
        <v>43539.088148148148</v>
      </c>
      <c r="M1432" s="1">
        <f>_xlfn.DAYS(Table1[[#This Row],[actual_delivery_date]],Table1[[#This Row],[dispatch_date]])</f>
        <v>2</v>
      </c>
      <c r="N1432">
        <v>84</v>
      </c>
      <c r="O1432">
        <f>Table1[[#This Row],[transit_storage_cost]] * (1-'What -if Analysis'!$D$26)</f>
        <v>84</v>
      </c>
      <c r="P1432">
        <v>91</v>
      </c>
      <c r="Q1432">
        <v>2153.6844010536529</v>
      </c>
    </row>
    <row r="1433" spans="1:17" x14ac:dyDescent="0.3">
      <c r="A1433">
        <v>242070</v>
      </c>
      <c r="B1433" s="1" t="s">
        <v>37</v>
      </c>
      <c r="C1433" s="1" t="s">
        <v>23</v>
      </c>
      <c r="D1433" s="1" t="s">
        <v>23</v>
      </c>
      <c r="E1433" s="1" t="s">
        <v>28</v>
      </c>
      <c r="F1433" s="1" t="s">
        <v>31</v>
      </c>
      <c r="G1433" s="1" t="s">
        <v>20</v>
      </c>
      <c r="H1433" t="s">
        <v>21</v>
      </c>
      <c r="I1433" s="1" t="s">
        <v>26</v>
      </c>
      <c r="J1433" s="2">
        <v>43531.099293981482</v>
      </c>
      <c r="K1433" s="2">
        <v>43534.099293981482</v>
      </c>
      <c r="L1433" s="2">
        <v>43537.099293981482</v>
      </c>
      <c r="M1433" s="1">
        <f>_xlfn.DAYS(Table1[[#This Row],[actual_delivery_date]],Table1[[#This Row],[dispatch_date]])</f>
        <v>3</v>
      </c>
      <c r="N1433">
        <v>0</v>
      </c>
      <c r="O1433">
        <f>Table1[[#This Row],[transit_storage_cost]] * (1-'What -if Analysis'!$D$26)</f>
        <v>0</v>
      </c>
      <c r="P1433">
        <v>126</v>
      </c>
      <c r="Q1433">
        <v>1145.6365919093746</v>
      </c>
    </row>
    <row r="1434" spans="1:17" x14ac:dyDescent="0.3">
      <c r="A1434">
        <v>378385</v>
      </c>
      <c r="B1434" s="1" t="s">
        <v>37</v>
      </c>
      <c r="C1434" s="1" t="s">
        <v>16</v>
      </c>
      <c r="D1434" s="1" t="s">
        <v>32</v>
      </c>
      <c r="E1434" s="1" t="s">
        <v>33</v>
      </c>
      <c r="F1434" s="1" t="s">
        <v>29</v>
      </c>
      <c r="G1434" s="1" t="s">
        <v>20</v>
      </c>
      <c r="H1434" t="s">
        <v>34</v>
      </c>
      <c r="I1434" s="1" t="s">
        <v>22</v>
      </c>
      <c r="J1434" s="2">
        <v>43528.103182870371</v>
      </c>
      <c r="K1434" s="2">
        <v>43534.103182870371</v>
      </c>
      <c r="L1434" s="2">
        <v>43535.103182870371</v>
      </c>
      <c r="M1434" s="1">
        <f>_xlfn.DAYS(Table1[[#This Row],[actual_delivery_date]],Table1[[#This Row],[dispatch_date]])</f>
        <v>6</v>
      </c>
      <c r="N1434">
        <v>46</v>
      </c>
      <c r="O1434">
        <f>Table1[[#This Row],[transit_storage_cost]] * (1-'What -if Analysis'!$D$26)</f>
        <v>46</v>
      </c>
      <c r="P1434">
        <v>109</v>
      </c>
      <c r="Q1434">
        <v>2117.8838428117956</v>
      </c>
    </row>
    <row r="1435" spans="1:17" x14ac:dyDescent="0.3">
      <c r="A1435">
        <v>334957</v>
      </c>
      <c r="B1435" s="1" t="s">
        <v>15</v>
      </c>
      <c r="C1435" s="1" t="s">
        <v>16</v>
      </c>
      <c r="D1435" s="1" t="s">
        <v>23</v>
      </c>
      <c r="E1435" s="1" t="s">
        <v>28</v>
      </c>
      <c r="F1435" s="1" t="s">
        <v>19</v>
      </c>
      <c r="G1435" s="1" t="s">
        <v>36</v>
      </c>
      <c r="H1435" t="s">
        <v>34</v>
      </c>
      <c r="I1435" s="1" t="s">
        <v>22</v>
      </c>
      <c r="J1435" s="2">
        <v>43529.106226851851</v>
      </c>
      <c r="K1435" s="2">
        <v>43534.106226851851</v>
      </c>
      <c r="L1435" s="2">
        <v>43534.106226851851</v>
      </c>
      <c r="M1435" s="1">
        <f>_xlfn.DAYS(Table1[[#This Row],[actual_delivery_date]],Table1[[#This Row],[dispatch_date]])</f>
        <v>5</v>
      </c>
      <c r="N1435">
        <v>64</v>
      </c>
      <c r="O1435">
        <f>Table1[[#This Row],[transit_storage_cost]] * (1-'What -if Analysis'!$D$26)</f>
        <v>64</v>
      </c>
      <c r="P1435">
        <v>103</v>
      </c>
      <c r="Q1435">
        <v>3255.0989810535152</v>
      </c>
    </row>
    <row r="1436" spans="1:17" x14ac:dyDescent="0.3">
      <c r="A1436">
        <v>706935</v>
      </c>
      <c r="B1436" s="1" t="s">
        <v>40</v>
      </c>
      <c r="C1436" s="1" t="s">
        <v>23</v>
      </c>
      <c r="D1436" s="1" t="s">
        <v>17</v>
      </c>
      <c r="E1436" s="1" t="s">
        <v>18</v>
      </c>
      <c r="F1436" s="1" t="s">
        <v>29</v>
      </c>
      <c r="G1436" s="1" t="s">
        <v>20</v>
      </c>
      <c r="H1436" t="s">
        <v>30</v>
      </c>
      <c r="I1436" s="1" t="s">
        <v>26</v>
      </c>
      <c r="J1436" s="2">
        <v>43527.106736111113</v>
      </c>
      <c r="K1436" s="2">
        <v>43534.106736111113</v>
      </c>
      <c r="L1436" s="2">
        <v>43530.106736111113</v>
      </c>
      <c r="M1436" s="1">
        <f>_xlfn.DAYS(Table1[[#This Row],[actual_delivery_date]],Table1[[#This Row],[dispatch_date]])</f>
        <v>7</v>
      </c>
      <c r="N1436">
        <v>36</v>
      </c>
      <c r="O1436">
        <f>Table1[[#This Row],[transit_storage_cost]] * (1-'What -if Analysis'!$D$26)</f>
        <v>36</v>
      </c>
      <c r="P1436">
        <v>110</v>
      </c>
      <c r="Q1436">
        <v>2400.04</v>
      </c>
    </row>
    <row r="1437" spans="1:17" x14ac:dyDescent="0.3">
      <c r="A1437">
        <v>21526</v>
      </c>
      <c r="B1437" s="1" t="s">
        <v>41</v>
      </c>
      <c r="C1437" s="1" t="s">
        <v>23</v>
      </c>
      <c r="D1437" s="1" t="s">
        <v>17</v>
      </c>
      <c r="E1437" s="1" t="s">
        <v>18</v>
      </c>
      <c r="F1437" s="1" t="s">
        <v>31</v>
      </c>
      <c r="G1437" s="1" t="s">
        <v>20</v>
      </c>
      <c r="H1437" t="s">
        <v>21</v>
      </c>
      <c r="I1437" s="1" t="s">
        <v>22</v>
      </c>
      <c r="J1437" s="2">
        <v>43529.107071759259</v>
      </c>
      <c r="K1437" s="2">
        <v>43534.107071759259</v>
      </c>
      <c r="L1437" s="2">
        <v>43533.107071759259</v>
      </c>
      <c r="M1437" s="1">
        <f>_xlfn.DAYS(Table1[[#This Row],[actual_delivery_date]],Table1[[#This Row],[dispatch_date]])</f>
        <v>5</v>
      </c>
      <c r="N1437">
        <v>43</v>
      </c>
      <c r="O1437">
        <f>Table1[[#This Row],[transit_storage_cost]] * (1-'What -if Analysis'!$D$26)</f>
        <v>43</v>
      </c>
      <c r="P1437">
        <v>108</v>
      </c>
      <c r="Q1437">
        <v>3270.0206835084114</v>
      </c>
    </row>
    <row r="1438" spans="1:17" x14ac:dyDescent="0.3">
      <c r="A1438">
        <v>12964</v>
      </c>
      <c r="B1438" s="1" t="s">
        <v>41</v>
      </c>
      <c r="C1438" s="1" t="s">
        <v>16</v>
      </c>
      <c r="D1438" s="1" t="s">
        <v>16</v>
      </c>
      <c r="E1438" s="1" t="s">
        <v>27</v>
      </c>
      <c r="F1438" s="1" t="s">
        <v>19</v>
      </c>
      <c r="G1438" s="1" t="s">
        <v>20</v>
      </c>
      <c r="H1438" t="s">
        <v>21</v>
      </c>
      <c r="I1438" s="1" t="s">
        <v>22</v>
      </c>
      <c r="J1438" s="2">
        <v>43531.109594907408</v>
      </c>
      <c r="K1438" s="2">
        <v>43534.109594907408</v>
      </c>
      <c r="L1438" s="2">
        <v>43537.109594907408</v>
      </c>
      <c r="M1438" s="1">
        <f>_xlfn.DAYS(Table1[[#This Row],[actual_delivery_date]],Table1[[#This Row],[dispatch_date]])</f>
        <v>3</v>
      </c>
      <c r="N1438">
        <v>0</v>
      </c>
      <c r="O1438">
        <f>Table1[[#This Row],[transit_storage_cost]] * (1-'What -if Analysis'!$D$26)</f>
        <v>0</v>
      </c>
      <c r="P1438">
        <v>130</v>
      </c>
      <c r="Q1438">
        <v>3459.7100810478191</v>
      </c>
    </row>
    <row r="1439" spans="1:17" x14ac:dyDescent="0.3">
      <c r="A1439">
        <v>85911</v>
      </c>
      <c r="B1439" s="1" t="s">
        <v>41</v>
      </c>
      <c r="C1439" s="1" t="s">
        <v>16</v>
      </c>
      <c r="D1439" s="1" t="s">
        <v>23</v>
      </c>
      <c r="E1439" s="1" t="s">
        <v>28</v>
      </c>
      <c r="F1439" s="1" t="s">
        <v>29</v>
      </c>
      <c r="G1439" s="1" t="s">
        <v>20</v>
      </c>
      <c r="H1439" t="s">
        <v>34</v>
      </c>
      <c r="I1439" s="1" t="s">
        <v>26</v>
      </c>
      <c r="J1439" s="2">
        <v>43526.117662037039</v>
      </c>
      <c r="K1439" s="2">
        <v>43534.117662037039</v>
      </c>
      <c r="L1439" s="2">
        <v>43529.117662037039</v>
      </c>
      <c r="M1439" s="1">
        <f>_xlfn.DAYS(Table1[[#This Row],[actual_delivery_date]],Table1[[#This Row],[dispatch_date]])</f>
        <v>8</v>
      </c>
      <c r="N1439">
        <v>30</v>
      </c>
      <c r="O1439">
        <f>Table1[[#This Row],[transit_storage_cost]] * (1-'What -if Analysis'!$D$26)</f>
        <v>30</v>
      </c>
      <c r="P1439">
        <v>121</v>
      </c>
      <c r="Q1439">
        <v>2834.02</v>
      </c>
    </row>
    <row r="1440" spans="1:17" x14ac:dyDescent="0.3">
      <c r="A1440">
        <v>833054</v>
      </c>
      <c r="B1440" s="1" t="s">
        <v>41</v>
      </c>
      <c r="C1440" s="1" t="s">
        <v>23</v>
      </c>
      <c r="D1440" s="1" t="s">
        <v>16</v>
      </c>
      <c r="E1440" s="1" t="s">
        <v>27</v>
      </c>
      <c r="F1440" s="1" t="s">
        <v>31</v>
      </c>
      <c r="G1440" s="1" t="s">
        <v>20</v>
      </c>
      <c r="H1440" t="s">
        <v>21</v>
      </c>
      <c r="I1440" s="1" t="s">
        <v>22</v>
      </c>
      <c r="J1440" s="2">
        <v>43528.118101851855</v>
      </c>
      <c r="K1440" s="2">
        <v>43534.118101851855</v>
      </c>
      <c r="L1440" s="2">
        <v>43535.118101851855</v>
      </c>
      <c r="M1440" s="1">
        <f>_xlfn.DAYS(Table1[[#This Row],[actual_delivery_date]],Table1[[#This Row],[dispatch_date]])</f>
        <v>6</v>
      </c>
      <c r="N1440">
        <v>37</v>
      </c>
      <c r="O1440">
        <f>Table1[[#This Row],[transit_storage_cost]] * (1-'What -if Analysis'!$D$26)</f>
        <v>37</v>
      </c>
      <c r="P1440">
        <v>121</v>
      </c>
      <c r="Q1440">
        <v>1433.3580821626565</v>
      </c>
    </row>
    <row r="1441" spans="1:17" x14ac:dyDescent="0.3">
      <c r="A1441">
        <v>291149</v>
      </c>
      <c r="B1441" s="1" t="s">
        <v>41</v>
      </c>
      <c r="C1441" s="1" t="s">
        <v>23</v>
      </c>
      <c r="D1441" s="1" t="s">
        <v>23</v>
      </c>
      <c r="E1441" s="1" t="s">
        <v>28</v>
      </c>
      <c r="F1441" s="1" t="s">
        <v>29</v>
      </c>
      <c r="G1441" s="1" t="s">
        <v>20</v>
      </c>
      <c r="H1441" t="s">
        <v>30</v>
      </c>
      <c r="I1441" s="1" t="s">
        <v>22</v>
      </c>
      <c r="J1441" s="2">
        <v>43534.119525462964</v>
      </c>
      <c r="K1441" s="2">
        <v>43534.119525462964</v>
      </c>
      <c r="L1441" s="2">
        <v>43540.119525462964</v>
      </c>
      <c r="M1441" s="1">
        <f>_xlfn.DAYS(Table1[[#This Row],[actual_delivery_date]],Table1[[#This Row],[dispatch_date]])</f>
        <v>0</v>
      </c>
      <c r="N1441">
        <v>0</v>
      </c>
      <c r="O1441">
        <f>Table1[[#This Row],[transit_storage_cost]] * (1-'What -if Analysis'!$D$26)</f>
        <v>0</v>
      </c>
      <c r="P1441">
        <v>125</v>
      </c>
      <c r="Q1441">
        <v>3223.9336109816318</v>
      </c>
    </row>
    <row r="1442" spans="1:17" x14ac:dyDescent="0.3">
      <c r="A1442">
        <v>772648</v>
      </c>
      <c r="B1442" s="1" t="s">
        <v>37</v>
      </c>
      <c r="C1442" s="1" t="s">
        <v>16</v>
      </c>
      <c r="D1442" s="1" t="s">
        <v>16</v>
      </c>
      <c r="E1442" s="1" t="s">
        <v>27</v>
      </c>
      <c r="F1442" s="1" t="s">
        <v>19</v>
      </c>
      <c r="G1442" s="1" t="s">
        <v>20</v>
      </c>
      <c r="H1442" t="s">
        <v>21</v>
      </c>
      <c r="I1442" s="1" t="s">
        <v>22</v>
      </c>
      <c r="J1442" s="2">
        <v>43534.128217592595</v>
      </c>
      <c r="K1442" s="2">
        <v>43534.128217592595</v>
      </c>
      <c r="L1442" s="2">
        <v>43540.128217592595</v>
      </c>
      <c r="M1442" s="1">
        <f>_xlfn.DAYS(Table1[[#This Row],[actual_delivery_date]],Table1[[#This Row],[dispatch_date]])</f>
        <v>0</v>
      </c>
      <c r="N1442">
        <v>0</v>
      </c>
      <c r="O1442">
        <f>Table1[[#This Row],[transit_storage_cost]] * (1-'What -if Analysis'!$D$26)</f>
        <v>0</v>
      </c>
      <c r="P1442">
        <v>122</v>
      </c>
      <c r="Q1442">
        <v>3541</v>
      </c>
    </row>
    <row r="1443" spans="1:17" x14ac:dyDescent="0.3">
      <c r="A1443">
        <v>738737</v>
      </c>
      <c r="B1443" s="1" t="s">
        <v>37</v>
      </c>
      <c r="C1443" s="1" t="s">
        <v>16</v>
      </c>
      <c r="D1443" s="1" t="s">
        <v>23</v>
      </c>
      <c r="E1443" s="1" t="s">
        <v>28</v>
      </c>
      <c r="F1443" s="1" t="s">
        <v>19</v>
      </c>
      <c r="G1443" s="1" t="s">
        <v>20</v>
      </c>
      <c r="H1443" t="s">
        <v>30</v>
      </c>
      <c r="I1443" s="1" t="s">
        <v>22</v>
      </c>
      <c r="J1443" s="2">
        <v>43530.129259259258</v>
      </c>
      <c r="K1443" s="2">
        <v>43534.129259259258</v>
      </c>
      <c r="L1443" s="2">
        <v>43534.129259259258</v>
      </c>
      <c r="M1443" s="1">
        <f>_xlfn.DAYS(Table1[[#This Row],[actual_delivery_date]],Table1[[#This Row],[dispatch_date]])</f>
        <v>4</v>
      </c>
      <c r="N1443">
        <v>65</v>
      </c>
      <c r="O1443">
        <f>Table1[[#This Row],[transit_storage_cost]] * (1-'What -if Analysis'!$D$26)</f>
        <v>65</v>
      </c>
      <c r="P1443">
        <v>107</v>
      </c>
      <c r="Q1443">
        <v>2806.7032136984481</v>
      </c>
    </row>
    <row r="1444" spans="1:17" x14ac:dyDescent="0.3">
      <c r="A1444">
        <v>690840</v>
      </c>
      <c r="B1444" s="1" t="s">
        <v>38</v>
      </c>
      <c r="C1444" s="1" t="s">
        <v>16</v>
      </c>
      <c r="D1444" s="1" t="s">
        <v>23</v>
      </c>
      <c r="E1444" s="1" t="s">
        <v>28</v>
      </c>
      <c r="F1444" s="1" t="s">
        <v>19</v>
      </c>
      <c r="G1444" s="1" t="s">
        <v>20</v>
      </c>
      <c r="H1444" t="s">
        <v>21</v>
      </c>
      <c r="I1444" s="1" t="s">
        <v>26</v>
      </c>
      <c r="J1444" s="2">
        <v>43529.129780092589</v>
      </c>
      <c r="K1444" s="2">
        <v>43534.129780092589</v>
      </c>
      <c r="L1444" s="2">
        <v>43533.129780092589</v>
      </c>
      <c r="M1444" s="1">
        <f>_xlfn.DAYS(Table1[[#This Row],[actual_delivery_date]],Table1[[#This Row],[dispatch_date]])</f>
        <v>5</v>
      </c>
      <c r="N1444">
        <v>75</v>
      </c>
      <c r="O1444">
        <f>Table1[[#This Row],[transit_storage_cost]] * (1-'What -if Analysis'!$D$26)</f>
        <v>75</v>
      </c>
      <c r="P1444">
        <v>107</v>
      </c>
      <c r="Q1444">
        <v>377.32</v>
      </c>
    </row>
    <row r="1445" spans="1:17" x14ac:dyDescent="0.3">
      <c r="A1445">
        <v>544923</v>
      </c>
      <c r="B1445" s="1" t="s">
        <v>37</v>
      </c>
      <c r="C1445" s="1" t="s">
        <v>16</v>
      </c>
      <c r="D1445" s="1" t="s">
        <v>32</v>
      </c>
      <c r="E1445" s="1" t="s">
        <v>33</v>
      </c>
      <c r="F1445" s="1" t="s">
        <v>29</v>
      </c>
      <c r="G1445" s="1" t="s">
        <v>20</v>
      </c>
      <c r="H1445" t="s">
        <v>30</v>
      </c>
      <c r="I1445" s="1" t="s">
        <v>26</v>
      </c>
      <c r="J1445" s="2">
        <v>43531.13077546296</v>
      </c>
      <c r="K1445" s="2">
        <v>43534.13077546296</v>
      </c>
      <c r="L1445" s="2">
        <v>43537.13077546296</v>
      </c>
      <c r="M1445" s="1">
        <f>_xlfn.DAYS(Table1[[#This Row],[actual_delivery_date]],Table1[[#This Row],[dispatch_date]])</f>
        <v>3</v>
      </c>
      <c r="N1445">
        <v>50</v>
      </c>
      <c r="O1445">
        <f>Table1[[#This Row],[transit_storage_cost]] * (1-'What -if Analysis'!$D$26)</f>
        <v>50</v>
      </c>
      <c r="P1445">
        <v>106</v>
      </c>
      <c r="Q1445">
        <v>2414</v>
      </c>
    </row>
    <row r="1446" spans="1:17" x14ac:dyDescent="0.3">
      <c r="A1446">
        <v>499000</v>
      </c>
      <c r="B1446" s="1" t="s">
        <v>40</v>
      </c>
      <c r="C1446" s="1" t="s">
        <v>23</v>
      </c>
      <c r="D1446" s="1" t="s">
        <v>16</v>
      </c>
      <c r="E1446" s="1" t="s">
        <v>27</v>
      </c>
      <c r="F1446" s="1" t="s">
        <v>19</v>
      </c>
      <c r="G1446" s="1" t="s">
        <v>20</v>
      </c>
      <c r="H1446" t="s">
        <v>21</v>
      </c>
      <c r="I1446" s="1" t="s">
        <v>22</v>
      </c>
      <c r="J1446" s="2">
        <v>43532.134328703702</v>
      </c>
      <c r="K1446" s="2">
        <v>43534.134328703702</v>
      </c>
      <c r="L1446" s="2">
        <v>43539.134328703702</v>
      </c>
      <c r="M1446" s="1">
        <f>_xlfn.DAYS(Table1[[#This Row],[actual_delivery_date]],Table1[[#This Row],[dispatch_date]])</f>
        <v>2</v>
      </c>
      <c r="N1446">
        <v>40</v>
      </c>
      <c r="O1446">
        <f>Table1[[#This Row],[transit_storage_cost]] * (1-'What -if Analysis'!$D$26)</f>
        <v>40</v>
      </c>
      <c r="P1446">
        <v>122</v>
      </c>
      <c r="Q1446">
        <v>3209.5015274674229</v>
      </c>
    </row>
    <row r="1447" spans="1:17" x14ac:dyDescent="0.3">
      <c r="A1447">
        <v>142808</v>
      </c>
      <c r="B1447" s="1" t="s">
        <v>40</v>
      </c>
      <c r="C1447" s="1" t="s">
        <v>23</v>
      </c>
      <c r="D1447" s="1" t="s">
        <v>16</v>
      </c>
      <c r="E1447" s="1" t="s">
        <v>27</v>
      </c>
      <c r="F1447" s="1" t="s">
        <v>19</v>
      </c>
      <c r="G1447" s="1" t="s">
        <v>20</v>
      </c>
      <c r="H1447" t="s">
        <v>21</v>
      </c>
      <c r="I1447" s="1" t="s">
        <v>22</v>
      </c>
      <c r="J1447" s="2">
        <v>43532.136076388888</v>
      </c>
      <c r="K1447" s="2">
        <v>43534.136076388888</v>
      </c>
      <c r="L1447" s="2">
        <v>43538.136076388888</v>
      </c>
      <c r="M1447" s="1">
        <f>_xlfn.DAYS(Table1[[#This Row],[actual_delivery_date]],Table1[[#This Row],[dispatch_date]])</f>
        <v>2</v>
      </c>
      <c r="N1447">
        <v>44</v>
      </c>
      <c r="O1447">
        <f>Table1[[#This Row],[transit_storage_cost]] * (1-'What -if Analysis'!$D$26)</f>
        <v>44</v>
      </c>
      <c r="P1447">
        <v>130</v>
      </c>
      <c r="Q1447">
        <v>770</v>
      </c>
    </row>
    <row r="1448" spans="1:17" x14ac:dyDescent="0.3">
      <c r="A1448">
        <v>584089</v>
      </c>
      <c r="B1448" s="1" t="s">
        <v>38</v>
      </c>
      <c r="C1448" s="1" t="s">
        <v>16</v>
      </c>
      <c r="D1448" s="1" t="s">
        <v>23</v>
      </c>
      <c r="E1448" s="1" t="s">
        <v>28</v>
      </c>
      <c r="F1448" s="1" t="s">
        <v>19</v>
      </c>
      <c r="G1448" s="1" t="s">
        <v>20</v>
      </c>
      <c r="H1448" t="s">
        <v>30</v>
      </c>
      <c r="I1448" s="1" t="s">
        <v>22</v>
      </c>
      <c r="J1448" s="2">
        <v>43530.139803240738</v>
      </c>
      <c r="K1448" s="2">
        <v>43534.139803240738</v>
      </c>
      <c r="L1448" s="2">
        <v>43535.139803240738</v>
      </c>
      <c r="M1448" s="1">
        <f>_xlfn.DAYS(Table1[[#This Row],[actual_delivery_date]],Table1[[#This Row],[dispatch_date]])</f>
        <v>4</v>
      </c>
      <c r="N1448">
        <v>65</v>
      </c>
      <c r="O1448">
        <f>Table1[[#This Row],[transit_storage_cost]] * (1-'What -if Analysis'!$D$26)</f>
        <v>65</v>
      </c>
      <c r="P1448">
        <v>104</v>
      </c>
      <c r="Q1448">
        <v>2417.4191691327687</v>
      </c>
    </row>
    <row r="1449" spans="1:17" x14ac:dyDescent="0.3">
      <c r="A1449">
        <v>849865</v>
      </c>
      <c r="B1449" s="1" t="s">
        <v>38</v>
      </c>
      <c r="C1449" s="1" t="s">
        <v>16</v>
      </c>
      <c r="D1449" s="1" t="s">
        <v>17</v>
      </c>
      <c r="E1449" s="1" t="s">
        <v>18</v>
      </c>
      <c r="F1449" s="1" t="s">
        <v>19</v>
      </c>
      <c r="G1449" s="1" t="s">
        <v>20</v>
      </c>
      <c r="H1449" t="s">
        <v>30</v>
      </c>
      <c r="I1449" s="1" t="s">
        <v>22</v>
      </c>
      <c r="J1449" s="2">
        <v>43532.139826388891</v>
      </c>
      <c r="K1449" s="2">
        <v>43534.139826388891</v>
      </c>
      <c r="L1449" s="2">
        <v>43535.139826388891</v>
      </c>
      <c r="M1449" s="1">
        <f>_xlfn.DAYS(Table1[[#This Row],[actual_delivery_date]],Table1[[#This Row],[dispatch_date]])</f>
        <v>2</v>
      </c>
      <c r="N1449">
        <v>63</v>
      </c>
      <c r="O1449">
        <f>Table1[[#This Row],[transit_storage_cost]] * (1-'What -if Analysis'!$D$26)</f>
        <v>63</v>
      </c>
      <c r="P1449">
        <v>88</v>
      </c>
      <c r="Q1449">
        <v>1118.0736388785765</v>
      </c>
    </row>
    <row r="1450" spans="1:17" x14ac:dyDescent="0.3">
      <c r="A1450">
        <v>555994</v>
      </c>
      <c r="B1450" s="1" t="s">
        <v>37</v>
      </c>
      <c r="C1450" s="1" t="s">
        <v>16</v>
      </c>
      <c r="D1450" s="1" t="s">
        <v>23</v>
      </c>
      <c r="E1450" s="1" t="s">
        <v>28</v>
      </c>
      <c r="F1450" s="1" t="s">
        <v>31</v>
      </c>
      <c r="G1450" s="1" t="s">
        <v>20</v>
      </c>
      <c r="H1450" t="s">
        <v>21</v>
      </c>
      <c r="I1450" s="1" t="s">
        <v>22</v>
      </c>
      <c r="J1450" s="2">
        <v>43525.141655092593</v>
      </c>
      <c r="K1450" s="2">
        <v>43534.141655092593</v>
      </c>
      <c r="L1450" s="2">
        <v>43530.141655092593</v>
      </c>
      <c r="M1450" s="1">
        <f>_xlfn.DAYS(Table1[[#This Row],[actual_delivery_date]],Table1[[#This Row],[dispatch_date]])</f>
        <v>9</v>
      </c>
      <c r="N1450">
        <v>31</v>
      </c>
      <c r="O1450">
        <f>Table1[[#This Row],[transit_storage_cost]] * (1-'What -if Analysis'!$D$26)</f>
        <v>31</v>
      </c>
      <c r="P1450">
        <v>122</v>
      </c>
      <c r="Q1450">
        <v>1604.3375537285376</v>
      </c>
    </row>
    <row r="1451" spans="1:17" x14ac:dyDescent="0.3">
      <c r="A1451">
        <v>713004</v>
      </c>
      <c r="B1451" s="1" t="s">
        <v>40</v>
      </c>
      <c r="C1451" s="1" t="s">
        <v>23</v>
      </c>
      <c r="D1451" s="1" t="s">
        <v>17</v>
      </c>
      <c r="E1451" s="1" t="s">
        <v>18</v>
      </c>
      <c r="F1451" s="1" t="s">
        <v>19</v>
      </c>
      <c r="G1451" s="1" t="s">
        <v>20</v>
      </c>
      <c r="H1451" t="s">
        <v>21</v>
      </c>
      <c r="I1451" s="1" t="s">
        <v>26</v>
      </c>
      <c r="J1451" s="2">
        <v>43530.142442129632</v>
      </c>
      <c r="K1451" s="2">
        <v>43534.142442129632</v>
      </c>
      <c r="L1451" s="2">
        <v>43536.142442129632</v>
      </c>
      <c r="M1451" s="1">
        <f>_xlfn.DAYS(Table1[[#This Row],[actual_delivery_date]],Table1[[#This Row],[dispatch_date]])</f>
        <v>4</v>
      </c>
      <c r="N1451">
        <v>66</v>
      </c>
      <c r="O1451">
        <f>Table1[[#This Row],[transit_storage_cost]] * (1-'What -if Analysis'!$D$26)</f>
        <v>66</v>
      </c>
      <c r="P1451">
        <v>89</v>
      </c>
      <c r="Q1451">
        <v>2170.86</v>
      </c>
    </row>
    <row r="1452" spans="1:17" x14ac:dyDescent="0.3">
      <c r="A1452">
        <v>578123</v>
      </c>
      <c r="B1452" s="1" t="s">
        <v>39</v>
      </c>
      <c r="C1452" s="1" t="s">
        <v>16</v>
      </c>
      <c r="D1452" s="1" t="s">
        <v>17</v>
      </c>
      <c r="E1452" s="1" t="s">
        <v>18</v>
      </c>
      <c r="F1452" s="1" t="s">
        <v>19</v>
      </c>
      <c r="G1452" s="1" t="s">
        <v>20</v>
      </c>
      <c r="H1452" t="s">
        <v>34</v>
      </c>
      <c r="I1452" s="1" t="s">
        <v>22</v>
      </c>
      <c r="J1452" s="2">
        <v>43532.154432870368</v>
      </c>
      <c r="K1452" s="2">
        <v>43534.154432870368</v>
      </c>
      <c r="L1452" s="2">
        <v>43537.154432870368</v>
      </c>
      <c r="M1452" s="1">
        <f>_xlfn.DAYS(Table1[[#This Row],[actual_delivery_date]],Table1[[#This Row],[dispatch_date]])</f>
        <v>2</v>
      </c>
      <c r="N1452">
        <v>65</v>
      </c>
      <c r="O1452">
        <f>Table1[[#This Row],[transit_storage_cost]] * (1-'What -if Analysis'!$D$26)</f>
        <v>65</v>
      </c>
      <c r="P1452">
        <v>88</v>
      </c>
      <c r="Q1452">
        <v>1544.099829808767</v>
      </c>
    </row>
    <row r="1453" spans="1:17" x14ac:dyDescent="0.3">
      <c r="A1453">
        <v>173256</v>
      </c>
      <c r="B1453" s="1" t="s">
        <v>40</v>
      </c>
      <c r="C1453" s="1" t="s">
        <v>16</v>
      </c>
      <c r="D1453" s="1" t="s">
        <v>23</v>
      </c>
      <c r="E1453" s="1" t="s">
        <v>28</v>
      </c>
      <c r="F1453" s="1" t="s">
        <v>19</v>
      </c>
      <c r="G1453" s="1" t="s">
        <v>20</v>
      </c>
      <c r="H1453" t="s">
        <v>21</v>
      </c>
      <c r="I1453" s="1" t="s">
        <v>26</v>
      </c>
      <c r="J1453" s="2">
        <v>43530.157430555555</v>
      </c>
      <c r="K1453" s="2">
        <v>43534.157430555555</v>
      </c>
      <c r="L1453" s="2">
        <v>43537.157430555555</v>
      </c>
      <c r="M1453" s="1">
        <f>_xlfn.DAYS(Table1[[#This Row],[actual_delivery_date]],Table1[[#This Row],[dispatch_date]])</f>
        <v>4</v>
      </c>
      <c r="N1453">
        <v>34</v>
      </c>
      <c r="O1453">
        <f>Table1[[#This Row],[transit_storage_cost]] * (1-'What -if Analysis'!$D$26)</f>
        <v>34</v>
      </c>
      <c r="P1453">
        <v>126</v>
      </c>
      <c r="Q1453">
        <v>2461.2800000000002</v>
      </c>
    </row>
    <row r="1454" spans="1:17" x14ac:dyDescent="0.3">
      <c r="A1454">
        <v>243367</v>
      </c>
      <c r="B1454" s="1" t="s">
        <v>38</v>
      </c>
      <c r="C1454" s="1" t="s">
        <v>16</v>
      </c>
      <c r="D1454" s="1" t="s">
        <v>23</v>
      </c>
      <c r="E1454" s="1" t="s">
        <v>28</v>
      </c>
      <c r="F1454" s="1" t="s">
        <v>19</v>
      </c>
      <c r="G1454" s="1" t="s">
        <v>20</v>
      </c>
      <c r="H1454" t="s">
        <v>30</v>
      </c>
      <c r="I1454" s="1" t="s">
        <v>22</v>
      </c>
      <c r="J1454" s="2">
        <v>43528.159618055557</v>
      </c>
      <c r="K1454" s="2">
        <v>43534.159618055557</v>
      </c>
      <c r="L1454" s="2">
        <v>43533.159618055557</v>
      </c>
      <c r="M1454" s="1">
        <f>_xlfn.DAYS(Table1[[#This Row],[actual_delivery_date]],Table1[[#This Row],[dispatch_date]])</f>
        <v>6</v>
      </c>
      <c r="N1454">
        <v>81</v>
      </c>
      <c r="O1454">
        <f>Table1[[#This Row],[transit_storage_cost]] * (1-'What -if Analysis'!$D$26)</f>
        <v>81</v>
      </c>
      <c r="P1454">
        <v>106</v>
      </c>
      <c r="Q1454">
        <v>871.41764262424817</v>
      </c>
    </row>
    <row r="1455" spans="1:17" x14ac:dyDescent="0.3">
      <c r="A1455">
        <v>341040</v>
      </c>
      <c r="B1455" s="1" t="s">
        <v>15</v>
      </c>
      <c r="C1455" s="1" t="s">
        <v>23</v>
      </c>
      <c r="D1455" s="1" t="s">
        <v>24</v>
      </c>
      <c r="E1455" s="1" t="s">
        <v>25</v>
      </c>
      <c r="F1455" s="1" t="s">
        <v>19</v>
      </c>
      <c r="G1455" s="1" t="s">
        <v>20</v>
      </c>
      <c r="H1455" t="s">
        <v>21</v>
      </c>
      <c r="I1455" s="1" t="s">
        <v>26</v>
      </c>
      <c r="J1455" s="2">
        <v>43525.165706018517</v>
      </c>
      <c r="K1455" s="2">
        <v>43534.165706018517</v>
      </c>
      <c r="L1455" s="2">
        <v>43529.165706018517</v>
      </c>
      <c r="M1455" s="1">
        <f>_xlfn.DAYS(Table1[[#This Row],[actual_delivery_date]],Table1[[#This Row],[dispatch_date]])</f>
        <v>9</v>
      </c>
      <c r="N1455">
        <v>45</v>
      </c>
      <c r="O1455">
        <f>Table1[[#This Row],[transit_storage_cost]] * (1-'What -if Analysis'!$D$26)</f>
        <v>45</v>
      </c>
      <c r="P1455">
        <v>129</v>
      </c>
      <c r="Q1455">
        <v>3465</v>
      </c>
    </row>
    <row r="1456" spans="1:17" x14ac:dyDescent="0.3">
      <c r="A1456">
        <v>739819</v>
      </c>
      <c r="B1456" s="1" t="s">
        <v>40</v>
      </c>
      <c r="C1456" s="1" t="s">
        <v>23</v>
      </c>
      <c r="D1456" s="1" t="s">
        <v>17</v>
      </c>
      <c r="E1456" s="1" t="s">
        <v>18</v>
      </c>
      <c r="F1456" s="1" t="s">
        <v>19</v>
      </c>
      <c r="G1456" s="1" t="s">
        <v>20</v>
      </c>
      <c r="H1456" t="s">
        <v>30</v>
      </c>
      <c r="I1456" s="1" t="s">
        <v>22</v>
      </c>
      <c r="J1456" s="2">
        <v>43532.172118055554</v>
      </c>
      <c r="K1456" s="2">
        <v>43534.172118055554</v>
      </c>
      <c r="L1456" s="2">
        <v>43537.172118055554</v>
      </c>
      <c r="M1456" s="1">
        <f>_xlfn.DAYS(Table1[[#This Row],[actual_delivery_date]],Table1[[#This Row],[dispatch_date]])</f>
        <v>2</v>
      </c>
      <c r="N1456">
        <v>88</v>
      </c>
      <c r="O1456">
        <f>Table1[[#This Row],[transit_storage_cost]] * (1-'What -if Analysis'!$D$26)</f>
        <v>88</v>
      </c>
      <c r="P1456">
        <v>85</v>
      </c>
      <c r="Q1456">
        <v>2094.0355972810853</v>
      </c>
    </row>
    <row r="1457" spans="1:17" x14ac:dyDescent="0.3">
      <c r="A1457">
        <v>667823</v>
      </c>
      <c r="B1457" s="1" t="s">
        <v>37</v>
      </c>
      <c r="C1457" s="1" t="s">
        <v>23</v>
      </c>
      <c r="D1457" s="1" t="s">
        <v>23</v>
      </c>
      <c r="E1457" s="1" t="s">
        <v>28</v>
      </c>
      <c r="F1457" s="1" t="s">
        <v>29</v>
      </c>
      <c r="G1457" s="1" t="s">
        <v>20</v>
      </c>
      <c r="H1457" t="s">
        <v>30</v>
      </c>
      <c r="I1457" s="1" t="s">
        <v>22</v>
      </c>
      <c r="J1457" s="2">
        <v>43528.172650462962</v>
      </c>
      <c r="K1457" s="2">
        <v>43534.172650462962</v>
      </c>
      <c r="L1457" s="2">
        <v>43533.172650462962</v>
      </c>
      <c r="M1457" s="1">
        <f>_xlfn.DAYS(Table1[[#This Row],[actual_delivery_date]],Table1[[#This Row],[dispatch_date]])</f>
        <v>6</v>
      </c>
      <c r="N1457">
        <v>0</v>
      </c>
      <c r="O1457">
        <f>Table1[[#This Row],[transit_storage_cost]] * (1-'What -if Analysis'!$D$26)</f>
        <v>0</v>
      </c>
      <c r="P1457">
        <v>130</v>
      </c>
      <c r="Q1457">
        <v>2537.549807255386</v>
      </c>
    </row>
    <row r="1458" spans="1:17" x14ac:dyDescent="0.3">
      <c r="A1458">
        <v>866387</v>
      </c>
      <c r="B1458" s="1" t="s">
        <v>37</v>
      </c>
      <c r="C1458" s="1" t="s">
        <v>23</v>
      </c>
      <c r="D1458" s="1" t="s">
        <v>24</v>
      </c>
      <c r="E1458" s="1" t="s">
        <v>25</v>
      </c>
      <c r="F1458" s="1" t="s">
        <v>19</v>
      </c>
      <c r="G1458" s="1" t="s">
        <v>20</v>
      </c>
      <c r="H1458" t="s">
        <v>30</v>
      </c>
      <c r="I1458" s="1" t="s">
        <v>22</v>
      </c>
      <c r="J1458" s="2">
        <v>43527.17355324074</v>
      </c>
      <c r="K1458" s="2">
        <v>43534.17355324074</v>
      </c>
      <c r="L1458" s="2">
        <v>43530.17355324074</v>
      </c>
      <c r="M1458" s="1">
        <f>_xlfn.DAYS(Table1[[#This Row],[actual_delivery_date]],Table1[[#This Row],[dispatch_date]])</f>
        <v>7</v>
      </c>
      <c r="N1458">
        <v>67</v>
      </c>
      <c r="O1458">
        <f>Table1[[#This Row],[transit_storage_cost]] * (1-'What -if Analysis'!$D$26)</f>
        <v>67</v>
      </c>
      <c r="P1458">
        <v>104</v>
      </c>
      <c r="Q1458">
        <v>1224.3869085205915</v>
      </c>
    </row>
    <row r="1459" spans="1:17" x14ac:dyDescent="0.3">
      <c r="A1459">
        <v>985217</v>
      </c>
      <c r="B1459" s="1" t="s">
        <v>40</v>
      </c>
      <c r="C1459" s="1" t="s">
        <v>23</v>
      </c>
      <c r="D1459" s="1" t="s">
        <v>24</v>
      </c>
      <c r="E1459" s="1" t="s">
        <v>25</v>
      </c>
      <c r="F1459" s="1" t="s">
        <v>19</v>
      </c>
      <c r="G1459" s="1" t="s">
        <v>20</v>
      </c>
      <c r="H1459" t="s">
        <v>30</v>
      </c>
      <c r="I1459" s="1" t="s">
        <v>22</v>
      </c>
      <c r="J1459" s="2">
        <v>43526.180358796293</v>
      </c>
      <c r="K1459" s="2">
        <v>43534.180358796293</v>
      </c>
      <c r="L1459" s="2">
        <v>43532.180358796293</v>
      </c>
      <c r="M1459" s="1">
        <f>_xlfn.DAYS(Table1[[#This Row],[actual_delivery_date]],Table1[[#This Row],[dispatch_date]])</f>
        <v>8</v>
      </c>
      <c r="N1459">
        <v>68</v>
      </c>
      <c r="O1459">
        <f>Table1[[#This Row],[transit_storage_cost]] * (1-'What -if Analysis'!$D$26)</f>
        <v>68</v>
      </c>
      <c r="P1459">
        <v>103</v>
      </c>
      <c r="Q1459">
        <v>1607.4342304458942</v>
      </c>
    </row>
    <row r="1460" spans="1:17" x14ac:dyDescent="0.3">
      <c r="A1460">
        <v>281118</v>
      </c>
      <c r="B1460" s="1" t="s">
        <v>38</v>
      </c>
      <c r="C1460" s="1" t="s">
        <v>23</v>
      </c>
      <c r="D1460" s="1" t="s">
        <v>17</v>
      </c>
      <c r="E1460" s="1" t="s">
        <v>18</v>
      </c>
      <c r="F1460" s="1" t="s">
        <v>31</v>
      </c>
      <c r="G1460" s="1" t="s">
        <v>20</v>
      </c>
      <c r="H1460" t="s">
        <v>21</v>
      </c>
      <c r="I1460" s="1" t="s">
        <v>26</v>
      </c>
      <c r="J1460" s="2">
        <v>43530.18310185185</v>
      </c>
      <c r="K1460" s="2">
        <v>43534.18310185185</v>
      </c>
      <c r="L1460" s="2">
        <v>43536.18310185185</v>
      </c>
      <c r="M1460" s="1">
        <f>_xlfn.DAYS(Table1[[#This Row],[actual_delivery_date]],Table1[[#This Row],[dispatch_date]])</f>
        <v>4</v>
      </c>
      <c r="N1460">
        <v>31</v>
      </c>
      <c r="O1460">
        <f>Table1[[#This Row],[transit_storage_cost]] * (1-'What -if Analysis'!$D$26)</f>
        <v>31</v>
      </c>
      <c r="P1460">
        <v>110</v>
      </c>
      <c r="Q1460">
        <v>2875.52</v>
      </c>
    </row>
    <row r="1461" spans="1:17" x14ac:dyDescent="0.3">
      <c r="A1461">
        <v>513579</v>
      </c>
      <c r="B1461" s="1" t="s">
        <v>41</v>
      </c>
      <c r="C1461" s="1" t="s">
        <v>23</v>
      </c>
      <c r="D1461" s="1" t="s">
        <v>16</v>
      </c>
      <c r="E1461" s="1" t="s">
        <v>27</v>
      </c>
      <c r="F1461" s="1" t="s">
        <v>19</v>
      </c>
      <c r="G1461" s="1" t="s">
        <v>20</v>
      </c>
      <c r="H1461" t="s">
        <v>30</v>
      </c>
      <c r="I1461" s="1" t="s">
        <v>26</v>
      </c>
      <c r="J1461" s="2">
        <v>43529.183206018519</v>
      </c>
      <c r="K1461" s="2">
        <v>43534.183206018519</v>
      </c>
      <c r="L1461" s="2">
        <v>43536.183206018519</v>
      </c>
      <c r="M1461" s="1">
        <f>_xlfn.DAYS(Table1[[#This Row],[actual_delivery_date]],Table1[[#This Row],[dispatch_date]])</f>
        <v>5</v>
      </c>
      <c r="N1461">
        <v>66</v>
      </c>
      <c r="O1461">
        <f>Table1[[#This Row],[transit_storage_cost]] * (1-'What -if Analysis'!$D$26)</f>
        <v>66</v>
      </c>
      <c r="P1461">
        <v>103</v>
      </c>
      <c r="Q1461">
        <v>1204.49</v>
      </c>
    </row>
    <row r="1462" spans="1:17" x14ac:dyDescent="0.3">
      <c r="A1462">
        <v>544286</v>
      </c>
      <c r="B1462" s="1" t="s">
        <v>37</v>
      </c>
      <c r="C1462" s="1" t="s">
        <v>16</v>
      </c>
      <c r="D1462" s="1" t="s">
        <v>16</v>
      </c>
      <c r="E1462" s="1" t="s">
        <v>27</v>
      </c>
      <c r="F1462" s="1" t="s">
        <v>19</v>
      </c>
      <c r="G1462" s="1" t="s">
        <v>20</v>
      </c>
      <c r="H1462" t="s">
        <v>21</v>
      </c>
      <c r="I1462" s="1" t="s">
        <v>22</v>
      </c>
      <c r="J1462" s="2">
        <v>43534.184641203705</v>
      </c>
      <c r="K1462" s="2">
        <v>43534.184641203705</v>
      </c>
      <c r="L1462" s="2">
        <v>43537.184641203705</v>
      </c>
      <c r="M1462" s="1">
        <f>_xlfn.DAYS(Table1[[#This Row],[actual_delivery_date]],Table1[[#This Row],[dispatch_date]])</f>
        <v>0</v>
      </c>
      <c r="N1462">
        <v>0</v>
      </c>
      <c r="O1462">
        <f>Table1[[#This Row],[transit_storage_cost]] * (1-'What -if Analysis'!$D$26)</f>
        <v>0</v>
      </c>
      <c r="P1462">
        <v>101</v>
      </c>
      <c r="Q1462">
        <v>1683.4433489273829</v>
      </c>
    </row>
    <row r="1463" spans="1:17" x14ac:dyDescent="0.3">
      <c r="A1463">
        <v>84223</v>
      </c>
      <c r="B1463" s="1" t="s">
        <v>37</v>
      </c>
      <c r="C1463" s="1" t="s">
        <v>23</v>
      </c>
      <c r="D1463" s="1" t="s">
        <v>24</v>
      </c>
      <c r="E1463" s="1" t="s">
        <v>25</v>
      </c>
      <c r="F1463" s="1" t="s">
        <v>29</v>
      </c>
      <c r="G1463" s="1" t="s">
        <v>20</v>
      </c>
      <c r="H1463" t="s">
        <v>30</v>
      </c>
      <c r="I1463" s="1" t="s">
        <v>22</v>
      </c>
      <c r="J1463" s="2">
        <v>43531.186284722222</v>
      </c>
      <c r="K1463" s="2">
        <v>43534.186284722222</v>
      </c>
      <c r="L1463" s="2">
        <v>43534.186284722222</v>
      </c>
      <c r="M1463" s="1">
        <f>_xlfn.DAYS(Table1[[#This Row],[actual_delivery_date]],Table1[[#This Row],[dispatch_date]])</f>
        <v>3</v>
      </c>
      <c r="N1463">
        <v>44</v>
      </c>
      <c r="O1463">
        <f>Table1[[#This Row],[transit_storage_cost]] * (1-'What -if Analysis'!$D$26)</f>
        <v>44</v>
      </c>
      <c r="P1463">
        <v>127</v>
      </c>
      <c r="Q1463">
        <v>420.63863231370277</v>
      </c>
    </row>
    <row r="1464" spans="1:17" x14ac:dyDescent="0.3">
      <c r="A1464">
        <v>484056</v>
      </c>
      <c r="B1464" s="1" t="s">
        <v>37</v>
      </c>
      <c r="C1464" s="1" t="s">
        <v>23</v>
      </c>
      <c r="D1464" s="1" t="s">
        <v>17</v>
      </c>
      <c r="E1464" s="1" t="s">
        <v>18</v>
      </c>
      <c r="F1464" s="1" t="s">
        <v>19</v>
      </c>
      <c r="G1464" s="1" t="s">
        <v>20</v>
      </c>
      <c r="H1464" t="s">
        <v>21</v>
      </c>
      <c r="I1464" s="1" t="s">
        <v>26</v>
      </c>
      <c r="J1464" s="2">
        <v>43532.193541666667</v>
      </c>
      <c r="K1464" s="2">
        <v>43534.193541666667</v>
      </c>
      <c r="L1464" s="2">
        <v>43537.193541666667</v>
      </c>
      <c r="M1464" s="1">
        <f>_xlfn.DAYS(Table1[[#This Row],[actual_delivery_date]],Table1[[#This Row],[dispatch_date]])</f>
        <v>2</v>
      </c>
      <c r="N1464">
        <v>49</v>
      </c>
      <c r="O1464">
        <f>Table1[[#This Row],[transit_storage_cost]] * (1-'What -if Analysis'!$D$26)</f>
        <v>49</v>
      </c>
      <c r="P1464">
        <v>114</v>
      </c>
      <c r="Q1464">
        <v>2557.085531609529</v>
      </c>
    </row>
    <row r="1465" spans="1:17" x14ac:dyDescent="0.3">
      <c r="A1465">
        <v>200473</v>
      </c>
      <c r="B1465" s="1" t="s">
        <v>38</v>
      </c>
      <c r="C1465" s="1" t="s">
        <v>23</v>
      </c>
      <c r="D1465" s="1" t="s">
        <v>23</v>
      </c>
      <c r="E1465" s="1" t="s">
        <v>28</v>
      </c>
      <c r="F1465" s="1" t="s">
        <v>29</v>
      </c>
      <c r="G1465" s="1" t="s">
        <v>20</v>
      </c>
      <c r="H1465" t="s">
        <v>34</v>
      </c>
      <c r="I1465" s="1" t="s">
        <v>22</v>
      </c>
      <c r="J1465" s="2">
        <v>43532.195162037038</v>
      </c>
      <c r="K1465" s="2">
        <v>43534.195162037038</v>
      </c>
      <c r="L1465" s="2">
        <v>43537.195162037038</v>
      </c>
      <c r="M1465" s="1">
        <f>_xlfn.DAYS(Table1[[#This Row],[actual_delivery_date]],Table1[[#This Row],[dispatch_date]])</f>
        <v>2</v>
      </c>
      <c r="N1465">
        <v>0</v>
      </c>
      <c r="O1465">
        <f>Table1[[#This Row],[transit_storage_cost]] * (1-'What -if Analysis'!$D$26)</f>
        <v>0</v>
      </c>
      <c r="P1465">
        <v>121</v>
      </c>
      <c r="Q1465">
        <v>547</v>
      </c>
    </row>
    <row r="1466" spans="1:17" x14ac:dyDescent="0.3">
      <c r="A1466">
        <v>351312</v>
      </c>
      <c r="B1466" s="1" t="s">
        <v>38</v>
      </c>
      <c r="C1466" s="1" t="s">
        <v>16</v>
      </c>
      <c r="D1466" s="1" t="s">
        <v>32</v>
      </c>
      <c r="E1466" s="1" t="s">
        <v>33</v>
      </c>
      <c r="F1466" s="1" t="s">
        <v>19</v>
      </c>
      <c r="G1466" s="1" t="s">
        <v>20</v>
      </c>
      <c r="H1466" t="s">
        <v>21</v>
      </c>
      <c r="I1466" s="1" t="s">
        <v>26</v>
      </c>
      <c r="J1466" s="2">
        <v>43531.200740740744</v>
      </c>
      <c r="K1466" s="2">
        <v>43534.200740740744</v>
      </c>
      <c r="L1466" s="2">
        <v>43535.200740740744</v>
      </c>
      <c r="M1466" s="1">
        <f>_xlfn.DAYS(Table1[[#This Row],[actual_delivery_date]],Table1[[#This Row],[dispatch_date]])</f>
        <v>3</v>
      </c>
      <c r="N1466">
        <v>76</v>
      </c>
      <c r="O1466">
        <f>Table1[[#This Row],[transit_storage_cost]] * (1-'What -if Analysis'!$D$26)</f>
        <v>76</v>
      </c>
      <c r="P1466">
        <v>91</v>
      </c>
      <c r="Q1466">
        <v>3535.6673298761243</v>
      </c>
    </row>
    <row r="1467" spans="1:17" x14ac:dyDescent="0.3">
      <c r="A1467">
        <v>41098</v>
      </c>
      <c r="B1467" s="1" t="s">
        <v>39</v>
      </c>
      <c r="C1467" s="1" t="s">
        <v>16</v>
      </c>
      <c r="D1467" s="1" t="s">
        <v>32</v>
      </c>
      <c r="E1467" s="1" t="s">
        <v>33</v>
      </c>
      <c r="F1467" s="1" t="s">
        <v>19</v>
      </c>
      <c r="G1467" s="1" t="s">
        <v>20</v>
      </c>
      <c r="H1467" t="s">
        <v>21</v>
      </c>
      <c r="I1467" s="1" t="s">
        <v>22</v>
      </c>
      <c r="J1467" s="2">
        <v>43527.201689814814</v>
      </c>
      <c r="K1467" s="2">
        <v>43534.201689814814</v>
      </c>
      <c r="L1467" s="2">
        <v>43534.201689814814</v>
      </c>
      <c r="M1467" s="1">
        <f>_xlfn.DAYS(Table1[[#This Row],[actual_delivery_date]],Table1[[#This Row],[dispatch_date]])</f>
        <v>7</v>
      </c>
      <c r="N1467">
        <v>82</v>
      </c>
      <c r="O1467">
        <f>Table1[[#This Row],[transit_storage_cost]] * (1-'What -if Analysis'!$D$26)</f>
        <v>82</v>
      </c>
      <c r="P1467">
        <v>89</v>
      </c>
      <c r="Q1467">
        <v>2196.86201135284</v>
      </c>
    </row>
    <row r="1468" spans="1:17" x14ac:dyDescent="0.3">
      <c r="A1468">
        <v>578867</v>
      </c>
      <c r="B1468" s="1" t="s">
        <v>41</v>
      </c>
      <c r="C1468" s="1" t="s">
        <v>16</v>
      </c>
      <c r="D1468" s="1" t="s">
        <v>23</v>
      </c>
      <c r="E1468" s="1" t="s">
        <v>28</v>
      </c>
      <c r="F1468" s="1" t="s">
        <v>29</v>
      </c>
      <c r="G1468" s="1" t="s">
        <v>20</v>
      </c>
      <c r="H1468" t="s">
        <v>30</v>
      </c>
      <c r="I1468" s="1" t="s">
        <v>22</v>
      </c>
      <c r="J1468" s="2">
        <v>43529.202013888891</v>
      </c>
      <c r="K1468" s="2">
        <v>43534.202013888891</v>
      </c>
      <c r="L1468" s="2">
        <v>43536.202013888891</v>
      </c>
      <c r="M1468" s="1">
        <f>_xlfn.DAYS(Table1[[#This Row],[actual_delivery_date]],Table1[[#This Row],[dispatch_date]])</f>
        <v>5</v>
      </c>
      <c r="N1468">
        <v>36</v>
      </c>
      <c r="O1468">
        <f>Table1[[#This Row],[transit_storage_cost]] * (1-'What -if Analysis'!$D$26)</f>
        <v>36</v>
      </c>
      <c r="P1468">
        <v>121</v>
      </c>
      <c r="Q1468">
        <v>754.87512198080674</v>
      </c>
    </row>
    <row r="1469" spans="1:17" x14ac:dyDescent="0.3">
      <c r="A1469">
        <v>774781</v>
      </c>
      <c r="B1469" s="1" t="s">
        <v>38</v>
      </c>
      <c r="C1469" s="1" t="s">
        <v>23</v>
      </c>
      <c r="D1469" s="1" t="s">
        <v>17</v>
      </c>
      <c r="E1469" s="1" t="s">
        <v>18</v>
      </c>
      <c r="F1469" s="1" t="s">
        <v>29</v>
      </c>
      <c r="G1469" s="1" t="s">
        <v>20</v>
      </c>
      <c r="H1469" t="s">
        <v>34</v>
      </c>
      <c r="I1469" s="1" t="s">
        <v>22</v>
      </c>
      <c r="J1469" s="2">
        <v>43525.206967592596</v>
      </c>
      <c r="K1469" s="2">
        <v>43534.206967592596</v>
      </c>
      <c r="L1469" s="2">
        <v>43532.206967592596</v>
      </c>
      <c r="M1469" s="1">
        <f>_xlfn.DAYS(Table1[[#This Row],[actual_delivery_date]],Table1[[#This Row],[dispatch_date]])</f>
        <v>9</v>
      </c>
      <c r="N1469">
        <v>25</v>
      </c>
      <c r="O1469">
        <f>Table1[[#This Row],[transit_storage_cost]] * (1-'What -if Analysis'!$D$26)</f>
        <v>25</v>
      </c>
      <c r="P1469">
        <v>108</v>
      </c>
      <c r="Q1469">
        <v>3530.6112168289774</v>
      </c>
    </row>
    <row r="1470" spans="1:17" x14ac:dyDescent="0.3">
      <c r="A1470">
        <v>169427</v>
      </c>
      <c r="B1470" s="1" t="s">
        <v>39</v>
      </c>
      <c r="C1470" s="1" t="s">
        <v>16</v>
      </c>
      <c r="D1470" s="1" t="s">
        <v>17</v>
      </c>
      <c r="E1470" s="1" t="s">
        <v>18</v>
      </c>
      <c r="F1470" s="1" t="s">
        <v>29</v>
      </c>
      <c r="G1470" s="1" t="s">
        <v>20</v>
      </c>
      <c r="H1470" t="s">
        <v>30</v>
      </c>
      <c r="I1470" s="1" t="s">
        <v>22</v>
      </c>
      <c r="J1470" s="2">
        <v>43525.217777777776</v>
      </c>
      <c r="K1470" s="2">
        <v>43534.217777777776</v>
      </c>
      <c r="L1470" s="2">
        <v>43529.217777777776</v>
      </c>
      <c r="M1470" s="1">
        <f>_xlfn.DAYS(Table1[[#This Row],[actual_delivery_date]],Table1[[#This Row],[dispatch_date]])</f>
        <v>9</v>
      </c>
      <c r="N1470">
        <v>44</v>
      </c>
      <c r="O1470">
        <f>Table1[[#This Row],[transit_storage_cost]] * (1-'What -if Analysis'!$D$26)</f>
        <v>44</v>
      </c>
      <c r="P1470">
        <v>114</v>
      </c>
      <c r="Q1470">
        <v>2911.9751790748351</v>
      </c>
    </row>
    <row r="1471" spans="1:17" x14ac:dyDescent="0.3">
      <c r="A1471">
        <v>764859</v>
      </c>
      <c r="B1471" s="1" t="s">
        <v>40</v>
      </c>
      <c r="C1471" s="1" t="s">
        <v>16</v>
      </c>
      <c r="D1471" s="1" t="s">
        <v>24</v>
      </c>
      <c r="E1471" s="1" t="s">
        <v>25</v>
      </c>
      <c r="F1471" s="1" t="s">
        <v>29</v>
      </c>
      <c r="G1471" s="1" t="s">
        <v>20</v>
      </c>
      <c r="H1471" t="s">
        <v>30</v>
      </c>
      <c r="I1471" s="1" t="s">
        <v>26</v>
      </c>
      <c r="J1471" s="2">
        <v>43532.220150462963</v>
      </c>
      <c r="K1471" s="2">
        <v>43534.220150462963</v>
      </c>
      <c r="L1471" s="2">
        <v>43536.220150462963</v>
      </c>
      <c r="M1471" s="1">
        <f>_xlfn.DAYS(Table1[[#This Row],[actual_delivery_date]],Table1[[#This Row],[dispatch_date]])</f>
        <v>2</v>
      </c>
      <c r="N1471">
        <v>48</v>
      </c>
      <c r="O1471">
        <f>Table1[[#This Row],[transit_storage_cost]] * (1-'What -if Analysis'!$D$26)</f>
        <v>48</v>
      </c>
      <c r="P1471">
        <v>124</v>
      </c>
      <c r="Q1471">
        <v>3826.8599658959024</v>
      </c>
    </row>
    <row r="1472" spans="1:17" x14ac:dyDescent="0.3">
      <c r="A1472">
        <v>659325</v>
      </c>
      <c r="B1472" s="1" t="s">
        <v>37</v>
      </c>
      <c r="C1472" s="1" t="s">
        <v>23</v>
      </c>
      <c r="D1472" s="1" t="s">
        <v>17</v>
      </c>
      <c r="E1472" s="1" t="s">
        <v>18</v>
      </c>
      <c r="F1472" s="1" t="s">
        <v>29</v>
      </c>
      <c r="G1472" s="1" t="s">
        <v>20</v>
      </c>
      <c r="H1472" t="s">
        <v>30</v>
      </c>
      <c r="I1472" s="1" t="s">
        <v>26</v>
      </c>
      <c r="J1472" s="2">
        <v>43528.221759259257</v>
      </c>
      <c r="K1472" s="2">
        <v>43534.221759259257</v>
      </c>
      <c r="L1472" s="2">
        <v>43533.221759259257</v>
      </c>
      <c r="M1472" s="1">
        <f>_xlfn.DAYS(Table1[[#This Row],[actual_delivery_date]],Table1[[#This Row],[dispatch_date]])</f>
        <v>6</v>
      </c>
      <c r="N1472">
        <v>48</v>
      </c>
      <c r="O1472">
        <f>Table1[[#This Row],[transit_storage_cost]] * (1-'What -if Analysis'!$D$26)</f>
        <v>48</v>
      </c>
      <c r="P1472">
        <v>111</v>
      </c>
      <c r="Q1472">
        <v>3565.24</v>
      </c>
    </row>
    <row r="1473" spans="1:17" x14ac:dyDescent="0.3">
      <c r="A1473">
        <v>338062</v>
      </c>
      <c r="B1473" s="1" t="s">
        <v>37</v>
      </c>
      <c r="C1473" s="1" t="s">
        <v>23</v>
      </c>
      <c r="D1473" s="1" t="s">
        <v>32</v>
      </c>
      <c r="E1473" s="1" t="s">
        <v>33</v>
      </c>
      <c r="F1473" s="1" t="s">
        <v>19</v>
      </c>
      <c r="G1473" s="1" t="s">
        <v>20</v>
      </c>
      <c r="H1473" t="s">
        <v>21</v>
      </c>
      <c r="I1473" s="1" t="s">
        <v>22</v>
      </c>
      <c r="J1473" s="2">
        <v>43526.222349537034</v>
      </c>
      <c r="K1473" s="2">
        <v>43534.222349537034</v>
      </c>
      <c r="L1473" s="2">
        <v>43531.222349537034</v>
      </c>
      <c r="M1473" s="1">
        <f>_xlfn.DAYS(Table1[[#This Row],[actual_delivery_date]],Table1[[#This Row],[dispatch_date]])</f>
        <v>8</v>
      </c>
      <c r="N1473">
        <v>63</v>
      </c>
      <c r="O1473">
        <f>Table1[[#This Row],[transit_storage_cost]] * (1-'What -if Analysis'!$D$26)</f>
        <v>63</v>
      </c>
      <c r="P1473">
        <v>88</v>
      </c>
      <c r="Q1473">
        <v>2702.1502693837992</v>
      </c>
    </row>
    <row r="1474" spans="1:17" x14ac:dyDescent="0.3">
      <c r="A1474">
        <v>441907</v>
      </c>
      <c r="B1474" s="1" t="s">
        <v>38</v>
      </c>
      <c r="C1474" s="1" t="s">
        <v>16</v>
      </c>
      <c r="D1474" s="1" t="s">
        <v>23</v>
      </c>
      <c r="E1474" s="1" t="s">
        <v>28</v>
      </c>
      <c r="F1474" s="1" t="s">
        <v>29</v>
      </c>
      <c r="G1474" s="1" t="s">
        <v>20</v>
      </c>
      <c r="H1474" t="s">
        <v>30</v>
      </c>
      <c r="I1474" s="1" t="s">
        <v>22</v>
      </c>
      <c r="J1474" s="2">
        <v>43526.224212962959</v>
      </c>
      <c r="K1474" s="2">
        <v>43534.224212962959</v>
      </c>
      <c r="L1474" s="2">
        <v>43531.224212962959</v>
      </c>
      <c r="M1474" s="1">
        <f>_xlfn.DAYS(Table1[[#This Row],[actual_delivery_date]],Table1[[#This Row],[dispatch_date]])</f>
        <v>8</v>
      </c>
      <c r="N1474">
        <v>27</v>
      </c>
      <c r="O1474">
        <f>Table1[[#This Row],[transit_storage_cost]] * (1-'What -if Analysis'!$D$26)</f>
        <v>27</v>
      </c>
      <c r="P1474">
        <v>125</v>
      </c>
      <c r="Q1474">
        <v>888.36806748359152</v>
      </c>
    </row>
    <row r="1475" spans="1:17" x14ac:dyDescent="0.3">
      <c r="A1475">
        <v>930853</v>
      </c>
      <c r="B1475" s="1" t="s">
        <v>38</v>
      </c>
      <c r="C1475" s="1" t="s">
        <v>16</v>
      </c>
      <c r="D1475" s="1" t="s">
        <v>17</v>
      </c>
      <c r="E1475" s="1" t="s">
        <v>18</v>
      </c>
      <c r="F1475" s="1" t="s">
        <v>29</v>
      </c>
      <c r="G1475" s="1" t="s">
        <v>20</v>
      </c>
      <c r="H1475" t="s">
        <v>34</v>
      </c>
      <c r="I1475" s="1" t="s">
        <v>22</v>
      </c>
      <c r="J1475" s="2">
        <v>43530.227870370371</v>
      </c>
      <c r="K1475" s="2">
        <v>43534.227870370371</v>
      </c>
      <c r="L1475" s="2">
        <v>43534.227870370371</v>
      </c>
      <c r="M1475" s="1">
        <f>_xlfn.DAYS(Table1[[#This Row],[actual_delivery_date]],Table1[[#This Row],[dispatch_date]])</f>
        <v>4</v>
      </c>
      <c r="N1475">
        <v>37</v>
      </c>
      <c r="O1475">
        <f>Table1[[#This Row],[transit_storage_cost]] * (1-'What -if Analysis'!$D$26)</f>
        <v>37</v>
      </c>
      <c r="P1475">
        <v>106</v>
      </c>
      <c r="Q1475">
        <v>2886.9069909594941</v>
      </c>
    </row>
    <row r="1476" spans="1:17" x14ac:dyDescent="0.3">
      <c r="A1476">
        <v>370960</v>
      </c>
      <c r="B1476" s="1" t="s">
        <v>41</v>
      </c>
      <c r="C1476" s="1" t="s">
        <v>16</v>
      </c>
      <c r="D1476" s="1" t="s">
        <v>23</v>
      </c>
      <c r="E1476" s="1" t="s">
        <v>28</v>
      </c>
      <c r="F1476" s="1" t="s">
        <v>19</v>
      </c>
      <c r="G1476" s="1" t="s">
        <v>20</v>
      </c>
      <c r="H1476" t="s">
        <v>21</v>
      </c>
      <c r="I1476" s="1" t="s">
        <v>22</v>
      </c>
      <c r="J1476" s="2">
        <v>43528.229155092595</v>
      </c>
      <c r="K1476" s="2">
        <v>43534.229155092595</v>
      </c>
      <c r="L1476" s="2">
        <v>43534.229155092595</v>
      </c>
      <c r="M1476" s="1">
        <f>_xlfn.DAYS(Table1[[#This Row],[actual_delivery_date]],Table1[[#This Row],[dispatch_date]])</f>
        <v>6</v>
      </c>
      <c r="N1476">
        <v>50</v>
      </c>
      <c r="O1476">
        <f>Table1[[#This Row],[transit_storage_cost]] * (1-'What -if Analysis'!$D$26)</f>
        <v>50</v>
      </c>
      <c r="P1476">
        <v>127</v>
      </c>
      <c r="Q1476">
        <v>2330.388937235633</v>
      </c>
    </row>
    <row r="1477" spans="1:17" x14ac:dyDescent="0.3">
      <c r="A1477">
        <v>169703</v>
      </c>
      <c r="B1477" s="1" t="s">
        <v>38</v>
      </c>
      <c r="C1477" s="1" t="s">
        <v>16</v>
      </c>
      <c r="D1477" s="1" t="s">
        <v>16</v>
      </c>
      <c r="E1477" s="1" t="s">
        <v>27</v>
      </c>
      <c r="F1477" s="1" t="s">
        <v>29</v>
      </c>
      <c r="G1477" s="1" t="s">
        <v>20</v>
      </c>
      <c r="H1477" t="s">
        <v>30</v>
      </c>
      <c r="I1477" s="1" t="s">
        <v>22</v>
      </c>
      <c r="J1477" s="2">
        <v>43528.22965277778</v>
      </c>
      <c r="K1477" s="2">
        <v>43534.22965277778</v>
      </c>
      <c r="L1477" s="2">
        <v>43531.22965277778</v>
      </c>
      <c r="M1477" s="1">
        <f>_xlfn.DAYS(Table1[[#This Row],[actual_delivery_date]],Table1[[#This Row],[dispatch_date]])</f>
        <v>6</v>
      </c>
      <c r="N1477">
        <v>0</v>
      </c>
      <c r="O1477">
        <f>Table1[[#This Row],[transit_storage_cost]] * (1-'What -if Analysis'!$D$26)</f>
        <v>0</v>
      </c>
      <c r="P1477">
        <v>129</v>
      </c>
      <c r="Q1477">
        <v>1954.13155414739</v>
      </c>
    </row>
    <row r="1478" spans="1:17" x14ac:dyDescent="0.3">
      <c r="A1478">
        <v>924652</v>
      </c>
      <c r="B1478" s="1" t="s">
        <v>41</v>
      </c>
      <c r="C1478" s="1" t="s">
        <v>16</v>
      </c>
      <c r="D1478" s="1" t="s">
        <v>23</v>
      </c>
      <c r="E1478" s="1" t="s">
        <v>28</v>
      </c>
      <c r="F1478" s="1" t="s">
        <v>19</v>
      </c>
      <c r="G1478" s="1" t="s">
        <v>20</v>
      </c>
      <c r="H1478" t="s">
        <v>21</v>
      </c>
      <c r="I1478" s="1" t="s">
        <v>22</v>
      </c>
      <c r="J1478" s="2">
        <v>43532.230300925927</v>
      </c>
      <c r="K1478" s="2">
        <v>43534.230300925927</v>
      </c>
      <c r="L1478" s="2">
        <v>43536.230300925927</v>
      </c>
      <c r="M1478" s="1">
        <f>_xlfn.DAYS(Table1[[#This Row],[actual_delivery_date]],Table1[[#This Row],[dispatch_date]])</f>
        <v>2</v>
      </c>
      <c r="N1478">
        <v>61</v>
      </c>
      <c r="O1478">
        <f>Table1[[#This Row],[transit_storage_cost]] * (1-'What -if Analysis'!$D$26)</f>
        <v>61</v>
      </c>
      <c r="P1478">
        <v>109</v>
      </c>
      <c r="Q1478">
        <v>1702.7937889901232</v>
      </c>
    </row>
    <row r="1479" spans="1:17" x14ac:dyDescent="0.3">
      <c r="A1479">
        <v>713562</v>
      </c>
      <c r="B1479" s="1" t="s">
        <v>15</v>
      </c>
      <c r="C1479" s="1" t="s">
        <v>23</v>
      </c>
      <c r="D1479" s="1" t="s">
        <v>32</v>
      </c>
      <c r="E1479" s="1" t="s">
        <v>33</v>
      </c>
      <c r="F1479" s="1" t="s">
        <v>19</v>
      </c>
      <c r="G1479" s="1" t="s">
        <v>20</v>
      </c>
      <c r="H1479" t="s">
        <v>21</v>
      </c>
      <c r="I1479" s="1" t="s">
        <v>26</v>
      </c>
      <c r="J1479" s="2">
        <v>43527.232187499998</v>
      </c>
      <c r="K1479" s="2">
        <v>43534.232187499998</v>
      </c>
      <c r="L1479" s="2">
        <v>43531.232187499998</v>
      </c>
      <c r="M1479" s="1">
        <f>_xlfn.DAYS(Table1[[#This Row],[actual_delivery_date]],Table1[[#This Row],[dispatch_date]])</f>
        <v>7</v>
      </c>
      <c r="N1479">
        <v>77</v>
      </c>
      <c r="O1479">
        <f>Table1[[#This Row],[transit_storage_cost]] * (1-'What -if Analysis'!$D$26)</f>
        <v>77</v>
      </c>
      <c r="P1479">
        <v>93</v>
      </c>
      <c r="Q1479">
        <v>2648.55</v>
      </c>
    </row>
    <row r="1480" spans="1:17" x14ac:dyDescent="0.3">
      <c r="A1480">
        <v>929162</v>
      </c>
      <c r="B1480" s="1" t="s">
        <v>41</v>
      </c>
      <c r="C1480" s="1" t="s">
        <v>23</v>
      </c>
      <c r="D1480" s="1" t="s">
        <v>32</v>
      </c>
      <c r="E1480" s="1" t="s">
        <v>33</v>
      </c>
      <c r="F1480" s="1" t="s">
        <v>19</v>
      </c>
      <c r="G1480" s="1" t="s">
        <v>20</v>
      </c>
      <c r="H1480" t="s">
        <v>21</v>
      </c>
      <c r="I1480" s="1" t="s">
        <v>22</v>
      </c>
      <c r="J1480" s="2">
        <v>43529.23296296296</v>
      </c>
      <c r="K1480" s="2">
        <v>43534.23296296296</v>
      </c>
      <c r="L1480" s="2">
        <v>43534.23296296296</v>
      </c>
      <c r="M1480" s="1">
        <f>_xlfn.DAYS(Table1[[#This Row],[actual_delivery_date]],Table1[[#This Row],[dispatch_date]])</f>
        <v>5</v>
      </c>
      <c r="N1480">
        <v>79</v>
      </c>
      <c r="O1480">
        <f>Table1[[#This Row],[transit_storage_cost]] * (1-'What -if Analysis'!$D$26)</f>
        <v>79</v>
      </c>
      <c r="P1480">
        <v>87</v>
      </c>
      <c r="Q1480">
        <v>2383.6960146872498</v>
      </c>
    </row>
    <row r="1481" spans="1:17" x14ac:dyDescent="0.3">
      <c r="A1481">
        <v>153064</v>
      </c>
      <c r="B1481" s="1" t="s">
        <v>40</v>
      </c>
      <c r="C1481" s="1" t="s">
        <v>23</v>
      </c>
      <c r="D1481" s="1" t="s">
        <v>24</v>
      </c>
      <c r="E1481" s="1" t="s">
        <v>25</v>
      </c>
      <c r="F1481" s="1" t="s">
        <v>19</v>
      </c>
      <c r="G1481" s="1" t="s">
        <v>20</v>
      </c>
      <c r="H1481" t="s">
        <v>21</v>
      </c>
      <c r="I1481" s="1" t="s">
        <v>22</v>
      </c>
      <c r="J1481" s="2">
        <v>43530.239201388889</v>
      </c>
      <c r="K1481" s="2">
        <v>43534.239201388889</v>
      </c>
      <c r="L1481" s="2">
        <v>43535.239201388889</v>
      </c>
      <c r="M1481" s="1">
        <f>_xlfn.DAYS(Table1[[#This Row],[actual_delivery_date]],Table1[[#This Row],[dispatch_date]])</f>
        <v>4</v>
      </c>
      <c r="N1481">
        <v>39</v>
      </c>
      <c r="O1481">
        <f>Table1[[#This Row],[transit_storage_cost]] * (1-'What -if Analysis'!$D$26)</f>
        <v>39</v>
      </c>
      <c r="P1481">
        <v>127</v>
      </c>
      <c r="Q1481">
        <v>1154</v>
      </c>
    </row>
    <row r="1482" spans="1:17" x14ac:dyDescent="0.3">
      <c r="A1482">
        <v>152865</v>
      </c>
      <c r="B1482" s="1" t="s">
        <v>38</v>
      </c>
      <c r="C1482" s="1" t="s">
        <v>16</v>
      </c>
      <c r="D1482" s="1" t="s">
        <v>32</v>
      </c>
      <c r="E1482" s="1" t="s">
        <v>33</v>
      </c>
      <c r="F1482" s="1" t="s">
        <v>29</v>
      </c>
      <c r="G1482" s="1" t="s">
        <v>20</v>
      </c>
      <c r="H1482" t="s">
        <v>30</v>
      </c>
      <c r="I1482" s="1" t="s">
        <v>26</v>
      </c>
      <c r="J1482" s="2">
        <v>43530.250243055554</v>
      </c>
      <c r="K1482" s="2">
        <v>43534.250243055554</v>
      </c>
      <c r="L1482" s="2">
        <v>43533.250243055554</v>
      </c>
      <c r="M1482" s="1">
        <f>_xlfn.DAYS(Table1[[#This Row],[actual_delivery_date]],Table1[[#This Row],[dispatch_date]])</f>
        <v>4</v>
      </c>
      <c r="N1482">
        <v>45</v>
      </c>
      <c r="O1482">
        <f>Table1[[#This Row],[transit_storage_cost]] * (1-'What -if Analysis'!$D$26)</f>
        <v>45</v>
      </c>
      <c r="P1482">
        <v>106</v>
      </c>
      <c r="Q1482">
        <v>1900.9887148984369</v>
      </c>
    </row>
    <row r="1483" spans="1:17" x14ac:dyDescent="0.3">
      <c r="A1483">
        <v>534219</v>
      </c>
      <c r="B1483" s="1" t="s">
        <v>39</v>
      </c>
      <c r="C1483" s="1" t="s">
        <v>16</v>
      </c>
      <c r="D1483" s="1" t="s">
        <v>16</v>
      </c>
      <c r="E1483" s="1" t="s">
        <v>27</v>
      </c>
      <c r="F1483" s="1" t="s">
        <v>29</v>
      </c>
      <c r="G1483" s="1" t="s">
        <v>20</v>
      </c>
      <c r="H1483" t="s">
        <v>34</v>
      </c>
      <c r="I1483" s="1" t="s">
        <v>26</v>
      </c>
      <c r="J1483" s="2">
        <v>43527.259930555556</v>
      </c>
      <c r="K1483" s="2">
        <v>43534.259930555556</v>
      </c>
      <c r="L1483" s="2">
        <v>43534.259930555556</v>
      </c>
      <c r="M1483" s="1">
        <f>_xlfn.DAYS(Table1[[#This Row],[actual_delivery_date]],Table1[[#This Row],[dispatch_date]])</f>
        <v>7</v>
      </c>
      <c r="N1483">
        <v>0</v>
      </c>
      <c r="O1483">
        <f>Table1[[#This Row],[transit_storage_cost]] * (1-'What -if Analysis'!$D$26)</f>
        <v>0</v>
      </c>
      <c r="P1483">
        <v>121</v>
      </c>
      <c r="Q1483">
        <v>188.49</v>
      </c>
    </row>
    <row r="1484" spans="1:17" x14ac:dyDescent="0.3">
      <c r="A1484">
        <v>313193</v>
      </c>
      <c r="B1484" s="1" t="s">
        <v>37</v>
      </c>
      <c r="C1484" s="1" t="s">
        <v>23</v>
      </c>
      <c r="D1484" s="1" t="s">
        <v>17</v>
      </c>
      <c r="E1484" s="1" t="s">
        <v>18</v>
      </c>
      <c r="F1484" s="1" t="s">
        <v>29</v>
      </c>
      <c r="G1484" s="1" t="s">
        <v>20</v>
      </c>
      <c r="H1484" t="s">
        <v>30</v>
      </c>
      <c r="I1484" s="1" t="s">
        <v>22</v>
      </c>
      <c r="J1484" s="2">
        <v>43531.269988425927</v>
      </c>
      <c r="K1484" s="2">
        <v>43534.269988425927</v>
      </c>
      <c r="L1484" s="2">
        <v>43535.269988425927</v>
      </c>
      <c r="M1484" s="1">
        <f>_xlfn.DAYS(Table1[[#This Row],[actual_delivery_date]],Table1[[#This Row],[dispatch_date]])</f>
        <v>3</v>
      </c>
      <c r="N1484">
        <v>27</v>
      </c>
      <c r="O1484">
        <f>Table1[[#This Row],[transit_storage_cost]] * (1-'What -if Analysis'!$D$26)</f>
        <v>27</v>
      </c>
      <c r="P1484">
        <v>113</v>
      </c>
      <c r="Q1484">
        <v>215.93381242795363</v>
      </c>
    </row>
    <row r="1485" spans="1:17" x14ac:dyDescent="0.3">
      <c r="A1485">
        <v>603900</v>
      </c>
      <c r="B1485" s="1" t="s">
        <v>39</v>
      </c>
      <c r="C1485" s="1" t="s">
        <v>16</v>
      </c>
      <c r="D1485" s="1" t="s">
        <v>17</v>
      </c>
      <c r="E1485" s="1" t="s">
        <v>18</v>
      </c>
      <c r="F1485" s="1" t="s">
        <v>19</v>
      </c>
      <c r="G1485" s="1" t="s">
        <v>20</v>
      </c>
      <c r="H1485" t="s">
        <v>21</v>
      </c>
      <c r="I1485" s="1" t="s">
        <v>26</v>
      </c>
      <c r="J1485" s="2">
        <v>43532.283541666664</v>
      </c>
      <c r="K1485" s="2">
        <v>43534.283541666664</v>
      </c>
      <c r="L1485" s="2">
        <v>43535.283541666664</v>
      </c>
      <c r="M1485" s="1">
        <f>_xlfn.DAYS(Table1[[#This Row],[actual_delivery_date]],Table1[[#This Row],[dispatch_date]])</f>
        <v>2</v>
      </c>
      <c r="N1485">
        <v>29</v>
      </c>
      <c r="O1485">
        <f>Table1[[#This Row],[transit_storage_cost]] * (1-'What -if Analysis'!$D$26)</f>
        <v>29</v>
      </c>
      <c r="P1485">
        <v>109</v>
      </c>
      <c r="Q1485">
        <v>3060.8929831213372</v>
      </c>
    </row>
    <row r="1486" spans="1:17" x14ac:dyDescent="0.3">
      <c r="A1486">
        <v>992229</v>
      </c>
      <c r="B1486" s="1" t="s">
        <v>39</v>
      </c>
      <c r="C1486" s="1" t="s">
        <v>23</v>
      </c>
      <c r="D1486" s="1" t="s">
        <v>17</v>
      </c>
      <c r="E1486" s="1" t="s">
        <v>18</v>
      </c>
      <c r="F1486" s="1" t="s">
        <v>29</v>
      </c>
      <c r="G1486" s="1" t="s">
        <v>20</v>
      </c>
      <c r="H1486" t="s">
        <v>34</v>
      </c>
      <c r="I1486" s="1" t="s">
        <v>26</v>
      </c>
      <c r="J1486" s="2">
        <v>43527.284409722219</v>
      </c>
      <c r="K1486" s="2">
        <v>43534.284409722219</v>
      </c>
      <c r="L1486" s="2">
        <v>43533.284409722219</v>
      </c>
      <c r="M1486" s="1">
        <f>_xlfn.DAYS(Table1[[#This Row],[actual_delivery_date]],Table1[[#This Row],[dispatch_date]])</f>
        <v>7</v>
      </c>
      <c r="N1486">
        <v>43</v>
      </c>
      <c r="O1486">
        <f>Table1[[#This Row],[transit_storage_cost]] * (1-'What -if Analysis'!$D$26)</f>
        <v>43</v>
      </c>
      <c r="P1486">
        <v>111</v>
      </c>
      <c r="Q1486">
        <v>1429.74</v>
      </c>
    </row>
    <row r="1487" spans="1:17" x14ac:dyDescent="0.3">
      <c r="A1487">
        <v>732897</v>
      </c>
      <c r="B1487" s="1" t="s">
        <v>40</v>
      </c>
      <c r="C1487" s="1" t="s">
        <v>16</v>
      </c>
      <c r="D1487" s="1" t="s">
        <v>16</v>
      </c>
      <c r="E1487" s="1" t="s">
        <v>27</v>
      </c>
      <c r="F1487" s="1" t="s">
        <v>29</v>
      </c>
      <c r="G1487" s="1" t="s">
        <v>20</v>
      </c>
      <c r="H1487" t="s">
        <v>30</v>
      </c>
      <c r="I1487" s="1" t="s">
        <v>26</v>
      </c>
      <c r="J1487" s="2">
        <v>43529.284479166665</v>
      </c>
      <c r="K1487" s="2">
        <v>43534.284479166665</v>
      </c>
      <c r="L1487" s="2">
        <v>43532.284479166665</v>
      </c>
      <c r="M1487" s="1">
        <f>_xlfn.DAYS(Table1[[#This Row],[actual_delivery_date]],Table1[[#This Row],[dispatch_date]])</f>
        <v>5</v>
      </c>
      <c r="N1487">
        <v>0</v>
      </c>
      <c r="O1487">
        <f>Table1[[#This Row],[transit_storage_cost]] * (1-'What -if Analysis'!$D$26)</f>
        <v>0</v>
      </c>
      <c r="P1487">
        <v>128</v>
      </c>
      <c r="Q1487">
        <v>2721.39</v>
      </c>
    </row>
    <row r="1488" spans="1:17" x14ac:dyDescent="0.3">
      <c r="A1488">
        <v>675845</v>
      </c>
      <c r="B1488" s="1" t="s">
        <v>38</v>
      </c>
      <c r="C1488" s="1" t="s">
        <v>16</v>
      </c>
      <c r="D1488" s="1" t="s">
        <v>17</v>
      </c>
      <c r="E1488" s="1" t="s">
        <v>18</v>
      </c>
      <c r="F1488" s="1" t="s">
        <v>19</v>
      </c>
      <c r="G1488" s="1" t="s">
        <v>20</v>
      </c>
      <c r="H1488" t="s">
        <v>30</v>
      </c>
      <c r="I1488" s="1" t="s">
        <v>22</v>
      </c>
      <c r="J1488" s="2">
        <v>43528.284780092596</v>
      </c>
      <c r="K1488" s="2">
        <v>43534.284780092596</v>
      </c>
      <c r="L1488" s="2">
        <v>43533.284780092596</v>
      </c>
      <c r="M1488" s="1">
        <f>_xlfn.DAYS(Table1[[#This Row],[actual_delivery_date]],Table1[[#This Row],[dispatch_date]])</f>
        <v>6</v>
      </c>
      <c r="N1488">
        <v>82</v>
      </c>
      <c r="O1488">
        <f>Table1[[#This Row],[transit_storage_cost]] * (1-'What -if Analysis'!$D$26)</f>
        <v>82</v>
      </c>
      <c r="P1488">
        <v>89</v>
      </c>
      <c r="Q1488">
        <v>720.84130535397867</v>
      </c>
    </row>
    <row r="1489" spans="1:17" x14ac:dyDescent="0.3">
      <c r="A1489">
        <v>303634</v>
      </c>
      <c r="B1489" s="1" t="s">
        <v>37</v>
      </c>
      <c r="C1489" s="1" t="s">
        <v>23</v>
      </c>
      <c r="D1489" s="1" t="s">
        <v>16</v>
      </c>
      <c r="E1489" s="1" t="s">
        <v>27</v>
      </c>
      <c r="F1489" s="1" t="s">
        <v>31</v>
      </c>
      <c r="G1489" s="1" t="s">
        <v>20</v>
      </c>
      <c r="H1489" t="s">
        <v>21</v>
      </c>
      <c r="I1489" s="1" t="s">
        <v>22</v>
      </c>
      <c r="J1489" s="2">
        <v>43531.28665509259</v>
      </c>
      <c r="K1489" s="2">
        <v>43534.28665509259</v>
      </c>
      <c r="L1489" s="2">
        <v>43538.28665509259</v>
      </c>
      <c r="M1489" s="1">
        <f>_xlfn.DAYS(Table1[[#This Row],[actual_delivery_date]],Table1[[#This Row],[dispatch_date]])</f>
        <v>3</v>
      </c>
      <c r="N1489">
        <v>26</v>
      </c>
      <c r="O1489">
        <f>Table1[[#This Row],[transit_storage_cost]] * (1-'What -if Analysis'!$D$26)</f>
        <v>26</v>
      </c>
      <c r="P1489">
        <v>130</v>
      </c>
      <c r="Q1489">
        <v>1118</v>
      </c>
    </row>
    <row r="1490" spans="1:17" x14ac:dyDescent="0.3">
      <c r="A1490">
        <v>977634</v>
      </c>
      <c r="B1490" s="1" t="s">
        <v>38</v>
      </c>
      <c r="C1490" s="1" t="s">
        <v>16</v>
      </c>
      <c r="D1490" s="1" t="s">
        <v>23</v>
      </c>
      <c r="E1490" s="1" t="s">
        <v>28</v>
      </c>
      <c r="F1490" s="1" t="s">
        <v>31</v>
      </c>
      <c r="G1490" s="1" t="s">
        <v>20</v>
      </c>
      <c r="H1490" t="s">
        <v>21</v>
      </c>
      <c r="I1490" s="1" t="s">
        <v>26</v>
      </c>
      <c r="J1490" s="2">
        <v>43527.294456018521</v>
      </c>
      <c r="K1490" s="2">
        <v>43534.294456018521</v>
      </c>
      <c r="L1490" s="2">
        <v>43534.294456018521</v>
      </c>
      <c r="M1490" s="1">
        <f>_xlfn.DAYS(Table1[[#This Row],[actual_delivery_date]],Table1[[#This Row],[dispatch_date]])</f>
        <v>7</v>
      </c>
      <c r="N1490">
        <v>45</v>
      </c>
      <c r="O1490">
        <f>Table1[[#This Row],[transit_storage_cost]] * (1-'What -if Analysis'!$D$26)</f>
        <v>45</v>
      </c>
      <c r="P1490">
        <v>123</v>
      </c>
      <c r="Q1490">
        <v>2683.05</v>
      </c>
    </row>
    <row r="1491" spans="1:17" x14ac:dyDescent="0.3">
      <c r="A1491">
        <v>134807</v>
      </c>
      <c r="B1491" s="1" t="s">
        <v>38</v>
      </c>
      <c r="C1491" s="1" t="s">
        <v>16</v>
      </c>
      <c r="D1491" s="1" t="s">
        <v>24</v>
      </c>
      <c r="E1491" s="1" t="s">
        <v>25</v>
      </c>
      <c r="F1491" s="1" t="s">
        <v>29</v>
      </c>
      <c r="G1491" s="1" t="s">
        <v>20</v>
      </c>
      <c r="H1491" t="s">
        <v>30</v>
      </c>
      <c r="I1491" s="1" t="s">
        <v>22</v>
      </c>
      <c r="J1491" s="2">
        <v>43532.295960648145</v>
      </c>
      <c r="K1491" s="2">
        <v>43534.295960648145</v>
      </c>
      <c r="L1491" s="2">
        <v>43535.295960648145</v>
      </c>
      <c r="M1491" s="1">
        <f>_xlfn.DAYS(Table1[[#This Row],[actual_delivery_date]],Table1[[#This Row],[dispatch_date]])</f>
        <v>2</v>
      </c>
      <c r="N1491">
        <v>33</v>
      </c>
      <c r="O1491">
        <f>Table1[[#This Row],[transit_storage_cost]] * (1-'What -if Analysis'!$D$26)</f>
        <v>33</v>
      </c>
      <c r="P1491">
        <v>125</v>
      </c>
      <c r="Q1491">
        <v>987</v>
      </c>
    </row>
    <row r="1492" spans="1:17" x14ac:dyDescent="0.3">
      <c r="A1492">
        <v>725732</v>
      </c>
      <c r="B1492" s="1" t="s">
        <v>38</v>
      </c>
      <c r="C1492" s="1" t="s">
        <v>23</v>
      </c>
      <c r="D1492" s="1" t="s">
        <v>23</v>
      </c>
      <c r="E1492" s="1" t="s">
        <v>28</v>
      </c>
      <c r="F1492" s="1" t="s">
        <v>19</v>
      </c>
      <c r="G1492" s="1" t="s">
        <v>20</v>
      </c>
      <c r="H1492" t="s">
        <v>21</v>
      </c>
      <c r="I1492" s="1" t="s">
        <v>22</v>
      </c>
      <c r="J1492" s="2">
        <v>43534.300694444442</v>
      </c>
      <c r="K1492" s="2">
        <v>43534.300694444442</v>
      </c>
      <c r="L1492" s="2">
        <v>43538.300694444442</v>
      </c>
      <c r="M1492" s="1">
        <f>_xlfn.DAYS(Table1[[#This Row],[actual_delivery_date]],Table1[[#This Row],[dispatch_date]])</f>
        <v>0</v>
      </c>
      <c r="N1492">
        <v>0</v>
      </c>
      <c r="O1492">
        <f>Table1[[#This Row],[transit_storage_cost]] * (1-'What -if Analysis'!$D$26)</f>
        <v>0</v>
      </c>
      <c r="P1492">
        <v>122</v>
      </c>
      <c r="Q1492">
        <v>2132</v>
      </c>
    </row>
    <row r="1493" spans="1:17" x14ac:dyDescent="0.3">
      <c r="A1493">
        <v>556843</v>
      </c>
      <c r="B1493" s="1" t="s">
        <v>38</v>
      </c>
      <c r="C1493" s="1" t="s">
        <v>23</v>
      </c>
      <c r="D1493" s="1" t="s">
        <v>16</v>
      </c>
      <c r="E1493" s="1" t="s">
        <v>27</v>
      </c>
      <c r="F1493" s="1" t="s">
        <v>29</v>
      </c>
      <c r="G1493" s="1" t="s">
        <v>20</v>
      </c>
      <c r="H1493" t="s">
        <v>34</v>
      </c>
      <c r="I1493" s="1" t="s">
        <v>22</v>
      </c>
      <c r="J1493" s="2">
        <v>43527.307534722226</v>
      </c>
      <c r="K1493" s="2">
        <v>43534.307534722226</v>
      </c>
      <c r="L1493" s="2">
        <v>43531.307534722226</v>
      </c>
      <c r="M1493" s="1">
        <f>_xlfn.DAYS(Table1[[#This Row],[actual_delivery_date]],Table1[[#This Row],[dispatch_date]])</f>
        <v>7</v>
      </c>
      <c r="N1493">
        <v>35</v>
      </c>
      <c r="O1493">
        <f>Table1[[#This Row],[transit_storage_cost]] * (1-'What -if Analysis'!$D$26)</f>
        <v>35</v>
      </c>
      <c r="P1493">
        <v>127</v>
      </c>
      <c r="Q1493">
        <v>3079.5543071266793</v>
      </c>
    </row>
    <row r="1494" spans="1:17" x14ac:dyDescent="0.3">
      <c r="A1494">
        <v>744365</v>
      </c>
      <c r="B1494" s="1" t="s">
        <v>38</v>
      </c>
      <c r="C1494" s="1" t="s">
        <v>23</v>
      </c>
      <c r="D1494" s="1" t="s">
        <v>24</v>
      </c>
      <c r="E1494" s="1" t="s">
        <v>25</v>
      </c>
      <c r="F1494" s="1" t="s">
        <v>29</v>
      </c>
      <c r="G1494" s="1" t="s">
        <v>20</v>
      </c>
      <c r="H1494" t="s">
        <v>30</v>
      </c>
      <c r="I1494" s="1" t="s">
        <v>22</v>
      </c>
      <c r="J1494" s="2">
        <v>43530.30982638889</v>
      </c>
      <c r="K1494" s="2">
        <v>43534.30982638889</v>
      </c>
      <c r="L1494" s="2">
        <v>43535.30982638889</v>
      </c>
      <c r="M1494" s="1">
        <f>_xlfn.DAYS(Table1[[#This Row],[actual_delivery_date]],Table1[[#This Row],[dispatch_date]])</f>
        <v>4</v>
      </c>
      <c r="N1494">
        <v>30</v>
      </c>
      <c r="O1494">
        <f>Table1[[#This Row],[transit_storage_cost]] * (1-'What -if Analysis'!$D$26)</f>
        <v>30</v>
      </c>
      <c r="P1494">
        <v>125</v>
      </c>
      <c r="Q1494">
        <v>427.76307167197399</v>
      </c>
    </row>
    <row r="1495" spans="1:17" x14ac:dyDescent="0.3">
      <c r="A1495">
        <v>755153</v>
      </c>
      <c r="B1495" s="1" t="s">
        <v>38</v>
      </c>
      <c r="C1495" s="1" t="s">
        <v>16</v>
      </c>
      <c r="D1495" s="1" t="s">
        <v>16</v>
      </c>
      <c r="E1495" s="1" t="s">
        <v>27</v>
      </c>
      <c r="F1495" s="1" t="s">
        <v>29</v>
      </c>
      <c r="G1495" s="1" t="s">
        <v>20</v>
      </c>
      <c r="H1495" t="s">
        <v>34</v>
      </c>
      <c r="I1495" s="1" t="s">
        <v>22</v>
      </c>
      <c r="J1495" s="2">
        <v>43529.310763888891</v>
      </c>
      <c r="K1495" s="2">
        <v>43534.310763888891</v>
      </c>
      <c r="L1495" s="2">
        <v>43535.310763888891</v>
      </c>
      <c r="M1495" s="1">
        <f>_xlfn.DAYS(Table1[[#This Row],[actual_delivery_date]],Table1[[#This Row],[dispatch_date]])</f>
        <v>5</v>
      </c>
      <c r="N1495">
        <v>0</v>
      </c>
      <c r="O1495">
        <f>Table1[[#This Row],[transit_storage_cost]] * (1-'What -if Analysis'!$D$26)</f>
        <v>0</v>
      </c>
      <c r="P1495">
        <v>123</v>
      </c>
      <c r="Q1495">
        <v>3379.3274874569497</v>
      </c>
    </row>
    <row r="1496" spans="1:17" x14ac:dyDescent="0.3">
      <c r="A1496">
        <v>485862</v>
      </c>
      <c r="B1496" s="1" t="s">
        <v>38</v>
      </c>
      <c r="C1496" s="1" t="s">
        <v>16</v>
      </c>
      <c r="D1496" s="1" t="s">
        <v>23</v>
      </c>
      <c r="E1496" s="1" t="s">
        <v>28</v>
      </c>
      <c r="F1496" s="1" t="s">
        <v>19</v>
      </c>
      <c r="G1496" s="1" t="s">
        <v>20</v>
      </c>
      <c r="H1496" t="s">
        <v>21</v>
      </c>
      <c r="I1496" s="1" t="s">
        <v>26</v>
      </c>
      <c r="J1496" s="2">
        <v>43532.312465277777</v>
      </c>
      <c r="K1496" s="2">
        <v>43534.312465277777</v>
      </c>
      <c r="L1496" s="2">
        <v>43539.312465277777</v>
      </c>
      <c r="M1496" s="1">
        <f>_xlfn.DAYS(Table1[[#This Row],[actual_delivery_date]],Table1[[#This Row],[dispatch_date]])</f>
        <v>2</v>
      </c>
      <c r="N1496">
        <v>81</v>
      </c>
      <c r="O1496">
        <f>Table1[[#This Row],[transit_storage_cost]] * (1-'What -if Analysis'!$D$26)</f>
        <v>81</v>
      </c>
      <c r="P1496">
        <v>110</v>
      </c>
      <c r="Q1496">
        <v>3627.4366599697614</v>
      </c>
    </row>
    <row r="1497" spans="1:17" x14ac:dyDescent="0.3">
      <c r="A1497">
        <v>768435</v>
      </c>
      <c r="B1497" s="1" t="s">
        <v>15</v>
      </c>
      <c r="C1497" s="1" t="s">
        <v>16</v>
      </c>
      <c r="D1497" s="1" t="s">
        <v>24</v>
      </c>
      <c r="E1497" s="1" t="s">
        <v>25</v>
      </c>
      <c r="F1497" s="1" t="s">
        <v>29</v>
      </c>
      <c r="G1497" s="1" t="s">
        <v>20</v>
      </c>
      <c r="H1497" t="s">
        <v>30</v>
      </c>
      <c r="I1497" s="1" t="s">
        <v>26</v>
      </c>
      <c r="J1497" s="2">
        <v>43527.323506944442</v>
      </c>
      <c r="K1497" s="2">
        <v>43534.323506944442</v>
      </c>
      <c r="L1497" s="2">
        <v>43533.323506944442</v>
      </c>
      <c r="M1497" s="1">
        <f>_xlfn.DAYS(Table1[[#This Row],[actual_delivery_date]],Table1[[#This Row],[dispatch_date]])</f>
        <v>7</v>
      </c>
      <c r="N1497">
        <v>41</v>
      </c>
      <c r="O1497">
        <f>Table1[[#This Row],[transit_storage_cost]] * (1-'What -if Analysis'!$D$26)</f>
        <v>41</v>
      </c>
      <c r="P1497">
        <v>123</v>
      </c>
      <c r="Q1497">
        <v>2364.2600000000002</v>
      </c>
    </row>
    <row r="1498" spans="1:17" x14ac:dyDescent="0.3">
      <c r="A1498">
        <v>15884</v>
      </c>
      <c r="B1498" s="1" t="s">
        <v>37</v>
      </c>
      <c r="C1498" s="1" t="s">
        <v>23</v>
      </c>
      <c r="D1498" s="1" t="s">
        <v>16</v>
      </c>
      <c r="E1498" s="1" t="s">
        <v>27</v>
      </c>
      <c r="F1498" s="1" t="s">
        <v>19</v>
      </c>
      <c r="G1498" s="1" t="s">
        <v>20</v>
      </c>
      <c r="H1498" t="s">
        <v>21</v>
      </c>
      <c r="I1498" s="1" t="s">
        <v>22</v>
      </c>
      <c r="J1498" s="2">
        <v>43532.325069444443</v>
      </c>
      <c r="K1498" s="2">
        <v>43534.325069444443</v>
      </c>
      <c r="L1498" s="2">
        <v>43538.325069444443</v>
      </c>
      <c r="M1498" s="1">
        <f>_xlfn.DAYS(Table1[[#This Row],[actual_delivery_date]],Table1[[#This Row],[dispatch_date]])</f>
        <v>2</v>
      </c>
      <c r="N1498">
        <v>40</v>
      </c>
      <c r="O1498">
        <f>Table1[[#This Row],[transit_storage_cost]] * (1-'What -if Analysis'!$D$26)</f>
        <v>40</v>
      </c>
      <c r="P1498">
        <v>121</v>
      </c>
      <c r="Q1498">
        <v>3421.2088827765742</v>
      </c>
    </row>
    <row r="1499" spans="1:17" x14ac:dyDescent="0.3">
      <c r="A1499">
        <v>164930</v>
      </c>
      <c r="B1499" s="1" t="s">
        <v>40</v>
      </c>
      <c r="C1499" s="1" t="s">
        <v>23</v>
      </c>
      <c r="D1499" s="1" t="s">
        <v>16</v>
      </c>
      <c r="E1499" s="1" t="s">
        <v>27</v>
      </c>
      <c r="F1499" s="1" t="s">
        <v>31</v>
      </c>
      <c r="G1499" s="1" t="s">
        <v>20</v>
      </c>
      <c r="H1499" t="s">
        <v>21</v>
      </c>
      <c r="I1499" s="1" t="s">
        <v>22</v>
      </c>
      <c r="J1499" s="2">
        <v>43531.326817129629</v>
      </c>
      <c r="K1499" s="2">
        <v>43534.326817129629</v>
      </c>
      <c r="L1499" s="2">
        <v>43536.326817129629</v>
      </c>
      <c r="M1499" s="1">
        <f>_xlfn.DAYS(Table1[[#This Row],[actual_delivery_date]],Table1[[#This Row],[dispatch_date]])</f>
        <v>3</v>
      </c>
      <c r="N1499">
        <v>29</v>
      </c>
      <c r="O1499">
        <f>Table1[[#This Row],[transit_storage_cost]] * (1-'What -if Analysis'!$D$26)</f>
        <v>29</v>
      </c>
      <c r="P1499">
        <v>128</v>
      </c>
      <c r="Q1499">
        <v>309.20254426112331</v>
      </c>
    </row>
    <row r="1500" spans="1:17" x14ac:dyDescent="0.3">
      <c r="A1500">
        <v>76382</v>
      </c>
      <c r="B1500" s="1" t="s">
        <v>41</v>
      </c>
      <c r="C1500" s="1" t="s">
        <v>16</v>
      </c>
      <c r="D1500" s="1" t="s">
        <v>17</v>
      </c>
      <c r="E1500" s="1" t="s">
        <v>18</v>
      </c>
      <c r="F1500" s="1" t="s">
        <v>31</v>
      </c>
      <c r="G1500" s="1" t="s">
        <v>36</v>
      </c>
      <c r="H1500" t="s">
        <v>21</v>
      </c>
      <c r="I1500" s="1" t="s">
        <v>22</v>
      </c>
      <c r="J1500" s="2">
        <v>43525.335324074076</v>
      </c>
      <c r="K1500" s="2">
        <v>43534.335324074076</v>
      </c>
      <c r="L1500" s="2">
        <v>43530.335324074076</v>
      </c>
      <c r="M1500" s="1">
        <f>_xlfn.DAYS(Table1[[#This Row],[actual_delivery_date]],Table1[[#This Row],[dispatch_date]])</f>
        <v>9</v>
      </c>
      <c r="N1500">
        <v>37</v>
      </c>
      <c r="O1500">
        <f>Table1[[#This Row],[transit_storage_cost]] * (1-'What -if Analysis'!$D$26)</f>
        <v>37</v>
      </c>
      <c r="P1500">
        <v>109</v>
      </c>
      <c r="Q1500">
        <v>3715.9286713215033</v>
      </c>
    </row>
    <row r="1501" spans="1:17" x14ac:dyDescent="0.3">
      <c r="A1501">
        <v>83260</v>
      </c>
      <c r="B1501" s="1" t="s">
        <v>39</v>
      </c>
      <c r="C1501" s="1" t="s">
        <v>16</v>
      </c>
      <c r="D1501" s="1" t="s">
        <v>16</v>
      </c>
      <c r="E1501" s="1" t="s">
        <v>27</v>
      </c>
      <c r="F1501" s="1" t="s">
        <v>19</v>
      </c>
      <c r="G1501" s="1" t="s">
        <v>20</v>
      </c>
      <c r="H1501" t="s">
        <v>21</v>
      </c>
      <c r="I1501" s="1" t="s">
        <v>22</v>
      </c>
      <c r="J1501" s="2">
        <v>43532.33630787037</v>
      </c>
      <c r="K1501" s="2">
        <v>43534.33630787037</v>
      </c>
      <c r="L1501" s="2">
        <v>43538.33630787037</v>
      </c>
      <c r="M1501" s="1">
        <f>_xlfn.DAYS(Table1[[#This Row],[actual_delivery_date]],Table1[[#This Row],[dispatch_date]])</f>
        <v>2</v>
      </c>
      <c r="N1501">
        <v>0</v>
      </c>
      <c r="O1501">
        <f>Table1[[#This Row],[transit_storage_cost]] * (1-'What -if Analysis'!$D$26)</f>
        <v>0</v>
      </c>
      <c r="P1501">
        <v>125</v>
      </c>
      <c r="Q1501">
        <v>710.8851701404775</v>
      </c>
    </row>
    <row r="1502" spans="1:17" x14ac:dyDescent="0.3">
      <c r="A1502">
        <v>570225</v>
      </c>
      <c r="B1502" s="1" t="s">
        <v>38</v>
      </c>
      <c r="C1502" s="1" t="s">
        <v>16</v>
      </c>
      <c r="D1502" s="1" t="s">
        <v>16</v>
      </c>
      <c r="E1502" s="1" t="s">
        <v>27</v>
      </c>
      <c r="F1502" s="1" t="s">
        <v>29</v>
      </c>
      <c r="G1502" s="1" t="s">
        <v>20</v>
      </c>
      <c r="H1502" t="s">
        <v>30</v>
      </c>
      <c r="I1502" s="1" t="s">
        <v>26</v>
      </c>
      <c r="J1502" s="2">
        <v>43529.337245370371</v>
      </c>
      <c r="K1502" s="2">
        <v>43534.337245370371</v>
      </c>
      <c r="L1502" s="2">
        <v>43534.337245370371</v>
      </c>
      <c r="M1502" s="1">
        <f>_xlfn.DAYS(Table1[[#This Row],[actual_delivery_date]],Table1[[#This Row],[dispatch_date]])</f>
        <v>5</v>
      </c>
      <c r="N1502">
        <v>0</v>
      </c>
      <c r="O1502">
        <f>Table1[[#This Row],[transit_storage_cost]] * (1-'What -if Analysis'!$D$26)</f>
        <v>0</v>
      </c>
      <c r="P1502">
        <v>124</v>
      </c>
      <c r="Q1502">
        <v>1049.75</v>
      </c>
    </row>
    <row r="1503" spans="1:17" x14ac:dyDescent="0.3">
      <c r="A1503">
        <v>33810</v>
      </c>
      <c r="B1503" s="1" t="s">
        <v>40</v>
      </c>
      <c r="C1503" s="1" t="s">
        <v>16</v>
      </c>
      <c r="D1503" s="1" t="s">
        <v>24</v>
      </c>
      <c r="E1503" s="1" t="s">
        <v>25</v>
      </c>
      <c r="F1503" s="1" t="s">
        <v>31</v>
      </c>
      <c r="G1503" s="1" t="s">
        <v>20</v>
      </c>
      <c r="H1503" t="s">
        <v>21</v>
      </c>
      <c r="I1503" s="1" t="s">
        <v>26</v>
      </c>
      <c r="J1503" s="2">
        <v>43527.338020833333</v>
      </c>
      <c r="K1503" s="2">
        <v>43534.338020833333</v>
      </c>
      <c r="L1503" s="2">
        <v>43533.338020833333</v>
      </c>
      <c r="M1503" s="1">
        <f>_xlfn.DAYS(Table1[[#This Row],[actual_delivery_date]],Table1[[#This Row],[dispatch_date]])</f>
        <v>7</v>
      </c>
      <c r="N1503">
        <v>28</v>
      </c>
      <c r="O1503">
        <f>Table1[[#This Row],[transit_storage_cost]] * (1-'What -if Analysis'!$D$26)</f>
        <v>28</v>
      </c>
      <c r="P1503">
        <v>130</v>
      </c>
      <c r="Q1503">
        <v>3189.18</v>
      </c>
    </row>
    <row r="1504" spans="1:17" x14ac:dyDescent="0.3">
      <c r="A1504">
        <v>704930</v>
      </c>
      <c r="B1504" s="1" t="s">
        <v>38</v>
      </c>
      <c r="C1504" s="1" t="s">
        <v>23</v>
      </c>
      <c r="D1504" s="1" t="s">
        <v>24</v>
      </c>
      <c r="E1504" s="1" t="s">
        <v>25</v>
      </c>
      <c r="F1504" s="1" t="s">
        <v>31</v>
      </c>
      <c r="G1504" s="1" t="s">
        <v>20</v>
      </c>
      <c r="H1504" t="s">
        <v>21</v>
      </c>
      <c r="I1504" s="1" t="s">
        <v>22</v>
      </c>
      <c r="J1504" s="2">
        <v>43532.341157407405</v>
      </c>
      <c r="K1504" s="2">
        <v>43534.341157407405</v>
      </c>
      <c r="L1504" s="2">
        <v>43535.341157407405</v>
      </c>
      <c r="M1504" s="1">
        <f>_xlfn.DAYS(Table1[[#This Row],[actual_delivery_date]],Table1[[#This Row],[dispatch_date]])</f>
        <v>2</v>
      </c>
      <c r="N1504">
        <v>39</v>
      </c>
      <c r="O1504">
        <f>Table1[[#This Row],[transit_storage_cost]] * (1-'What -if Analysis'!$D$26)</f>
        <v>39</v>
      </c>
      <c r="P1504">
        <v>122</v>
      </c>
      <c r="Q1504">
        <v>2961</v>
      </c>
    </row>
    <row r="1505" spans="1:17" x14ac:dyDescent="0.3">
      <c r="A1505">
        <v>829750</v>
      </c>
      <c r="B1505" s="1" t="s">
        <v>38</v>
      </c>
      <c r="C1505" s="1" t="s">
        <v>23</v>
      </c>
      <c r="D1505" s="1" t="s">
        <v>17</v>
      </c>
      <c r="E1505" s="1" t="s">
        <v>18</v>
      </c>
      <c r="F1505" s="1" t="s">
        <v>31</v>
      </c>
      <c r="G1505" s="1" t="s">
        <v>20</v>
      </c>
      <c r="H1505" t="s">
        <v>21</v>
      </c>
      <c r="I1505" s="1" t="s">
        <v>22</v>
      </c>
      <c r="J1505" s="2">
        <v>43528.343611111108</v>
      </c>
      <c r="K1505" s="2">
        <v>43534.343611111108</v>
      </c>
      <c r="L1505" s="2">
        <v>43535.343611111108</v>
      </c>
      <c r="M1505" s="1">
        <f>_xlfn.DAYS(Table1[[#This Row],[actual_delivery_date]],Table1[[#This Row],[dispatch_date]])</f>
        <v>6</v>
      </c>
      <c r="N1505">
        <v>32</v>
      </c>
      <c r="O1505">
        <f>Table1[[#This Row],[transit_storage_cost]] * (1-'What -if Analysis'!$D$26)</f>
        <v>32</v>
      </c>
      <c r="P1505">
        <v>114</v>
      </c>
      <c r="Q1505">
        <v>3685.9795234208959</v>
      </c>
    </row>
    <row r="1506" spans="1:17" x14ac:dyDescent="0.3">
      <c r="A1506">
        <v>643924</v>
      </c>
      <c r="B1506" s="1" t="s">
        <v>38</v>
      </c>
      <c r="C1506" s="1" t="s">
        <v>23</v>
      </c>
      <c r="D1506" s="1" t="s">
        <v>17</v>
      </c>
      <c r="E1506" s="1" t="s">
        <v>18</v>
      </c>
      <c r="F1506" s="1" t="s">
        <v>19</v>
      </c>
      <c r="G1506" s="1" t="s">
        <v>20</v>
      </c>
      <c r="H1506" t="s">
        <v>21</v>
      </c>
      <c r="I1506" s="1" t="s">
        <v>22</v>
      </c>
      <c r="J1506" s="2">
        <v>43532.350104166668</v>
      </c>
      <c r="K1506" s="2">
        <v>43534.350104166668</v>
      </c>
      <c r="L1506" s="2">
        <v>43537.350104166668</v>
      </c>
      <c r="M1506" s="1">
        <f>_xlfn.DAYS(Table1[[#This Row],[actual_delivery_date]],Table1[[#This Row],[dispatch_date]])</f>
        <v>2</v>
      </c>
      <c r="N1506">
        <v>72</v>
      </c>
      <c r="O1506">
        <f>Table1[[#This Row],[transit_storage_cost]] * (1-'What -if Analysis'!$D$26)</f>
        <v>72</v>
      </c>
      <c r="P1506">
        <v>89</v>
      </c>
      <c r="Q1506">
        <v>831.85993215742531</v>
      </c>
    </row>
    <row r="1507" spans="1:17" x14ac:dyDescent="0.3">
      <c r="A1507">
        <v>171605</v>
      </c>
      <c r="B1507" s="1" t="s">
        <v>39</v>
      </c>
      <c r="C1507" s="1" t="s">
        <v>16</v>
      </c>
      <c r="D1507" s="1" t="s">
        <v>24</v>
      </c>
      <c r="E1507" s="1" t="s">
        <v>25</v>
      </c>
      <c r="F1507" s="1" t="s">
        <v>29</v>
      </c>
      <c r="G1507" s="1" t="s">
        <v>20</v>
      </c>
      <c r="H1507" t="s">
        <v>34</v>
      </c>
      <c r="I1507" s="1" t="s">
        <v>22</v>
      </c>
      <c r="J1507" s="2">
        <v>43530.350636574076</v>
      </c>
      <c r="K1507" s="2">
        <v>43534.350636574076</v>
      </c>
      <c r="L1507" s="2">
        <v>43533.350636574076</v>
      </c>
      <c r="M1507" s="1">
        <f>_xlfn.DAYS(Table1[[#This Row],[actual_delivery_date]],Table1[[#This Row],[dispatch_date]])</f>
        <v>4</v>
      </c>
      <c r="N1507">
        <v>38</v>
      </c>
      <c r="O1507">
        <f>Table1[[#This Row],[transit_storage_cost]] * (1-'What -if Analysis'!$D$26)</f>
        <v>38</v>
      </c>
      <c r="P1507">
        <v>128</v>
      </c>
      <c r="Q1507">
        <v>1239.1062402396003</v>
      </c>
    </row>
    <row r="1508" spans="1:17" x14ac:dyDescent="0.3">
      <c r="A1508">
        <v>741212</v>
      </c>
      <c r="B1508" s="1" t="s">
        <v>37</v>
      </c>
      <c r="C1508" s="1" t="s">
        <v>23</v>
      </c>
      <c r="D1508" s="1" t="s">
        <v>32</v>
      </c>
      <c r="E1508" s="1" t="s">
        <v>33</v>
      </c>
      <c r="F1508" s="1" t="s">
        <v>19</v>
      </c>
      <c r="G1508" s="1" t="s">
        <v>20</v>
      </c>
      <c r="H1508" t="s">
        <v>21</v>
      </c>
      <c r="I1508" s="1" t="s">
        <v>22</v>
      </c>
      <c r="J1508" s="2">
        <v>43526.351168981484</v>
      </c>
      <c r="K1508" s="2">
        <v>43534.351168981484</v>
      </c>
      <c r="L1508" s="2">
        <v>43530.351168981484</v>
      </c>
      <c r="M1508" s="1">
        <f>_xlfn.DAYS(Table1[[#This Row],[actual_delivery_date]],Table1[[#This Row],[dispatch_date]])</f>
        <v>8</v>
      </c>
      <c r="N1508">
        <v>32</v>
      </c>
      <c r="O1508">
        <f>Table1[[#This Row],[transit_storage_cost]] * (1-'What -if Analysis'!$D$26)</f>
        <v>32</v>
      </c>
      <c r="P1508">
        <v>111</v>
      </c>
      <c r="Q1508">
        <v>2990.0819549072626</v>
      </c>
    </row>
    <row r="1509" spans="1:17" x14ac:dyDescent="0.3">
      <c r="A1509">
        <v>41971</v>
      </c>
      <c r="B1509" s="1" t="s">
        <v>37</v>
      </c>
      <c r="C1509" s="1" t="s">
        <v>16</v>
      </c>
      <c r="D1509" s="1" t="s">
        <v>23</v>
      </c>
      <c r="E1509" s="1" t="s">
        <v>28</v>
      </c>
      <c r="F1509" s="1" t="s">
        <v>29</v>
      </c>
      <c r="G1509" s="1" t="s">
        <v>20</v>
      </c>
      <c r="H1509" t="s">
        <v>30</v>
      </c>
      <c r="I1509" s="1" t="s">
        <v>22</v>
      </c>
      <c r="J1509" s="2">
        <v>43530.354733796295</v>
      </c>
      <c r="K1509" s="2">
        <v>43534.354733796295</v>
      </c>
      <c r="L1509" s="2">
        <v>43535.354733796295</v>
      </c>
      <c r="M1509" s="1">
        <f>_xlfn.DAYS(Table1[[#This Row],[actual_delivery_date]],Table1[[#This Row],[dispatch_date]])</f>
        <v>4</v>
      </c>
      <c r="N1509">
        <v>30</v>
      </c>
      <c r="O1509">
        <f>Table1[[#This Row],[transit_storage_cost]] * (1-'What -if Analysis'!$D$26)</f>
        <v>30</v>
      </c>
      <c r="P1509">
        <v>129</v>
      </c>
      <c r="Q1509">
        <v>2054.8614815512715</v>
      </c>
    </row>
    <row r="1510" spans="1:17" x14ac:dyDescent="0.3">
      <c r="A1510">
        <v>915732</v>
      </c>
      <c r="B1510" s="1" t="s">
        <v>37</v>
      </c>
      <c r="C1510" s="1" t="s">
        <v>16</v>
      </c>
      <c r="D1510" s="1" t="s">
        <v>16</v>
      </c>
      <c r="E1510" s="1" t="s">
        <v>27</v>
      </c>
      <c r="F1510" s="1" t="s">
        <v>19</v>
      </c>
      <c r="G1510" s="1" t="s">
        <v>20</v>
      </c>
      <c r="H1510" t="s">
        <v>21</v>
      </c>
      <c r="I1510" s="1" t="s">
        <v>26</v>
      </c>
      <c r="J1510" s="2">
        <v>43532.361724537041</v>
      </c>
      <c r="K1510" s="2">
        <v>43534.361724537041</v>
      </c>
      <c r="L1510" s="2">
        <v>43539.361724537041</v>
      </c>
      <c r="M1510" s="1">
        <f>_xlfn.DAYS(Table1[[#This Row],[actual_delivery_date]],Table1[[#This Row],[dispatch_date]])</f>
        <v>2</v>
      </c>
      <c r="N1510">
        <v>0</v>
      </c>
      <c r="O1510">
        <f>Table1[[#This Row],[transit_storage_cost]] * (1-'What -if Analysis'!$D$26)</f>
        <v>0</v>
      </c>
      <c r="P1510">
        <v>124</v>
      </c>
      <c r="Q1510">
        <v>1487.1415667982942</v>
      </c>
    </row>
    <row r="1511" spans="1:17" x14ac:dyDescent="0.3">
      <c r="A1511">
        <v>730428</v>
      </c>
      <c r="B1511" s="1" t="s">
        <v>39</v>
      </c>
      <c r="C1511" s="1" t="s">
        <v>23</v>
      </c>
      <c r="D1511" s="1" t="s">
        <v>16</v>
      </c>
      <c r="E1511" s="1" t="s">
        <v>27</v>
      </c>
      <c r="F1511" s="1" t="s">
        <v>19</v>
      </c>
      <c r="G1511" s="1" t="s">
        <v>20</v>
      </c>
      <c r="H1511" t="s">
        <v>21</v>
      </c>
      <c r="I1511" s="1" t="s">
        <v>26</v>
      </c>
      <c r="J1511" s="2">
        <v>43531.370451388888</v>
      </c>
      <c r="K1511" s="2">
        <v>43534.370451388888</v>
      </c>
      <c r="L1511" s="2">
        <v>43536.370451388888</v>
      </c>
      <c r="M1511" s="1">
        <f>_xlfn.DAYS(Table1[[#This Row],[actual_delivery_date]],Table1[[#This Row],[dispatch_date]])</f>
        <v>3</v>
      </c>
      <c r="N1511">
        <v>31</v>
      </c>
      <c r="O1511">
        <f>Table1[[#This Row],[transit_storage_cost]] * (1-'What -if Analysis'!$D$26)</f>
        <v>31</v>
      </c>
      <c r="P1511">
        <v>120</v>
      </c>
      <c r="Q1511">
        <v>1271</v>
      </c>
    </row>
    <row r="1512" spans="1:17" x14ac:dyDescent="0.3">
      <c r="A1512">
        <v>16199</v>
      </c>
      <c r="B1512" s="1" t="s">
        <v>38</v>
      </c>
      <c r="C1512" s="1" t="s">
        <v>23</v>
      </c>
      <c r="D1512" s="1" t="s">
        <v>32</v>
      </c>
      <c r="E1512" s="1" t="s">
        <v>33</v>
      </c>
      <c r="F1512" s="1" t="s">
        <v>29</v>
      </c>
      <c r="G1512" s="1" t="s">
        <v>20</v>
      </c>
      <c r="H1512" t="s">
        <v>30</v>
      </c>
      <c r="I1512" s="1" t="s">
        <v>22</v>
      </c>
      <c r="J1512" s="2">
        <v>43529.371412037035</v>
      </c>
      <c r="K1512" s="2">
        <v>43534.371412037035</v>
      </c>
      <c r="L1512" s="2">
        <v>43532.371412037035</v>
      </c>
      <c r="M1512" s="1">
        <f>_xlfn.DAYS(Table1[[#This Row],[actual_delivery_date]],Table1[[#This Row],[dispatch_date]])</f>
        <v>5</v>
      </c>
      <c r="N1512">
        <v>50</v>
      </c>
      <c r="O1512">
        <f>Table1[[#This Row],[transit_storage_cost]] * (1-'What -if Analysis'!$D$26)</f>
        <v>50</v>
      </c>
      <c r="P1512">
        <v>111</v>
      </c>
      <c r="Q1512">
        <v>2489.5851990655597</v>
      </c>
    </row>
    <row r="1513" spans="1:17" x14ac:dyDescent="0.3">
      <c r="A1513">
        <v>724482</v>
      </c>
      <c r="B1513" s="1" t="s">
        <v>37</v>
      </c>
      <c r="C1513" s="1" t="s">
        <v>16</v>
      </c>
      <c r="D1513" s="1" t="s">
        <v>16</v>
      </c>
      <c r="E1513" s="1" t="s">
        <v>27</v>
      </c>
      <c r="F1513" s="1" t="s">
        <v>31</v>
      </c>
      <c r="G1513" s="1" t="s">
        <v>20</v>
      </c>
      <c r="H1513" t="s">
        <v>21</v>
      </c>
      <c r="I1513" s="1" t="s">
        <v>26</v>
      </c>
      <c r="J1513" s="2">
        <v>43530.372187499997</v>
      </c>
      <c r="K1513" s="2">
        <v>43534.372187499997</v>
      </c>
      <c r="L1513" s="2">
        <v>43537.372187499997</v>
      </c>
      <c r="M1513" s="1">
        <f>_xlfn.DAYS(Table1[[#This Row],[actual_delivery_date]],Table1[[#This Row],[dispatch_date]])</f>
        <v>4</v>
      </c>
      <c r="N1513">
        <v>0</v>
      </c>
      <c r="O1513">
        <f>Table1[[#This Row],[transit_storage_cost]] * (1-'What -if Analysis'!$D$26)</f>
        <v>0</v>
      </c>
      <c r="P1513">
        <v>121</v>
      </c>
      <c r="Q1513">
        <v>1575</v>
      </c>
    </row>
    <row r="1514" spans="1:17" x14ac:dyDescent="0.3">
      <c r="A1514">
        <v>479581</v>
      </c>
      <c r="B1514" s="1" t="s">
        <v>38</v>
      </c>
      <c r="C1514" s="1" t="s">
        <v>23</v>
      </c>
      <c r="D1514" s="1" t="s">
        <v>17</v>
      </c>
      <c r="E1514" s="1" t="s">
        <v>18</v>
      </c>
      <c r="F1514" s="1" t="s">
        <v>19</v>
      </c>
      <c r="G1514" s="1" t="s">
        <v>20</v>
      </c>
      <c r="H1514" t="s">
        <v>30</v>
      </c>
      <c r="I1514" s="1" t="s">
        <v>22</v>
      </c>
      <c r="J1514" s="2">
        <v>43532.373819444445</v>
      </c>
      <c r="K1514" s="2">
        <v>43534.373819444445</v>
      </c>
      <c r="L1514" s="2">
        <v>43539.373819444445</v>
      </c>
      <c r="M1514" s="1">
        <f>_xlfn.DAYS(Table1[[#This Row],[actual_delivery_date]],Table1[[#This Row],[dispatch_date]])</f>
        <v>2</v>
      </c>
      <c r="N1514">
        <v>76</v>
      </c>
      <c r="O1514">
        <f>Table1[[#This Row],[transit_storage_cost]] * (1-'What -if Analysis'!$D$26)</f>
        <v>76</v>
      </c>
      <c r="P1514">
        <v>88</v>
      </c>
      <c r="Q1514">
        <v>2941</v>
      </c>
    </row>
    <row r="1515" spans="1:17" x14ac:dyDescent="0.3">
      <c r="A1515">
        <v>19169</v>
      </c>
      <c r="B1515" s="1" t="s">
        <v>37</v>
      </c>
      <c r="C1515" s="1" t="s">
        <v>16</v>
      </c>
      <c r="D1515" s="1" t="s">
        <v>24</v>
      </c>
      <c r="E1515" s="1" t="s">
        <v>25</v>
      </c>
      <c r="F1515" s="1" t="s">
        <v>29</v>
      </c>
      <c r="G1515" s="1" t="s">
        <v>20</v>
      </c>
      <c r="H1515" t="s">
        <v>30</v>
      </c>
      <c r="I1515" s="1" t="s">
        <v>22</v>
      </c>
      <c r="J1515" s="2">
        <v>43532.373923611114</v>
      </c>
      <c r="K1515" s="2">
        <v>43534.373923611114</v>
      </c>
      <c r="L1515" s="2">
        <v>43535.373923611114</v>
      </c>
      <c r="M1515" s="1">
        <f>_xlfn.DAYS(Table1[[#This Row],[actual_delivery_date]],Table1[[#This Row],[dispatch_date]])</f>
        <v>2</v>
      </c>
      <c r="N1515">
        <v>46</v>
      </c>
      <c r="O1515">
        <f>Table1[[#This Row],[transit_storage_cost]] * (1-'What -if Analysis'!$D$26)</f>
        <v>46</v>
      </c>
      <c r="P1515">
        <v>123</v>
      </c>
      <c r="Q1515">
        <v>2069.1614472457113</v>
      </c>
    </row>
    <row r="1516" spans="1:17" x14ac:dyDescent="0.3">
      <c r="A1516">
        <v>384798</v>
      </c>
      <c r="B1516" s="1" t="s">
        <v>38</v>
      </c>
      <c r="C1516" s="1" t="s">
        <v>16</v>
      </c>
      <c r="D1516" s="1" t="s">
        <v>23</v>
      </c>
      <c r="E1516" s="1" t="s">
        <v>28</v>
      </c>
      <c r="F1516" s="1" t="s">
        <v>31</v>
      </c>
      <c r="G1516" s="1" t="s">
        <v>20</v>
      </c>
      <c r="H1516" t="s">
        <v>21</v>
      </c>
      <c r="I1516" s="1" t="s">
        <v>26</v>
      </c>
      <c r="J1516" s="2">
        <v>43530.376597222225</v>
      </c>
      <c r="K1516" s="2">
        <v>43534.376597222225</v>
      </c>
      <c r="L1516" s="2">
        <v>43535.376597222225</v>
      </c>
      <c r="M1516" s="1">
        <f>_xlfn.DAYS(Table1[[#This Row],[actual_delivery_date]],Table1[[#This Row],[dispatch_date]])</f>
        <v>4</v>
      </c>
      <c r="N1516">
        <v>42</v>
      </c>
      <c r="O1516">
        <f>Table1[[#This Row],[transit_storage_cost]] * (1-'What -if Analysis'!$D$26)</f>
        <v>42</v>
      </c>
      <c r="P1516">
        <v>125</v>
      </c>
      <c r="Q1516">
        <v>940</v>
      </c>
    </row>
    <row r="1517" spans="1:17" x14ac:dyDescent="0.3">
      <c r="A1517">
        <v>665328</v>
      </c>
      <c r="B1517" s="1" t="s">
        <v>40</v>
      </c>
      <c r="C1517" s="1" t="s">
        <v>16</v>
      </c>
      <c r="D1517" s="1" t="s">
        <v>17</v>
      </c>
      <c r="E1517" s="1" t="s">
        <v>18</v>
      </c>
      <c r="F1517" s="1" t="s">
        <v>19</v>
      </c>
      <c r="G1517" s="1" t="s">
        <v>20</v>
      </c>
      <c r="H1517" t="s">
        <v>21</v>
      </c>
      <c r="I1517" s="1" t="s">
        <v>26</v>
      </c>
      <c r="J1517" s="2">
        <v>43528.377141203702</v>
      </c>
      <c r="K1517" s="2">
        <v>43534.377141203702</v>
      </c>
      <c r="L1517" s="2">
        <v>43535.377141203702</v>
      </c>
      <c r="M1517" s="1">
        <f>_xlfn.DAYS(Table1[[#This Row],[actual_delivery_date]],Table1[[#This Row],[dispatch_date]])</f>
        <v>6</v>
      </c>
      <c r="N1517">
        <v>72</v>
      </c>
      <c r="O1517">
        <f>Table1[[#This Row],[transit_storage_cost]] * (1-'What -if Analysis'!$D$26)</f>
        <v>72</v>
      </c>
      <c r="P1517">
        <v>88</v>
      </c>
      <c r="Q1517">
        <v>1763.69</v>
      </c>
    </row>
    <row r="1518" spans="1:17" x14ac:dyDescent="0.3">
      <c r="A1518">
        <v>110793</v>
      </c>
      <c r="B1518" s="1" t="s">
        <v>38</v>
      </c>
      <c r="C1518" s="1" t="s">
        <v>16</v>
      </c>
      <c r="D1518" s="1" t="s">
        <v>17</v>
      </c>
      <c r="E1518" s="1" t="s">
        <v>18</v>
      </c>
      <c r="F1518" s="1" t="s">
        <v>29</v>
      </c>
      <c r="G1518" s="1" t="s">
        <v>20</v>
      </c>
      <c r="H1518" t="s">
        <v>30</v>
      </c>
      <c r="I1518" s="1" t="s">
        <v>26</v>
      </c>
      <c r="J1518" s="2">
        <v>43527.379571759258</v>
      </c>
      <c r="K1518" s="2">
        <v>43534.379571759258</v>
      </c>
      <c r="L1518" s="2">
        <v>43532.379571759258</v>
      </c>
      <c r="M1518" s="1">
        <f>_xlfn.DAYS(Table1[[#This Row],[actual_delivery_date]],Table1[[#This Row],[dispatch_date]])</f>
        <v>7</v>
      </c>
      <c r="N1518">
        <v>38</v>
      </c>
      <c r="O1518">
        <f>Table1[[#This Row],[transit_storage_cost]] * (1-'What -if Analysis'!$D$26)</f>
        <v>38</v>
      </c>
      <c r="P1518">
        <v>110</v>
      </c>
      <c r="Q1518">
        <v>180.21</v>
      </c>
    </row>
    <row r="1519" spans="1:17" x14ac:dyDescent="0.3">
      <c r="A1519">
        <v>246732</v>
      </c>
      <c r="B1519" s="1" t="s">
        <v>41</v>
      </c>
      <c r="C1519" s="1" t="s">
        <v>23</v>
      </c>
      <c r="D1519" s="1" t="s">
        <v>16</v>
      </c>
      <c r="E1519" s="1" t="s">
        <v>27</v>
      </c>
      <c r="F1519" s="1" t="s">
        <v>19</v>
      </c>
      <c r="G1519" s="1" t="s">
        <v>20</v>
      </c>
      <c r="H1519" t="s">
        <v>21</v>
      </c>
      <c r="I1519" s="1" t="s">
        <v>26</v>
      </c>
      <c r="J1519" s="2">
        <v>43532.383159722223</v>
      </c>
      <c r="K1519" s="2">
        <v>43534.383159722223</v>
      </c>
      <c r="L1519" s="2">
        <v>43537.383159722223</v>
      </c>
      <c r="M1519" s="1">
        <f>_xlfn.DAYS(Table1[[#This Row],[actual_delivery_date]],Table1[[#This Row],[dispatch_date]])</f>
        <v>2</v>
      </c>
      <c r="N1519">
        <v>62</v>
      </c>
      <c r="O1519">
        <f>Table1[[#This Row],[transit_storage_cost]] * (1-'What -if Analysis'!$D$26)</f>
        <v>62</v>
      </c>
      <c r="P1519">
        <v>103</v>
      </c>
      <c r="Q1519">
        <v>3166</v>
      </c>
    </row>
    <row r="1520" spans="1:17" x14ac:dyDescent="0.3">
      <c r="A1520">
        <v>93123</v>
      </c>
      <c r="B1520" s="1" t="s">
        <v>37</v>
      </c>
      <c r="C1520" s="1" t="s">
        <v>23</v>
      </c>
      <c r="D1520" s="1" t="s">
        <v>16</v>
      </c>
      <c r="E1520" s="1" t="s">
        <v>27</v>
      </c>
      <c r="F1520" s="1" t="s">
        <v>29</v>
      </c>
      <c r="G1520" s="1" t="s">
        <v>20</v>
      </c>
      <c r="H1520" t="s">
        <v>30</v>
      </c>
      <c r="I1520" s="1" t="s">
        <v>26</v>
      </c>
      <c r="J1520" s="2">
        <v>43527.385254629633</v>
      </c>
      <c r="K1520" s="2">
        <v>43534.385254629633</v>
      </c>
      <c r="L1520" s="2">
        <v>43532.385254629633</v>
      </c>
      <c r="M1520" s="1">
        <f>_xlfn.DAYS(Table1[[#This Row],[actual_delivery_date]],Table1[[#This Row],[dispatch_date]])</f>
        <v>7</v>
      </c>
      <c r="N1520">
        <v>36</v>
      </c>
      <c r="O1520">
        <f>Table1[[#This Row],[transit_storage_cost]] * (1-'What -if Analysis'!$D$26)</f>
        <v>36</v>
      </c>
      <c r="P1520">
        <v>124</v>
      </c>
      <c r="Q1520">
        <v>3151.99</v>
      </c>
    </row>
    <row r="1521" spans="1:17" x14ac:dyDescent="0.3">
      <c r="A1521">
        <v>906256</v>
      </c>
      <c r="B1521" s="1" t="s">
        <v>38</v>
      </c>
      <c r="C1521" s="1" t="s">
        <v>23</v>
      </c>
      <c r="D1521" s="1" t="s">
        <v>17</v>
      </c>
      <c r="E1521" s="1" t="s">
        <v>18</v>
      </c>
      <c r="F1521" s="1" t="s">
        <v>19</v>
      </c>
      <c r="G1521" s="1" t="s">
        <v>20</v>
      </c>
      <c r="H1521" t="s">
        <v>21</v>
      </c>
      <c r="I1521" s="1" t="s">
        <v>22</v>
      </c>
      <c r="J1521" s="2">
        <v>43530.389756944445</v>
      </c>
      <c r="K1521" s="2">
        <v>43534.389756944445</v>
      </c>
      <c r="L1521" s="2">
        <v>43536.389756944445</v>
      </c>
      <c r="M1521" s="1">
        <f>_xlfn.DAYS(Table1[[#This Row],[actual_delivery_date]],Table1[[#This Row],[dispatch_date]])</f>
        <v>4</v>
      </c>
      <c r="N1521">
        <v>64</v>
      </c>
      <c r="O1521">
        <f>Table1[[#This Row],[transit_storage_cost]] * (1-'What -if Analysis'!$D$26)</f>
        <v>64</v>
      </c>
      <c r="P1521">
        <v>94</v>
      </c>
      <c r="Q1521">
        <v>3443.2456353731959</v>
      </c>
    </row>
    <row r="1522" spans="1:17" x14ac:dyDescent="0.3">
      <c r="A1522">
        <v>171454</v>
      </c>
      <c r="B1522" s="1" t="s">
        <v>38</v>
      </c>
      <c r="C1522" s="1" t="s">
        <v>23</v>
      </c>
      <c r="D1522" s="1" t="s">
        <v>17</v>
      </c>
      <c r="E1522" s="1" t="s">
        <v>18</v>
      </c>
      <c r="F1522" s="1" t="s">
        <v>31</v>
      </c>
      <c r="G1522" s="1" t="s">
        <v>20</v>
      </c>
      <c r="H1522" t="s">
        <v>21</v>
      </c>
      <c r="I1522" s="1" t="s">
        <v>22</v>
      </c>
      <c r="J1522" s="2">
        <v>43529.391388888886</v>
      </c>
      <c r="K1522" s="2">
        <v>43534.391388888886</v>
      </c>
      <c r="L1522" s="2">
        <v>43534.391388888886</v>
      </c>
      <c r="M1522" s="1">
        <f>_xlfn.DAYS(Table1[[#This Row],[actual_delivery_date]],Table1[[#This Row],[dispatch_date]])</f>
        <v>5</v>
      </c>
      <c r="N1522">
        <v>27</v>
      </c>
      <c r="O1522">
        <f>Table1[[#This Row],[transit_storage_cost]] * (1-'What -if Analysis'!$D$26)</f>
        <v>27</v>
      </c>
      <c r="P1522">
        <v>110</v>
      </c>
      <c r="Q1522">
        <v>2394.7291364854345</v>
      </c>
    </row>
    <row r="1523" spans="1:17" x14ac:dyDescent="0.3">
      <c r="A1523">
        <v>772560</v>
      </c>
      <c r="B1523" s="1" t="s">
        <v>41</v>
      </c>
      <c r="C1523" s="1" t="s">
        <v>16</v>
      </c>
      <c r="D1523" s="1" t="s">
        <v>24</v>
      </c>
      <c r="E1523" s="1" t="s">
        <v>25</v>
      </c>
      <c r="F1523" s="1" t="s">
        <v>19</v>
      </c>
      <c r="G1523" s="1" t="s">
        <v>20</v>
      </c>
      <c r="H1523" t="s">
        <v>21</v>
      </c>
      <c r="I1523" s="1" t="s">
        <v>26</v>
      </c>
      <c r="J1523" s="2">
        <v>43527.394837962966</v>
      </c>
      <c r="K1523" s="2">
        <v>43534.394837962966</v>
      </c>
      <c r="L1523" s="2">
        <v>43534.394837962966</v>
      </c>
      <c r="M1523" s="1">
        <f>_xlfn.DAYS(Table1[[#This Row],[actual_delivery_date]],Table1[[#This Row],[dispatch_date]])</f>
        <v>7</v>
      </c>
      <c r="N1523">
        <v>71</v>
      </c>
      <c r="O1523">
        <f>Table1[[#This Row],[transit_storage_cost]] * (1-'What -if Analysis'!$D$26)</f>
        <v>71</v>
      </c>
      <c r="P1523">
        <v>100</v>
      </c>
      <c r="Q1523">
        <v>1020.96</v>
      </c>
    </row>
    <row r="1524" spans="1:17" x14ac:dyDescent="0.3">
      <c r="A1524">
        <v>793824</v>
      </c>
      <c r="B1524" s="1" t="s">
        <v>37</v>
      </c>
      <c r="C1524" s="1" t="s">
        <v>16</v>
      </c>
      <c r="D1524" s="1" t="s">
        <v>24</v>
      </c>
      <c r="E1524" s="1" t="s">
        <v>25</v>
      </c>
      <c r="F1524" s="1" t="s">
        <v>19</v>
      </c>
      <c r="G1524" s="1" t="s">
        <v>20</v>
      </c>
      <c r="H1524" t="s">
        <v>21</v>
      </c>
      <c r="I1524" s="1" t="s">
        <v>26</v>
      </c>
      <c r="J1524" s="2">
        <v>43527.394930555558</v>
      </c>
      <c r="K1524" s="2">
        <v>43534.394930555558</v>
      </c>
      <c r="L1524" s="2">
        <v>43531.394930555558</v>
      </c>
      <c r="M1524" s="1">
        <f>_xlfn.DAYS(Table1[[#This Row],[actual_delivery_date]],Table1[[#This Row],[dispatch_date]])</f>
        <v>7</v>
      </c>
      <c r="N1524">
        <v>50</v>
      </c>
      <c r="O1524">
        <f>Table1[[#This Row],[transit_storage_cost]] * (1-'What -if Analysis'!$D$26)</f>
        <v>50</v>
      </c>
      <c r="P1524">
        <v>127</v>
      </c>
      <c r="Q1524">
        <v>2419.54</v>
      </c>
    </row>
    <row r="1525" spans="1:17" x14ac:dyDescent="0.3">
      <c r="A1525">
        <v>965839</v>
      </c>
      <c r="B1525" s="1" t="s">
        <v>38</v>
      </c>
      <c r="C1525" s="1" t="s">
        <v>16</v>
      </c>
      <c r="D1525" s="1" t="s">
        <v>16</v>
      </c>
      <c r="E1525" s="1" t="s">
        <v>27</v>
      </c>
      <c r="F1525" s="1" t="s">
        <v>29</v>
      </c>
      <c r="G1525" s="1" t="s">
        <v>20</v>
      </c>
      <c r="H1525" t="s">
        <v>34</v>
      </c>
      <c r="I1525" s="1" t="s">
        <v>22</v>
      </c>
      <c r="J1525" s="2">
        <v>43533.397210648145</v>
      </c>
      <c r="K1525" s="2">
        <v>43534.397210648145</v>
      </c>
      <c r="L1525" s="2">
        <v>43537.397210648145</v>
      </c>
      <c r="M1525" s="1">
        <f>_xlfn.DAYS(Table1[[#This Row],[actual_delivery_date]],Table1[[#This Row],[dispatch_date]])</f>
        <v>1</v>
      </c>
      <c r="N1525">
        <v>0</v>
      </c>
      <c r="O1525">
        <f>Table1[[#This Row],[transit_storage_cost]] * (1-'What -if Analysis'!$D$26)</f>
        <v>0</v>
      </c>
      <c r="P1525">
        <v>128</v>
      </c>
      <c r="Q1525">
        <v>2120.0376960271128</v>
      </c>
    </row>
    <row r="1526" spans="1:17" x14ac:dyDescent="0.3">
      <c r="A1526">
        <v>951464</v>
      </c>
      <c r="B1526" s="1" t="s">
        <v>39</v>
      </c>
      <c r="C1526" s="1" t="s">
        <v>23</v>
      </c>
      <c r="D1526" s="1" t="s">
        <v>24</v>
      </c>
      <c r="E1526" s="1" t="s">
        <v>25</v>
      </c>
      <c r="F1526" s="1" t="s">
        <v>19</v>
      </c>
      <c r="G1526" s="1" t="s">
        <v>20</v>
      </c>
      <c r="H1526" t="s">
        <v>21</v>
      </c>
      <c r="I1526" s="1" t="s">
        <v>22</v>
      </c>
      <c r="J1526" s="2">
        <v>43526.40221064815</v>
      </c>
      <c r="K1526" s="2">
        <v>43534.40221064815</v>
      </c>
      <c r="L1526" s="2">
        <v>43529.40221064815</v>
      </c>
      <c r="M1526" s="1">
        <f>_xlfn.DAYS(Table1[[#This Row],[actual_delivery_date]],Table1[[#This Row],[dispatch_date]])</f>
        <v>8</v>
      </c>
      <c r="N1526">
        <v>39</v>
      </c>
      <c r="O1526">
        <f>Table1[[#This Row],[transit_storage_cost]] * (1-'What -if Analysis'!$D$26)</f>
        <v>39</v>
      </c>
      <c r="P1526">
        <v>124</v>
      </c>
      <c r="Q1526">
        <v>1319.3792092184428</v>
      </c>
    </row>
    <row r="1527" spans="1:17" x14ac:dyDescent="0.3">
      <c r="A1527">
        <v>21799</v>
      </c>
      <c r="B1527" s="1" t="s">
        <v>38</v>
      </c>
      <c r="C1527" s="1" t="s">
        <v>23</v>
      </c>
      <c r="D1527" s="1" t="s">
        <v>24</v>
      </c>
      <c r="E1527" s="1" t="s">
        <v>25</v>
      </c>
      <c r="F1527" s="1" t="s">
        <v>29</v>
      </c>
      <c r="G1527" s="1" t="s">
        <v>20</v>
      </c>
      <c r="H1527" t="s">
        <v>30</v>
      </c>
      <c r="I1527" s="1" t="s">
        <v>22</v>
      </c>
      <c r="J1527" s="2">
        <v>43529.40421296296</v>
      </c>
      <c r="K1527" s="2">
        <v>43534.40421296296</v>
      </c>
      <c r="L1527" s="2">
        <v>43535.40421296296</v>
      </c>
      <c r="M1527" s="1">
        <f>_xlfn.DAYS(Table1[[#This Row],[actual_delivery_date]],Table1[[#This Row],[dispatch_date]])</f>
        <v>5</v>
      </c>
      <c r="N1527">
        <v>44</v>
      </c>
      <c r="O1527">
        <f>Table1[[#This Row],[transit_storage_cost]] * (1-'What -if Analysis'!$D$26)</f>
        <v>44</v>
      </c>
      <c r="P1527">
        <v>128</v>
      </c>
      <c r="Q1527">
        <v>376.83513828613826</v>
      </c>
    </row>
    <row r="1528" spans="1:17" x14ac:dyDescent="0.3">
      <c r="A1528">
        <v>339801</v>
      </c>
      <c r="B1528" s="1" t="s">
        <v>41</v>
      </c>
      <c r="C1528" s="1" t="s">
        <v>16</v>
      </c>
      <c r="D1528" s="1" t="s">
        <v>16</v>
      </c>
      <c r="E1528" s="1" t="s">
        <v>27</v>
      </c>
      <c r="F1528" s="1" t="s">
        <v>19</v>
      </c>
      <c r="G1528" s="1" t="s">
        <v>20</v>
      </c>
      <c r="H1528" t="s">
        <v>34</v>
      </c>
      <c r="I1528" s="1" t="s">
        <v>26</v>
      </c>
      <c r="J1528" s="2">
        <v>43534.413206018522</v>
      </c>
      <c r="K1528" s="2">
        <v>43534.413206018522</v>
      </c>
      <c r="L1528" s="2">
        <v>43541.413206018522</v>
      </c>
      <c r="M1528" s="1">
        <f>_xlfn.DAYS(Table1[[#This Row],[actual_delivery_date]],Table1[[#This Row],[dispatch_date]])</f>
        <v>0</v>
      </c>
      <c r="N1528">
        <v>0</v>
      </c>
      <c r="O1528">
        <f>Table1[[#This Row],[transit_storage_cost]] * (1-'What -if Analysis'!$D$26)</f>
        <v>0</v>
      </c>
      <c r="P1528">
        <v>100</v>
      </c>
      <c r="Q1528">
        <v>3203.2514437149352</v>
      </c>
    </row>
    <row r="1529" spans="1:17" x14ac:dyDescent="0.3">
      <c r="A1529">
        <v>863291</v>
      </c>
      <c r="B1529" s="1" t="s">
        <v>40</v>
      </c>
      <c r="C1529" s="1" t="s">
        <v>16</v>
      </c>
      <c r="D1529" s="1" t="s">
        <v>16</v>
      </c>
      <c r="E1529" s="1" t="s">
        <v>27</v>
      </c>
      <c r="F1529" s="1" t="s">
        <v>19</v>
      </c>
      <c r="G1529" s="1" t="s">
        <v>20</v>
      </c>
      <c r="H1529" t="s">
        <v>30</v>
      </c>
      <c r="I1529" s="1" t="s">
        <v>22</v>
      </c>
      <c r="J1529" s="2">
        <v>43532.420844907407</v>
      </c>
      <c r="K1529" s="2">
        <v>43534.420844907407</v>
      </c>
      <c r="L1529" s="2">
        <v>43535.420844907407</v>
      </c>
      <c r="M1529" s="1">
        <f>_xlfn.DAYS(Table1[[#This Row],[actual_delivery_date]],Table1[[#This Row],[dispatch_date]])</f>
        <v>2</v>
      </c>
      <c r="N1529">
        <v>0</v>
      </c>
      <c r="O1529">
        <f>Table1[[#This Row],[transit_storage_cost]] * (1-'What -if Analysis'!$D$26)</f>
        <v>0</v>
      </c>
      <c r="P1529">
        <v>104</v>
      </c>
      <c r="Q1529">
        <v>2779</v>
      </c>
    </row>
    <row r="1530" spans="1:17" x14ac:dyDescent="0.3">
      <c r="A1530">
        <v>106354</v>
      </c>
      <c r="B1530" s="1" t="s">
        <v>40</v>
      </c>
      <c r="C1530" s="1" t="s">
        <v>23</v>
      </c>
      <c r="D1530" s="1" t="s">
        <v>16</v>
      </c>
      <c r="E1530" s="1" t="s">
        <v>27</v>
      </c>
      <c r="F1530" s="1" t="s">
        <v>19</v>
      </c>
      <c r="G1530" s="1" t="s">
        <v>20</v>
      </c>
      <c r="H1530" t="s">
        <v>21</v>
      </c>
      <c r="I1530" s="1" t="s">
        <v>22</v>
      </c>
      <c r="J1530" s="2">
        <v>43532.421412037038</v>
      </c>
      <c r="K1530" s="2">
        <v>43534.421412037038</v>
      </c>
      <c r="L1530" s="2">
        <v>43538.421412037038</v>
      </c>
      <c r="M1530" s="1">
        <f>_xlfn.DAYS(Table1[[#This Row],[actual_delivery_date]],Table1[[#This Row],[dispatch_date]])</f>
        <v>2</v>
      </c>
      <c r="N1530">
        <v>69</v>
      </c>
      <c r="O1530">
        <f>Table1[[#This Row],[transit_storage_cost]] * (1-'What -if Analysis'!$D$26)</f>
        <v>69</v>
      </c>
      <c r="P1530">
        <v>101</v>
      </c>
      <c r="Q1530">
        <v>3054.5367341843598</v>
      </c>
    </row>
    <row r="1531" spans="1:17" x14ac:dyDescent="0.3">
      <c r="A1531">
        <v>470656</v>
      </c>
      <c r="B1531" s="1" t="s">
        <v>37</v>
      </c>
      <c r="C1531" s="1" t="s">
        <v>23</v>
      </c>
      <c r="D1531" s="1" t="s">
        <v>16</v>
      </c>
      <c r="E1531" s="1" t="s">
        <v>27</v>
      </c>
      <c r="F1531" s="1" t="s">
        <v>19</v>
      </c>
      <c r="G1531" s="1" t="s">
        <v>20</v>
      </c>
      <c r="H1531" t="s">
        <v>21</v>
      </c>
      <c r="I1531" s="1" t="s">
        <v>22</v>
      </c>
      <c r="J1531" s="2">
        <v>43529.422777777778</v>
      </c>
      <c r="K1531" s="2">
        <v>43534.422777777778</v>
      </c>
      <c r="L1531" s="2">
        <v>43534.422777777778</v>
      </c>
      <c r="M1531" s="1">
        <f>_xlfn.DAYS(Table1[[#This Row],[actual_delivery_date]],Table1[[#This Row],[dispatch_date]])</f>
        <v>5</v>
      </c>
      <c r="N1531">
        <v>26</v>
      </c>
      <c r="O1531">
        <f>Table1[[#This Row],[transit_storage_cost]] * (1-'What -if Analysis'!$D$26)</f>
        <v>26</v>
      </c>
      <c r="P1531">
        <v>125</v>
      </c>
      <c r="Q1531">
        <v>2895.6821296257135</v>
      </c>
    </row>
    <row r="1532" spans="1:17" x14ac:dyDescent="0.3">
      <c r="A1532">
        <v>337345</v>
      </c>
      <c r="B1532" s="1" t="s">
        <v>37</v>
      </c>
      <c r="C1532" s="1" t="s">
        <v>16</v>
      </c>
      <c r="D1532" s="1" t="s">
        <v>23</v>
      </c>
      <c r="E1532" s="1" t="s">
        <v>28</v>
      </c>
      <c r="F1532" s="1" t="s">
        <v>29</v>
      </c>
      <c r="G1532" s="1" t="s">
        <v>20</v>
      </c>
      <c r="H1532" t="s">
        <v>30</v>
      </c>
      <c r="I1532" s="1" t="s">
        <v>22</v>
      </c>
      <c r="J1532" s="2">
        <v>43530.423657407409</v>
      </c>
      <c r="K1532" s="2">
        <v>43534.423657407409</v>
      </c>
      <c r="L1532" s="2">
        <v>43537.423657407409</v>
      </c>
      <c r="M1532" s="1">
        <f>_xlfn.DAYS(Table1[[#This Row],[actual_delivery_date]],Table1[[#This Row],[dispatch_date]])</f>
        <v>4</v>
      </c>
      <c r="N1532">
        <v>28</v>
      </c>
      <c r="O1532">
        <f>Table1[[#This Row],[transit_storage_cost]] * (1-'What -if Analysis'!$D$26)</f>
        <v>28</v>
      </c>
      <c r="P1532">
        <v>122</v>
      </c>
      <c r="Q1532">
        <v>2731</v>
      </c>
    </row>
    <row r="1533" spans="1:17" x14ac:dyDescent="0.3">
      <c r="A1533">
        <v>696776</v>
      </c>
      <c r="B1533" s="1" t="s">
        <v>39</v>
      </c>
      <c r="C1533" s="1" t="s">
        <v>16</v>
      </c>
      <c r="D1533" s="1" t="s">
        <v>24</v>
      </c>
      <c r="E1533" s="1" t="s">
        <v>25</v>
      </c>
      <c r="F1533" s="1" t="s">
        <v>19</v>
      </c>
      <c r="G1533" s="1" t="s">
        <v>20</v>
      </c>
      <c r="H1533" t="s">
        <v>21</v>
      </c>
      <c r="I1533" s="1" t="s">
        <v>22</v>
      </c>
      <c r="J1533" s="2">
        <v>43526.432627314818</v>
      </c>
      <c r="K1533" s="2">
        <v>43534.432627314818</v>
      </c>
      <c r="L1533" s="2">
        <v>43529.432627314818</v>
      </c>
      <c r="M1533" s="1">
        <f>_xlfn.DAYS(Table1[[#This Row],[actual_delivery_date]],Table1[[#This Row],[dispatch_date]])</f>
        <v>8</v>
      </c>
      <c r="N1533">
        <v>31</v>
      </c>
      <c r="O1533">
        <f>Table1[[#This Row],[transit_storage_cost]] * (1-'What -if Analysis'!$D$26)</f>
        <v>31</v>
      </c>
      <c r="P1533">
        <v>126</v>
      </c>
      <c r="Q1533">
        <v>2112.4016178172642</v>
      </c>
    </row>
    <row r="1534" spans="1:17" x14ac:dyDescent="0.3">
      <c r="A1534">
        <v>446729</v>
      </c>
      <c r="B1534" s="1" t="s">
        <v>41</v>
      </c>
      <c r="C1534" s="1" t="s">
        <v>23</v>
      </c>
      <c r="D1534" s="1" t="s">
        <v>16</v>
      </c>
      <c r="E1534" s="1" t="s">
        <v>27</v>
      </c>
      <c r="F1534" s="1" t="s">
        <v>29</v>
      </c>
      <c r="G1534" s="1" t="s">
        <v>20</v>
      </c>
      <c r="H1534" t="s">
        <v>30</v>
      </c>
      <c r="I1534" s="1" t="s">
        <v>22</v>
      </c>
      <c r="J1534" s="2">
        <v>43526.435902777775</v>
      </c>
      <c r="K1534" s="2">
        <v>43534.435902777775</v>
      </c>
      <c r="L1534" s="2">
        <v>43529.435902777775</v>
      </c>
      <c r="M1534" s="1">
        <f>_xlfn.DAYS(Table1[[#This Row],[actual_delivery_date]],Table1[[#This Row],[dispatch_date]])</f>
        <v>8</v>
      </c>
      <c r="N1534">
        <v>46</v>
      </c>
      <c r="O1534">
        <f>Table1[[#This Row],[transit_storage_cost]] * (1-'What -if Analysis'!$D$26)</f>
        <v>46</v>
      </c>
      <c r="P1534">
        <v>129</v>
      </c>
      <c r="Q1534">
        <v>2991.1639159147826</v>
      </c>
    </row>
    <row r="1535" spans="1:17" x14ac:dyDescent="0.3">
      <c r="A1535">
        <v>409375</v>
      </c>
      <c r="B1535" s="1" t="s">
        <v>40</v>
      </c>
      <c r="C1535" s="1" t="s">
        <v>16</v>
      </c>
      <c r="D1535" s="1" t="s">
        <v>23</v>
      </c>
      <c r="E1535" s="1" t="s">
        <v>28</v>
      </c>
      <c r="F1535" s="1" t="s">
        <v>29</v>
      </c>
      <c r="G1535" s="1" t="s">
        <v>20</v>
      </c>
      <c r="H1535" t="s">
        <v>30</v>
      </c>
      <c r="I1535" s="1" t="s">
        <v>22</v>
      </c>
      <c r="J1535" s="2">
        <v>43527.436736111114</v>
      </c>
      <c r="K1535" s="2">
        <v>43534.436736111114</v>
      </c>
      <c r="L1535" s="2">
        <v>43531.436736111114</v>
      </c>
      <c r="M1535" s="1">
        <f>_xlfn.DAYS(Table1[[#This Row],[actual_delivery_date]],Table1[[#This Row],[dispatch_date]])</f>
        <v>7</v>
      </c>
      <c r="N1535">
        <v>45</v>
      </c>
      <c r="O1535">
        <f>Table1[[#This Row],[transit_storage_cost]] * (1-'What -if Analysis'!$D$26)</f>
        <v>45</v>
      </c>
      <c r="P1535">
        <v>129</v>
      </c>
      <c r="Q1535">
        <v>981.65177348424993</v>
      </c>
    </row>
    <row r="1536" spans="1:17" x14ac:dyDescent="0.3">
      <c r="A1536">
        <v>518522</v>
      </c>
      <c r="B1536" s="1" t="s">
        <v>41</v>
      </c>
      <c r="C1536" s="1" t="s">
        <v>23</v>
      </c>
      <c r="D1536" s="1" t="s">
        <v>16</v>
      </c>
      <c r="E1536" s="1" t="s">
        <v>27</v>
      </c>
      <c r="F1536" s="1" t="s">
        <v>31</v>
      </c>
      <c r="G1536" s="1" t="s">
        <v>20</v>
      </c>
      <c r="H1536" t="s">
        <v>21</v>
      </c>
      <c r="I1536" s="1" t="s">
        <v>22</v>
      </c>
      <c r="J1536" s="2">
        <v>43531.445335648146</v>
      </c>
      <c r="K1536" s="2">
        <v>43534.445335648146</v>
      </c>
      <c r="L1536" s="2">
        <v>43536.445335648146</v>
      </c>
      <c r="M1536" s="1">
        <f>_xlfn.DAYS(Table1[[#This Row],[actual_delivery_date]],Table1[[#This Row],[dispatch_date]])</f>
        <v>3</v>
      </c>
      <c r="N1536">
        <v>34</v>
      </c>
      <c r="O1536">
        <f>Table1[[#This Row],[transit_storage_cost]] * (1-'What -if Analysis'!$D$26)</f>
        <v>34</v>
      </c>
      <c r="P1536">
        <v>121</v>
      </c>
      <c r="Q1536">
        <v>2635.4771115765648</v>
      </c>
    </row>
    <row r="1537" spans="1:17" x14ac:dyDescent="0.3">
      <c r="A1537">
        <v>589005</v>
      </c>
      <c r="B1537" s="1" t="s">
        <v>38</v>
      </c>
      <c r="C1537" s="1" t="s">
        <v>23</v>
      </c>
      <c r="D1537" s="1" t="s">
        <v>24</v>
      </c>
      <c r="E1537" s="1" t="s">
        <v>25</v>
      </c>
      <c r="F1537" s="1" t="s">
        <v>29</v>
      </c>
      <c r="G1537" s="1" t="s">
        <v>20</v>
      </c>
      <c r="H1537" t="s">
        <v>30</v>
      </c>
      <c r="I1537" s="1" t="s">
        <v>26</v>
      </c>
      <c r="J1537" s="2">
        <v>43532.446967592594</v>
      </c>
      <c r="K1537" s="2">
        <v>43534.446967592594</v>
      </c>
      <c r="L1537" s="2">
        <v>43539.446967592594</v>
      </c>
      <c r="M1537" s="1">
        <f>_xlfn.DAYS(Table1[[#This Row],[actual_delivery_date]],Table1[[#This Row],[dispatch_date]])</f>
        <v>2</v>
      </c>
      <c r="N1537">
        <v>43</v>
      </c>
      <c r="O1537">
        <f>Table1[[#This Row],[transit_storage_cost]] * (1-'What -if Analysis'!$D$26)</f>
        <v>43</v>
      </c>
      <c r="P1537">
        <v>130</v>
      </c>
      <c r="Q1537">
        <v>3387.4699874876605</v>
      </c>
    </row>
    <row r="1538" spans="1:17" x14ac:dyDescent="0.3">
      <c r="A1538">
        <v>680174</v>
      </c>
      <c r="B1538" s="1" t="s">
        <v>41</v>
      </c>
      <c r="C1538" s="1" t="s">
        <v>16</v>
      </c>
      <c r="D1538" s="1" t="s">
        <v>23</v>
      </c>
      <c r="E1538" s="1" t="s">
        <v>28</v>
      </c>
      <c r="F1538" s="1" t="s">
        <v>19</v>
      </c>
      <c r="G1538" s="1" t="s">
        <v>20</v>
      </c>
      <c r="H1538" t="s">
        <v>21</v>
      </c>
      <c r="I1538" s="1" t="s">
        <v>22</v>
      </c>
      <c r="J1538" s="2">
        <v>43529.449791666666</v>
      </c>
      <c r="K1538" s="2">
        <v>43534.449791666666</v>
      </c>
      <c r="L1538" s="2">
        <v>43533.449791666666</v>
      </c>
      <c r="M1538" s="1">
        <f>_xlfn.DAYS(Table1[[#This Row],[actual_delivery_date]],Table1[[#This Row],[dispatch_date]])</f>
        <v>5</v>
      </c>
      <c r="N1538">
        <v>72</v>
      </c>
      <c r="O1538">
        <f>Table1[[#This Row],[transit_storage_cost]] * (1-'What -if Analysis'!$D$26)</f>
        <v>72</v>
      </c>
      <c r="P1538">
        <v>104</v>
      </c>
      <c r="Q1538">
        <v>2335.3219297675787</v>
      </c>
    </row>
    <row r="1539" spans="1:17" x14ac:dyDescent="0.3">
      <c r="A1539">
        <v>359948</v>
      </c>
      <c r="B1539" s="1" t="s">
        <v>37</v>
      </c>
      <c r="C1539" s="1" t="s">
        <v>16</v>
      </c>
      <c r="D1539" s="1" t="s">
        <v>17</v>
      </c>
      <c r="E1539" s="1" t="s">
        <v>18</v>
      </c>
      <c r="F1539" s="1" t="s">
        <v>19</v>
      </c>
      <c r="G1539" s="1" t="s">
        <v>20</v>
      </c>
      <c r="H1539" t="s">
        <v>21</v>
      </c>
      <c r="I1539" s="1" t="s">
        <v>22</v>
      </c>
      <c r="J1539" s="2">
        <v>43532.452847222223</v>
      </c>
      <c r="K1539" s="2">
        <v>43534.452847222223</v>
      </c>
      <c r="L1539" s="2">
        <v>43536.452847222223</v>
      </c>
      <c r="M1539" s="1">
        <f>_xlfn.DAYS(Table1[[#This Row],[actual_delivery_date]],Table1[[#This Row],[dispatch_date]])</f>
        <v>2</v>
      </c>
      <c r="N1539">
        <v>78</v>
      </c>
      <c r="O1539">
        <f>Table1[[#This Row],[transit_storage_cost]] * (1-'What -if Analysis'!$D$26)</f>
        <v>78</v>
      </c>
      <c r="P1539">
        <v>88</v>
      </c>
      <c r="Q1539">
        <v>1457.8207734566913</v>
      </c>
    </row>
    <row r="1540" spans="1:17" x14ac:dyDescent="0.3">
      <c r="A1540">
        <v>490038</v>
      </c>
      <c r="B1540" s="1" t="s">
        <v>41</v>
      </c>
      <c r="C1540" s="1" t="s">
        <v>23</v>
      </c>
      <c r="D1540" s="1" t="s">
        <v>24</v>
      </c>
      <c r="E1540" s="1" t="s">
        <v>25</v>
      </c>
      <c r="F1540" s="1" t="s">
        <v>31</v>
      </c>
      <c r="G1540" s="1" t="s">
        <v>20</v>
      </c>
      <c r="H1540" t="s">
        <v>21</v>
      </c>
      <c r="I1540" s="1" t="s">
        <v>26</v>
      </c>
      <c r="J1540" s="2">
        <v>43528.459872685184</v>
      </c>
      <c r="K1540" s="2">
        <v>43534.459872685184</v>
      </c>
      <c r="L1540" s="2">
        <v>43533.459872685184</v>
      </c>
      <c r="M1540" s="1">
        <f>_xlfn.DAYS(Table1[[#This Row],[actual_delivery_date]],Table1[[#This Row],[dispatch_date]])</f>
        <v>6</v>
      </c>
      <c r="N1540">
        <v>0</v>
      </c>
      <c r="O1540">
        <f>Table1[[#This Row],[transit_storage_cost]] * (1-'What -if Analysis'!$D$26)</f>
        <v>0</v>
      </c>
      <c r="P1540">
        <v>128</v>
      </c>
      <c r="Q1540">
        <v>804.57</v>
      </c>
    </row>
    <row r="1541" spans="1:17" x14ac:dyDescent="0.3">
      <c r="A1541">
        <v>722263</v>
      </c>
      <c r="B1541" s="1" t="s">
        <v>38</v>
      </c>
      <c r="C1541" s="1" t="s">
        <v>16</v>
      </c>
      <c r="D1541" s="1" t="s">
        <v>16</v>
      </c>
      <c r="E1541" s="1" t="s">
        <v>27</v>
      </c>
      <c r="F1541" s="1" t="s">
        <v>29</v>
      </c>
      <c r="G1541" s="1" t="s">
        <v>20</v>
      </c>
      <c r="H1541" t="s">
        <v>30</v>
      </c>
      <c r="I1541" s="1" t="s">
        <v>22</v>
      </c>
      <c r="J1541" s="2">
        <v>43532.471180555556</v>
      </c>
      <c r="K1541" s="2">
        <v>43534.471180555556</v>
      </c>
      <c r="L1541" s="2">
        <v>43535.471180555556</v>
      </c>
      <c r="M1541" s="1">
        <f>_xlfn.DAYS(Table1[[#This Row],[actual_delivery_date]],Table1[[#This Row],[dispatch_date]])</f>
        <v>2</v>
      </c>
      <c r="N1541">
        <v>0</v>
      </c>
      <c r="O1541">
        <f>Table1[[#This Row],[transit_storage_cost]] * (1-'What -if Analysis'!$D$26)</f>
        <v>0</v>
      </c>
      <c r="P1541">
        <v>127</v>
      </c>
      <c r="Q1541">
        <v>896.32708759257173</v>
      </c>
    </row>
    <row r="1542" spans="1:17" x14ac:dyDescent="0.3">
      <c r="A1542">
        <v>520569</v>
      </c>
      <c r="B1542" s="1" t="s">
        <v>41</v>
      </c>
      <c r="C1542" s="1" t="s">
        <v>23</v>
      </c>
      <c r="D1542" s="1" t="s">
        <v>17</v>
      </c>
      <c r="E1542" s="1" t="s">
        <v>18</v>
      </c>
      <c r="F1542" s="1" t="s">
        <v>29</v>
      </c>
      <c r="G1542" s="1" t="s">
        <v>20</v>
      </c>
      <c r="H1542" t="s">
        <v>34</v>
      </c>
      <c r="I1542" s="1" t="s">
        <v>26</v>
      </c>
      <c r="J1542" s="2">
        <v>43527.47215277778</v>
      </c>
      <c r="K1542" s="2">
        <v>43534.47215277778</v>
      </c>
      <c r="L1542" s="2">
        <v>43532.47215277778</v>
      </c>
      <c r="M1542" s="1">
        <f>_xlfn.DAYS(Table1[[#This Row],[actual_delivery_date]],Table1[[#This Row],[dispatch_date]])</f>
        <v>7</v>
      </c>
      <c r="N1542">
        <v>25</v>
      </c>
      <c r="O1542">
        <f>Table1[[#This Row],[transit_storage_cost]] * (1-'What -if Analysis'!$D$26)</f>
        <v>25</v>
      </c>
      <c r="P1542">
        <v>110</v>
      </c>
      <c r="Q1542">
        <v>2936.21</v>
      </c>
    </row>
    <row r="1543" spans="1:17" x14ac:dyDescent="0.3">
      <c r="A1543">
        <v>562039</v>
      </c>
      <c r="B1543" s="1" t="s">
        <v>38</v>
      </c>
      <c r="C1543" s="1" t="s">
        <v>16</v>
      </c>
      <c r="D1543" s="1" t="s">
        <v>17</v>
      </c>
      <c r="E1543" s="1" t="s">
        <v>18</v>
      </c>
      <c r="F1543" s="1" t="s">
        <v>29</v>
      </c>
      <c r="G1543" s="1" t="s">
        <v>20</v>
      </c>
      <c r="H1543" t="s">
        <v>30</v>
      </c>
      <c r="I1543" s="1" t="s">
        <v>22</v>
      </c>
      <c r="J1543" s="2">
        <v>43529.475254629629</v>
      </c>
      <c r="K1543" s="2">
        <v>43534.475254629629</v>
      </c>
      <c r="L1543" s="2">
        <v>43534.475254629629</v>
      </c>
      <c r="M1543" s="1">
        <f>_xlfn.DAYS(Table1[[#This Row],[actual_delivery_date]],Table1[[#This Row],[dispatch_date]])</f>
        <v>5</v>
      </c>
      <c r="N1543">
        <v>37</v>
      </c>
      <c r="O1543">
        <f>Table1[[#This Row],[transit_storage_cost]] * (1-'What -if Analysis'!$D$26)</f>
        <v>37</v>
      </c>
      <c r="P1543">
        <v>113</v>
      </c>
      <c r="Q1543">
        <v>2737.2235092627147</v>
      </c>
    </row>
    <row r="1544" spans="1:17" x14ac:dyDescent="0.3">
      <c r="A1544">
        <v>754311</v>
      </c>
      <c r="B1544" s="1" t="s">
        <v>38</v>
      </c>
      <c r="C1544" s="1" t="s">
        <v>16</v>
      </c>
      <c r="D1544" s="1" t="s">
        <v>23</v>
      </c>
      <c r="E1544" s="1" t="s">
        <v>28</v>
      </c>
      <c r="F1544" s="1" t="s">
        <v>19</v>
      </c>
      <c r="G1544" s="1" t="s">
        <v>36</v>
      </c>
      <c r="H1544" t="s">
        <v>30</v>
      </c>
      <c r="I1544" s="1" t="s">
        <v>26</v>
      </c>
      <c r="J1544" s="2">
        <v>43532.475925925923</v>
      </c>
      <c r="K1544" s="2">
        <v>43534.475925925923</v>
      </c>
      <c r="L1544" s="2">
        <v>43536.475925925923</v>
      </c>
      <c r="M1544" s="1">
        <f>_xlfn.DAYS(Table1[[#This Row],[actual_delivery_date]],Table1[[#This Row],[dispatch_date]])</f>
        <v>2</v>
      </c>
      <c r="N1544">
        <v>77</v>
      </c>
      <c r="O1544">
        <f>Table1[[#This Row],[transit_storage_cost]] * (1-'What -if Analysis'!$D$26)</f>
        <v>77</v>
      </c>
      <c r="P1544">
        <v>106</v>
      </c>
      <c r="Q1544">
        <v>330</v>
      </c>
    </row>
    <row r="1545" spans="1:17" x14ac:dyDescent="0.3">
      <c r="A1545">
        <v>86293</v>
      </c>
      <c r="B1545" s="1" t="s">
        <v>40</v>
      </c>
      <c r="C1545" s="1" t="s">
        <v>23</v>
      </c>
      <c r="D1545" s="1" t="s">
        <v>17</v>
      </c>
      <c r="E1545" s="1" t="s">
        <v>18</v>
      </c>
      <c r="F1545" s="1" t="s">
        <v>29</v>
      </c>
      <c r="G1545" s="1" t="s">
        <v>20</v>
      </c>
      <c r="H1545" t="s">
        <v>30</v>
      </c>
      <c r="I1545" s="1" t="s">
        <v>22</v>
      </c>
      <c r="J1545" s="2">
        <v>43529.477453703701</v>
      </c>
      <c r="K1545" s="2">
        <v>43534.477453703701</v>
      </c>
      <c r="L1545" s="2">
        <v>43532.477453703701</v>
      </c>
      <c r="M1545" s="1">
        <f>_xlfn.DAYS(Table1[[#This Row],[actual_delivery_date]],Table1[[#This Row],[dispatch_date]])</f>
        <v>5</v>
      </c>
      <c r="N1545">
        <v>31</v>
      </c>
      <c r="O1545">
        <f>Table1[[#This Row],[transit_storage_cost]] * (1-'What -if Analysis'!$D$26)</f>
        <v>31</v>
      </c>
      <c r="P1545">
        <v>111</v>
      </c>
      <c r="Q1545">
        <v>2770.515330595229</v>
      </c>
    </row>
    <row r="1546" spans="1:17" x14ac:dyDescent="0.3">
      <c r="A1546">
        <v>725317</v>
      </c>
      <c r="B1546" s="1" t="s">
        <v>15</v>
      </c>
      <c r="C1546" s="1" t="s">
        <v>16</v>
      </c>
      <c r="D1546" s="1" t="s">
        <v>17</v>
      </c>
      <c r="E1546" s="1" t="s">
        <v>18</v>
      </c>
      <c r="F1546" s="1" t="s">
        <v>29</v>
      </c>
      <c r="G1546" s="1" t="s">
        <v>20</v>
      </c>
      <c r="H1546" t="s">
        <v>30</v>
      </c>
      <c r="I1546" s="1" t="s">
        <v>22</v>
      </c>
      <c r="J1546" s="2">
        <v>43526.479675925926</v>
      </c>
      <c r="K1546" s="2">
        <v>43534.479675925926</v>
      </c>
      <c r="L1546" s="2">
        <v>43530.479675925926</v>
      </c>
      <c r="M1546" s="1">
        <f>_xlfn.DAYS(Table1[[#This Row],[actual_delivery_date]],Table1[[#This Row],[dispatch_date]])</f>
        <v>8</v>
      </c>
      <c r="N1546">
        <v>29</v>
      </c>
      <c r="O1546">
        <f>Table1[[#This Row],[transit_storage_cost]] * (1-'What -if Analysis'!$D$26)</f>
        <v>29</v>
      </c>
      <c r="P1546">
        <v>109</v>
      </c>
      <c r="Q1546">
        <v>527.27671361054831</v>
      </c>
    </row>
    <row r="1547" spans="1:17" x14ac:dyDescent="0.3">
      <c r="A1547">
        <v>986798</v>
      </c>
      <c r="B1547" s="1" t="s">
        <v>37</v>
      </c>
      <c r="C1547" s="1" t="s">
        <v>23</v>
      </c>
      <c r="D1547" s="1" t="s">
        <v>16</v>
      </c>
      <c r="E1547" s="1" t="s">
        <v>27</v>
      </c>
      <c r="F1547" s="1" t="s">
        <v>31</v>
      </c>
      <c r="G1547" s="1" t="s">
        <v>20</v>
      </c>
      <c r="H1547" t="s">
        <v>21</v>
      </c>
      <c r="I1547" s="1" t="s">
        <v>22</v>
      </c>
      <c r="J1547" s="2">
        <v>43526.482673611114</v>
      </c>
      <c r="K1547" s="2">
        <v>43534.482673611114</v>
      </c>
      <c r="L1547" s="2">
        <v>43530.482673611114</v>
      </c>
      <c r="M1547" s="1">
        <f>_xlfn.DAYS(Table1[[#This Row],[actual_delivery_date]],Table1[[#This Row],[dispatch_date]])</f>
        <v>8</v>
      </c>
      <c r="N1547">
        <v>34</v>
      </c>
      <c r="O1547">
        <f>Table1[[#This Row],[transit_storage_cost]] * (1-'What -if Analysis'!$D$26)</f>
        <v>34</v>
      </c>
      <c r="P1547">
        <v>128</v>
      </c>
      <c r="Q1547">
        <v>2628.5550985868795</v>
      </c>
    </row>
    <row r="1548" spans="1:17" x14ac:dyDescent="0.3">
      <c r="A1548">
        <v>926775</v>
      </c>
      <c r="B1548" s="1" t="s">
        <v>38</v>
      </c>
      <c r="C1548" s="1" t="s">
        <v>23</v>
      </c>
      <c r="D1548" s="1" t="s">
        <v>16</v>
      </c>
      <c r="E1548" s="1" t="s">
        <v>27</v>
      </c>
      <c r="F1548" s="1" t="s">
        <v>29</v>
      </c>
      <c r="G1548" s="1" t="s">
        <v>20</v>
      </c>
      <c r="H1548" t="s">
        <v>30</v>
      </c>
      <c r="I1548" s="1" t="s">
        <v>26</v>
      </c>
      <c r="J1548" s="2">
        <v>43525.483726851853</v>
      </c>
      <c r="K1548" s="2">
        <v>43534.483726851853</v>
      </c>
      <c r="L1548" s="2">
        <v>43530.483726851853</v>
      </c>
      <c r="M1548" s="1">
        <f>_xlfn.DAYS(Table1[[#This Row],[actual_delivery_date]],Table1[[#This Row],[dispatch_date]])</f>
        <v>9</v>
      </c>
      <c r="N1548">
        <v>39</v>
      </c>
      <c r="O1548">
        <f>Table1[[#This Row],[transit_storage_cost]] * (1-'What -if Analysis'!$D$26)</f>
        <v>39</v>
      </c>
      <c r="P1548">
        <v>128</v>
      </c>
      <c r="Q1548">
        <v>2267.5100000000002</v>
      </c>
    </row>
    <row r="1549" spans="1:17" x14ac:dyDescent="0.3">
      <c r="A1549">
        <v>282900</v>
      </c>
      <c r="B1549" s="1" t="s">
        <v>15</v>
      </c>
      <c r="C1549" s="1" t="s">
        <v>16</v>
      </c>
      <c r="D1549" s="1" t="s">
        <v>32</v>
      </c>
      <c r="E1549" s="1" t="s">
        <v>33</v>
      </c>
      <c r="F1549" s="1" t="s">
        <v>19</v>
      </c>
      <c r="G1549" s="1" t="s">
        <v>20</v>
      </c>
      <c r="H1549" t="s">
        <v>21</v>
      </c>
      <c r="I1549" s="1" t="s">
        <v>26</v>
      </c>
      <c r="J1549" s="2">
        <v>43529.484606481485</v>
      </c>
      <c r="K1549" s="2">
        <v>43534.484606481485</v>
      </c>
      <c r="L1549" s="2">
        <v>43534.484606481485</v>
      </c>
      <c r="M1549" s="1">
        <f>_xlfn.DAYS(Table1[[#This Row],[actual_delivery_date]],Table1[[#This Row],[dispatch_date]])</f>
        <v>5</v>
      </c>
      <c r="N1549">
        <v>42</v>
      </c>
      <c r="O1549">
        <f>Table1[[#This Row],[transit_storage_cost]] * (1-'What -if Analysis'!$D$26)</f>
        <v>42</v>
      </c>
      <c r="P1549">
        <v>109</v>
      </c>
      <c r="Q1549">
        <v>2766.52</v>
      </c>
    </row>
    <row r="1550" spans="1:17" x14ac:dyDescent="0.3">
      <c r="A1550">
        <v>387870</v>
      </c>
      <c r="B1550" s="1" t="s">
        <v>37</v>
      </c>
      <c r="C1550" s="1" t="s">
        <v>23</v>
      </c>
      <c r="D1550" s="1" t="s">
        <v>16</v>
      </c>
      <c r="E1550" s="1" t="s">
        <v>27</v>
      </c>
      <c r="F1550" s="1" t="s">
        <v>19</v>
      </c>
      <c r="G1550" s="1" t="s">
        <v>20</v>
      </c>
      <c r="H1550" t="s">
        <v>21</v>
      </c>
      <c r="I1550" s="1" t="s">
        <v>26</v>
      </c>
      <c r="J1550" s="2">
        <v>43532.485011574077</v>
      </c>
      <c r="K1550" s="2">
        <v>43534.485011574077</v>
      </c>
      <c r="L1550" s="2">
        <v>43536.485011574077</v>
      </c>
      <c r="M1550" s="1">
        <f>_xlfn.DAYS(Table1[[#This Row],[actual_delivery_date]],Table1[[#This Row],[dispatch_date]])</f>
        <v>2</v>
      </c>
      <c r="N1550">
        <v>74</v>
      </c>
      <c r="O1550">
        <f>Table1[[#This Row],[transit_storage_cost]] * (1-'What -if Analysis'!$D$26)</f>
        <v>74</v>
      </c>
      <c r="P1550">
        <v>106</v>
      </c>
      <c r="Q1550">
        <v>3119.9702294797667</v>
      </c>
    </row>
    <row r="1551" spans="1:17" x14ac:dyDescent="0.3">
      <c r="A1551">
        <v>558907</v>
      </c>
      <c r="B1551" s="1" t="s">
        <v>38</v>
      </c>
      <c r="C1551" s="1" t="s">
        <v>16</v>
      </c>
      <c r="D1551" s="1" t="s">
        <v>16</v>
      </c>
      <c r="E1551" s="1" t="s">
        <v>27</v>
      </c>
      <c r="F1551" s="1" t="s">
        <v>29</v>
      </c>
      <c r="G1551" s="1" t="s">
        <v>20</v>
      </c>
      <c r="H1551" t="s">
        <v>30</v>
      </c>
      <c r="I1551" s="1" t="s">
        <v>22</v>
      </c>
      <c r="J1551" s="2">
        <v>43531.486134259256</v>
      </c>
      <c r="K1551" s="2">
        <v>43534.486134259256</v>
      </c>
      <c r="L1551" s="2">
        <v>43534.486134259256</v>
      </c>
      <c r="M1551" s="1">
        <f>_xlfn.DAYS(Table1[[#This Row],[actual_delivery_date]],Table1[[#This Row],[dispatch_date]])</f>
        <v>3</v>
      </c>
      <c r="N1551">
        <v>0</v>
      </c>
      <c r="O1551">
        <f>Table1[[#This Row],[transit_storage_cost]] * (1-'What -if Analysis'!$D$26)</f>
        <v>0</v>
      </c>
      <c r="P1551">
        <v>126</v>
      </c>
      <c r="Q1551">
        <v>1025.5631276934982</v>
      </c>
    </row>
    <row r="1552" spans="1:17" x14ac:dyDescent="0.3">
      <c r="A1552">
        <v>683617</v>
      </c>
      <c r="B1552" s="1" t="s">
        <v>39</v>
      </c>
      <c r="C1552" s="1" t="s">
        <v>23</v>
      </c>
      <c r="D1552" s="1" t="s">
        <v>16</v>
      </c>
      <c r="E1552" s="1" t="s">
        <v>27</v>
      </c>
      <c r="F1552" s="1" t="s">
        <v>29</v>
      </c>
      <c r="G1552" s="1" t="s">
        <v>20</v>
      </c>
      <c r="H1552" t="s">
        <v>30</v>
      </c>
      <c r="I1552" s="1" t="s">
        <v>22</v>
      </c>
      <c r="J1552" s="2">
        <v>43527.490381944444</v>
      </c>
      <c r="K1552" s="2">
        <v>43534.490381944444</v>
      </c>
      <c r="L1552" s="2">
        <v>43532.490381944444</v>
      </c>
      <c r="M1552" s="1">
        <f>_xlfn.DAYS(Table1[[#This Row],[actual_delivery_date]],Table1[[#This Row],[dispatch_date]])</f>
        <v>7</v>
      </c>
      <c r="N1552">
        <v>37</v>
      </c>
      <c r="O1552">
        <f>Table1[[#This Row],[transit_storage_cost]] * (1-'What -if Analysis'!$D$26)</f>
        <v>37</v>
      </c>
      <c r="P1552">
        <v>127</v>
      </c>
      <c r="Q1552">
        <v>3307.3142384265434</v>
      </c>
    </row>
    <row r="1553" spans="1:17" x14ac:dyDescent="0.3">
      <c r="A1553">
        <v>93933</v>
      </c>
      <c r="B1553" s="1" t="s">
        <v>38</v>
      </c>
      <c r="C1553" s="1" t="s">
        <v>16</v>
      </c>
      <c r="D1553" s="1" t="s">
        <v>32</v>
      </c>
      <c r="E1553" s="1" t="s">
        <v>33</v>
      </c>
      <c r="F1553" s="1" t="s">
        <v>29</v>
      </c>
      <c r="G1553" s="1" t="s">
        <v>20</v>
      </c>
      <c r="H1553" t="s">
        <v>34</v>
      </c>
      <c r="I1553" s="1" t="s">
        <v>26</v>
      </c>
      <c r="J1553" s="2">
        <v>43530.494444444441</v>
      </c>
      <c r="K1553" s="2">
        <v>43534.494444444441</v>
      </c>
      <c r="L1553" s="2">
        <v>43537.494444444441</v>
      </c>
      <c r="M1553" s="1">
        <f>_xlfn.DAYS(Table1[[#This Row],[actual_delivery_date]],Table1[[#This Row],[dispatch_date]])</f>
        <v>4</v>
      </c>
      <c r="N1553">
        <v>35</v>
      </c>
      <c r="O1553">
        <f>Table1[[#This Row],[transit_storage_cost]] * (1-'What -if Analysis'!$D$26)</f>
        <v>35</v>
      </c>
      <c r="P1553">
        <v>108</v>
      </c>
      <c r="Q1553">
        <v>2491.0109559555426</v>
      </c>
    </row>
    <row r="1554" spans="1:17" x14ac:dyDescent="0.3">
      <c r="A1554">
        <v>985037</v>
      </c>
      <c r="B1554" s="1" t="s">
        <v>38</v>
      </c>
      <c r="C1554" s="1" t="s">
        <v>23</v>
      </c>
      <c r="D1554" s="1" t="s">
        <v>23</v>
      </c>
      <c r="E1554" s="1" t="s">
        <v>28</v>
      </c>
      <c r="F1554" s="1" t="s">
        <v>29</v>
      </c>
      <c r="G1554" s="1" t="s">
        <v>20</v>
      </c>
      <c r="H1554" t="s">
        <v>30</v>
      </c>
      <c r="I1554" s="1" t="s">
        <v>22</v>
      </c>
      <c r="J1554" s="2">
        <v>43531.495347222219</v>
      </c>
      <c r="K1554" s="2">
        <v>43534.495347222219</v>
      </c>
      <c r="L1554" s="2">
        <v>43536.495347222219</v>
      </c>
      <c r="M1554" s="1">
        <f>_xlfn.DAYS(Table1[[#This Row],[actual_delivery_date]],Table1[[#This Row],[dispatch_date]])</f>
        <v>3</v>
      </c>
      <c r="N1554">
        <v>0</v>
      </c>
      <c r="O1554">
        <f>Table1[[#This Row],[transit_storage_cost]] * (1-'What -if Analysis'!$D$26)</f>
        <v>0</v>
      </c>
      <c r="P1554">
        <v>123</v>
      </c>
      <c r="Q1554">
        <v>467.55720415137512</v>
      </c>
    </row>
    <row r="1555" spans="1:17" x14ac:dyDescent="0.3">
      <c r="A1555">
        <v>251931</v>
      </c>
      <c r="B1555" s="1" t="s">
        <v>40</v>
      </c>
      <c r="C1555" s="1" t="s">
        <v>23</v>
      </c>
      <c r="D1555" s="1" t="s">
        <v>17</v>
      </c>
      <c r="E1555" s="1" t="s">
        <v>18</v>
      </c>
      <c r="F1555" s="1" t="s">
        <v>19</v>
      </c>
      <c r="G1555" s="1" t="s">
        <v>20</v>
      </c>
      <c r="H1555" t="s">
        <v>30</v>
      </c>
      <c r="I1555" s="1" t="s">
        <v>26</v>
      </c>
      <c r="J1555" s="2">
        <v>43530.498171296298</v>
      </c>
      <c r="K1555" s="2">
        <v>43534.498171296298</v>
      </c>
      <c r="L1555" s="2">
        <v>43536.498171296298</v>
      </c>
      <c r="M1555" s="1">
        <f>_xlfn.DAYS(Table1[[#This Row],[actual_delivery_date]],Table1[[#This Row],[dispatch_date]])</f>
        <v>4</v>
      </c>
      <c r="N1555">
        <v>59</v>
      </c>
      <c r="O1555">
        <f>Table1[[#This Row],[transit_storage_cost]] * (1-'What -if Analysis'!$D$26)</f>
        <v>59</v>
      </c>
      <c r="P1555">
        <v>94</v>
      </c>
      <c r="Q1555">
        <v>3440.4470471005789</v>
      </c>
    </row>
    <row r="1556" spans="1:17" x14ac:dyDescent="0.3">
      <c r="A1556">
        <v>174485</v>
      </c>
      <c r="B1556" s="1" t="s">
        <v>38</v>
      </c>
      <c r="C1556" s="1" t="s">
        <v>16</v>
      </c>
      <c r="D1556" s="1" t="s">
        <v>23</v>
      </c>
      <c r="E1556" s="1" t="s">
        <v>28</v>
      </c>
      <c r="F1556" s="1" t="s">
        <v>29</v>
      </c>
      <c r="G1556" s="1" t="s">
        <v>20</v>
      </c>
      <c r="H1556" t="s">
        <v>30</v>
      </c>
      <c r="I1556" s="1" t="s">
        <v>22</v>
      </c>
      <c r="J1556" s="2">
        <v>43528.501018518517</v>
      </c>
      <c r="K1556" s="2">
        <v>43534.501018518517</v>
      </c>
      <c r="L1556" s="2">
        <v>43534.501018518517</v>
      </c>
      <c r="M1556" s="1">
        <f>_xlfn.DAYS(Table1[[#This Row],[actual_delivery_date]],Table1[[#This Row],[dispatch_date]])</f>
        <v>6</v>
      </c>
      <c r="N1556">
        <v>41</v>
      </c>
      <c r="O1556">
        <f>Table1[[#This Row],[transit_storage_cost]] * (1-'What -if Analysis'!$D$26)</f>
        <v>41</v>
      </c>
      <c r="P1556">
        <v>124</v>
      </c>
      <c r="Q1556">
        <v>1675.4537904199894</v>
      </c>
    </row>
    <row r="1557" spans="1:17" x14ac:dyDescent="0.3">
      <c r="A1557">
        <v>168258</v>
      </c>
      <c r="B1557" s="1" t="s">
        <v>15</v>
      </c>
      <c r="C1557" s="1" t="s">
        <v>23</v>
      </c>
      <c r="D1557" s="1" t="s">
        <v>17</v>
      </c>
      <c r="E1557" s="1" t="s">
        <v>18</v>
      </c>
      <c r="F1557" s="1" t="s">
        <v>31</v>
      </c>
      <c r="G1557" s="1" t="s">
        <v>20</v>
      </c>
      <c r="H1557" t="s">
        <v>21</v>
      </c>
      <c r="I1557" s="1" t="s">
        <v>26</v>
      </c>
      <c r="J1557" s="2">
        <v>43526.504004629627</v>
      </c>
      <c r="K1557" s="2">
        <v>43534.504004629627</v>
      </c>
      <c r="L1557" s="2">
        <v>43530.504004629627</v>
      </c>
      <c r="M1557" s="1">
        <f>_xlfn.DAYS(Table1[[#This Row],[actual_delivery_date]],Table1[[#This Row],[dispatch_date]])</f>
        <v>8</v>
      </c>
      <c r="N1557">
        <v>28</v>
      </c>
      <c r="O1557">
        <f>Table1[[#This Row],[transit_storage_cost]] * (1-'What -if Analysis'!$D$26)</f>
        <v>28</v>
      </c>
      <c r="P1557">
        <v>106</v>
      </c>
      <c r="Q1557">
        <v>2305.42</v>
      </c>
    </row>
    <row r="1558" spans="1:17" x14ac:dyDescent="0.3">
      <c r="A1558">
        <v>835208</v>
      </c>
      <c r="B1558" s="1" t="s">
        <v>38</v>
      </c>
      <c r="C1558" s="1" t="s">
        <v>23</v>
      </c>
      <c r="D1558" s="1" t="s">
        <v>23</v>
      </c>
      <c r="E1558" s="1" t="s">
        <v>28</v>
      </c>
      <c r="F1558" s="1" t="s">
        <v>19</v>
      </c>
      <c r="G1558" s="1" t="s">
        <v>20</v>
      </c>
      <c r="H1558" t="s">
        <v>21</v>
      </c>
      <c r="I1558" s="1" t="s">
        <v>22</v>
      </c>
      <c r="J1558" s="2">
        <v>43534.504525462966</v>
      </c>
      <c r="K1558" s="2">
        <v>43534.504525462966</v>
      </c>
      <c r="L1558" s="2">
        <v>43541.504525462966</v>
      </c>
      <c r="M1558" s="1">
        <f>_xlfn.DAYS(Table1[[#This Row],[actual_delivery_date]],Table1[[#This Row],[dispatch_date]])</f>
        <v>0</v>
      </c>
      <c r="N1558">
        <v>0</v>
      </c>
      <c r="O1558">
        <f>Table1[[#This Row],[transit_storage_cost]] * (1-'What -if Analysis'!$D$26)</f>
        <v>0</v>
      </c>
      <c r="P1558">
        <v>104</v>
      </c>
      <c r="Q1558">
        <v>1185</v>
      </c>
    </row>
    <row r="1559" spans="1:17" x14ac:dyDescent="0.3">
      <c r="A1559">
        <v>526028</v>
      </c>
      <c r="B1559" s="1" t="s">
        <v>37</v>
      </c>
      <c r="C1559" s="1" t="s">
        <v>16</v>
      </c>
      <c r="D1559" s="1" t="s">
        <v>32</v>
      </c>
      <c r="E1559" s="1" t="s">
        <v>33</v>
      </c>
      <c r="F1559" s="1" t="s">
        <v>19</v>
      </c>
      <c r="G1559" s="1" t="s">
        <v>20</v>
      </c>
      <c r="H1559" t="s">
        <v>21</v>
      </c>
      <c r="I1559" s="1" t="s">
        <v>22</v>
      </c>
      <c r="J1559" s="2">
        <v>43529.507002314815</v>
      </c>
      <c r="K1559" s="2">
        <v>43534.507002314815</v>
      </c>
      <c r="L1559" s="2">
        <v>43534.507002314815</v>
      </c>
      <c r="M1559" s="1">
        <f>_xlfn.DAYS(Table1[[#This Row],[actual_delivery_date]],Table1[[#This Row],[dispatch_date]])</f>
        <v>5</v>
      </c>
      <c r="N1559">
        <v>35</v>
      </c>
      <c r="O1559">
        <f>Table1[[#This Row],[transit_storage_cost]] * (1-'What -if Analysis'!$D$26)</f>
        <v>35</v>
      </c>
      <c r="P1559">
        <v>113</v>
      </c>
      <c r="Q1559">
        <v>3668.0629961764425</v>
      </c>
    </row>
    <row r="1560" spans="1:17" x14ac:dyDescent="0.3">
      <c r="A1560">
        <v>586419</v>
      </c>
      <c r="B1560" s="1" t="s">
        <v>38</v>
      </c>
      <c r="C1560" s="1" t="s">
        <v>16</v>
      </c>
      <c r="D1560" s="1" t="s">
        <v>17</v>
      </c>
      <c r="E1560" s="1" t="s">
        <v>18</v>
      </c>
      <c r="F1560" s="1" t="s">
        <v>29</v>
      </c>
      <c r="G1560" s="1" t="s">
        <v>20</v>
      </c>
      <c r="H1560" t="s">
        <v>30</v>
      </c>
      <c r="I1560" s="1" t="s">
        <v>26</v>
      </c>
      <c r="J1560" s="2">
        <v>43531.509699074071</v>
      </c>
      <c r="K1560" s="2">
        <v>43534.509699074071</v>
      </c>
      <c r="L1560" s="2">
        <v>43538.509699074071</v>
      </c>
      <c r="M1560" s="1">
        <f>_xlfn.DAYS(Table1[[#This Row],[actual_delivery_date]],Table1[[#This Row],[dispatch_date]])</f>
        <v>3</v>
      </c>
      <c r="N1560">
        <v>41</v>
      </c>
      <c r="O1560">
        <f>Table1[[#This Row],[transit_storage_cost]] * (1-'What -if Analysis'!$D$26)</f>
        <v>41</v>
      </c>
      <c r="P1560">
        <v>106</v>
      </c>
      <c r="Q1560">
        <v>3228.5477786813726</v>
      </c>
    </row>
    <row r="1561" spans="1:17" x14ac:dyDescent="0.3">
      <c r="A1561">
        <v>5026</v>
      </c>
      <c r="B1561" s="1" t="s">
        <v>41</v>
      </c>
      <c r="C1561" s="1" t="s">
        <v>16</v>
      </c>
      <c r="D1561" s="1" t="s">
        <v>24</v>
      </c>
      <c r="E1561" s="1" t="s">
        <v>25</v>
      </c>
      <c r="F1561" s="1" t="s">
        <v>19</v>
      </c>
      <c r="G1561" s="1" t="s">
        <v>20</v>
      </c>
      <c r="H1561" t="s">
        <v>21</v>
      </c>
      <c r="I1561" s="1" t="s">
        <v>22</v>
      </c>
      <c r="J1561" s="2">
        <v>43528.510775462964</v>
      </c>
      <c r="K1561" s="2">
        <v>43534.510775462964</v>
      </c>
      <c r="L1561" s="2">
        <v>43531.510775462964</v>
      </c>
      <c r="M1561" s="1">
        <f>_xlfn.DAYS(Table1[[#This Row],[actual_delivery_date]],Table1[[#This Row],[dispatch_date]])</f>
        <v>6</v>
      </c>
      <c r="N1561">
        <v>78</v>
      </c>
      <c r="O1561">
        <f>Table1[[#This Row],[transit_storage_cost]] * (1-'What -if Analysis'!$D$26)</f>
        <v>78</v>
      </c>
      <c r="P1561">
        <v>109</v>
      </c>
      <c r="Q1561">
        <v>3491.4769523365512</v>
      </c>
    </row>
    <row r="1562" spans="1:17" x14ac:dyDescent="0.3">
      <c r="A1562">
        <v>807559</v>
      </c>
      <c r="B1562" s="1" t="s">
        <v>37</v>
      </c>
      <c r="C1562" s="1" t="s">
        <v>16</v>
      </c>
      <c r="D1562" s="1" t="s">
        <v>32</v>
      </c>
      <c r="E1562" s="1" t="s">
        <v>33</v>
      </c>
      <c r="F1562" s="1" t="s">
        <v>29</v>
      </c>
      <c r="G1562" s="1" t="s">
        <v>20</v>
      </c>
      <c r="H1562" t="s">
        <v>30</v>
      </c>
      <c r="I1562" s="1" t="s">
        <v>22</v>
      </c>
      <c r="J1562" s="2">
        <v>43530.513483796298</v>
      </c>
      <c r="K1562" s="2">
        <v>43534.513483796298</v>
      </c>
      <c r="L1562" s="2">
        <v>43533.513483796298</v>
      </c>
      <c r="M1562" s="1">
        <f>_xlfn.DAYS(Table1[[#This Row],[actual_delivery_date]],Table1[[#This Row],[dispatch_date]])</f>
        <v>4</v>
      </c>
      <c r="N1562">
        <v>30</v>
      </c>
      <c r="O1562">
        <f>Table1[[#This Row],[transit_storage_cost]] * (1-'What -if Analysis'!$D$26)</f>
        <v>30</v>
      </c>
      <c r="P1562">
        <v>112</v>
      </c>
      <c r="Q1562">
        <v>1638</v>
      </c>
    </row>
    <row r="1563" spans="1:17" x14ac:dyDescent="0.3">
      <c r="A1563">
        <v>531040</v>
      </c>
      <c r="B1563" s="1" t="s">
        <v>38</v>
      </c>
      <c r="C1563" s="1" t="s">
        <v>23</v>
      </c>
      <c r="D1563" s="1" t="s">
        <v>17</v>
      </c>
      <c r="E1563" s="1" t="s">
        <v>18</v>
      </c>
      <c r="F1563" s="1" t="s">
        <v>19</v>
      </c>
      <c r="G1563" s="1" t="s">
        <v>20</v>
      </c>
      <c r="H1563" t="s">
        <v>21</v>
      </c>
      <c r="I1563" s="1" t="s">
        <v>22</v>
      </c>
      <c r="J1563" s="2">
        <v>43532.515868055554</v>
      </c>
      <c r="K1563" s="2">
        <v>43534.515868055554</v>
      </c>
      <c r="L1563" s="2">
        <v>43537.515868055554</v>
      </c>
      <c r="M1563" s="1">
        <f>_xlfn.DAYS(Table1[[#This Row],[actual_delivery_date]],Table1[[#This Row],[dispatch_date]])</f>
        <v>2</v>
      </c>
      <c r="N1563">
        <v>29</v>
      </c>
      <c r="O1563">
        <f>Table1[[#This Row],[transit_storage_cost]] * (1-'What -if Analysis'!$D$26)</f>
        <v>29</v>
      </c>
      <c r="P1563">
        <v>114</v>
      </c>
      <c r="Q1563">
        <v>2145.73111248839</v>
      </c>
    </row>
    <row r="1564" spans="1:17" x14ac:dyDescent="0.3">
      <c r="A1564">
        <v>53365</v>
      </c>
      <c r="B1564" s="1" t="s">
        <v>38</v>
      </c>
      <c r="C1564" s="1" t="s">
        <v>16</v>
      </c>
      <c r="D1564" s="1" t="s">
        <v>16</v>
      </c>
      <c r="E1564" s="1" t="s">
        <v>27</v>
      </c>
      <c r="F1564" s="1" t="s">
        <v>19</v>
      </c>
      <c r="G1564" s="1" t="s">
        <v>20</v>
      </c>
      <c r="H1564" t="s">
        <v>30</v>
      </c>
      <c r="I1564" s="1" t="s">
        <v>22</v>
      </c>
      <c r="J1564" s="2">
        <v>43534.516956018517</v>
      </c>
      <c r="K1564" s="2">
        <v>43534.516956018517</v>
      </c>
      <c r="L1564" s="2">
        <v>43537.516956018517</v>
      </c>
      <c r="M1564" s="1">
        <f>_xlfn.DAYS(Table1[[#This Row],[actual_delivery_date]],Table1[[#This Row],[dispatch_date]])</f>
        <v>0</v>
      </c>
      <c r="N1564">
        <v>0</v>
      </c>
      <c r="O1564">
        <f>Table1[[#This Row],[transit_storage_cost]] * (1-'What -if Analysis'!$D$26)</f>
        <v>0</v>
      </c>
      <c r="P1564">
        <v>103</v>
      </c>
      <c r="Q1564">
        <v>3288.5874481872956</v>
      </c>
    </row>
    <row r="1565" spans="1:17" x14ac:dyDescent="0.3">
      <c r="A1565">
        <v>555765</v>
      </c>
      <c r="B1565" s="1" t="s">
        <v>40</v>
      </c>
      <c r="C1565" s="1" t="s">
        <v>16</v>
      </c>
      <c r="D1565" s="1" t="s">
        <v>16</v>
      </c>
      <c r="E1565" s="1" t="s">
        <v>27</v>
      </c>
      <c r="F1565" s="1" t="s">
        <v>29</v>
      </c>
      <c r="G1565" s="1" t="s">
        <v>20</v>
      </c>
      <c r="H1565" t="s">
        <v>34</v>
      </c>
      <c r="I1565" s="1" t="s">
        <v>26</v>
      </c>
      <c r="J1565" s="2">
        <v>43530.522905092592</v>
      </c>
      <c r="K1565" s="2">
        <v>43534.522905092592</v>
      </c>
      <c r="L1565" s="2">
        <v>43533.522905092592</v>
      </c>
      <c r="M1565" s="1">
        <f>_xlfn.DAYS(Table1[[#This Row],[actual_delivery_date]],Table1[[#This Row],[dispatch_date]])</f>
        <v>4</v>
      </c>
      <c r="N1565">
        <v>0</v>
      </c>
      <c r="O1565">
        <f>Table1[[#This Row],[transit_storage_cost]] * (1-'What -if Analysis'!$D$26)</f>
        <v>0</v>
      </c>
      <c r="P1565">
        <v>123</v>
      </c>
      <c r="Q1565">
        <v>3668.1817113589</v>
      </c>
    </row>
    <row r="1566" spans="1:17" x14ac:dyDescent="0.3">
      <c r="A1566">
        <v>578835</v>
      </c>
      <c r="B1566" s="1" t="s">
        <v>38</v>
      </c>
      <c r="C1566" s="1" t="s">
        <v>16</v>
      </c>
      <c r="D1566" s="1" t="s">
        <v>16</v>
      </c>
      <c r="E1566" s="1" t="s">
        <v>27</v>
      </c>
      <c r="F1566" s="1" t="s">
        <v>19</v>
      </c>
      <c r="G1566" s="1" t="s">
        <v>20</v>
      </c>
      <c r="H1566" t="s">
        <v>30</v>
      </c>
      <c r="I1566" s="1" t="s">
        <v>26</v>
      </c>
      <c r="J1566" s="2">
        <v>43534.525497685187</v>
      </c>
      <c r="K1566" s="2">
        <v>43534.525497685187</v>
      </c>
      <c r="L1566" s="2">
        <v>43539.525497685187</v>
      </c>
      <c r="M1566" s="1">
        <f>_xlfn.DAYS(Table1[[#This Row],[actual_delivery_date]],Table1[[#This Row],[dispatch_date]])</f>
        <v>0</v>
      </c>
      <c r="N1566">
        <v>0</v>
      </c>
      <c r="O1566">
        <f>Table1[[#This Row],[transit_storage_cost]] * (1-'What -if Analysis'!$D$26)</f>
        <v>0</v>
      </c>
      <c r="P1566">
        <v>106</v>
      </c>
      <c r="Q1566">
        <v>1927.9312494483615</v>
      </c>
    </row>
    <row r="1567" spans="1:17" x14ac:dyDescent="0.3">
      <c r="A1567">
        <v>752558</v>
      </c>
      <c r="B1567" s="1" t="s">
        <v>39</v>
      </c>
      <c r="C1567" s="1" t="s">
        <v>16</v>
      </c>
      <c r="D1567" s="1" t="s">
        <v>23</v>
      </c>
      <c r="E1567" s="1" t="s">
        <v>28</v>
      </c>
      <c r="F1567" s="1" t="s">
        <v>19</v>
      </c>
      <c r="G1567" s="1" t="s">
        <v>20</v>
      </c>
      <c r="H1567" t="s">
        <v>21</v>
      </c>
      <c r="I1567" s="1" t="s">
        <v>22</v>
      </c>
      <c r="J1567" s="2">
        <v>43532.530150462961</v>
      </c>
      <c r="K1567" s="2">
        <v>43534.530150462961</v>
      </c>
      <c r="L1567" s="2">
        <v>43535.530150462961</v>
      </c>
      <c r="M1567" s="1">
        <f>_xlfn.DAYS(Table1[[#This Row],[actual_delivery_date]],Table1[[#This Row],[dispatch_date]])</f>
        <v>2</v>
      </c>
      <c r="N1567">
        <v>83</v>
      </c>
      <c r="O1567">
        <f>Table1[[#This Row],[transit_storage_cost]] * (1-'What -if Analysis'!$D$26)</f>
        <v>83</v>
      </c>
      <c r="P1567">
        <v>105</v>
      </c>
      <c r="Q1567">
        <v>1803.1970968978944</v>
      </c>
    </row>
    <row r="1568" spans="1:17" x14ac:dyDescent="0.3">
      <c r="A1568">
        <v>62724</v>
      </c>
      <c r="B1568" s="1" t="s">
        <v>38</v>
      </c>
      <c r="C1568" s="1" t="s">
        <v>16</v>
      </c>
      <c r="D1568" s="1" t="s">
        <v>16</v>
      </c>
      <c r="E1568" s="1" t="s">
        <v>27</v>
      </c>
      <c r="F1568" s="1" t="s">
        <v>19</v>
      </c>
      <c r="G1568" s="1" t="s">
        <v>20</v>
      </c>
      <c r="H1568" t="s">
        <v>21</v>
      </c>
      <c r="I1568" s="1" t="s">
        <v>26</v>
      </c>
      <c r="J1568" s="2">
        <v>43532.530682870369</v>
      </c>
      <c r="K1568" s="2">
        <v>43534.530682870369</v>
      </c>
      <c r="L1568" s="2">
        <v>43539.530682870369</v>
      </c>
      <c r="M1568" s="1">
        <f>_xlfn.DAYS(Table1[[#This Row],[actual_delivery_date]],Table1[[#This Row],[dispatch_date]])</f>
        <v>2</v>
      </c>
      <c r="N1568">
        <v>0</v>
      </c>
      <c r="O1568">
        <f>Table1[[#This Row],[transit_storage_cost]] * (1-'What -if Analysis'!$D$26)</f>
        <v>0</v>
      </c>
      <c r="P1568">
        <v>121</v>
      </c>
      <c r="Q1568">
        <v>3208.0490068719969</v>
      </c>
    </row>
    <row r="1569" spans="1:17" x14ac:dyDescent="0.3">
      <c r="A1569">
        <v>171108</v>
      </c>
      <c r="B1569" s="1" t="s">
        <v>38</v>
      </c>
      <c r="C1569" s="1" t="s">
        <v>23</v>
      </c>
      <c r="D1569" s="1" t="s">
        <v>32</v>
      </c>
      <c r="E1569" s="1" t="s">
        <v>33</v>
      </c>
      <c r="F1569" s="1" t="s">
        <v>19</v>
      </c>
      <c r="G1569" s="1" t="s">
        <v>20</v>
      </c>
      <c r="H1569" t="s">
        <v>21</v>
      </c>
      <c r="I1569" s="1" t="s">
        <v>26</v>
      </c>
      <c r="J1569" s="2">
        <v>43525.531111111108</v>
      </c>
      <c r="K1569" s="2">
        <v>43534.531111111108</v>
      </c>
      <c r="L1569" s="2">
        <v>43531.531111111108</v>
      </c>
      <c r="M1569" s="1">
        <f>_xlfn.DAYS(Table1[[#This Row],[actual_delivery_date]],Table1[[#This Row],[dispatch_date]])</f>
        <v>9</v>
      </c>
      <c r="N1569">
        <v>37</v>
      </c>
      <c r="O1569">
        <f>Table1[[#This Row],[transit_storage_cost]] * (1-'What -if Analysis'!$D$26)</f>
        <v>37</v>
      </c>
      <c r="P1569">
        <v>111</v>
      </c>
      <c r="Q1569">
        <v>2014.67</v>
      </c>
    </row>
    <row r="1570" spans="1:17" x14ac:dyDescent="0.3">
      <c r="A1570">
        <v>186322</v>
      </c>
      <c r="B1570" s="1" t="s">
        <v>37</v>
      </c>
      <c r="C1570" s="1" t="s">
        <v>23</v>
      </c>
      <c r="D1570" s="1" t="s">
        <v>23</v>
      </c>
      <c r="E1570" s="1" t="s">
        <v>28</v>
      </c>
      <c r="F1570" s="1" t="s">
        <v>19</v>
      </c>
      <c r="G1570" s="1" t="s">
        <v>20</v>
      </c>
      <c r="H1570" t="s">
        <v>21</v>
      </c>
      <c r="I1570" s="1" t="s">
        <v>22</v>
      </c>
      <c r="J1570" s="2">
        <v>43534.531747685185</v>
      </c>
      <c r="K1570" s="2">
        <v>43534.531747685185</v>
      </c>
      <c r="L1570" s="2">
        <v>43541.531747685185</v>
      </c>
      <c r="M1570" s="1">
        <f>_xlfn.DAYS(Table1[[#This Row],[actual_delivery_date]],Table1[[#This Row],[dispatch_date]])</f>
        <v>0</v>
      </c>
      <c r="N1570">
        <v>0</v>
      </c>
      <c r="O1570">
        <f>Table1[[#This Row],[transit_storage_cost]] * (1-'What -if Analysis'!$D$26)</f>
        <v>0</v>
      </c>
      <c r="P1570">
        <v>104</v>
      </c>
      <c r="Q1570">
        <v>789</v>
      </c>
    </row>
    <row r="1571" spans="1:17" x14ac:dyDescent="0.3">
      <c r="A1571">
        <v>292495</v>
      </c>
      <c r="B1571" s="1" t="s">
        <v>37</v>
      </c>
      <c r="C1571" s="1" t="s">
        <v>16</v>
      </c>
      <c r="D1571" s="1" t="s">
        <v>17</v>
      </c>
      <c r="E1571" s="1" t="s">
        <v>18</v>
      </c>
      <c r="F1571" s="1" t="s">
        <v>29</v>
      </c>
      <c r="G1571" s="1" t="s">
        <v>20</v>
      </c>
      <c r="H1571" t="s">
        <v>34</v>
      </c>
      <c r="I1571" s="1" t="s">
        <v>22</v>
      </c>
      <c r="J1571" s="2">
        <v>43526.533159722225</v>
      </c>
      <c r="K1571" s="2">
        <v>43534.533159722225</v>
      </c>
      <c r="L1571" s="2">
        <v>43531.533159722225</v>
      </c>
      <c r="M1571" s="1">
        <f>_xlfn.DAYS(Table1[[#This Row],[actual_delivery_date]],Table1[[#This Row],[dispatch_date]])</f>
        <v>8</v>
      </c>
      <c r="N1571">
        <v>41</v>
      </c>
      <c r="O1571">
        <f>Table1[[#This Row],[transit_storage_cost]] * (1-'What -if Analysis'!$D$26)</f>
        <v>41</v>
      </c>
      <c r="P1571">
        <v>107</v>
      </c>
      <c r="Q1571">
        <v>626.48902619262526</v>
      </c>
    </row>
    <row r="1572" spans="1:17" x14ac:dyDescent="0.3">
      <c r="A1572">
        <v>3150</v>
      </c>
      <c r="B1572" s="1" t="s">
        <v>39</v>
      </c>
      <c r="C1572" s="1" t="s">
        <v>23</v>
      </c>
      <c r="D1572" s="1" t="s">
        <v>16</v>
      </c>
      <c r="E1572" s="1" t="s">
        <v>27</v>
      </c>
      <c r="F1572" s="1" t="s">
        <v>19</v>
      </c>
      <c r="G1572" s="1" t="s">
        <v>20</v>
      </c>
      <c r="H1572" t="s">
        <v>21</v>
      </c>
      <c r="I1572" s="1" t="s">
        <v>26</v>
      </c>
      <c r="J1572" s="2">
        <v>43529.534039351849</v>
      </c>
      <c r="K1572" s="2">
        <v>43534.534039351849</v>
      </c>
      <c r="L1572" s="2">
        <v>43535.534039351849</v>
      </c>
      <c r="M1572" s="1">
        <f>_xlfn.DAYS(Table1[[#This Row],[actual_delivery_date]],Table1[[#This Row],[dispatch_date]])</f>
        <v>5</v>
      </c>
      <c r="N1572">
        <v>83</v>
      </c>
      <c r="O1572">
        <f>Table1[[#This Row],[transit_storage_cost]] * (1-'What -if Analysis'!$D$26)</f>
        <v>83</v>
      </c>
      <c r="P1572">
        <v>105</v>
      </c>
      <c r="Q1572">
        <v>3331.27</v>
      </c>
    </row>
    <row r="1573" spans="1:17" x14ac:dyDescent="0.3">
      <c r="A1573">
        <v>957703</v>
      </c>
      <c r="B1573" s="1" t="s">
        <v>41</v>
      </c>
      <c r="C1573" s="1" t="s">
        <v>16</v>
      </c>
      <c r="D1573" s="1" t="s">
        <v>16</v>
      </c>
      <c r="E1573" s="1" t="s">
        <v>27</v>
      </c>
      <c r="F1573" s="1" t="s">
        <v>29</v>
      </c>
      <c r="G1573" s="1" t="s">
        <v>20</v>
      </c>
      <c r="H1573" t="s">
        <v>30</v>
      </c>
      <c r="I1573" s="1" t="s">
        <v>22</v>
      </c>
      <c r="J1573" s="2">
        <v>43532.537280092591</v>
      </c>
      <c r="K1573" s="2">
        <v>43534.537280092591</v>
      </c>
      <c r="L1573" s="2">
        <v>43536.537280092591</v>
      </c>
      <c r="M1573" s="1">
        <f>_xlfn.DAYS(Table1[[#This Row],[actual_delivery_date]],Table1[[#This Row],[dispatch_date]])</f>
        <v>2</v>
      </c>
      <c r="N1573">
        <v>0</v>
      </c>
      <c r="O1573">
        <f>Table1[[#This Row],[transit_storage_cost]] * (1-'What -if Analysis'!$D$26)</f>
        <v>0</v>
      </c>
      <c r="P1573">
        <v>122</v>
      </c>
      <c r="Q1573">
        <v>2785.6290881806035</v>
      </c>
    </row>
    <row r="1574" spans="1:17" x14ac:dyDescent="0.3">
      <c r="A1574">
        <v>941357</v>
      </c>
      <c r="B1574" s="1" t="s">
        <v>38</v>
      </c>
      <c r="C1574" s="1" t="s">
        <v>16</v>
      </c>
      <c r="D1574" s="1" t="s">
        <v>17</v>
      </c>
      <c r="E1574" s="1" t="s">
        <v>18</v>
      </c>
      <c r="F1574" s="1" t="s">
        <v>19</v>
      </c>
      <c r="G1574" s="1" t="s">
        <v>20</v>
      </c>
      <c r="H1574" t="s">
        <v>30</v>
      </c>
      <c r="I1574" s="1" t="s">
        <v>22</v>
      </c>
      <c r="J1574" s="2">
        <v>43532.537488425929</v>
      </c>
      <c r="K1574" s="2">
        <v>43534.537488425929</v>
      </c>
      <c r="L1574" s="2">
        <v>43538.537488425929</v>
      </c>
      <c r="M1574" s="1">
        <f>_xlfn.DAYS(Table1[[#This Row],[actual_delivery_date]],Table1[[#This Row],[dispatch_date]])</f>
        <v>2</v>
      </c>
      <c r="N1574">
        <v>77</v>
      </c>
      <c r="O1574">
        <f>Table1[[#This Row],[transit_storage_cost]] * (1-'What -if Analysis'!$D$26)</f>
        <v>77</v>
      </c>
      <c r="P1574">
        <v>90</v>
      </c>
      <c r="Q1574">
        <v>2950.7155365196036</v>
      </c>
    </row>
    <row r="1575" spans="1:17" x14ac:dyDescent="0.3">
      <c r="A1575">
        <v>371271</v>
      </c>
      <c r="B1575" s="1" t="s">
        <v>38</v>
      </c>
      <c r="C1575" s="1" t="s">
        <v>16</v>
      </c>
      <c r="D1575" s="1" t="s">
        <v>16</v>
      </c>
      <c r="E1575" s="1" t="s">
        <v>27</v>
      </c>
      <c r="F1575" s="1" t="s">
        <v>29</v>
      </c>
      <c r="G1575" s="1" t="s">
        <v>36</v>
      </c>
      <c r="H1575" t="s">
        <v>30</v>
      </c>
      <c r="I1575" s="1" t="s">
        <v>26</v>
      </c>
      <c r="J1575" s="2">
        <v>43529.542037037034</v>
      </c>
      <c r="K1575" s="2">
        <v>43534.542037037034</v>
      </c>
      <c r="L1575" s="2">
        <v>43534.542037037034</v>
      </c>
      <c r="M1575" s="1">
        <f>_xlfn.DAYS(Table1[[#This Row],[actual_delivery_date]],Table1[[#This Row],[dispatch_date]])</f>
        <v>5</v>
      </c>
      <c r="N1575">
        <v>0</v>
      </c>
      <c r="O1575">
        <f>Table1[[#This Row],[transit_storage_cost]] * (1-'What -if Analysis'!$D$26)</f>
        <v>0</v>
      </c>
      <c r="P1575">
        <v>128</v>
      </c>
      <c r="Q1575">
        <v>3131</v>
      </c>
    </row>
    <row r="1576" spans="1:17" x14ac:dyDescent="0.3">
      <c r="A1576">
        <v>618908</v>
      </c>
      <c r="B1576" s="1" t="s">
        <v>37</v>
      </c>
      <c r="C1576" s="1" t="s">
        <v>23</v>
      </c>
      <c r="D1576" s="1" t="s">
        <v>24</v>
      </c>
      <c r="E1576" s="1" t="s">
        <v>25</v>
      </c>
      <c r="F1576" s="1" t="s">
        <v>19</v>
      </c>
      <c r="G1576" s="1" t="s">
        <v>20</v>
      </c>
      <c r="H1576" t="s">
        <v>21</v>
      </c>
      <c r="I1576" s="1" t="s">
        <v>22</v>
      </c>
      <c r="J1576" s="2">
        <v>43525.542291666665</v>
      </c>
      <c r="K1576" s="2">
        <v>43534.542291666665</v>
      </c>
      <c r="L1576" s="2">
        <v>43532.542291666665</v>
      </c>
      <c r="M1576" s="1">
        <f>_xlfn.DAYS(Table1[[#This Row],[actual_delivery_date]],Table1[[#This Row],[dispatch_date]])</f>
        <v>9</v>
      </c>
      <c r="N1576">
        <v>41</v>
      </c>
      <c r="O1576">
        <f>Table1[[#This Row],[transit_storage_cost]] * (1-'What -if Analysis'!$D$26)</f>
        <v>41</v>
      </c>
      <c r="P1576">
        <v>127</v>
      </c>
      <c r="Q1576">
        <v>888.18543155522173</v>
      </c>
    </row>
    <row r="1577" spans="1:17" x14ac:dyDescent="0.3">
      <c r="A1577">
        <v>765840</v>
      </c>
      <c r="B1577" s="1" t="s">
        <v>40</v>
      </c>
      <c r="C1577" s="1" t="s">
        <v>16</v>
      </c>
      <c r="D1577" s="1" t="s">
        <v>23</v>
      </c>
      <c r="E1577" s="1" t="s">
        <v>28</v>
      </c>
      <c r="F1577" s="1" t="s">
        <v>19</v>
      </c>
      <c r="G1577" s="1" t="s">
        <v>20</v>
      </c>
      <c r="H1577" t="s">
        <v>21</v>
      </c>
      <c r="I1577" s="1" t="s">
        <v>26</v>
      </c>
      <c r="J1577" s="2">
        <v>43531.545972222222</v>
      </c>
      <c r="K1577" s="2">
        <v>43534.545972222222</v>
      </c>
      <c r="L1577" s="2">
        <v>43536.545972222222</v>
      </c>
      <c r="M1577" s="1">
        <f>_xlfn.DAYS(Table1[[#This Row],[actual_delivery_date]],Table1[[#This Row],[dispatch_date]])</f>
        <v>3</v>
      </c>
      <c r="N1577">
        <v>42</v>
      </c>
      <c r="O1577">
        <f>Table1[[#This Row],[transit_storage_cost]] * (1-'What -if Analysis'!$D$26)</f>
        <v>42</v>
      </c>
      <c r="P1577">
        <v>123</v>
      </c>
      <c r="Q1577">
        <v>2359.9767169919451</v>
      </c>
    </row>
    <row r="1578" spans="1:17" x14ac:dyDescent="0.3">
      <c r="A1578">
        <v>754159</v>
      </c>
      <c r="B1578" s="1" t="s">
        <v>38</v>
      </c>
      <c r="C1578" s="1" t="s">
        <v>16</v>
      </c>
      <c r="D1578" s="1" t="s">
        <v>16</v>
      </c>
      <c r="E1578" s="1" t="s">
        <v>27</v>
      </c>
      <c r="F1578" s="1" t="s">
        <v>19</v>
      </c>
      <c r="G1578" s="1" t="s">
        <v>20</v>
      </c>
      <c r="H1578" t="s">
        <v>34</v>
      </c>
      <c r="I1578" s="1" t="s">
        <v>22</v>
      </c>
      <c r="J1578" s="2">
        <v>43529.546203703707</v>
      </c>
      <c r="K1578" s="2">
        <v>43534.546203703707</v>
      </c>
      <c r="L1578" s="2">
        <v>43533.546203703707</v>
      </c>
      <c r="M1578" s="1">
        <f>_xlfn.DAYS(Table1[[#This Row],[actual_delivery_date]],Table1[[#This Row],[dispatch_date]])</f>
        <v>5</v>
      </c>
      <c r="N1578">
        <v>0</v>
      </c>
      <c r="O1578">
        <f>Table1[[#This Row],[transit_storage_cost]] * (1-'What -if Analysis'!$D$26)</f>
        <v>0</v>
      </c>
      <c r="P1578">
        <v>106</v>
      </c>
      <c r="Q1578">
        <v>2417.2116762894366</v>
      </c>
    </row>
    <row r="1579" spans="1:17" x14ac:dyDescent="0.3">
      <c r="A1579">
        <v>106431</v>
      </c>
      <c r="B1579" s="1" t="s">
        <v>37</v>
      </c>
      <c r="C1579" s="1" t="s">
        <v>23</v>
      </c>
      <c r="D1579" s="1" t="s">
        <v>23</v>
      </c>
      <c r="E1579" s="1" t="s">
        <v>28</v>
      </c>
      <c r="F1579" s="1" t="s">
        <v>29</v>
      </c>
      <c r="G1579" s="1" t="s">
        <v>20</v>
      </c>
      <c r="H1579" t="s">
        <v>30</v>
      </c>
      <c r="I1579" s="1" t="s">
        <v>26</v>
      </c>
      <c r="J1579" s="2">
        <v>43528.546979166669</v>
      </c>
      <c r="K1579" s="2">
        <v>43534.546979166669</v>
      </c>
      <c r="L1579" s="2">
        <v>43531.546979166669</v>
      </c>
      <c r="M1579" s="1">
        <f>_xlfn.DAYS(Table1[[#This Row],[actual_delivery_date]],Table1[[#This Row],[dispatch_date]])</f>
        <v>6</v>
      </c>
      <c r="N1579">
        <v>0</v>
      </c>
      <c r="O1579">
        <f>Table1[[#This Row],[transit_storage_cost]] * (1-'What -if Analysis'!$D$26)</f>
        <v>0</v>
      </c>
      <c r="P1579">
        <v>127</v>
      </c>
      <c r="Q1579">
        <v>2589.3000000000002</v>
      </c>
    </row>
    <row r="1580" spans="1:17" x14ac:dyDescent="0.3">
      <c r="A1580">
        <v>721481</v>
      </c>
      <c r="B1580" s="1" t="s">
        <v>40</v>
      </c>
      <c r="C1580" s="1" t="s">
        <v>16</v>
      </c>
      <c r="D1580" s="1" t="s">
        <v>24</v>
      </c>
      <c r="E1580" s="1" t="s">
        <v>25</v>
      </c>
      <c r="F1580" s="1" t="s">
        <v>29</v>
      </c>
      <c r="G1580" s="1" t="s">
        <v>20</v>
      </c>
      <c r="H1580" t="s">
        <v>30</v>
      </c>
      <c r="I1580" s="1" t="s">
        <v>22</v>
      </c>
      <c r="J1580" s="2">
        <v>43527.553298611114</v>
      </c>
      <c r="K1580" s="2">
        <v>43534.553298611114</v>
      </c>
      <c r="L1580" s="2">
        <v>43530.553298611114</v>
      </c>
      <c r="M1580" s="1">
        <f>_xlfn.DAYS(Table1[[#This Row],[actual_delivery_date]],Table1[[#This Row],[dispatch_date]])</f>
        <v>7</v>
      </c>
      <c r="N1580">
        <v>40</v>
      </c>
      <c r="O1580">
        <f>Table1[[#This Row],[transit_storage_cost]] * (1-'What -if Analysis'!$D$26)</f>
        <v>40</v>
      </c>
      <c r="P1580">
        <v>123</v>
      </c>
      <c r="Q1580">
        <v>1904.209691094442</v>
      </c>
    </row>
    <row r="1581" spans="1:17" x14ac:dyDescent="0.3">
      <c r="A1581">
        <v>590860</v>
      </c>
      <c r="B1581" s="1" t="s">
        <v>41</v>
      </c>
      <c r="C1581" s="1" t="s">
        <v>23</v>
      </c>
      <c r="D1581" s="1" t="s">
        <v>24</v>
      </c>
      <c r="E1581" s="1" t="s">
        <v>25</v>
      </c>
      <c r="F1581" s="1" t="s">
        <v>19</v>
      </c>
      <c r="G1581" s="1" t="s">
        <v>20</v>
      </c>
      <c r="H1581" t="s">
        <v>21</v>
      </c>
      <c r="I1581" s="1" t="s">
        <v>22</v>
      </c>
      <c r="J1581" s="2">
        <v>43530.558125000003</v>
      </c>
      <c r="K1581" s="2">
        <v>43534.558125000003</v>
      </c>
      <c r="L1581" s="2">
        <v>43534.558125000003</v>
      </c>
      <c r="M1581" s="1">
        <f>_xlfn.DAYS(Table1[[#This Row],[actual_delivery_date]],Table1[[#This Row],[dispatch_date]])</f>
        <v>4</v>
      </c>
      <c r="N1581">
        <v>61</v>
      </c>
      <c r="O1581">
        <f>Table1[[#This Row],[transit_storage_cost]] * (1-'What -if Analysis'!$D$26)</f>
        <v>61</v>
      </c>
      <c r="P1581">
        <v>107</v>
      </c>
      <c r="Q1581">
        <v>1619.8048245598732</v>
      </c>
    </row>
    <row r="1582" spans="1:17" x14ac:dyDescent="0.3">
      <c r="A1582">
        <v>120271</v>
      </c>
      <c r="B1582" s="1" t="s">
        <v>15</v>
      </c>
      <c r="C1582" s="1" t="s">
        <v>23</v>
      </c>
      <c r="D1582" s="1" t="s">
        <v>23</v>
      </c>
      <c r="E1582" s="1" t="s">
        <v>28</v>
      </c>
      <c r="F1582" s="1" t="s">
        <v>29</v>
      </c>
      <c r="G1582" s="1" t="s">
        <v>20</v>
      </c>
      <c r="H1582" t="s">
        <v>30</v>
      </c>
      <c r="I1582" s="1" t="s">
        <v>22</v>
      </c>
      <c r="J1582" s="2">
        <v>43529.559166666666</v>
      </c>
      <c r="K1582" s="2">
        <v>43534.559166666666</v>
      </c>
      <c r="L1582" s="2">
        <v>43535.559166666666</v>
      </c>
      <c r="M1582" s="1">
        <f>_xlfn.DAYS(Table1[[#This Row],[actual_delivery_date]],Table1[[#This Row],[dispatch_date]])</f>
        <v>5</v>
      </c>
      <c r="N1582">
        <v>0</v>
      </c>
      <c r="O1582">
        <f>Table1[[#This Row],[transit_storage_cost]] * (1-'What -if Analysis'!$D$26)</f>
        <v>0</v>
      </c>
      <c r="P1582">
        <v>125</v>
      </c>
      <c r="Q1582">
        <v>2200.232521699239</v>
      </c>
    </row>
    <row r="1583" spans="1:17" x14ac:dyDescent="0.3">
      <c r="A1583">
        <v>787897</v>
      </c>
      <c r="B1583" s="1" t="s">
        <v>39</v>
      </c>
      <c r="C1583" s="1" t="s">
        <v>16</v>
      </c>
      <c r="D1583" s="1" t="s">
        <v>17</v>
      </c>
      <c r="E1583" s="1" t="s">
        <v>18</v>
      </c>
      <c r="F1583" s="1" t="s">
        <v>29</v>
      </c>
      <c r="G1583" s="1" t="s">
        <v>20</v>
      </c>
      <c r="H1583" t="s">
        <v>30</v>
      </c>
      <c r="I1583" s="1" t="s">
        <v>22</v>
      </c>
      <c r="J1583" s="2">
        <v>43525.561099537037</v>
      </c>
      <c r="K1583" s="2">
        <v>43534.561099537037</v>
      </c>
      <c r="L1583" s="2">
        <v>43528.561099537037</v>
      </c>
      <c r="M1583" s="1">
        <f>_xlfn.DAYS(Table1[[#This Row],[actual_delivery_date]],Table1[[#This Row],[dispatch_date]])</f>
        <v>9</v>
      </c>
      <c r="N1583">
        <v>50</v>
      </c>
      <c r="O1583">
        <f>Table1[[#This Row],[transit_storage_cost]] * (1-'What -if Analysis'!$D$26)</f>
        <v>50</v>
      </c>
      <c r="P1583">
        <v>111</v>
      </c>
      <c r="Q1583">
        <v>2205.3838349550838</v>
      </c>
    </row>
    <row r="1584" spans="1:17" x14ac:dyDescent="0.3">
      <c r="A1584">
        <v>689839</v>
      </c>
      <c r="B1584" s="1" t="s">
        <v>39</v>
      </c>
      <c r="C1584" s="1" t="s">
        <v>16</v>
      </c>
      <c r="D1584" s="1" t="s">
        <v>17</v>
      </c>
      <c r="E1584" s="1" t="s">
        <v>18</v>
      </c>
      <c r="F1584" s="1" t="s">
        <v>29</v>
      </c>
      <c r="G1584" s="1" t="s">
        <v>20</v>
      </c>
      <c r="H1584" t="s">
        <v>30</v>
      </c>
      <c r="I1584" s="1" t="s">
        <v>22</v>
      </c>
      <c r="J1584" s="2">
        <v>43525.562152777777</v>
      </c>
      <c r="K1584" s="2">
        <v>43534.562152777777</v>
      </c>
      <c r="L1584" s="2">
        <v>43528.562152777777</v>
      </c>
      <c r="M1584" s="1">
        <f>_xlfn.DAYS(Table1[[#This Row],[actual_delivery_date]],Table1[[#This Row],[dispatch_date]])</f>
        <v>9</v>
      </c>
      <c r="N1584">
        <v>44</v>
      </c>
      <c r="O1584">
        <f>Table1[[#This Row],[transit_storage_cost]] * (1-'What -if Analysis'!$D$26)</f>
        <v>44</v>
      </c>
      <c r="P1584">
        <v>110</v>
      </c>
      <c r="Q1584">
        <v>2967.7822174474873</v>
      </c>
    </row>
    <row r="1585" spans="1:17" x14ac:dyDescent="0.3">
      <c r="A1585">
        <v>954478</v>
      </c>
      <c r="B1585" s="1" t="s">
        <v>37</v>
      </c>
      <c r="C1585" s="1" t="s">
        <v>16</v>
      </c>
      <c r="D1585" s="1" t="s">
        <v>23</v>
      </c>
      <c r="E1585" s="1" t="s">
        <v>28</v>
      </c>
      <c r="F1585" s="1" t="s">
        <v>31</v>
      </c>
      <c r="G1585" s="1" t="s">
        <v>20</v>
      </c>
      <c r="H1585" t="s">
        <v>21</v>
      </c>
      <c r="I1585" s="1" t="s">
        <v>22</v>
      </c>
      <c r="J1585" s="2">
        <v>43529.563391203701</v>
      </c>
      <c r="K1585" s="2">
        <v>43534.563391203701</v>
      </c>
      <c r="L1585" s="2">
        <v>43536.563391203701</v>
      </c>
      <c r="M1585" s="1">
        <f>_xlfn.DAYS(Table1[[#This Row],[actual_delivery_date]],Table1[[#This Row],[dispatch_date]])</f>
        <v>5</v>
      </c>
      <c r="N1585">
        <v>47</v>
      </c>
      <c r="O1585">
        <f>Table1[[#This Row],[transit_storage_cost]] * (1-'What -if Analysis'!$D$26)</f>
        <v>47</v>
      </c>
      <c r="P1585">
        <v>121</v>
      </c>
      <c r="Q1585">
        <v>1897.1241011093057</v>
      </c>
    </row>
    <row r="1586" spans="1:17" x14ac:dyDescent="0.3">
      <c r="A1586">
        <v>437955</v>
      </c>
      <c r="B1586" s="1" t="s">
        <v>39</v>
      </c>
      <c r="C1586" s="1" t="s">
        <v>16</v>
      </c>
      <c r="D1586" s="1" t="s">
        <v>32</v>
      </c>
      <c r="E1586" s="1" t="s">
        <v>33</v>
      </c>
      <c r="F1586" s="1" t="s">
        <v>29</v>
      </c>
      <c r="G1586" s="1" t="s">
        <v>20</v>
      </c>
      <c r="H1586" t="s">
        <v>34</v>
      </c>
      <c r="I1586" s="1" t="s">
        <v>26</v>
      </c>
      <c r="J1586" s="2">
        <v>43532.565150462964</v>
      </c>
      <c r="K1586" s="2">
        <v>43534.565150462964</v>
      </c>
      <c r="L1586" s="2">
        <v>43539.565150462964</v>
      </c>
      <c r="M1586" s="1">
        <f>_xlfn.DAYS(Table1[[#This Row],[actual_delivery_date]],Table1[[#This Row],[dispatch_date]])</f>
        <v>2</v>
      </c>
      <c r="N1586">
        <v>9999</v>
      </c>
      <c r="O1586">
        <f>Table1[[#This Row],[transit_storage_cost]] * (1-'What -if Analysis'!$D$26)</f>
        <v>9999</v>
      </c>
      <c r="P1586">
        <v>108</v>
      </c>
      <c r="Q1586">
        <v>1105.8623386476193</v>
      </c>
    </row>
    <row r="1587" spans="1:17" x14ac:dyDescent="0.3">
      <c r="A1587">
        <v>283229</v>
      </c>
      <c r="B1587" s="1" t="s">
        <v>37</v>
      </c>
      <c r="C1587" s="1" t="s">
        <v>16</v>
      </c>
      <c r="D1587" s="1" t="s">
        <v>23</v>
      </c>
      <c r="E1587" s="1" t="s">
        <v>28</v>
      </c>
      <c r="F1587" s="1" t="s">
        <v>19</v>
      </c>
      <c r="G1587" s="1" t="s">
        <v>20</v>
      </c>
      <c r="H1587" t="s">
        <v>30</v>
      </c>
      <c r="I1587" s="1" t="s">
        <v>22</v>
      </c>
      <c r="J1587" s="2">
        <v>43532.565706018519</v>
      </c>
      <c r="K1587" s="2">
        <v>43534.565706018519</v>
      </c>
      <c r="L1587" s="2">
        <v>43535.565706018519</v>
      </c>
      <c r="M1587" s="1">
        <f>_xlfn.DAYS(Table1[[#This Row],[actual_delivery_date]],Table1[[#This Row],[dispatch_date]])</f>
        <v>2</v>
      </c>
      <c r="N1587">
        <v>84</v>
      </c>
      <c r="O1587">
        <f>Table1[[#This Row],[transit_storage_cost]] * (1-'What -if Analysis'!$D$26)</f>
        <v>84</v>
      </c>
      <c r="P1587">
        <v>102</v>
      </c>
      <c r="Q1587">
        <v>2933</v>
      </c>
    </row>
    <row r="1588" spans="1:17" x14ac:dyDescent="0.3">
      <c r="A1588">
        <v>436721</v>
      </c>
      <c r="B1588" s="1" t="s">
        <v>37</v>
      </c>
      <c r="C1588" s="1" t="s">
        <v>23</v>
      </c>
      <c r="D1588" s="1" t="s">
        <v>17</v>
      </c>
      <c r="E1588" s="1" t="s">
        <v>18</v>
      </c>
      <c r="F1588" s="1" t="s">
        <v>29</v>
      </c>
      <c r="G1588" s="1" t="s">
        <v>20</v>
      </c>
      <c r="H1588" t="s">
        <v>30</v>
      </c>
      <c r="I1588" s="1" t="s">
        <v>22</v>
      </c>
      <c r="J1588" s="2">
        <v>43531.572384259256</v>
      </c>
      <c r="K1588" s="2">
        <v>43534.572384259256</v>
      </c>
      <c r="L1588" s="2">
        <v>43534.572384259256</v>
      </c>
      <c r="M1588" s="1">
        <f>_xlfn.DAYS(Table1[[#This Row],[actual_delivery_date]],Table1[[#This Row],[dispatch_date]])</f>
        <v>3</v>
      </c>
      <c r="N1588">
        <v>47</v>
      </c>
      <c r="O1588">
        <f>Table1[[#This Row],[transit_storage_cost]] * (1-'What -if Analysis'!$D$26)</f>
        <v>47</v>
      </c>
      <c r="P1588">
        <v>109</v>
      </c>
      <c r="Q1588">
        <v>820</v>
      </c>
    </row>
    <row r="1589" spans="1:17" x14ac:dyDescent="0.3">
      <c r="A1589">
        <v>971658</v>
      </c>
      <c r="B1589" s="1" t="s">
        <v>37</v>
      </c>
      <c r="C1589" s="1" t="s">
        <v>23</v>
      </c>
      <c r="D1589" s="1" t="s">
        <v>17</v>
      </c>
      <c r="E1589" s="1" t="s">
        <v>18</v>
      </c>
      <c r="F1589" s="1" t="s">
        <v>31</v>
      </c>
      <c r="G1589" s="1" t="s">
        <v>20</v>
      </c>
      <c r="H1589" t="s">
        <v>21</v>
      </c>
      <c r="I1589" s="1" t="s">
        <v>26</v>
      </c>
      <c r="J1589" s="2">
        <v>43525.578506944446</v>
      </c>
      <c r="K1589" s="2">
        <v>43534.578506944446</v>
      </c>
      <c r="L1589" s="2">
        <v>43528.578506944446</v>
      </c>
      <c r="M1589" s="1">
        <f>_xlfn.DAYS(Table1[[#This Row],[actual_delivery_date]],Table1[[#This Row],[dispatch_date]])</f>
        <v>9</v>
      </c>
      <c r="N1589">
        <v>38</v>
      </c>
      <c r="O1589">
        <f>Table1[[#This Row],[transit_storage_cost]] * (1-'What -if Analysis'!$D$26)</f>
        <v>38</v>
      </c>
      <c r="P1589">
        <v>109</v>
      </c>
      <c r="Q1589">
        <v>216.82</v>
      </c>
    </row>
    <row r="1590" spans="1:17" x14ac:dyDescent="0.3">
      <c r="A1590">
        <v>839507</v>
      </c>
      <c r="B1590" s="1" t="s">
        <v>40</v>
      </c>
      <c r="C1590" s="1" t="s">
        <v>16</v>
      </c>
      <c r="D1590" s="1" t="s">
        <v>16</v>
      </c>
      <c r="E1590" s="1" t="s">
        <v>27</v>
      </c>
      <c r="F1590" s="1" t="s">
        <v>19</v>
      </c>
      <c r="G1590" s="1" t="s">
        <v>20</v>
      </c>
      <c r="H1590" t="s">
        <v>30</v>
      </c>
      <c r="I1590" s="1" t="s">
        <v>22</v>
      </c>
      <c r="J1590" s="2">
        <v>43529.581342592595</v>
      </c>
      <c r="K1590" s="2">
        <v>43534.581342592595</v>
      </c>
      <c r="L1590" s="2">
        <v>43533.581342592595</v>
      </c>
      <c r="M1590" s="1">
        <f>_xlfn.DAYS(Table1[[#This Row],[actual_delivery_date]],Table1[[#This Row],[dispatch_date]])</f>
        <v>5</v>
      </c>
      <c r="N1590">
        <v>0</v>
      </c>
      <c r="O1590">
        <f>Table1[[#This Row],[transit_storage_cost]] * (1-'What -if Analysis'!$D$26)</f>
        <v>0</v>
      </c>
      <c r="P1590">
        <v>107</v>
      </c>
      <c r="Q1590">
        <v>1132.9529150566643</v>
      </c>
    </row>
    <row r="1591" spans="1:17" x14ac:dyDescent="0.3">
      <c r="A1591">
        <v>33483</v>
      </c>
      <c r="B1591" s="1" t="s">
        <v>38</v>
      </c>
      <c r="C1591" s="1" t="s">
        <v>16</v>
      </c>
      <c r="D1591" s="1" t="s">
        <v>16</v>
      </c>
      <c r="E1591" s="1" t="s">
        <v>27</v>
      </c>
      <c r="F1591" s="1" t="s">
        <v>29</v>
      </c>
      <c r="G1591" s="1" t="s">
        <v>20</v>
      </c>
      <c r="H1591" t="s">
        <v>30</v>
      </c>
      <c r="I1591" s="1" t="s">
        <v>26</v>
      </c>
      <c r="J1591" s="2">
        <v>43531.58556712963</v>
      </c>
      <c r="K1591" s="2">
        <v>43534.58556712963</v>
      </c>
      <c r="L1591" s="2">
        <v>43538.58556712963</v>
      </c>
      <c r="M1591" s="1">
        <f>_xlfn.DAYS(Table1[[#This Row],[actual_delivery_date]],Table1[[#This Row],[dispatch_date]])</f>
        <v>3</v>
      </c>
      <c r="N1591">
        <v>0</v>
      </c>
      <c r="O1591">
        <f>Table1[[#This Row],[transit_storage_cost]] * (1-'What -if Analysis'!$D$26)</f>
        <v>0</v>
      </c>
      <c r="P1591">
        <v>129</v>
      </c>
      <c r="Q1591">
        <v>2751.3889567063416</v>
      </c>
    </row>
    <row r="1592" spans="1:17" x14ac:dyDescent="0.3">
      <c r="A1592">
        <v>31668</v>
      </c>
      <c r="B1592" s="1" t="s">
        <v>37</v>
      </c>
      <c r="C1592" s="1" t="s">
        <v>16</v>
      </c>
      <c r="D1592" s="1" t="s">
        <v>16</v>
      </c>
      <c r="E1592" s="1" t="s">
        <v>27</v>
      </c>
      <c r="F1592" s="1" t="s">
        <v>19</v>
      </c>
      <c r="G1592" s="1" t="s">
        <v>20</v>
      </c>
      <c r="H1592" t="s">
        <v>21</v>
      </c>
      <c r="I1592" s="1" t="s">
        <v>26</v>
      </c>
      <c r="J1592" s="2">
        <v>43532.58699074074</v>
      </c>
      <c r="K1592" s="2">
        <v>43534.58699074074</v>
      </c>
      <c r="L1592" s="2">
        <v>43536.58699074074</v>
      </c>
      <c r="M1592" s="1">
        <f>_xlfn.DAYS(Table1[[#This Row],[actual_delivery_date]],Table1[[#This Row],[dispatch_date]])</f>
        <v>2</v>
      </c>
      <c r="N1592">
        <v>0</v>
      </c>
      <c r="O1592">
        <f>Table1[[#This Row],[transit_storage_cost]] * (1-'What -if Analysis'!$D$26)</f>
        <v>0</v>
      </c>
      <c r="P1592">
        <v>123</v>
      </c>
      <c r="Q1592">
        <v>2642</v>
      </c>
    </row>
    <row r="1593" spans="1:17" x14ac:dyDescent="0.3">
      <c r="A1593">
        <v>690151</v>
      </c>
      <c r="B1593" s="1" t="s">
        <v>39</v>
      </c>
      <c r="C1593" s="1" t="s">
        <v>16</v>
      </c>
      <c r="D1593" s="1" t="s">
        <v>17</v>
      </c>
      <c r="E1593" s="1" t="s">
        <v>18</v>
      </c>
      <c r="F1593" s="1" t="s">
        <v>29</v>
      </c>
      <c r="G1593" s="1" t="s">
        <v>20</v>
      </c>
      <c r="H1593" t="s">
        <v>34</v>
      </c>
      <c r="I1593" s="1" t="s">
        <v>22</v>
      </c>
      <c r="J1593" s="2">
        <v>43528.593148148146</v>
      </c>
      <c r="K1593" s="2">
        <v>43534.593148148146</v>
      </c>
      <c r="L1593" s="2">
        <v>43532.593148148146</v>
      </c>
      <c r="M1593" s="1">
        <f>_xlfn.DAYS(Table1[[#This Row],[actual_delivery_date]],Table1[[#This Row],[dispatch_date]])</f>
        <v>6</v>
      </c>
      <c r="N1593">
        <v>47</v>
      </c>
      <c r="O1593">
        <f>Table1[[#This Row],[transit_storage_cost]] * (1-'What -if Analysis'!$D$26)</f>
        <v>47</v>
      </c>
      <c r="P1593">
        <v>112</v>
      </c>
      <c r="Q1593">
        <v>1013.775528868932</v>
      </c>
    </row>
    <row r="1594" spans="1:17" x14ac:dyDescent="0.3">
      <c r="A1594">
        <v>53287</v>
      </c>
      <c r="B1594" s="1" t="s">
        <v>37</v>
      </c>
      <c r="C1594" s="1" t="s">
        <v>16</v>
      </c>
      <c r="D1594" s="1" t="s">
        <v>17</v>
      </c>
      <c r="E1594" s="1" t="s">
        <v>18</v>
      </c>
      <c r="F1594" s="1" t="s">
        <v>29</v>
      </c>
      <c r="G1594" s="1" t="s">
        <v>20</v>
      </c>
      <c r="H1594" t="s">
        <v>30</v>
      </c>
      <c r="I1594" s="1" t="s">
        <v>22</v>
      </c>
      <c r="J1594" s="2">
        <v>43525.598437499997</v>
      </c>
      <c r="K1594" s="2">
        <v>43534.598437499997</v>
      </c>
      <c r="L1594" s="2">
        <v>43529.598437499997</v>
      </c>
      <c r="M1594" s="1">
        <f>_xlfn.DAYS(Table1[[#This Row],[actual_delivery_date]],Table1[[#This Row],[dispatch_date]])</f>
        <v>9</v>
      </c>
      <c r="N1594">
        <v>25</v>
      </c>
      <c r="O1594">
        <f>Table1[[#This Row],[transit_storage_cost]] * (1-'What -if Analysis'!$D$26)</f>
        <v>25</v>
      </c>
      <c r="P1594">
        <v>105</v>
      </c>
      <c r="Q1594">
        <v>405.46276358726283</v>
      </c>
    </row>
    <row r="1595" spans="1:17" x14ac:dyDescent="0.3">
      <c r="A1595">
        <v>291925</v>
      </c>
      <c r="B1595" s="1" t="s">
        <v>15</v>
      </c>
      <c r="C1595" s="1" t="s">
        <v>16</v>
      </c>
      <c r="D1595" s="1" t="s">
        <v>16</v>
      </c>
      <c r="E1595" s="1" t="s">
        <v>27</v>
      </c>
      <c r="F1595" s="1" t="s">
        <v>19</v>
      </c>
      <c r="G1595" s="1" t="s">
        <v>20</v>
      </c>
      <c r="H1595" t="s">
        <v>30</v>
      </c>
      <c r="I1595" s="1" t="s">
        <v>22</v>
      </c>
      <c r="J1595" s="2">
        <v>43534.606840277775</v>
      </c>
      <c r="K1595" s="2">
        <v>43534.606840277775</v>
      </c>
      <c r="L1595" s="2">
        <v>43537.606840277775</v>
      </c>
      <c r="M1595" s="1">
        <f>_xlfn.DAYS(Table1[[#This Row],[actual_delivery_date]],Table1[[#This Row],[dispatch_date]])</f>
        <v>0</v>
      </c>
      <c r="N1595">
        <v>0</v>
      </c>
      <c r="O1595">
        <f>Table1[[#This Row],[transit_storage_cost]] * (1-'What -if Analysis'!$D$26)</f>
        <v>0</v>
      </c>
      <c r="P1595">
        <v>108</v>
      </c>
      <c r="Q1595">
        <v>1150.3231807789698</v>
      </c>
    </row>
    <row r="1596" spans="1:17" x14ac:dyDescent="0.3">
      <c r="A1596">
        <v>384739</v>
      </c>
      <c r="B1596" s="1" t="s">
        <v>38</v>
      </c>
      <c r="C1596" s="1" t="s">
        <v>23</v>
      </c>
      <c r="D1596" s="1" t="s">
        <v>32</v>
      </c>
      <c r="E1596" s="1" t="s">
        <v>33</v>
      </c>
      <c r="F1596" s="1" t="s">
        <v>19</v>
      </c>
      <c r="G1596" s="1" t="s">
        <v>20</v>
      </c>
      <c r="H1596" t="s">
        <v>30</v>
      </c>
      <c r="I1596" s="1" t="s">
        <v>22</v>
      </c>
      <c r="J1596" s="2">
        <v>43530.613287037035</v>
      </c>
      <c r="K1596" s="2">
        <v>43534.613287037035</v>
      </c>
      <c r="L1596" s="2">
        <v>43535.613287037035</v>
      </c>
      <c r="M1596" s="1">
        <f>_xlfn.DAYS(Table1[[#This Row],[actual_delivery_date]],Table1[[#This Row],[dispatch_date]])</f>
        <v>4</v>
      </c>
      <c r="N1596">
        <v>69</v>
      </c>
      <c r="O1596">
        <f>Table1[[#This Row],[transit_storage_cost]] * (1-'What -if Analysis'!$D$26)</f>
        <v>69</v>
      </c>
      <c r="P1596">
        <v>87</v>
      </c>
      <c r="Q1596">
        <v>3641.914192241667</v>
      </c>
    </row>
    <row r="1597" spans="1:17" x14ac:dyDescent="0.3">
      <c r="A1597">
        <v>276052</v>
      </c>
      <c r="B1597" s="1" t="s">
        <v>39</v>
      </c>
      <c r="C1597" s="1" t="s">
        <v>23</v>
      </c>
      <c r="D1597" s="1" t="s">
        <v>17</v>
      </c>
      <c r="E1597" s="1" t="s">
        <v>18</v>
      </c>
      <c r="F1597" s="1" t="s">
        <v>19</v>
      </c>
      <c r="G1597" s="1" t="s">
        <v>20</v>
      </c>
      <c r="H1597" t="s">
        <v>21</v>
      </c>
      <c r="I1597" s="1" t="s">
        <v>22</v>
      </c>
      <c r="J1597" s="2">
        <v>43532.618171296293</v>
      </c>
      <c r="K1597" s="2">
        <v>43534.618171296293</v>
      </c>
      <c r="L1597" s="2">
        <v>43539.618171296293</v>
      </c>
      <c r="M1597" s="1">
        <f>_xlfn.DAYS(Table1[[#This Row],[actual_delivery_date]],Table1[[#This Row],[dispatch_date]])</f>
        <v>2</v>
      </c>
      <c r="N1597">
        <v>34</v>
      </c>
      <c r="O1597">
        <f>Table1[[#This Row],[transit_storage_cost]] * (1-'What -if Analysis'!$D$26)</f>
        <v>34</v>
      </c>
      <c r="P1597">
        <v>107</v>
      </c>
      <c r="Q1597">
        <v>294</v>
      </c>
    </row>
    <row r="1598" spans="1:17" x14ac:dyDescent="0.3">
      <c r="A1598">
        <v>6045</v>
      </c>
      <c r="B1598" s="1" t="s">
        <v>38</v>
      </c>
      <c r="C1598" s="1" t="s">
        <v>23</v>
      </c>
      <c r="D1598" s="1" t="s">
        <v>16</v>
      </c>
      <c r="E1598" s="1" t="s">
        <v>27</v>
      </c>
      <c r="F1598" s="1" t="s">
        <v>29</v>
      </c>
      <c r="G1598" s="1" t="s">
        <v>20</v>
      </c>
      <c r="H1598" t="s">
        <v>30</v>
      </c>
      <c r="I1598" s="1" t="s">
        <v>26</v>
      </c>
      <c r="J1598" s="2">
        <v>43531.619699074072</v>
      </c>
      <c r="K1598" s="2">
        <v>43534.619699074072</v>
      </c>
      <c r="L1598" s="2">
        <v>43538.619699074072</v>
      </c>
      <c r="M1598" s="1">
        <f>_xlfn.DAYS(Table1[[#This Row],[actual_delivery_date]],Table1[[#This Row],[dispatch_date]])</f>
        <v>3</v>
      </c>
      <c r="N1598">
        <v>31</v>
      </c>
      <c r="O1598">
        <f>Table1[[#This Row],[transit_storage_cost]] * (1-'What -if Analysis'!$D$26)</f>
        <v>31</v>
      </c>
      <c r="P1598">
        <v>121</v>
      </c>
      <c r="Q1598">
        <v>759.97457837501099</v>
      </c>
    </row>
    <row r="1599" spans="1:17" x14ac:dyDescent="0.3">
      <c r="A1599">
        <v>938922</v>
      </c>
      <c r="B1599" s="1" t="s">
        <v>38</v>
      </c>
      <c r="C1599" s="1" t="s">
        <v>16</v>
      </c>
      <c r="D1599" s="1" t="s">
        <v>24</v>
      </c>
      <c r="E1599" s="1" t="s">
        <v>25</v>
      </c>
      <c r="F1599" s="1" t="s">
        <v>19</v>
      </c>
      <c r="G1599" s="1" t="s">
        <v>20</v>
      </c>
      <c r="H1599" t="s">
        <v>21</v>
      </c>
      <c r="I1599" s="1" t="s">
        <v>26</v>
      </c>
      <c r="J1599" s="2">
        <v>43529.625219907408</v>
      </c>
      <c r="K1599" s="2">
        <v>43534.625219907408</v>
      </c>
      <c r="L1599" s="2">
        <v>43536.625219907408</v>
      </c>
      <c r="M1599" s="1">
        <f>_xlfn.DAYS(Table1[[#This Row],[actual_delivery_date]],Table1[[#This Row],[dispatch_date]])</f>
        <v>5</v>
      </c>
      <c r="N1599">
        <v>66</v>
      </c>
      <c r="O1599">
        <f>Table1[[#This Row],[transit_storage_cost]] * (1-'What -if Analysis'!$D$26)</f>
        <v>66</v>
      </c>
      <c r="P1599">
        <v>105</v>
      </c>
      <c r="Q1599">
        <v>2350.73</v>
      </c>
    </row>
    <row r="1600" spans="1:17" x14ac:dyDescent="0.3">
      <c r="A1600">
        <v>467940</v>
      </c>
      <c r="B1600" s="1" t="s">
        <v>37</v>
      </c>
      <c r="C1600" s="1" t="s">
        <v>23</v>
      </c>
      <c r="D1600" s="1" t="s">
        <v>32</v>
      </c>
      <c r="E1600" s="1" t="s">
        <v>33</v>
      </c>
      <c r="F1600" s="1" t="s">
        <v>19</v>
      </c>
      <c r="G1600" s="1" t="s">
        <v>20</v>
      </c>
      <c r="H1600" t="s">
        <v>21</v>
      </c>
      <c r="I1600" s="1" t="s">
        <v>26</v>
      </c>
      <c r="J1600" s="2">
        <v>43528.627488425926</v>
      </c>
      <c r="K1600" s="2">
        <v>43534.627488425926</v>
      </c>
      <c r="L1600" s="2">
        <v>43532.627488425926</v>
      </c>
      <c r="M1600" s="1">
        <f>_xlfn.DAYS(Table1[[#This Row],[actual_delivery_date]],Table1[[#This Row],[dispatch_date]])</f>
        <v>6</v>
      </c>
      <c r="N1600">
        <v>64</v>
      </c>
      <c r="O1600">
        <f>Table1[[#This Row],[transit_storage_cost]] * (1-'What -if Analysis'!$D$26)</f>
        <v>64</v>
      </c>
      <c r="P1600">
        <v>91</v>
      </c>
      <c r="Q1600">
        <v>1119.53</v>
      </c>
    </row>
    <row r="1601" spans="1:17" x14ac:dyDescent="0.3">
      <c r="A1601">
        <v>203843</v>
      </c>
      <c r="B1601" s="1" t="s">
        <v>38</v>
      </c>
      <c r="C1601" s="1" t="s">
        <v>16</v>
      </c>
      <c r="D1601" s="1" t="s">
        <v>16</v>
      </c>
      <c r="E1601" s="1" t="s">
        <v>27</v>
      </c>
      <c r="F1601" s="1" t="s">
        <v>19</v>
      </c>
      <c r="G1601" s="1" t="s">
        <v>20</v>
      </c>
      <c r="H1601" t="s">
        <v>30</v>
      </c>
      <c r="I1601" s="1" t="s">
        <v>22</v>
      </c>
      <c r="J1601" s="2">
        <v>43534.630057870374</v>
      </c>
      <c r="K1601" s="2">
        <v>43534.630057870374</v>
      </c>
      <c r="L1601" s="2">
        <v>43540.630057870374</v>
      </c>
      <c r="M1601" s="1">
        <f>_xlfn.DAYS(Table1[[#This Row],[actual_delivery_date]],Table1[[#This Row],[dispatch_date]])</f>
        <v>0</v>
      </c>
      <c r="N1601">
        <v>0</v>
      </c>
      <c r="O1601">
        <f>Table1[[#This Row],[transit_storage_cost]] * (1-'What -if Analysis'!$D$26)</f>
        <v>0</v>
      </c>
      <c r="P1601">
        <v>103</v>
      </c>
      <c r="Q1601">
        <v>1005.8991922836182</v>
      </c>
    </row>
    <row r="1602" spans="1:17" x14ac:dyDescent="0.3">
      <c r="A1602">
        <v>272960</v>
      </c>
      <c r="B1602" s="1" t="s">
        <v>41</v>
      </c>
      <c r="C1602" s="1" t="s">
        <v>16</v>
      </c>
      <c r="D1602" s="1" t="s">
        <v>16</v>
      </c>
      <c r="E1602" s="1" t="s">
        <v>27</v>
      </c>
      <c r="F1602" s="1" t="s">
        <v>19</v>
      </c>
      <c r="G1602" s="1" t="s">
        <v>20</v>
      </c>
      <c r="H1602" t="s">
        <v>21</v>
      </c>
      <c r="I1602" s="1" t="s">
        <v>22</v>
      </c>
      <c r="J1602" s="2">
        <v>43532.640266203707</v>
      </c>
      <c r="K1602" s="2">
        <v>43534.640266203707</v>
      </c>
      <c r="L1602" s="2">
        <v>43539.640266203707</v>
      </c>
      <c r="M1602" s="1">
        <f>_xlfn.DAYS(Table1[[#This Row],[actual_delivery_date]],Table1[[#This Row],[dispatch_date]])</f>
        <v>2</v>
      </c>
      <c r="N1602">
        <v>0</v>
      </c>
      <c r="O1602">
        <f>Table1[[#This Row],[transit_storage_cost]] * (1-'What -if Analysis'!$D$26)</f>
        <v>0</v>
      </c>
      <c r="P1602">
        <v>127</v>
      </c>
      <c r="Q1602">
        <v>1832.3804743753265</v>
      </c>
    </row>
    <row r="1603" spans="1:17" x14ac:dyDescent="0.3">
      <c r="A1603">
        <v>272237</v>
      </c>
      <c r="B1603" s="1" t="s">
        <v>37</v>
      </c>
      <c r="C1603" s="1" t="s">
        <v>23</v>
      </c>
      <c r="D1603" s="1" t="s">
        <v>32</v>
      </c>
      <c r="E1603" s="1" t="s">
        <v>33</v>
      </c>
      <c r="F1603" s="1" t="s">
        <v>19</v>
      </c>
      <c r="G1603" s="1" t="s">
        <v>20</v>
      </c>
      <c r="H1603" t="s">
        <v>34</v>
      </c>
      <c r="I1603" s="1" t="s">
        <v>22</v>
      </c>
      <c r="J1603" s="2">
        <v>43528.641770833332</v>
      </c>
      <c r="K1603" s="2">
        <v>43534.641770833332</v>
      </c>
      <c r="L1603" s="2">
        <v>43531.641770833332</v>
      </c>
      <c r="M1603" s="1">
        <f>_xlfn.DAYS(Table1[[#This Row],[actual_delivery_date]],Table1[[#This Row],[dispatch_date]])</f>
        <v>6</v>
      </c>
      <c r="N1603">
        <v>67</v>
      </c>
      <c r="O1603">
        <f>Table1[[#This Row],[transit_storage_cost]] * (1-'What -if Analysis'!$D$26)</f>
        <v>67</v>
      </c>
      <c r="P1603">
        <v>92</v>
      </c>
      <c r="Q1603">
        <v>3637.9696706780855</v>
      </c>
    </row>
    <row r="1604" spans="1:17" x14ac:dyDescent="0.3">
      <c r="A1604">
        <v>289035</v>
      </c>
      <c r="B1604" s="1" t="s">
        <v>15</v>
      </c>
      <c r="C1604" s="1" t="s">
        <v>16</v>
      </c>
      <c r="D1604" s="1" t="s">
        <v>32</v>
      </c>
      <c r="E1604" s="1" t="s">
        <v>33</v>
      </c>
      <c r="F1604" s="1" t="s">
        <v>29</v>
      </c>
      <c r="G1604" s="1" t="s">
        <v>20</v>
      </c>
      <c r="H1604" t="s">
        <v>30</v>
      </c>
      <c r="I1604" s="1" t="s">
        <v>26</v>
      </c>
      <c r="J1604" s="2">
        <v>43532.642430555556</v>
      </c>
      <c r="K1604" s="2">
        <v>43534.642430555556</v>
      </c>
      <c r="L1604" s="2">
        <v>43538.642430555556</v>
      </c>
      <c r="M1604" s="1">
        <f>_xlfn.DAYS(Table1[[#This Row],[actual_delivery_date]],Table1[[#This Row],[dispatch_date]])</f>
        <v>2</v>
      </c>
      <c r="N1604">
        <v>49</v>
      </c>
      <c r="O1604">
        <f>Table1[[#This Row],[transit_storage_cost]] * (1-'What -if Analysis'!$D$26)</f>
        <v>49</v>
      </c>
      <c r="P1604">
        <v>112</v>
      </c>
      <c r="Q1604">
        <v>901.05854131090427</v>
      </c>
    </row>
    <row r="1605" spans="1:17" x14ac:dyDescent="0.3">
      <c r="A1605">
        <v>802952</v>
      </c>
      <c r="B1605" s="1" t="s">
        <v>15</v>
      </c>
      <c r="C1605" s="1" t="s">
        <v>16</v>
      </c>
      <c r="D1605" s="1" t="s">
        <v>16</v>
      </c>
      <c r="E1605" s="1" t="s">
        <v>27</v>
      </c>
      <c r="F1605" s="1" t="s">
        <v>19</v>
      </c>
      <c r="G1605" s="1" t="s">
        <v>20</v>
      </c>
      <c r="H1605" t="s">
        <v>21</v>
      </c>
      <c r="I1605" s="1" t="s">
        <v>22</v>
      </c>
      <c r="J1605" s="2">
        <v>43529.64271990741</v>
      </c>
      <c r="K1605" s="2">
        <v>43534.64271990741</v>
      </c>
      <c r="L1605" s="2">
        <v>43533.64271990741</v>
      </c>
      <c r="M1605" s="1">
        <f>_xlfn.DAYS(Table1[[#This Row],[actual_delivery_date]],Table1[[#This Row],[dispatch_date]])</f>
        <v>5</v>
      </c>
      <c r="N1605">
        <v>0</v>
      </c>
      <c r="O1605">
        <f>Table1[[#This Row],[transit_storage_cost]] * (1-'What -if Analysis'!$D$26)</f>
        <v>0</v>
      </c>
      <c r="P1605">
        <v>127</v>
      </c>
      <c r="Q1605">
        <v>2264.1118580621628</v>
      </c>
    </row>
    <row r="1606" spans="1:17" x14ac:dyDescent="0.3">
      <c r="A1606">
        <v>603220</v>
      </c>
      <c r="B1606" s="1" t="s">
        <v>38</v>
      </c>
      <c r="C1606" s="1" t="s">
        <v>16</v>
      </c>
      <c r="D1606" s="1" t="s">
        <v>24</v>
      </c>
      <c r="E1606" s="1" t="s">
        <v>25</v>
      </c>
      <c r="F1606" s="1" t="s">
        <v>19</v>
      </c>
      <c r="G1606" s="1" t="s">
        <v>20</v>
      </c>
      <c r="H1606" t="s">
        <v>21</v>
      </c>
      <c r="I1606" s="1" t="s">
        <v>22</v>
      </c>
      <c r="J1606" s="2">
        <v>43527.643645833334</v>
      </c>
      <c r="K1606" s="2">
        <v>43534.643645833334</v>
      </c>
      <c r="L1606" s="2">
        <v>43531.643645833334</v>
      </c>
      <c r="M1606" s="1">
        <f>_xlfn.DAYS(Table1[[#This Row],[actual_delivery_date]],Table1[[#This Row],[dispatch_date]])</f>
        <v>7</v>
      </c>
      <c r="N1606">
        <v>47</v>
      </c>
      <c r="O1606">
        <f>Table1[[#This Row],[transit_storage_cost]] * (1-'What -if Analysis'!$D$26)</f>
        <v>47</v>
      </c>
      <c r="P1606">
        <v>122</v>
      </c>
      <c r="Q1606">
        <v>1527.4006577400028</v>
      </c>
    </row>
    <row r="1607" spans="1:17" x14ac:dyDescent="0.3">
      <c r="A1607">
        <v>828436</v>
      </c>
      <c r="B1607" s="1" t="s">
        <v>37</v>
      </c>
      <c r="C1607" s="1" t="s">
        <v>23</v>
      </c>
      <c r="D1607" s="1" t="s">
        <v>23</v>
      </c>
      <c r="E1607" s="1" t="s">
        <v>28</v>
      </c>
      <c r="F1607" s="1" t="s">
        <v>19</v>
      </c>
      <c r="G1607" s="1" t="s">
        <v>20</v>
      </c>
      <c r="H1607" t="s">
        <v>21</v>
      </c>
      <c r="I1607" s="1" t="s">
        <v>22</v>
      </c>
      <c r="J1607" s="2">
        <v>43533.656064814815</v>
      </c>
      <c r="K1607" s="2">
        <v>43534.656064814815</v>
      </c>
      <c r="L1607" s="2">
        <v>43537.656064814815</v>
      </c>
      <c r="M1607" s="1">
        <f>_xlfn.DAYS(Table1[[#This Row],[actual_delivery_date]],Table1[[#This Row],[dispatch_date]])</f>
        <v>1</v>
      </c>
      <c r="N1607">
        <v>0</v>
      </c>
      <c r="O1607">
        <f>Table1[[#This Row],[transit_storage_cost]] * (1-'What -if Analysis'!$D$26)</f>
        <v>0</v>
      </c>
      <c r="P1607">
        <v>107</v>
      </c>
      <c r="Q1607">
        <v>385</v>
      </c>
    </row>
    <row r="1608" spans="1:17" x14ac:dyDescent="0.3">
      <c r="A1608">
        <v>511497</v>
      </c>
      <c r="B1608" s="1" t="s">
        <v>37</v>
      </c>
      <c r="C1608" s="1" t="s">
        <v>23</v>
      </c>
      <c r="D1608" s="1" t="s">
        <v>23</v>
      </c>
      <c r="E1608" s="1" t="s">
        <v>28</v>
      </c>
      <c r="F1608" s="1" t="s">
        <v>29</v>
      </c>
      <c r="G1608" s="1" t="s">
        <v>20</v>
      </c>
      <c r="H1608" t="s">
        <v>34</v>
      </c>
      <c r="I1608" s="1" t="s">
        <v>26</v>
      </c>
      <c r="J1608" s="2">
        <v>43532.657500000001</v>
      </c>
      <c r="K1608" s="2">
        <v>43534.657500000001</v>
      </c>
      <c r="L1608" s="2">
        <v>43539.657500000001</v>
      </c>
      <c r="M1608" s="1">
        <f>_xlfn.DAYS(Table1[[#This Row],[actual_delivery_date]],Table1[[#This Row],[dispatch_date]])</f>
        <v>2</v>
      </c>
      <c r="N1608">
        <v>0</v>
      </c>
      <c r="O1608">
        <f>Table1[[#This Row],[transit_storage_cost]] * (1-'What -if Analysis'!$D$26)</f>
        <v>0</v>
      </c>
      <c r="P1608">
        <v>121</v>
      </c>
      <c r="Q1608">
        <v>2370.6064670901892</v>
      </c>
    </row>
    <row r="1609" spans="1:17" x14ac:dyDescent="0.3">
      <c r="A1609">
        <v>158648</v>
      </c>
      <c r="B1609" s="1" t="s">
        <v>38</v>
      </c>
      <c r="C1609" s="1" t="s">
        <v>16</v>
      </c>
      <c r="D1609" s="1" t="s">
        <v>16</v>
      </c>
      <c r="E1609" s="1" t="s">
        <v>27</v>
      </c>
      <c r="F1609" s="1" t="s">
        <v>19</v>
      </c>
      <c r="G1609" s="1" t="s">
        <v>20</v>
      </c>
      <c r="H1609" t="s">
        <v>21</v>
      </c>
      <c r="I1609" s="1" t="s">
        <v>22</v>
      </c>
      <c r="J1609" s="2">
        <v>43531.663055555553</v>
      </c>
      <c r="K1609" s="2">
        <v>43534.663055555553</v>
      </c>
      <c r="L1609" s="2">
        <v>43535.663055555553</v>
      </c>
      <c r="M1609" s="1">
        <f>_xlfn.DAYS(Table1[[#This Row],[actual_delivery_date]],Table1[[#This Row],[dispatch_date]])</f>
        <v>3</v>
      </c>
      <c r="N1609">
        <v>0</v>
      </c>
      <c r="O1609">
        <f>Table1[[#This Row],[transit_storage_cost]] * (1-'What -if Analysis'!$D$26)</f>
        <v>0</v>
      </c>
      <c r="P1609">
        <v>128</v>
      </c>
      <c r="Q1609">
        <v>1741.1372300081021</v>
      </c>
    </row>
    <row r="1610" spans="1:17" x14ac:dyDescent="0.3">
      <c r="A1610">
        <v>852011</v>
      </c>
      <c r="B1610" s="1" t="s">
        <v>15</v>
      </c>
      <c r="C1610" s="1" t="s">
        <v>23</v>
      </c>
      <c r="D1610" s="1" t="s">
        <v>23</v>
      </c>
      <c r="E1610" s="1" t="s">
        <v>28</v>
      </c>
      <c r="F1610" s="1" t="s">
        <v>19</v>
      </c>
      <c r="G1610" s="1" t="s">
        <v>20</v>
      </c>
      <c r="H1610" t="s">
        <v>30</v>
      </c>
      <c r="I1610" s="1" t="s">
        <v>22</v>
      </c>
      <c r="J1610" s="2">
        <v>43531.66574074074</v>
      </c>
      <c r="K1610" s="2">
        <v>43534.66574074074</v>
      </c>
      <c r="L1610" s="2">
        <v>43534.66574074074</v>
      </c>
      <c r="M1610" s="1">
        <f>_xlfn.DAYS(Table1[[#This Row],[actual_delivery_date]],Table1[[#This Row],[dispatch_date]])</f>
        <v>3</v>
      </c>
      <c r="N1610">
        <v>0</v>
      </c>
      <c r="O1610">
        <f>Table1[[#This Row],[transit_storage_cost]] * (1-'What -if Analysis'!$D$26)</f>
        <v>0</v>
      </c>
      <c r="P1610">
        <v>102</v>
      </c>
      <c r="Q1610">
        <v>3616.2595485854135</v>
      </c>
    </row>
    <row r="1611" spans="1:17" x14ac:dyDescent="0.3">
      <c r="A1611">
        <v>843993</v>
      </c>
      <c r="B1611" s="1" t="s">
        <v>38</v>
      </c>
      <c r="C1611" s="1" t="s">
        <v>23</v>
      </c>
      <c r="D1611" s="1" t="s">
        <v>16</v>
      </c>
      <c r="E1611" s="1" t="s">
        <v>27</v>
      </c>
      <c r="F1611" s="1" t="s">
        <v>29</v>
      </c>
      <c r="G1611" s="1" t="s">
        <v>20</v>
      </c>
      <c r="H1611" t="s">
        <v>30</v>
      </c>
      <c r="I1611" s="1" t="s">
        <v>26</v>
      </c>
      <c r="J1611" s="2">
        <v>43528.666030092594</v>
      </c>
      <c r="K1611" s="2">
        <v>43534.666030092594</v>
      </c>
      <c r="L1611" s="2">
        <v>43532.666030092594</v>
      </c>
      <c r="M1611" s="1">
        <f>_xlfn.DAYS(Table1[[#This Row],[actual_delivery_date]],Table1[[#This Row],[dispatch_date]])</f>
        <v>6</v>
      </c>
      <c r="N1611">
        <v>27</v>
      </c>
      <c r="O1611">
        <f>Table1[[#This Row],[transit_storage_cost]] * (1-'What -if Analysis'!$D$26)</f>
        <v>27</v>
      </c>
      <c r="P1611">
        <v>123</v>
      </c>
      <c r="Q1611">
        <v>2133.5700000000002</v>
      </c>
    </row>
    <row r="1612" spans="1:17" x14ac:dyDescent="0.3">
      <c r="A1612">
        <v>176517</v>
      </c>
      <c r="B1612" s="1" t="s">
        <v>41</v>
      </c>
      <c r="C1612" s="1" t="s">
        <v>23</v>
      </c>
      <c r="D1612" s="1" t="s">
        <v>32</v>
      </c>
      <c r="E1612" s="1" t="s">
        <v>33</v>
      </c>
      <c r="F1612" s="1" t="s">
        <v>29</v>
      </c>
      <c r="G1612" s="1" t="s">
        <v>20</v>
      </c>
      <c r="H1612" t="s">
        <v>30</v>
      </c>
      <c r="I1612" s="1" t="s">
        <v>26</v>
      </c>
      <c r="J1612" s="2">
        <v>43530.670497685183</v>
      </c>
      <c r="K1612" s="2">
        <v>43534.670497685183</v>
      </c>
      <c r="L1612" s="2">
        <v>43535.670497685183</v>
      </c>
      <c r="M1612" s="1">
        <f>_xlfn.DAYS(Table1[[#This Row],[actual_delivery_date]],Table1[[#This Row],[dispatch_date]])</f>
        <v>4</v>
      </c>
      <c r="N1612">
        <v>44</v>
      </c>
      <c r="O1612">
        <f>Table1[[#This Row],[transit_storage_cost]] * (1-'What -if Analysis'!$D$26)</f>
        <v>44</v>
      </c>
      <c r="P1612">
        <v>112</v>
      </c>
      <c r="Q1612">
        <v>892</v>
      </c>
    </row>
    <row r="1613" spans="1:17" x14ac:dyDescent="0.3">
      <c r="A1613">
        <v>735038</v>
      </c>
      <c r="B1613" s="1" t="s">
        <v>15</v>
      </c>
      <c r="C1613" s="1" t="s">
        <v>16</v>
      </c>
      <c r="D1613" s="1" t="s">
        <v>23</v>
      </c>
      <c r="E1613" s="1" t="s">
        <v>28</v>
      </c>
      <c r="F1613" s="1" t="s">
        <v>31</v>
      </c>
      <c r="G1613" s="1" t="s">
        <v>36</v>
      </c>
      <c r="H1613" t="s">
        <v>21</v>
      </c>
      <c r="I1613" s="1" t="s">
        <v>22</v>
      </c>
      <c r="J1613" s="2">
        <v>43528.672974537039</v>
      </c>
      <c r="K1613" s="2">
        <v>43534.672974537039</v>
      </c>
      <c r="L1613" s="2">
        <v>43534.672974537039</v>
      </c>
      <c r="M1613" s="1">
        <f>_xlfn.DAYS(Table1[[#This Row],[actual_delivery_date]],Table1[[#This Row],[dispatch_date]])</f>
        <v>6</v>
      </c>
      <c r="N1613">
        <v>43</v>
      </c>
      <c r="O1613">
        <f>Table1[[#This Row],[transit_storage_cost]] * (1-'What -if Analysis'!$D$26)</f>
        <v>43</v>
      </c>
      <c r="P1613">
        <v>127</v>
      </c>
      <c r="Q1613">
        <v>3104</v>
      </c>
    </row>
    <row r="1614" spans="1:17" x14ac:dyDescent="0.3">
      <c r="A1614">
        <v>849923</v>
      </c>
      <c r="B1614" s="1" t="s">
        <v>39</v>
      </c>
      <c r="C1614" s="1" t="s">
        <v>16</v>
      </c>
      <c r="D1614" s="1" t="s">
        <v>17</v>
      </c>
      <c r="E1614" s="1" t="s">
        <v>18</v>
      </c>
      <c r="F1614" s="1" t="s">
        <v>19</v>
      </c>
      <c r="G1614" s="1" t="s">
        <v>20</v>
      </c>
      <c r="H1614" t="s">
        <v>30</v>
      </c>
      <c r="I1614" s="1" t="s">
        <v>22</v>
      </c>
      <c r="J1614" s="2">
        <v>43532.673113425924</v>
      </c>
      <c r="K1614" s="2">
        <v>43534.673113425924</v>
      </c>
      <c r="L1614" s="2">
        <v>43538.673113425924</v>
      </c>
      <c r="M1614" s="1">
        <f>_xlfn.DAYS(Table1[[#This Row],[actual_delivery_date]],Table1[[#This Row],[dispatch_date]])</f>
        <v>2</v>
      </c>
      <c r="N1614">
        <v>69</v>
      </c>
      <c r="O1614">
        <f>Table1[[#This Row],[transit_storage_cost]] * (1-'What -if Analysis'!$D$26)</f>
        <v>69</v>
      </c>
      <c r="P1614">
        <v>93</v>
      </c>
      <c r="Q1614">
        <v>3454.3245347806119</v>
      </c>
    </row>
    <row r="1615" spans="1:17" x14ac:dyDescent="0.3">
      <c r="A1615">
        <v>707188</v>
      </c>
      <c r="B1615" s="1" t="s">
        <v>38</v>
      </c>
      <c r="C1615" s="1" t="s">
        <v>23</v>
      </c>
      <c r="D1615" s="1" t="s">
        <v>24</v>
      </c>
      <c r="E1615" s="1" t="s">
        <v>25</v>
      </c>
      <c r="F1615" s="1" t="s">
        <v>19</v>
      </c>
      <c r="G1615" s="1" t="s">
        <v>20</v>
      </c>
      <c r="H1615" t="s">
        <v>21</v>
      </c>
      <c r="I1615" s="1" t="s">
        <v>22</v>
      </c>
      <c r="J1615" s="2">
        <v>43528.678078703706</v>
      </c>
      <c r="K1615" s="2">
        <v>43534.678078703706</v>
      </c>
      <c r="L1615" s="2">
        <v>43533.678078703706</v>
      </c>
      <c r="M1615" s="1">
        <f>_xlfn.DAYS(Table1[[#This Row],[actual_delivery_date]],Table1[[#This Row],[dispatch_date]])</f>
        <v>6</v>
      </c>
      <c r="N1615">
        <v>71</v>
      </c>
      <c r="O1615">
        <f>Table1[[#This Row],[transit_storage_cost]] * (1-'What -if Analysis'!$D$26)</f>
        <v>71</v>
      </c>
      <c r="P1615">
        <v>108</v>
      </c>
      <c r="Q1615">
        <v>1348.4367416031398</v>
      </c>
    </row>
    <row r="1616" spans="1:17" x14ac:dyDescent="0.3">
      <c r="A1616">
        <v>439678</v>
      </c>
      <c r="B1616" s="1" t="s">
        <v>40</v>
      </c>
      <c r="C1616" s="1" t="s">
        <v>16</v>
      </c>
      <c r="D1616" s="1" t="s">
        <v>24</v>
      </c>
      <c r="E1616" s="1" t="s">
        <v>25</v>
      </c>
      <c r="F1616" s="1" t="s">
        <v>19</v>
      </c>
      <c r="G1616" s="1" t="s">
        <v>20</v>
      </c>
      <c r="H1616" t="s">
        <v>21</v>
      </c>
      <c r="I1616" s="1" t="s">
        <v>22</v>
      </c>
      <c r="J1616" s="2">
        <v>43527.683946759258</v>
      </c>
      <c r="K1616" s="2">
        <v>43534.683946759258</v>
      </c>
      <c r="L1616" s="2">
        <v>43532.683946759258</v>
      </c>
      <c r="M1616" s="1">
        <f>_xlfn.DAYS(Table1[[#This Row],[actual_delivery_date]],Table1[[#This Row],[dispatch_date]])</f>
        <v>7</v>
      </c>
      <c r="N1616">
        <v>62</v>
      </c>
      <c r="O1616">
        <f>Table1[[#This Row],[transit_storage_cost]] * (1-'What -if Analysis'!$D$26)</f>
        <v>62</v>
      </c>
      <c r="P1616">
        <v>104</v>
      </c>
      <c r="Q1616">
        <v>2631.4438660443093</v>
      </c>
    </row>
    <row r="1617" spans="1:17" x14ac:dyDescent="0.3">
      <c r="A1617">
        <v>599300</v>
      </c>
      <c r="B1617" s="1" t="s">
        <v>37</v>
      </c>
      <c r="C1617" s="1" t="s">
        <v>16</v>
      </c>
      <c r="D1617" s="1" t="s">
        <v>24</v>
      </c>
      <c r="E1617" s="1" t="s">
        <v>25</v>
      </c>
      <c r="F1617" s="1" t="s">
        <v>19</v>
      </c>
      <c r="G1617" s="1" t="s">
        <v>20</v>
      </c>
      <c r="H1617" t="s">
        <v>21</v>
      </c>
      <c r="I1617" s="1" t="s">
        <v>22</v>
      </c>
      <c r="J1617" s="2">
        <v>43526.689803240741</v>
      </c>
      <c r="K1617" s="2">
        <v>43534.689803240741</v>
      </c>
      <c r="L1617" s="2">
        <v>43531.689803240741</v>
      </c>
      <c r="M1617" s="1">
        <f>_xlfn.DAYS(Table1[[#This Row],[actual_delivery_date]],Table1[[#This Row],[dispatch_date]])</f>
        <v>8</v>
      </c>
      <c r="N1617">
        <v>31</v>
      </c>
      <c r="O1617">
        <f>Table1[[#This Row],[transit_storage_cost]] * (1-'What -if Analysis'!$D$26)</f>
        <v>31</v>
      </c>
      <c r="P1617">
        <v>124</v>
      </c>
      <c r="Q1617">
        <v>546.93448384877252</v>
      </c>
    </row>
    <row r="1618" spans="1:17" x14ac:dyDescent="0.3">
      <c r="A1618">
        <v>864624</v>
      </c>
      <c r="B1618" s="1" t="s">
        <v>37</v>
      </c>
      <c r="C1618" s="1" t="s">
        <v>16</v>
      </c>
      <c r="D1618" s="1" t="s">
        <v>17</v>
      </c>
      <c r="E1618" s="1" t="s">
        <v>18</v>
      </c>
      <c r="F1618" s="1" t="s">
        <v>19</v>
      </c>
      <c r="G1618" s="1" t="s">
        <v>20</v>
      </c>
      <c r="H1618" t="s">
        <v>21</v>
      </c>
      <c r="I1618" s="1" t="s">
        <v>26</v>
      </c>
      <c r="J1618" s="2">
        <v>43528.696423611109</v>
      </c>
      <c r="K1618" s="2">
        <v>43534.696423611109</v>
      </c>
      <c r="L1618" s="2">
        <v>43535.696423611109</v>
      </c>
      <c r="M1618" s="1">
        <f>_xlfn.DAYS(Table1[[#This Row],[actual_delivery_date]],Table1[[#This Row],[dispatch_date]])</f>
        <v>6</v>
      </c>
      <c r="N1618">
        <v>37</v>
      </c>
      <c r="O1618">
        <f>Table1[[#This Row],[transit_storage_cost]] * (1-'What -if Analysis'!$D$26)</f>
        <v>37</v>
      </c>
      <c r="P1618">
        <v>109</v>
      </c>
      <c r="Q1618">
        <v>3457.41</v>
      </c>
    </row>
    <row r="1619" spans="1:17" x14ac:dyDescent="0.3">
      <c r="A1619">
        <v>687925</v>
      </c>
      <c r="B1619" s="1" t="s">
        <v>40</v>
      </c>
      <c r="C1619" s="1" t="s">
        <v>16</v>
      </c>
      <c r="D1619" s="1" t="s">
        <v>17</v>
      </c>
      <c r="E1619" s="1" t="s">
        <v>18</v>
      </c>
      <c r="F1619" s="1" t="s">
        <v>29</v>
      </c>
      <c r="G1619" s="1" t="s">
        <v>20</v>
      </c>
      <c r="H1619" t="s">
        <v>34</v>
      </c>
      <c r="I1619" s="1" t="s">
        <v>22</v>
      </c>
      <c r="J1619" s="2">
        <v>43527.698634259257</v>
      </c>
      <c r="K1619" s="2">
        <v>43534.698634259257</v>
      </c>
      <c r="L1619" s="2">
        <v>43533.698634259257</v>
      </c>
      <c r="M1619" s="1">
        <f>_xlfn.DAYS(Table1[[#This Row],[actual_delivery_date]],Table1[[#This Row],[dispatch_date]])</f>
        <v>7</v>
      </c>
      <c r="N1619">
        <v>42</v>
      </c>
      <c r="O1619">
        <f>Table1[[#This Row],[transit_storage_cost]] * (1-'What -if Analysis'!$D$26)</f>
        <v>42</v>
      </c>
      <c r="P1619">
        <v>109</v>
      </c>
      <c r="Q1619">
        <v>1465.340414679094</v>
      </c>
    </row>
    <row r="1620" spans="1:17" x14ac:dyDescent="0.3">
      <c r="A1620">
        <v>835666</v>
      </c>
      <c r="B1620" s="1" t="s">
        <v>38</v>
      </c>
      <c r="C1620" s="1" t="s">
        <v>16</v>
      </c>
      <c r="D1620" s="1" t="s">
        <v>32</v>
      </c>
      <c r="E1620" s="1" t="s">
        <v>33</v>
      </c>
      <c r="F1620" s="1" t="s">
        <v>31</v>
      </c>
      <c r="G1620" s="1" t="s">
        <v>20</v>
      </c>
      <c r="H1620" t="s">
        <v>21</v>
      </c>
      <c r="I1620" s="1" t="s">
        <v>22</v>
      </c>
      <c r="J1620" s="2">
        <v>43532.703611111108</v>
      </c>
      <c r="K1620" s="2">
        <v>43534.703611111108</v>
      </c>
      <c r="L1620" s="2">
        <v>43537.703611111108</v>
      </c>
      <c r="M1620" s="1">
        <f>_xlfn.DAYS(Table1[[#This Row],[actual_delivery_date]],Table1[[#This Row],[dispatch_date]])</f>
        <v>2</v>
      </c>
      <c r="N1620">
        <v>30</v>
      </c>
      <c r="O1620">
        <f>Table1[[#This Row],[transit_storage_cost]] * (1-'What -if Analysis'!$D$26)</f>
        <v>30</v>
      </c>
      <c r="P1620">
        <v>108</v>
      </c>
      <c r="Q1620">
        <v>2450</v>
      </c>
    </row>
    <row r="1621" spans="1:17" x14ac:dyDescent="0.3">
      <c r="A1621">
        <v>74196</v>
      </c>
      <c r="B1621" s="1" t="s">
        <v>39</v>
      </c>
      <c r="C1621" s="1" t="s">
        <v>23</v>
      </c>
      <c r="D1621" s="1" t="s">
        <v>17</v>
      </c>
      <c r="E1621" s="1" t="s">
        <v>18</v>
      </c>
      <c r="F1621" s="1" t="s">
        <v>19</v>
      </c>
      <c r="G1621" s="1" t="s">
        <v>20</v>
      </c>
      <c r="H1621" t="s">
        <v>21</v>
      </c>
      <c r="I1621" s="1" t="s">
        <v>26</v>
      </c>
      <c r="J1621" s="2">
        <v>43530.71303240741</v>
      </c>
      <c r="K1621" s="2">
        <v>43534.71303240741</v>
      </c>
      <c r="L1621" s="2">
        <v>43537.71303240741</v>
      </c>
      <c r="M1621" s="1">
        <f>_xlfn.DAYS(Table1[[#This Row],[actual_delivery_date]],Table1[[#This Row],[dispatch_date]])</f>
        <v>4</v>
      </c>
      <c r="N1621">
        <v>33</v>
      </c>
      <c r="O1621">
        <f>Table1[[#This Row],[transit_storage_cost]] * (1-'What -if Analysis'!$D$26)</f>
        <v>33</v>
      </c>
      <c r="P1621">
        <v>110</v>
      </c>
      <c r="Q1621">
        <v>755.64673326789205</v>
      </c>
    </row>
    <row r="1622" spans="1:17" x14ac:dyDescent="0.3">
      <c r="A1622">
        <v>126501</v>
      </c>
      <c r="B1622" s="1" t="s">
        <v>39</v>
      </c>
      <c r="C1622" s="1" t="s">
        <v>23</v>
      </c>
      <c r="D1622" s="1" t="s">
        <v>32</v>
      </c>
      <c r="E1622" s="1" t="s">
        <v>33</v>
      </c>
      <c r="F1622" s="1" t="s">
        <v>19</v>
      </c>
      <c r="G1622" s="1" t="s">
        <v>20</v>
      </c>
      <c r="H1622" t="s">
        <v>30</v>
      </c>
      <c r="I1622" s="1" t="s">
        <v>26</v>
      </c>
      <c r="J1622" s="2">
        <v>43529.714953703704</v>
      </c>
      <c r="K1622" s="2">
        <v>43534.714953703704</v>
      </c>
      <c r="L1622" s="2">
        <v>43535.714953703704</v>
      </c>
      <c r="M1622" s="1">
        <f>_xlfn.DAYS(Table1[[#This Row],[actual_delivery_date]],Table1[[#This Row],[dispatch_date]])</f>
        <v>5</v>
      </c>
      <c r="N1622">
        <v>76</v>
      </c>
      <c r="O1622">
        <f>Table1[[#This Row],[transit_storage_cost]] * (1-'What -if Analysis'!$D$26)</f>
        <v>76</v>
      </c>
      <c r="P1622">
        <v>90</v>
      </c>
      <c r="Q1622">
        <v>1859.33</v>
      </c>
    </row>
    <row r="1623" spans="1:17" x14ac:dyDescent="0.3">
      <c r="A1623">
        <v>754777</v>
      </c>
      <c r="B1623" s="1" t="s">
        <v>41</v>
      </c>
      <c r="C1623" s="1" t="s">
        <v>23</v>
      </c>
      <c r="D1623" s="1" t="s">
        <v>32</v>
      </c>
      <c r="E1623" s="1" t="s">
        <v>33</v>
      </c>
      <c r="F1623" s="1" t="s">
        <v>29</v>
      </c>
      <c r="G1623" s="1" t="s">
        <v>20</v>
      </c>
      <c r="H1623" t="s">
        <v>30</v>
      </c>
      <c r="I1623" s="1" t="s">
        <v>22</v>
      </c>
      <c r="J1623" s="2">
        <v>43528.715312499997</v>
      </c>
      <c r="K1623" s="2">
        <v>43534.715312499997</v>
      </c>
      <c r="L1623" s="2">
        <v>43531.715312499997</v>
      </c>
      <c r="M1623" s="1">
        <f>_xlfn.DAYS(Table1[[#This Row],[actual_delivery_date]],Table1[[#This Row],[dispatch_date]])</f>
        <v>6</v>
      </c>
      <c r="N1623">
        <v>30</v>
      </c>
      <c r="O1623">
        <f>Table1[[#This Row],[transit_storage_cost]] * (1-'What -if Analysis'!$D$26)</f>
        <v>30</v>
      </c>
      <c r="P1623">
        <v>113</v>
      </c>
      <c r="Q1623">
        <v>2360.3448734920203</v>
      </c>
    </row>
    <row r="1624" spans="1:17" x14ac:dyDescent="0.3">
      <c r="A1624">
        <v>644925</v>
      </c>
      <c r="B1624" s="1" t="s">
        <v>39</v>
      </c>
      <c r="C1624" s="1" t="s">
        <v>23</v>
      </c>
      <c r="D1624" s="1" t="s">
        <v>17</v>
      </c>
      <c r="E1624" s="1" t="s">
        <v>18</v>
      </c>
      <c r="F1624" s="1" t="s">
        <v>19</v>
      </c>
      <c r="G1624" s="1" t="s">
        <v>20</v>
      </c>
      <c r="H1624" t="s">
        <v>30</v>
      </c>
      <c r="I1624" s="1" t="s">
        <v>26</v>
      </c>
      <c r="J1624" s="2">
        <v>43528.71603009259</v>
      </c>
      <c r="K1624" s="2">
        <v>43534.71603009259</v>
      </c>
      <c r="L1624" s="2">
        <v>43533.71603009259</v>
      </c>
      <c r="M1624" s="1">
        <f>_xlfn.DAYS(Table1[[#This Row],[actual_delivery_date]],Table1[[#This Row],[dispatch_date]])</f>
        <v>6</v>
      </c>
      <c r="N1624">
        <v>79</v>
      </c>
      <c r="O1624">
        <f>Table1[[#This Row],[transit_storage_cost]] * (1-'What -if Analysis'!$D$26)</f>
        <v>79</v>
      </c>
      <c r="P1624">
        <v>91</v>
      </c>
      <c r="Q1624">
        <v>2828.99</v>
      </c>
    </row>
    <row r="1625" spans="1:17" x14ac:dyDescent="0.3">
      <c r="A1625">
        <v>21642</v>
      </c>
      <c r="B1625" s="1" t="s">
        <v>15</v>
      </c>
      <c r="C1625" s="1" t="s">
        <v>16</v>
      </c>
      <c r="D1625" s="1" t="s">
        <v>32</v>
      </c>
      <c r="E1625" s="1" t="s">
        <v>33</v>
      </c>
      <c r="F1625" s="1" t="s">
        <v>19</v>
      </c>
      <c r="G1625" s="1" t="s">
        <v>20</v>
      </c>
      <c r="H1625" t="s">
        <v>21</v>
      </c>
      <c r="I1625" s="1" t="s">
        <v>26</v>
      </c>
      <c r="J1625" s="2">
        <v>43529.717303240737</v>
      </c>
      <c r="K1625" s="2">
        <v>43534.717303240737</v>
      </c>
      <c r="L1625" s="2">
        <v>43533.717303240737</v>
      </c>
      <c r="M1625" s="1">
        <f>_xlfn.DAYS(Table1[[#This Row],[actual_delivery_date]],Table1[[#This Row],[dispatch_date]])</f>
        <v>5</v>
      </c>
      <c r="N1625">
        <v>73</v>
      </c>
      <c r="O1625">
        <f>Table1[[#This Row],[transit_storage_cost]] * (1-'What -if Analysis'!$D$26)</f>
        <v>73</v>
      </c>
      <c r="P1625">
        <v>93</v>
      </c>
      <c r="Q1625">
        <v>3092.13</v>
      </c>
    </row>
    <row r="1626" spans="1:17" x14ac:dyDescent="0.3">
      <c r="A1626">
        <v>996345</v>
      </c>
      <c r="B1626" s="1" t="s">
        <v>39</v>
      </c>
      <c r="C1626" s="1" t="s">
        <v>16</v>
      </c>
      <c r="D1626" s="1" t="s">
        <v>24</v>
      </c>
      <c r="E1626" s="1" t="s">
        <v>25</v>
      </c>
      <c r="F1626" s="1" t="s">
        <v>29</v>
      </c>
      <c r="G1626" s="1" t="s">
        <v>20</v>
      </c>
      <c r="H1626" t="s">
        <v>34</v>
      </c>
      <c r="I1626" s="1" t="s">
        <v>26</v>
      </c>
      <c r="J1626" s="2">
        <v>43528.71912037037</v>
      </c>
      <c r="K1626" s="2">
        <v>43534.71912037037</v>
      </c>
      <c r="L1626" s="2">
        <v>43533.71912037037</v>
      </c>
      <c r="M1626" s="1">
        <f>_xlfn.DAYS(Table1[[#This Row],[actual_delivery_date]],Table1[[#This Row],[dispatch_date]])</f>
        <v>6</v>
      </c>
      <c r="N1626">
        <v>25</v>
      </c>
      <c r="O1626">
        <f>Table1[[#This Row],[transit_storage_cost]] * (1-'What -if Analysis'!$D$26)</f>
        <v>25</v>
      </c>
      <c r="P1626">
        <v>127</v>
      </c>
      <c r="Q1626">
        <v>1011.93</v>
      </c>
    </row>
    <row r="1627" spans="1:17" x14ac:dyDescent="0.3">
      <c r="A1627">
        <v>758002</v>
      </c>
      <c r="B1627" s="1" t="s">
        <v>38</v>
      </c>
      <c r="C1627" s="1" t="s">
        <v>23</v>
      </c>
      <c r="D1627" s="1" t="s">
        <v>16</v>
      </c>
      <c r="E1627" s="1" t="s">
        <v>27</v>
      </c>
      <c r="F1627" s="1" t="s">
        <v>31</v>
      </c>
      <c r="G1627" s="1" t="s">
        <v>20</v>
      </c>
      <c r="H1627" t="s">
        <v>21</v>
      </c>
      <c r="I1627" s="1" t="s">
        <v>22</v>
      </c>
      <c r="J1627" s="2">
        <v>43525.720393518517</v>
      </c>
      <c r="K1627" s="2">
        <v>43534.720393518517</v>
      </c>
      <c r="L1627" s="2">
        <v>43532.720393518517</v>
      </c>
      <c r="M1627" s="1">
        <f>_xlfn.DAYS(Table1[[#This Row],[actual_delivery_date]],Table1[[#This Row],[dispatch_date]])</f>
        <v>9</v>
      </c>
      <c r="N1627">
        <v>47</v>
      </c>
      <c r="O1627">
        <f>Table1[[#This Row],[transit_storage_cost]] * (1-'What -if Analysis'!$D$26)</f>
        <v>47</v>
      </c>
      <c r="P1627">
        <v>127</v>
      </c>
      <c r="Q1627">
        <v>2767.8271836183958</v>
      </c>
    </row>
    <row r="1628" spans="1:17" x14ac:dyDescent="0.3">
      <c r="A1628">
        <v>133035</v>
      </c>
      <c r="B1628" s="1" t="s">
        <v>37</v>
      </c>
      <c r="C1628" s="1" t="s">
        <v>23</v>
      </c>
      <c r="D1628" s="1" t="s">
        <v>16</v>
      </c>
      <c r="E1628" s="1" t="s">
        <v>27</v>
      </c>
      <c r="F1628" s="1" t="s">
        <v>29</v>
      </c>
      <c r="G1628" s="1" t="s">
        <v>20</v>
      </c>
      <c r="H1628" t="s">
        <v>34</v>
      </c>
      <c r="I1628" s="1" t="s">
        <v>26</v>
      </c>
      <c r="J1628" s="2">
        <v>43525.72184027778</v>
      </c>
      <c r="K1628" s="2">
        <v>43534.72184027778</v>
      </c>
      <c r="L1628" s="2">
        <v>43528.72184027778</v>
      </c>
      <c r="M1628" s="1">
        <f>_xlfn.DAYS(Table1[[#This Row],[actual_delivery_date]],Table1[[#This Row],[dispatch_date]])</f>
        <v>9</v>
      </c>
      <c r="N1628">
        <v>33</v>
      </c>
      <c r="O1628">
        <f>Table1[[#This Row],[transit_storage_cost]] * (1-'What -if Analysis'!$D$26)</f>
        <v>33</v>
      </c>
      <c r="P1628">
        <v>127</v>
      </c>
      <c r="Q1628">
        <v>1821.54</v>
      </c>
    </row>
    <row r="1629" spans="1:17" x14ac:dyDescent="0.3">
      <c r="A1629">
        <v>689264</v>
      </c>
      <c r="B1629" s="1" t="s">
        <v>38</v>
      </c>
      <c r="C1629" s="1" t="s">
        <v>16</v>
      </c>
      <c r="D1629" s="1" t="s">
        <v>17</v>
      </c>
      <c r="E1629" s="1" t="s">
        <v>18</v>
      </c>
      <c r="F1629" s="1" t="s">
        <v>19</v>
      </c>
      <c r="G1629" s="1" t="s">
        <v>20</v>
      </c>
      <c r="H1629" t="s">
        <v>21</v>
      </c>
      <c r="I1629" s="1" t="s">
        <v>22</v>
      </c>
      <c r="J1629" s="2">
        <v>43529.722685185188</v>
      </c>
      <c r="K1629" s="2">
        <v>43534.722685185188</v>
      </c>
      <c r="L1629" s="2">
        <v>43532.722685185188</v>
      </c>
      <c r="M1629" s="1">
        <f>_xlfn.DAYS(Table1[[#This Row],[actual_delivery_date]],Table1[[#This Row],[dispatch_date]])</f>
        <v>5</v>
      </c>
      <c r="N1629">
        <v>73</v>
      </c>
      <c r="O1629">
        <f>Table1[[#This Row],[transit_storage_cost]] * (1-'What -if Analysis'!$D$26)</f>
        <v>73</v>
      </c>
      <c r="P1629">
        <v>92</v>
      </c>
      <c r="Q1629">
        <v>1217.1895221276209</v>
      </c>
    </row>
    <row r="1630" spans="1:17" x14ac:dyDescent="0.3">
      <c r="A1630">
        <v>481597</v>
      </c>
      <c r="B1630" s="1" t="s">
        <v>37</v>
      </c>
      <c r="C1630" s="1" t="s">
        <v>16</v>
      </c>
      <c r="D1630" s="1" t="s">
        <v>17</v>
      </c>
      <c r="E1630" s="1" t="s">
        <v>18</v>
      </c>
      <c r="F1630" s="1" t="s">
        <v>29</v>
      </c>
      <c r="G1630" s="1" t="s">
        <v>20</v>
      </c>
      <c r="H1630" t="s">
        <v>30</v>
      </c>
      <c r="I1630" s="1" t="s">
        <v>22</v>
      </c>
      <c r="J1630" s="2">
        <v>43527.723726851851</v>
      </c>
      <c r="K1630" s="2">
        <v>43534.723726851851</v>
      </c>
      <c r="L1630" s="2">
        <v>43531.723726851851</v>
      </c>
      <c r="M1630" s="1">
        <f>_xlfn.DAYS(Table1[[#This Row],[actual_delivery_date]],Table1[[#This Row],[dispatch_date]])</f>
        <v>7</v>
      </c>
      <c r="N1630">
        <v>27</v>
      </c>
      <c r="O1630">
        <f>Table1[[#This Row],[transit_storage_cost]] * (1-'What -if Analysis'!$D$26)</f>
        <v>27</v>
      </c>
      <c r="P1630">
        <v>110</v>
      </c>
      <c r="Q1630">
        <v>411.9109259150315</v>
      </c>
    </row>
    <row r="1631" spans="1:17" x14ac:dyDescent="0.3">
      <c r="A1631">
        <v>835191</v>
      </c>
      <c r="B1631" s="1" t="s">
        <v>37</v>
      </c>
      <c r="C1631" s="1" t="s">
        <v>16</v>
      </c>
      <c r="D1631" s="1" t="s">
        <v>23</v>
      </c>
      <c r="E1631" s="1" t="s">
        <v>28</v>
      </c>
      <c r="F1631" s="1" t="s">
        <v>19</v>
      </c>
      <c r="G1631" s="1" t="s">
        <v>20</v>
      </c>
      <c r="H1631" t="s">
        <v>34</v>
      </c>
      <c r="I1631" s="1" t="s">
        <v>26</v>
      </c>
      <c r="J1631" s="2">
        <v>43532.725648148145</v>
      </c>
      <c r="K1631" s="2">
        <v>43534.725648148145</v>
      </c>
      <c r="L1631" s="2">
        <v>43536.725648148145</v>
      </c>
      <c r="M1631" s="1">
        <f>_xlfn.DAYS(Table1[[#This Row],[actual_delivery_date]],Table1[[#This Row],[dispatch_date]])</f>
        <v>2</v>
      </c>
      <c r="N1631">
        <v>79</v>
      </c>
      <c r="O1631">
        <f>Table1[[#This Row],[transit_storage_cost]] * (1-'What -if Analysis'!$D$26)</f>
        <v>79</v>
      </c>
      <c r="P1631">
        <v>101</v>
      </c>
      <c r="Q1631">
        <v>1285</v>
      </c>
    </row>
    <row r="1632" spans="1:17" x14ac:dyDescent="0.3">
      <c r="A1632">
        <v>175605</v>
      </c>
      <c r="B1632" s="1" t="s">
        <v>15</v>
      </c>
      <c r="C1632" s="1" t="s">
        <v>16</v>
      </c>
      <c r="D1632" s="1" t="s">
        <v>17</v>
      </c>
      <c r="E1632" s="1" t="s">
        <v>18</v>
      </c>
      <c r="F1632" s="1" t="s">
        <v>29</v>
      </c>
      <c r="G1632" s="1" t="s">
        <v>20</v>
      </c>
      <c r="H1632" t="s">
        <v>30</v>
      </c>
      <c r="I1632" s="1" t="s">
        <v>26</v>
      </c>
      <c r="J1632" s="2">
        <v>43531.727847222224</v>
      </c>
      <c r="K1632" s="2">
        <v>43534.727847222224</v>
      </c>
      <c r="L1632" s="2">
        <v>43538.727847222224</v>
      </c>
      <c r="M1632" s="1">
        <f>_xlfn.DAYS(Table1[[#This Row],[actual_delivery_date]],Table1[[#This Row],[dispatch_date]])</f>
        <v>3</v>
      </c>
      <c r="N1632">
        <v>48</v>
      </c>
      <c r="O1632">
        <f>Table1[[#This Row],[transit_storage_cost]] * (1-'What -if Analysis'!$D$26)</f>
        <v>48</v>
      </c>
      <c r="P1632">
        <v>108</v>
      </c>
      <c r="Q1632">
        <v>3200</v>
      </c>
    </row>
    <row r="1633" spans="1:17" x14ac:dyDescent="0.3">
      <c r="A1633">
        <v>652394</v>
      </c>
      <c r="B1633" s="1" t="s">
        <v>39</v>
      </c>
      <c r="C1633" s="1" t="s">
        <v>16</v>
      </c>
      <c r="D1633" s="1" t="s">
        <v>17</v>
      </c>
      <c r="E1633" s="1" t="s">
        <v>18</v>
      </c>
      <c r="F1633" s="1" t="s">
        <v>19</v>
      </c>
      <c r="G1633" s="1" t="s">
        <v>20</v>
      </c>
      <c r="H1633" t="s">
        <v>21</v>
      </c>
      <c r="I1633" s="1" t="s">
        <v>22</v>
      </c>
      <c r="J1633" s="2">
        <v>43532.729837962965</v>
      </c>
      <c r="K1633" s="2">
        <v>43534.729837962965</v>
      </c>
      <c r="L1633" s="2">
        <v>43535.729837962965</v>
      </c>
      <c r="M1633" s="1">
        <f>_xlfn.DAYS(Table1[[#This Row],[actual_delivery_date]],Table1[[#This Row],[dispatch_date]])</f>
        <v>2</v>
      </c>
      <c r="N1633">
        <v>86</v>
      </c>
      <c r="O1633">
        <f>Table1[[#This Row],[transit_storage_cost]] * (1-'What -if Analysis'!$D$26)</f>
        <v>86</v>
      </c>
      <c r="P1633">
        <v>86</v>
      </c>
      <c r="Q1633">
        <v>653.31398492909182</v>
      </c>
    </row>
    <row r="1634" spans="1:17" x14ac:dyDescent="0.3">
      <c r="A1634">
        <v>617591</v>
      </c>
      <c r="B1634" s="1" t="s">
        <v>38</v>
      </c>
      <c r="C1634" s="1" t="s">
        <v>16</v>
      </c>
      <c r="D1634" s="1" t="s">
        <v>32</v>
      </c>
      <c r="E1634" s="1" t="s">
        <v>33</v>
      </c>
      <c r="F1634" s="1" t="s">
        <v>29</v>
      </c>
      <c r="G1634" s="1" t="s">
        <v>20</v>
      </c>
      <c r="H1634" t="s">
        <v>30</v>
      </c>
      <c r="I1634" s="1" t="s">
        <v>22</v>
      </c>
      <c r="J1634" s="2">
        <v>43530.730115740742</v>
      </c>
      <c r="K1634" s="2">
        <v>43534.730115740742</v>
      </c>
      <c r="L1634" s="2">
        <v>43537.730115740742</v>
      </c>
      <c r="M1634" s="1">
        <f>_xlfn.DAYS(Table1[[#This Row],[actual_delivery_date]],Table1[[#This Row],[dispatch_date]])</f>
        <v>4</v>
      </c>
      <c r="N1634">
        <v>26</v>
      </c>
      <c r="O1634">
        <f>Table1[[#This Row],[transit_storage_cost]] * (1-'What -if Analysis'!$D$26)</f>
        <v>26</v>
      </c>
      <c r="P1634">
        <v>112</v>
      </c>
      <c r="Q1634">
        <v>1591</v>
      </c>
    </row>
    <row r="1635" spans="1:17" x14ac:dyDescent="0.3">
      <c r="A1635">
        <v>531783</v>
      </c>
      <c r="B1635" s="1" t="s">
        <v>38</v>
      </c>
      <c r="C1635" s="1" t="s">
        <v>23</v>
      </c>
      <c r="D1635" s="1" t="s">
        <v>32</v>
      </c>
      <c r="E1635" s="1" t="s">
        <v>33</v>
      </c>
      <c r="F1635" s="1" t="s">
        <v>29</v>
      </c>
      <c r="G1635" s="1" t="s">
        <v>20</v>
      </c>
      <c r="H1635" t="s">
        <v>34</v>
      </c>
      <c r="I1635" s="1" t="s">
        <v>26</v>
      </c>
      <c r="J1635" s="2">
        <v>43527.735613425924</v>
      </c>
      <c r="K1635" s="2">
        <v>43534.735613425924</v>
      </c>
      <c r="L1635" s="2">
        <v>43534.735613425924</v>
      </c>
      <c r="M1635" s="1">
        <f>_xlfn.DAYS(Table1[[#This Row],[actual_delivery_date]],Table1[[#This Row],[dispatch_date]])</f>
        <v>7</v>
      </c>
      <c r="N1635">
        <v>44</v>
      </c>
      <c r="O1635">
        <f>Table1[[#This Row],[transit_storage_cost]] * (1-'What -if Analysis'!$D$26)</f>
        <v>44</v>
      </c>
      <c r="P1635">
        <v>111</v>
      </c>
      <c r="Q1635">
        <v>342.99</v>
      </c>
    </row>
    <row r="1636" spans="1:17" x14ac:dyDescent="0.3">
      <c r="A1636">
        <v>152268</v>
      </c>
      <c r="B1636" s="1" t="s">
        <v>39</v>
      </c>
      <c r="C1636" s="1" t="s">
        <v>16</v>
      </c>
      <c r="D1636" s="1" t="s">
        <v>17</v>
      </c>
      <c r="E1636" s="1" t="s">
        <v>18</v>
      </c>
      <c r="F1636" s="1" t="s">
        <v>19</v>
      </c>
      <c r="G1636" s="1" t="s">
        <v>20</v>
      </c>
      <c r="H1636" t="s">
        <v>21</v>
      </c>
      <c r="I1636" s="1" t="s">
        <v>26</v>
      </c>
      <c r="J1636" s="2">
        <v>43529.737881944442</v>
      </c>
      <c r="K1636" s="2">
        <v>43534.737881944442</v>
      </c>
      <c r="L1636" s="2">
        <v>43532.737881944442</v>
      </c>
      <c r="M1636" s="1">
        <f>_xlfn.DAYS(Table1[[#This Row],[actual_delivery_date]],Table1[[#This Row],[dispatch_date]])</f>
        <v>5</v>
      </c>
      <c r="N1636">
        <v>61</v>
      </c>
      <c r="O1636">
        <f>Table1[[#This Row],[transit_storage_cost]] * (1-'What -if Analysis'!$D$26)</f>
        <v>61</v>
      </c>
      <c r="P1636">
        <v>88</v>
      </c>
      <c r="Q1636">
        <v>1881.65</v>
      </c>
    </row>
    <row r="1637" spans="1:17" x14ac:dyDescent="0.3">
      <c r="A1637">
        <v>683791</v>
      </c>
      <c r="B1637" s="1" t="s">
        <v>39</v>
      </c>
      <c r="C1637" s="1" t="s">
        <v>16</v>
      </c>
      <c r="D1637" s="1" t="s">
        <v>16</v>
      </c>
      <c r="E1637" s="1" t="s">
        <v>27</v>
      </c>
      <c r="F1637" s="1" t="s">
        <v>29</v>
      </c>
      <c r="G1637" s="1" t="s">
        <v>20</v>
      </c>
      <c r="H1637" t="s">
        <v>30</v>
      </c>
      <c r="I1637" s="1" t="s">
        <v>22</v>
      </c>
      <c r="J1637" s="2">
        <v>43529.737974537034</v>
      </c>
      <c r="K1637" s="2">
        <v>43534.737974537034</v>
      </c>
      <c r="L1637" s="2">
        <v>43534.737974537034</v>
      </c>
      <c r="M1637" s="1">
        <f>_xlfn.DAYS(Table1[[#This Row],[actual_delivery_date]],Table1[[#This Row],[dispatch_date]])</f>
        <v>5</v>
      </c>
      <c r="N1637">
        <v>0</v>
      </c>
      <c r="O1637">
        <f>Table1[[#This Row],[transit_storage_cost]] * (1-'What -if Analysis'!$D$26)</f>
        <v>0</v>
      </c>
      <c r="P1637">
        <v>129</v>
      </c>
      <c r="Q1637">
        <v>3799.16099944183</v>
      </c>
    </row>
    <row r="1638" spans="1:17" x14ac:dyDescent="0.3">
      <c r="A1638">
        <v>436504</v>
      </c>
      <c r="B1638" s="1" t="s">
        <v>37</v>
      </c>
      <c r="C1638" s="1" t="s">
        <v>16</v>
      </c>
      <c r="D1638" s="1" t="s">
        <v>23</v>
      </c>
      <c r="E1638" s="1" t="s">
        <v>28</v>
      </c>
      <c r="F1638" s="1" t="s">
        <v>19</v>
      </c>
      <c r="G1638" s="1" t="s">
        <v>20</v>
      </c>
      <c r="H1638" t="s">
        <v>21</v>
      </c>
      <c r="I1638" s="1" t="s">
        <v>22</v>
      </c>
      <c r="J1638" s="2">
        <v>43532.738287037035</v>
      </c>
      <c r="K1638" s="2">
        <v>43534.738287037035</v>
      </c>
      <c r="L1638" s="2">
        <v>43538.738287037035</v>
      </c>
      <c r="M1638" s="1">
        <f>_xlfn.DAYS(Table1[[#This Row],[actual_delivery_date]],Table1[[#This Row],[dispatch_date]])</f>
        <v>2</v>
      </c>
      <c r="N1638">
        <v>40</v>
      </c>
      <c r="O1638">
        <f>Table1[[#This Row],[transit_storage_cost]] * (1-'What -if Analysis'!$D$26)</f>
        <v>40</v>
      </c>
      <c r="P1638">
        <v>121</v>
      </c>
      <c r="Q1638">
        <v>1735.1427933880516</v>
      </c>
    </row>
    <row r="1639" spans="1:17" x14ac:dyDescent="0.3">
      <c r="A1639">
        <v>750361</v>
      </c>
      <c r="B1639" s="1" t="s">
        <v>38</v>
      </c>
      <c r="C1639" s="1" t="s">
        <v>23</v>
      </c>
      <c r="D1639" s="1" t="s">
        <v>32</v>
      </c>
      <c r="E1639" s="1" t="s">
        <v>33</v>
      </c>
      <c r="F1639" s="1" t="s">
        <v>29</v>
      </c>
      <c r="G1639" s="1" t="s">
        <v>20</v>
      </c>
      <c r="H1639" t="s">
        <v>30</v>
      </c>
      <c r="I1639" s="1" t="s">
        <v>22</v>
      </c>
      <c r="J1639" s="2">
        <v>43530.740324074075</v>
      </c>
      <c r="K1639" s="2">
        <v>43534.740324074075</v>
      </c>
      <c r="L1639" s="2">
        <v>43534.740324074075</v>
      </c>
      <c r="M1639" s="1">
        <f>_xlfn.DAYS(Table1[[#This Row],[actual_delivery_date]],Table1[[#This Row],[dispatch_date]])</f>
        <v>4</v>
      </c>
      <c r="N1639">
        <v>46</v>
      </c>
      <c r="O1639">
        <f>Table1[[#This Row],[transit_storage_cost]] * (1-'What -if Analysis'!$D$26)</f>
        <v>46</v>
      </c>
      <c r="P1639">
        <v>112</v>
      </c>
      <c r="Q1639">
        <v>2265.5267780864729</v>
      </c>
    </row>
    <row r="1640" spans="1:17" x14ac:dyDescent="0.3">
      <c r="A1640">
        <v>389991</v>
      </c>
      <c r="B1640" s="1" t="s">
        <v>38</v>
      </c>
      <c r="C1640" s="1" t="s">
        <v>23</v>
      </c>
      <c r="D1640" s="1" t="s">
        <v>17</v>
      </c>
      <c r="E1640" s="1" t="s">
        <v>18</v>
      </c>
      <c r="F1640" s="1" t="s">
        <v>29</v>
      </c>
      <c r="G1640" s="1" t="s">
        <v>20</v>
      </c>
      <c r="H1640" t="s">
        <v>34</v>
      </c>
      <c r="I1640" s="1" t="s">
        <v>26</v>
      </c>
      <c r="J1640" s="2">
        <v>43525.740601851852</v>
      </c>
      <c r="K1640" s="2">
        <v>43534.740601851852</v>
      </c>
      <c r="L1640" s="2">
        <v>43532.740601851852</v>
      </c>
      <c r="M1640" s="1">
        <f>_xlfn.DAYS(Table1[[#This Row],[actual_delivery_date]],Table1[[#This Row],[dispatch_date]])</f>
        <v>9</v>
      </c>
      <c r="N1640">
        <v>45</v>
      </c>
      <c r="O1640">
        <f>Table1[[#This Row],[transit_storage_cost]] * (1-'What -if Analysis'!$D$26)</f>
        <v>45</v>
      </c>
      <c r="P1640">
        <v>109</v>
      </c>
      <c r="Q1640">
        <v>1909.8</v>
      </c>
    </row>
    <row r="1641" spans="1:17" x14ac:dyDescent="0.3">
      <c r="A1641">
        <v>150130</v>
      </c>
      <c r="B1641" s="1" t="s">
        <v>41</v>
      </c>
      <c r="C1641" s="1" t="s">
        <v>16</v>
      </c>
      <c r="D1641" s="1" t="s">
        <v>17</v>
      </c>
      <c r="E1641" s="1" t="s">
        <v>18</v>
      </c>
      <c r="F1641" s="1" t="s">
        <v>31</v>
      </c>
      <c r="G1641" s="1" t="s">
        <v>20</v>
      </c>
      <c r="H1641" t="s">
        <v>21</v>
      </c>
      <c r="I1641" s="1" t="s">
        <v>22</v>
      </c>
      <c r="J1641" s="2">
        <v>43529.740983796299</v>
      </c>
      <c r="K1641" s="2">
        <v>43534.740983796299</v>
      </c>
      <c r="L1641" s="2">
        <v>43535.740983796299</v>
      </c>
      <c r="M1641" s="1">
        <f>_xlfn.DAYS(Table1[[#This Row],[actual_delivery_date]],Table1[[#This Row],[dispatch_date]])</f>
        <v>5</v>
      </c>
      <c r="N1641">
        <v>39</v>
      </c>
      <c r="O1641">
        <f>Table1[[#This Row],[transit_storage_cost]] * (1-'What -if Analysis'!$D$26)</f>
        <v>39</v>
      </c>
      <c r="P1641">
        <v>110</v>
      </c>
      <c r="Q1641">
        <v>1738.9659458132146</v>
      </c>
    </row>
    <row r="1642" spans="1:17" x14ac:dyDescent="0.3">
      <c r="A1642">
        <v>676878</v>
      </c>
      <c r="B1642" s="1" t="s">
        <v>41</v>
      </c>
      <c r="C1642" s="1" t="s">
        <v>16</v>
      </c>
      <c r="D1642" s="1" t="s">
        <v>32</v>
      </c>
      <c r="E1642" s="1" t="s">
        <v>33</v>
      </c>
      <c r="F1642" s="1" t="s">
        <v>31</v>
      </c>
      <c r="G1642" s="1" t="s">
        <v>20</v>
      </c>
      <c r="H1642" t="s">
        <v>21</v>
      </c>
      <c r="I1642" s="1" t="s">
        <v>26</v>
      </c>
      <c r="J1642" s="2">
        <v>43527.74119212963</v>
      </c>
      <c r="K1642" s="2">
        <v>43534.74119212963</v>
      </c>
      <c r="L1642" s="2">
        <v>43533.74119212963</v>
      </c>
      <c r="M1642" s="1">
        <f>_xlfn.DAYS(Table1[[#This Row],[actual_delivery_date]],Table1[[#This Row],[dispatch_date]])</f>
        <v>7</v>
      </c>
      <c r="N1642">
        <v>38</v>
      </c>
      <c r="O1642">
        <f>Table1[[#This Row],[transit_storage_cost]] * (1-'What -if Analysis'!$D$26)</f>
        <v>38</v>
      </c>
      <c r="P1642">
        <v>105</v>
      </c>
      <c r="Q1642">
        <v>1613.59</v>
      </c>
    </row>
    <row r="1643" spans="1:17" x14ac:dyDescent="0.3">
      <c r="A1643">
        <v>924011</v>
      </c>
      <c r="B1643" s="1" t="s">
        <v>40</v>
      </c>
      <c r="C1643" s="1" t="s">
        <v>23</v>
      </c>
      <c r="D1643" s="1" t="s">
        <v>24</v>
      </c>
      <c r="E1643" s="1" t="s">
        <v>25</v>
      </c>
      <c r="F1643" s="1" t="s">
        <v>29</v>
      </c>
      <c r="G1643" s="1" t="s">
        <v>36</v>
      </c>
      <c r="H1643" t="s">
        <v>30</v>
      </c>
      <c r="I1643" s="1" t="s">
        <v>22</v>
      </c>
      <c r="J1643" s="2">
        <v>43532.747164351851</v>
      </c>
      <c r="K1643" s="2">
        <v>43534.747164351851</v>
      </c>
      <c r="L1643" s="2">
        <v>43536.747164351851</v>
      </c>
      <c r="M1643" s="1">
        <f>_xlfn.DAYS(Table1[[#This Row],[actual_delivery_date]],Table1[[#This Row],[dispatch_date]])</f>
        <v>2</v>
      </c>
      <c r="N1643">
        <v>44</v>
      </c>
      <c r="O1643">
        <f>Table1[[#This Row],[transit_storage_cost]] * (1-'What -if Analysis'!$D$26)</f>
        <v>44</v>
      </c>
      <c r="P1643">
        <v>129</v>
      </c>
      <c r="Q1643">
        <v>2756</v>
      </c>
    </row>
    <row r="1644" spans="1:17" x14ac:dyDescent="0.3">
      <c r="A1644">
        <v>272531</v>
      </c>
      <c r="B1644" s="1" t="s">
        <v>37</v>
      </c>
      <c r="C1644" s="1" t="s">
        <v>16</v>
      </c>
      <c r="D1644" s="1" t="s">
        <v>17</v>
      </c>
      <c r="E1644" s="1" t="s">
        <v>18</v>
      </c>
      <c r="F1644" s="1" t="s">
        <v>19</v>
      </c>
      <c r="G1644" s="1" t="s">
        <v>20</v>
      </c>
      <c r="H1644" t="s">
        <v>34</v>
      </c>
      <c r="I1644" s="1" t="s">
        <v>22</v>
      </c>
      <c r="J1644" s="2">
        <v>43532.752060185187</v>
      </c>
      <c r="K1644" s="2">
        <v>43534.752060185187</v>
      </c>
      <c r="L1644" s="2">
        <v>43537.752060185187</v>
      </c>
      <c r="M1644" s="1">
        <f>_xlfn.DAYS(Table1[[#This Row],[actual_delivery_date]],Table1[[#This Row],[dispatch_date]])</f>
        <v>2</v>
      </c>
      <c r="N1644">
        <v>64</v>
      </c>
      <c r="O1644">
        <f>Table1[[#This Row],[transit_storage_cost]] * (1-'What -if Analysis'!$D$26)</f>
        <v>64</v>
      </c>
      <c r="P1644">
        <v>90</v>
      </c>
      <c r="Q1644">
        <v>3025.138093299769</v>
      </c>
    </row>
    <row r="1645" spans="1:17" x14ac:dyDescent="0.3">
      <c r="A1645">
        <v>146329</v>
      </c>
      <c r="B1645" s="1" t="s">
        <v>39</v>
      </c>
      <c r="C1645" s="1" t="s">
        <v>23</v>
      </c>
      <c r="D1645" s="1" t="s">
        <v>17</v>
      </c>
      <c r="E1645" s="1" t="s">
        <v>18</v>
      </c>
      <c r="F1645" s="1" t="s">
        <v>29</v>
      </c>
      <c r="G1645" s="1" t="s">
        <v>20</v>
      </c>
      <c r="H1645" t="s">
        <v>30</v>
      </c>
      <c r="I1645" s="1" t="s">
        <v>22</v>
      </c>
      <c r="J1645" s="2">
        <v>43528.752118055556</v>
      </c>
      <c r="K1645" s="2">
        <v>43534.752118055556</v>
      </c>
      <c r="L1645" s="2">
        <v>43535.752118055556</v>
      </c>
      <c r="M1645" s="1">
        <f>_xlfn.DAYS(Table1[[#This Row],[actual_delivery_date]],Table1[[#This Row],[dispatch_date]])</f>
        <v>6</v>
      </c>
      <c r="N1645">
        <v>38</v>
      </c>
      <c r="O1645">
        <f>Table1[[#This Row],[transit_storage_cost]] * (1-'What -if Analysis'!$D$26)</f>
        <v>38</v>
      </c>
      <c r="P1645">
        <v>113</v>
      </c>
      <c r="Q1645">
        <v>2073.7759969351487</v>
      </c>
    </row>
    <row r="1646" spans="1:17" x14ac:dyDescent="0.3">
      <c r="A1646">
        <v>735316</v>
      </c>
      <c r="B1646" s="1" t="s">
        <v>39</v>
      </c>
      <c r="C1646" s="1" t="s">
        <v>23</v>
      </c>
      <c r="D1646" s="1" t="s">
        <v>17</v>
      </c>
      <c r="E1646" s="1" t="s">
        <v>18</v>
      </c>
      <c r="F1646" s="1" t="s">
        <v>19</v>
      </c>
      <c r="G1646" s="1" t="s">
        <v>20</v>
      </c>
      <c r="H1646" t="s">
        <v>21</v>
      </c>
      <c r="I1646" s="1" t="s">
        <v>22</v>
      </c>
      <c r="J1646" s="2">
        <v>43530.752430555556</v>
      </c>
      <c r="K1646" s="2">
        <v>43534.752430555556</v>
      </c>
      <c r="L1646" s="2">
        <v>43536.752430555556</v>
      </c>
      <c r="M1646" s="1">
        <f>_xlfn.DAYS(Table1[[#This Row],[actual_delivery_date]],Table1[[#This Row],[dispatch_date]])</f>
        <v>4</v>
      </c>
      <c r="N1646">
        <v>43</v>
      </c>
      <c r="O1646">
        <f>Table1[[#This Row],[transit_storage_cost]] * (1-'What -if Analysis'!$D$26)</f>
        <v>43</v>
      </c>
      <c r="P1646">
        <v>107</v>
      </c>
      <c r="Q1646">
        <v>585</v>
      </c>
    </row>
    <row r="1647" spans="1:17" x14ac:dyDescent="0.3">
      <c r="A1647">
        <v>292338</v>
      </c>
      <c r="B1647" s="1" t="s">
        <v>38</v>
      </c>
      <c r="C1647" s="1" t="s">
        <v>23</v>
      </c>
      <c r="D1647" s="1" t="s">
        <v>16</v>
      </c>
      <c r="E1647" s="1" t="s">
        <v>27</v>
      </c>
      <c r="F1647" s="1" t="s">
        <v>19</v>
      </c>
      <c r="G1647" s="1" t="s">
        <v>20</v>
      </c>
      <c r="H1647" t="s">
        <v>21</v>
      </c>
      <c r="I1647" s="1" t="s">
        <v>26</v>
      </c>
      <c r="J1647" s="2">
        <v>43532.754467592589</v>
      </c>
      <c r="K1647" s="2">
        <v>43534.754467592589</v>
      </c>
      <c r="L1647" s="2">
        <v>43536.754467592589</v>
      </c>
      <c r="M1647" s="1">
        <f>_xlfn.DAYS(Table1[[#This Row],[actual_delivery_date]],Table1[[#This Row],[dispatch_date]])</f>
        <v>2</v>
      </c>
      <c r="N1647">
        <v>78</v>
      </c>
      <c r="O1647">
        <f>Table1[[#This Row],[transit_storage_cost]] * (1-'What -if Analysis'!$D$26)</f>
        <v>78</v>
      </c>
      <c r="P1647">
        <v>110</v>
      </c>
      <c r="Q1647">
        <v>2234.6432211707283</v>
      </c>
    </row>
    <row r="1648" spans="1:17" x14ac:dyDescent="0.3">
      <c r="A1648">
        <v>696241</v>
      </c>
      <c r="B1648" s="1" t="s">
        <v>40</v>
      </c>
      <c r="C1648" s="1" t="s">
        <v>23</v>
      </c>
      <c r="D1648" s="1" t="s">
        <v>17</v>
      </c>
      <c r="E1648" s="1" t="s">
        <v>18</v>
      </c>
      <c r="F1648" s="1" t="s">
        <v>29</v>
      </c>
      <c r="G1648" s="1" t="s">
        <v>20</v>
      </c>
      <c r="H1648" t="s">
        <v>34</v>
      </c>
      <c r="I1648" s="1" t="s">
        <v>22</v>
      </c>
      <c r="J1648" s="2">
        <v>43526.758101851854</v>
      </c>
      <c r="K1648" s="2">
        <v>43534.758101851854</v>
      </c>
      <c r="L1648" s="2">
        <v>43529.758101851854</v>
      </c>
      <c r="M1648" s="1">
        <f>_xlfn.DAYS(Table1[[#This Row],[actual_delivery_date]],Table1[[#This Row],[dispatch_date]])</f>
        <v>8</v>
      </c>
      <c r="N1648">
        <v>39</v>
      </c>
      <c r="O1648">
        <f>Table1[[#This Row],[transit_storage_cost]] * (1-'What -if Analysis'!$D$26)</f>
        <v>39</v>
      </c>
      <c r="P1648">
        <v>115</v>
      </c>
      <c r="Q1648">
        <v>2316.3534586765072</v>
      </c>
    </row>
    <row r="1649" spans="1:17" x14ac:dyDescent="0.3">
      <c r="A1649">
        <v>659274</v>
      </c>
      <c r="B1649" s="1" t="s">
        <v>38</v>
      </c>
      <c r="C1649" s="1" t="s">
        <v>23</v>
      </c>
      <c r="D1649" s="1" t="s">
        <v>23</v>
      </c>
      <c r="E1649" s="1" t="s">
        <v>28</v>
      </c>
      <c r="F1649" s="1" t="s">
        <v>31</v>
      </c>
      <c r="G1649" s="1" t="s">
        <v>20</v>
      </c>
      <c r="H1649" t="s">
        <v>21</v>
      </c>
      <c r="I1649" s="1" t="s">
        <v>26</v>
      </c>
      <c r="J1649" s="2">
        <v>43533.762094907404</v>
      </c>
      <c r="K1649" s="2">
        <v>43534.762094907404</v>
      </c>
      <c r="L1649" s="2">
        <v>43538.762094907404</v>
      </c>
      <c r="M1649" s="1">
        <f>_xlfn.DAYS(Table1[[#This Row],[actual_delivery_date]],Table1[[#This Row],[dispatch_date]])</f>
        <v>1</v>
      </c>
      <c r="N1649">
        <v>0</v>
      </c>
      <c r="O1649">
        <f>Table1[[#This Row],[transit_storage_cost]] * (1-'What -if Analysis'!$D$26)</f>
        <v>0</v>
      </c>
      <c r="P1649">
        <v>121</v>
      </c>
      <c r="Q1649">
        <v>1433.7750848145424</v>
      </c>
    </row>
    <row r="1650" spans="1:17" x14ac:dyDescent="0.3">
      <c r="A1650">
        <v>911952</v>
      </c>
      <c r="B1650" s="1" t="s">
        <v>15</v>
      </c>
      <c r="C1650" s="1" t="s">
        <v>23</v>
      </c>
      <c r="D1650" s="1" t="s">
        <v>16</v>
      </c>
      <c r="E1650" s="1" t="s">
        <v>27</v>
      </c>
      <c r="F1650" s="1" t="s">
        <v>19</v>
      </c>
      <c r="G1650" s="1" t="s">
        <v>20</v>
      </c>
      <c r="H1650" t="s">
        <v>21</v>
      </c>
      <c r="I1650" s="1" t="s">
        <v>26</v>
      </c>
      <c r="J1650" s="2">
        <v>43531.762523148151</v>
      </c>
      <c r="K1650" s="2">
        <v>43534.762523148151</v>
      </c>
      <c r="L1650" s="2">
        <v>43535.762523148151</v>
      </c>
      <c r="M1650" s="1">
        <f>_xlfn.DAYS(Table1[[#This Row],[actual_delivery_date]],Table1[[#This Row],[dispatch_date]])</f>
        <v>3</v>
      </c>
      <c r="N1650">
        <v>37</v>
      </c>
      <c r="O1650">
        <f>Table1[[#This Row],[transit_storage_cost]] * (1-'What -if Analysis'!$D$26)</f>
        <v>37</v>
      </c>
      <c r="P1650">
        <v>128</v>
      </c>
      <c r="Q1650">
        <v>705</v>
      </c>
    </row>
    <row r="1651" spans="1:17" x14ac:dyDescent="0.3">
      <c r="A1651">
        <v>41093</v>
      </c>
      <c r="B1651" s="1" t="s">
        <v>38</v>
      </c>
      <c r="C1651" s="1" t="s">
        <v>16</v>
      </c>
      <c r="D1651" s="1" t="s">
        <v>16</v>
      </c>
      <c r="E1651" s="1" t="s">
        <v>27</v>
      </c>
      <c r="F1651" s="1" t="s">
        <v>29</v>
      </c>
      <c r="G1651" s="1" t="s">
        <v>20</v>
      </c>
      <c r="H1651" t="s">
        <v>30</v>
      </c>
      <c r="I1651" s="1" t="s">
        <v>22</v>
      </c>
      <c r="J1651" s="2">
        <v>43532.767407407409</v>
      </c>
      <c r="K1651" s="2">
        <v>43534.767407407409</v>
      </c>
      <c r="L1651" s="2">
        <v>43537.767407407409</v>
      </c>
      <c r="M1651" s="1">
        <f>_xlfn.DAYS(Table1[[#This Row],[actual_delivery_date]],Table1[[#This Row],[dispatch_date]])</f>
        <v>2</v>
      </c>
      <c r="N1651">
        <v>0</v>
      </c>
      <c r="O1651">
        <f>Table1[[#This Row],[transit_storage_cost]] * (1-'What -if Analysis'!$D$26)</f>
        <v>0</v>
      </c>
      <c r="P1651">
        <v>121</v>
      </c>
      <c r="Q1651">
        <v>3018.6854988831769</v>
      </c>
    </row>
    <row r="1652" spans="1:17" x14ac:dyDescent="0.3">
      <c r="A1652">
        <v>829475</v>
      </c>
      <c r="B1652" s="1" t="s">
        <v>15</v>
      </c>
      <c r="C1652" s="1" t="s">
        <v>23</v>
      </c>
      <c r="D1652" s="1" t="s">
        <v>32</v>
      </c>
      <c r="E1652" s="1" t="s">
        <v>33</v>
      </c>
      <c r="F1652" s="1" t="s">
        <v>19</v>
      </c>
      <c r="G1652" s="1" t="s">
        <v>20</v>
      </c>
      <c r="H1652" t="s">
        <v>30</v>
      </c>
      <c r="I1652" s="1" t="s">
        <v>22</v>
      </c>
      <c r="J1652" s="2">
        <v>43530.772951388892</v>
      </c>
      <c r="K1652" s="2">
        <v>43534.772951388892</v>
      </c>
      <c r="L1652" s="2">
        <v>43534.772951388892</v>
      </c>
      <c r="M1652" s="1">
        <f>_xlfn.DAYS(Table1[[#This Row],[actual_delivery_date]],Table1[[#This Row],[dispatch_date]])</f>
        <v>4</v>
      </c>
      <c r="N1652">
        <v>80</v>
      </c>
      <c r="O1652">
        <f>Table1[[#This Row],[transit_storage_cost]] * (1-'What -if Analysis'!$D$26)</f>
        <v>80</v>
      </c>
      <c r="P1652">
        <v>94</v>
      </c>
      <c r="Q1652">
        <v>3178.4033843538127</v>
      </c>
    </row>
    <row r="1653" spans="1:17" x14ac:dyDescent="0.3">
      <c r="A1653">
        <v>283452</v>
      </c>
      <c r="B1653" s="1" t="s">
        <v>37</v>
      </c>
      <c r="C1653" s="1" t="s">
        <v>16</v>
      </c>
      <c r="D1653" s="1" t="s">
        <v>17</v>
      </c>
      <c r="E1653" s="1" t="s">
        <v>18</v>
      </c>
      <c r="F1653" s="1" t="s">
        <v>19</v>
      </c>
      <c r="G1653" s="1" t="s">
        <v>20</v>
      </c>
      <c r="H1653" t="s">
        <v>21</v>
      </c>
      <c r="I1653" s="1" t="s">
        <v>26</v>
      </c>
      <c r="J1653" s="2">
        <v>43531.773460648146</v>
      </c>
      <c r="K1653" s="2">
        <v>43534.773460648146</v>
      </c>
      <c r="L1653" s="2">
        <v>43536.773460648146</v>
      </c>
      <c r="M1653" s="1">
        <f>_xlfn.DAYS(Table1[[#This Row],[actual_delivery_date]],Table1[[#This Row],[dispatch_date]])</f>
        <v>3</v>
      </c>
      <c r="N1653">
        <v>36</v>
      </c>
      <c r="O1653">
        <f>Table1[[#This Row],[transit_storage_cost]] * (1-'What -if Analysis'!$D$26)</f>
        <v>36</v>
      </c>
      <c r="P1653">
        <v>107</v>
      </c>
      <c r="Q1653">
        <v>2236</v>
      </c>
    </row>
    <row r="1654" spans="1:17" x14ac:dyDescent="0.3">
      <c r="A1654">
        <v>820848</v>
      </c>
      <c r="B1654" s="1" t="s">
        <v>41</v>
      </c>
      <c r="C1654" s="1" t="s">
        <v>23</v>
      </c>
      <c r="D1654" s="1" t="s">
        <v>23</v>
      </c>
      <c r="E1654" s="1" t="s">
        <v>28</v>
      </c>
      <c r="F1654" s="1" t="s">
        <v>19</v>
      </c>
      <c r="G1654" s="1" t="s">
        <v>20</v>
      </c>
      <c r="H1654" t="s">
        <v>21</v>
      </c>
      <c r="I1654" s="1" t="s">
        <v>26</v>
      </c>
      <c r="J1654" s="2">
        <v>43531.777280092596</v>
      </c>
      <c r="K1654" s="2">
        <v>43534.777280092596</v>
      </c>
      <c r="L1654" s="2">
        <v>43536.777280092596</v>
      </c>
      <c r="M1654" s="1">
        <f>_xlfn.DAYS(Table1[[#This Row],[actual_delivery_date]],Table1[[#This Row],[dispatch_date]])</f>
        <v>3</v>
      </c>
      <c r="N1654">
        <v>0</v>
      </c>
      <c r="O1654">
        <f>Table1[[#This Row],[transit_storage_cost]] * (1-'What -if Analysis'!$D$26)</f>
        <v>0</v>
      </c>
      <c r="P1654">
        <v>104</v>
      </c>
      <c r="Q1654">
        <v>2516.7933443258839</v>
      </c>
    </row>
    <row r="1655" spans="1:17" x14ac:dyDescent="0.3">
      <c r="A1655">
        <v>627017</v>
      </c>
      <c r="B1655" s="1" t="s">
        <v>37</v>
      </c>
      <c r="C1655" s="1" t="s">
        <v>23</v>
      </c>
      <c r="D1655" s="1" t="s">
        <v>23</v>
      </c>
      <c r="E1655" s="1" t="s">
        <v>28</v>
      </c>
      <c r="F1655" s="1" t="s">
        <v>19</v>
      </c>
      <c r="G1655" s="1" t="s">
        <v>20</v>
      </c>
      <c r="H1655" t="s">
        <v>30</v>
      </c>
      <c r="I1655" s="1" t="s">
        <v>22</v>
      </c>
      <c r="J1655" s="2">
        <v>43533.785694444443</v>
      </c>
      <c r="K1655" s="2">
        <v>43534.785694444443</v>
      </c>
      <c r="L1655" s="2">
        <v>43536.785694444443</v>
      </c>
      <c r="M1655" s="1">
        <f>_xlfn.DAYS(Table1[[#This Row],[actual_delivery_date]],Table1[[#This Row],[dispatch_date]])</f>
        <v>1</v>
      </c>
      <c r="N1655">
        <v>0</v>
      </c>
      <c r="O1655">
        <f>Table1[[#This Row],[transit_storage_cost]] * (1-'What -if Analysis'!$D$26)</f>
        <v>0</v>
      </c>
      <c r="P1655">
        <v>107</v>
      </c>
      <c r="Q1655">
        <v>543.67511992787036</v>
      </c>
    </row>
    <row r="1656" spans="1:17" x14ac:dyDescent="0.3">
      <c r="A1656">
        <v>364852</v>
      </c>
      <c r="B1656" s="1" t="s">
        <v>39</v>
      </c>
      <c r="C1656" s="1" t="s">
        <v>16</v>
      </c>
      <c r="D1656" s="1" t="s">
        <v>16</v>
      </c>
      <c r="E1656" s="1" t="s">
        <v>27</v>
      </c>
      <c r="F1656" s="1" t="s">
        <v>19</v>
      </c>
      <c r="G1656" s="1" t="s">
        <v>20</v>
      </c>
      <c r="H1656" t="s">
        <v>21</v>
      </c>
      <c r="I1656" s="1" t="s">
        <v>22</v>
      </c>
      <c r="J1656" s="2">
        <v>43530.78597222222</v>
      </c>
      <c r="K1656" s="2">
        <v>43534.78597222222</v>
      </c>
      <c r="L1656" s="2">
        <v>43533.78597222222</v>
      </c>
      <c r="M1656" s="1">
        <f>_xlfn.DAYS(Table1[[#This Row],[actual_delivery_date]],Table1[[#This Row],[dispatch_date]])</f>
        <v>4</v>
      </c>
      <c r="N1656">
        <v>0</v>
      </c>
      <c r="O1656">
        <f>Table1[[#This Row],[transit_storage_cost]] * (1-'What -if Analysis'!$D$26)</f>
        <v>0</v>
      </c>
      <c r="P1656">
        <v>123</v>
      </c>
      <c r="Q1656">
        <v>2315</v>
      </c>
    </row>
    <row r="1657" spans="1:17" x14ac:dyDescent="0.3">
      <c r="A1657">
        <v>9537</v>
      </c>
      <c r="B1657" s="1" t="s">
        <v>37</v>
      </c>
      <c r="C1657" s="1" t="s">
        <v>23</v>
      </c>
      <c r="D1657" s="1" t="s">
        <v>16</v>
      </c>
      <c r="E1657" s="1" t="s">
        <v>27</v>
      </c>
      <c r="F1657" s="1" t="s">
        <v>19</v>
      </c>
      <c r="G1657" s="1" t="s">
        <v>20</v>
      </c>
      <c r="H1657" t="s">
        <v>30</v>
      </c>
      <c r="I1657" s="1" t="s">
        <v>26</v>
      </c>
      <c r="J1657" s="2">
        <v>43528.78702546296</v>
      </c>
      <c r="K1657" s="2">
        <v>43534.78702546296</v>
      </c>
      <c r="L1657" s="2">
        <v>43532.78702546296</v>
      </c>
      <c r="M1657" s="1">
        <f>_xlfn.DAYS(Table1[[#This Row],[actual_delivery_date]],Table1[[#This Row],[dispatch_date]])</f>
        <v>6</v>
      </c>
      <c r="N1657">
        <v>86</v>
      </c>
      <c r="O1657">
        <f>Table1[[#This Row],[transit_storage_cost]] * (1-'What -if Analysis'!$D$26)</f>
        <v>86</v>
      </c>
      <c r="P1657">
        <v>108</v>
      </c>
      <c r="Q1657">
        <v>2285.9299999999998</v>
      </c>
    </row>
    <row r="1658" spans="1:17" x14ac:dyDescent="0.3">
      <c r="A1658">
        <v>853817</v>
      </c>
      <c r="B1658" s="1" t="s">
        <v>37</v>
      </c>
      <c r="C1658" s="1" t="s">
        <v>23</v>
      </c>
      <c r="D1658" s="1" t="s">
        <v>24</v>
      </c>
      <c r="E1658" s="1" t="s">
        <v>25</v>
      </c>
      <c r="F1658" s="1" t="s">
        <v>29</v>
      </c>
      <c r="G1658" s="1" t="s">
        <v>20</v>
      </c>
      <c r="H1658" t="s">
        <v>30</v>
      </c>
      <c r="I1658" s="1" t="s">
        <v>22</v>
      </c>
      <c r="J1658" s="2">
        <v>43532.794606481482</v>
      </c>
      <c r="K1658" s="2">
        <v>43534.794606481482</v>
      </c>
      <c r="L1658" s="2">
        <v>43538.794606481482</v>
      </c>
      <c r="M1658" s="1">
        <f>_xlfn.DAYS(Table1[[#This Row],[actual_delivery_date]],Table1[[#This Row],[dispatch_date]])</f>
        <v>2</v>
      </c>
      <c r="N1658">
        <v>44</v>
      </c>
      <c r="O1658">
        <f>Table1[[#This Row],[transit_storage_cost]] * (1-'What -if Analysis'!$D$26)</f>
        <v>44</v>
      </c>
      <c r="P1658">
        <v>129</v>
      </c>
      <c r="Q1658">
        <v>3414</v>
      </c>
    </row>
    <row r="1659" spans="1:17" x14ac:dyDescent="0.3">
      <c r="A1659">
        <v>267685</v>
      </c>
      <c r="B1659" s="1" t="s">
        <v>37</v>
      </c>
      <c r="C1659" s="1" t="s">
        <v>16</v>
      </c>
      <c r="D1659" s="1" t="s">
        <v>16</v>
      </c>
      <c r="E1659" s="1" t="s">
        <v>27</v>
      </c>
      <c r="F1659" s="1" t="s">
        <v>29</v>
      </c>
      <c r="G1659" s="1" t="s">
        <v>20</v>
      </c>
      <c r="H1659" t="s">
        <v>30</v>
      </c>
      <c r="I1659" s="1" t="s">
        <v>22</v>
      </c>
      <c r="J1659" s="2">
        <v>43530.804826388892</v>
      </c>
      <c r="K1659" s="2">
        <v>43534.804826388892</v>
      </c>
      <c r="L1659" s="2">
        <v>43537.804826388892</v>
      </c>
      <c r="M1659" s="1">
        <f>_xlfn.DAYS(Table1[[#This Row],[actual_delivery_date]],Table1[[#This Row],[dispatch_date]])</f>
        <v>4</v>
      </c>
      <c r="N1659">
        <v>0</v>
      </c>
      <c r="O1659">
        <f>Table1[[#This Row],[transit_storage_cost]] * (1-'What -if Analysis'!$D$26)</f>
        <v>0</v>
      </c>
      <c r="P1659">
        <v>124</v>
      </c>
      <c r="Q1659">
        <v>2125</v>
      </c>
    </row>
    <row r="1660" spans="1:17" x14ac:dyDescent="0.3">
      <c r="A1660">
        <v>225247</v>
      </c>
      <c r="B1660" s="1" t="s">
        <v>41</v>
      </c>
      <c r="C1660" s="1" t="s">
        <v>23</v>
      </c>
      <c r="D1660" s="1" t="s">
        <v>17</v>
      </c>
      <c r="E1660" s="1" t="s">
        <v>18</v>
      </c>
      <c r="F1660" s="1" t="s">
        <v>29</v>
      </c>
      <c r="G1660" s="1" t="s">
        <v>20</v>
      </c>
      <c r="H1660" t="s">
        <v>30</v>
      </c>
      <c r="I1660" s="1" t="s">
        <v>22</v>
      </c>
      <c r="J1660" s="2">
        <v>43531.808969907404</v>
      </c>
      <c r="K1660" s="2">
        <v>43534.808969907404</v>
      </c>
      <c r="L1660" s="2">
        <v>43537.808969907404</v>
      </c>
      <c r="M1660" s="1">
        <f>_xlfn.DAYS(Table1[[#This Row],[actual_delivery_date]],Table1[[#This Row],[dispatch_date]])</f>
        <v>3</v>
      </c>
      <c r="N1660">
        <v>26</v>
      </c>
      <c r="O1660">
        <f>Table1[[#This Row],[transit_storage_cost]] * (1-'What -if Analysis'!$D$26)</f>
        <v>26</v>
      </c>
      <c r="P1660">
        <v>111</v>
      </c>
      <c r="Q1660">
        <v>1991</v>
      </c>
    </row>
    <row r="1661" spans="1:17" x14ac:dyDescent="0.3">
      <c r="A1661">
        <v>587571</v>
      </c>
      <c r="B1661" s="1" t="s">
        <v>38</v>
      </c>
      <c r="C1661" s="1" t="s">
        <v>16</v>
      </c>
      <c r="D1661" s="1" t="s">
        <v>16</v>
      </c>
      <c r="E1661" s="1" t="s">
        <v>27</v>
      </c>
      <c r="F1661" s="1" t="s">
        <v>19</v>
      </c>
      <c r="G1661" s="1" t="s">
        <v>20</v>
      </c>
      <c r="H1661" t="s">
        <v>30</v>
      </c>
      <c r="I1661" s="1" t="s">
        <v>26</v>
      </c>
      <c r="J1661" s="2">
        <v>43529.809884259259</v>
      </c>
      <c r="K1661" s="2">
        <v>43534.809884259259</v>
      </c>
      <c r="L1661" s="2">
        <v>43533.809884259259</v>
      </c>
      <c r="M1661" s="1">
        <f>_xlfn.DAYS(Table1[[#This Row],[actual_delivery_date]],Table1[[#This Row],[dispatch_date]])</f>
        <v>5</v>
      </c>
      <c r="N1661">
        <v>0</v>
      </c>
      <c r="O1661">
        <f>Table1[[#This Row],[transit_storage_cost]] * (1-'What -if Analysis'!$D$26)</f>
        <v>0</v>
      </c>
      <c r="P1661">
        <v>106</v>
      </c>
      <c r="Q1661">
        <v>754.15</v>
      </c>
    </row>
    <row r="1662" spans="1:17" x14ac:dyDescent="0.3">
      <c r="A1662">
        <v>737309</v>
      </c>
      <c r="B1662" s="1" t="s">
        <v>15</v>
      </c>
      <c r="C1662" s="1" t="s">
        <v>16</v>
      </c>
      <c r="D1662" s="1" t="s">
        <v>16</v>
      </c>
      <c r="E1662" s="1" t="s">
        <v>27</v>
      </c>
      <c r="F1662" s="1" t="s">
        <v>29</v>
      </c>
      <c r="G1662" s="1" t="s">
        <v>20</v>
      </c>
      <c r="H1662" t="s">
        <v>30</v>
      </c>
      <c r="I1662" s="1" t="s">
        <v>22</v>
      </c>
      <c r="J1662" s="2">
        <v>43531.813240740739</v>
      </c>
      <c r="K1662" s="2">
        <v>43534.813240740739</v>
      </c>
      <c r="L1662" s="2">
        <v>43537.813240740739</v>
      </c>
      <c r="M1662" s="1">
        <f>_xlfn.DAYS(Table1[[#This Row],[actual_delivery_date]],Table1[[#This Row],[dispatch_date]])</f>
        <v>3</v>
      </c>
      <c r="N1662">
        <v>0</v>
      </c>
      <c r="O1662">
        <f>Table1[[#This Row],[transit_storage_cost]] * (1-'What -if Analysis'!$D$26)</f>
        <v>0</v>
      </c>
      <c r="P1662">
        <v>124</v>
      </c>
      <c r="Q1662">
        <v>404.20302726014467</v>
      </c>
    </row>
    <row r="1663" spans="1:17" x14ac:dyDescent="0.3">
      <c r="A1663">
        <v>135379</v>
      </c>
      <c r="B1663" s="1" t="s">
        <v>38</v>
      </c>
      <c r="C1663" s="1" t="s">
        <v>16</v>
      </c>
      <c r="D1663" s="1" t="s">
        <v>17</v>
      </c>
      <c r="E1663" s="1" t="s">
        <v>18</v>
      </c>
      <c r="F1663" s="1" t="s">
        <v>29</v>
      </c>
      <c r="G1663" s="1" t="s">
        <v>20</v>
      </c>
      <c r="H1663" t="s">
        <v>30</v>
      </c>
      <c r="I1663" s="1" t="s">
        <v>22</v>
      </c>
      <c r="J1663" s="2">
        <v>43529.820219907408</v>
      </c>
      <c r="K1663" s="2">
        <v>43534.820219907408</v>
      </c>
      <c r="L1663" s="2">
        <v>43534.820219907408</v>
      </c>
      <c r="M1663" s="1">
        <f>_xlfn.DAYS(Table1[[#This Row],[actual_delivery_date]],Table1[[#This Row],[dispatch_date]])</f>
        <v>5</v>
      </c>
      <c r="N1663">
        <v>32</v>
      </c>
      <c r="O1663">
        <f>Table1[[#This Row],[transit_storage_cost]] * (1-'What -if Analysis'!$D$26)</f>
        <v>32</v>
      </c>
      <c r="P1663">
        <v>107</v>
      </c>
      <c r="Q1663">
        <v>2952.8245284737559</v>
      </c>
    </row>
    <row r="1664" spans="1:17" x14ac:dyDescent="0.3">
      <c r="A1664">
        <v>819407</v>
      </c>
      <c r="B1664" s="1" t="s">
        <v>40</v>
      </c>
      <c r="C1664" s="1" t="s">
        <v>16</v>
      </c>
      <c r="D1664" s="1" t="s">
        <v>23</v>
      </c>
      <c r="E1664" s="1" t="s">
        <v>28</v>
      </c>
      <c r="F1664" s="1" t="s">
        <v>29</v>
      </c>
      <c r="G1664" s="1" t="s">
        <v>20</v>
      </c>
      <c r="H1664" t="s">
        <v>30</v>
      </c>
      <c r="I1664" s="1" t="s">
        <v>22</v>
      </c>
      <c r="J1664" s="2">
        <v>43526.82099537037</v>
      </c>
      <c r="K1664" s="2">
        <v>43534.82099537037</v>
      </c>
      <c r="L1664" s="2">
        <v>43531.82099537037</v>
      </c>
      <c r="M1664" s="1">
        <f>_xlfn.DAYS(Table1[[#This Row],[actual_delivery_date]],Table1[[#This Row],[dispatch_date]])</f>
        <v>8</v>
      </c>
      <c r="N1664">
        <v>41</v>
      </c>
      <c r="O1664">
        <f>Table1[[#This Row],[transit_storage_cost]] * (1-'What -if Analysis'!$D$26)</f>
        <v>41</v>
      </c>
      <c r="P1664">
        <v>126</v>
      </c>
      <c r="Q1664">
        <v>954.85054401447724</v>
      </c>
    </row>
    <row r="1665" spans="1:17" x14ac:dyDescent="0.3">
      <c r="A1665">
        <v>106118</v>
      </c>
      <c r="B1665" s="1" t="s">
        <v>40</v>
      </c>
      <c r="C1665" s="1" t="s">
        <v>16</v>
      </c>
      <c r="D1665" s="1" t="s">
        <v>24</v>
      </c>
      <c r="E1665" s="1" t="s">
        <v>25</v>
      </c>
      <c r="F1665" s="1" t="s">
        <v>19</v>
      </c>
      <c r="G1665" s="1" t="s">
        <v>20</v>
      </c>
      <c r="H1665" t="s">
        <v>21</v>
      </c>
      <c r="I1665" s="1" t="s">
        <v>22</v>
      </c>
      <c r="J1665" s="2">
        <v>43527.823576388888</v>
      </c>
      <c r="K1665" s="2">
        <v>43534.823576388888</v>
      </c>
      <c r="L1665" s="2">
        <v>43532.823576388888</v>
      </c>
      <c r="M1665" s="1">
        <f>_xlfn.DAYS(Table1[[#This Row],[actual_delivery_date]],Table1[[#This Row],[dispatch_date]])</f>
        <v>7</v>
      </c>
      <c r="N1665">
        <v>87</v>
      </c>
      <c r="O1665">
        <f>Table1[[#This Row],[transit_storage_cost]] * (1-'What -if Analysis'!$D$26)</f>
        <v>87</v>
      </c>
      <c r="P1665">
        <v>103</v>
      </c>
      <c r="Q1665">
        <v>550.33132328829231</v>
      </c>
    </row>
    <row r="1666" spans="1:17" x14ac:dyDescent="0.3">
      <c r="A1666">
        <v>193581</v>
      </c>
      <c r="B1666" s="1" t="s">
        <v>41</v>
      </c>
      <c r="C1666" s="1" t="s">
        <v>16</v>
      </c>
      <c r="D1666" s="1" t="s">
        <v>16</v>
      </c>
      <c r="E1666" s="1" t="s">
        <v>27</v>
      </c>
      <c r="F1666" s="1" t="s">
        <v>29</v>
      </c>
      <c r="G1666" s="1" t="s">
        <v>20</v>
      </c>
      <c r="H1666" t="s">
        <v>30</v>
      </c>
      <c r="I1666" s="1" t="s">
        <v>26</v>
      </c>
      <c r="J1666" s="2">
        <v>43527.825208333335</v>
      </c>
      <c r="K1666" s="2">
        <v>43534.825208333335</v>
      </c>
      <c r="L1666" s="2">
        <v>43530.825208333335</v>
      </c>
      <c r="M1666" s="1">
        <f>_xlfn.DAYS(Table1[[#This Row],[actual_delivery_date]],Table1[[#This Row],[dispatch_date]])</f>
        <v>7</v>
      </c>
      <c r="N1666">
        <v>0</v>
      </c>
      <c r="O1666">
        <f>Table1[[#This Row],[transit_storage_cost]] * (1-'What -if Analysis'!$D$26)</f>
        <v>0</v>
      </c>
      <c r="P1666">
        <v>129</v>
      </c>
      <c r="Q1666">
        <v>2894.75</v>
      </c>
    </row>
    <row r="1667" spans="1:17" x14ac:dyDescent="0.3">
      <c r="A1667">
        <v>278393</v>
      </c>
      <c r="B1667" s="1" t="s">
        <v>37</v>
      </c>
      <c r="C1667" s="1" t="s">
        <v>16</v>
      </c>
      <c r="D1667" s="1" t="s">
        <v>24</v>
      </c>
      <c r="E1667" s="1" t="s">
        <v>25</v>
      </c>
      <c r="F1667" s="1" t="s">
        <v>29</v>
      </c>
      <c r="G1667" s="1" t="s">
        <v>20</v>
      </c>
      <c r="H1667" t="s">
        <v>30</v>
      </c>
      <c r="I1667" s="1" t="s">
        <v>22</v>
      </c>
      <c r="J1667" s="2">
        <v>43532.827951388892</v>
      </c>
      <c r="K1667" s="2">
        <v>43534.827951388892</v>
      </c>
      <c r="L1667" s="2">
        <v>43537.827951388892</v>
      </c>
      <c r="M1667" s="1">
        <f>_xlfn.DAYS(Table1[[#This Row],[actual_delivery_date]],Table1[[#This Row],[dispatch_date]])</f>
        <v>2</v>
      </c>
      <c r="N1667">
        <v>30</v>
      </c>
      <c r="O1667">
        <f>Table1[[#This Row],[transit_storage_cost]] * (1-'What -if Analysis'!$D$26)</f>
        <v>30</v>
      </c>
      <c r="P1667">
        <v>128</v>
      </c>
      <c r="Q1667">
        <v>833</v>
      </c>
    </row>
    <row r="1668" spans="1:17" x14ac:dyDescent="0.3">
      <c r="A1668">
        <v>78609</v>
      </c>
      <c r="B1668" s="1" t="s">
        <v>38</v>
      </c>
      <c r="C1668" s="1" t="s">
        <v>23</v>
      </c>
      <c r="D1668" s="1" t="s">
        <v>16</v>
      </c>
      <c r="E1668" s="1" t="s">
        <v>27</v>
      </c>
      <c r="F1668" s="1" t="s">
        <v>29</v>
      </c>
      <c r="G1668" s="1" t="s">
        <v>20</v>
      </c>
      <c r="H1668" t="s">
        <v>30</v>
      </c>
      <c r="I1668" s="1" t="s">
        <v>26</v>
      </c>
      <c r="J1668" s="2">
        <v>43528.829328703701</v>
      </c>
      <c r="K1668" s="2">
        <v>43534.829328703701</v>
      </c>
      <c r="L1668" s="2">
        <v>43532.829328703701</v>
      </c>
      <c r="M1668" s="1">
        <f>_xlfn.DAYS(Table1[[#This Row],[actual_delivery_date]],Table1[[#This Row],[dispatch_date]])</f>
        <v>6</v>
      </c>
      <c r="N1668">
        <v>43</v>
      </c>
      <c r="O1668">
        <f>Table1[[#This Row],[transit_storage_cost]] * (1-'What -if Analysis'!$D$26)</f>
        <v>43</v>
      </c>
      <c r="P1668">
        <v>121</v>
      </c>
      <c r="Q1668">
        <v>495.69</v>
      </c>
    </row>
    <row r="1669" spans="1:17" x14ac:dyDescent="0.3">
      <c r="A1669">
        <v>314025</v>
      </c>
      <c r="B1669" s="1" t="s">
        <v>38</v>
      </c>
      <c r="C1669" s="1" t="s">
        <v>16</v>
      </c>
      <c r="D1669" s="1" t="s">
        <v>17</v>
      </c>
      <c r="E1669" s="1" t="s">
        <v>18</v>
      </c>
      <c r="F1669" s="1" t="s">
        <v>29</v>
      </c>
      <c r="G1669" s="1" t="s">
        <v>20</v>
      </c>
      <c r="H1669" t="s">
        <v>30</v>
      </c>
      <c r="I1669" s="1" t="s">
        <v>26</v>
      </c>
      <c r="J1669" s="2">
        <v>43531.829571759263</v>
      </c>
      <c r="K1669" s="2">
        <v>43534.829571759263</v>
      </c>
      <c r="L1669" s="2">
        <v>43536.829571759263</v>
      </c>
      <c r="M1669" s="1">
        <f>_xlfn.DAYS(Table1[[#This Row],[actual_delivery_date]],Table1[[#This Row],[dispatch_date]])</f>
        <v>3</v>
      </c>
      <c r="N1669">
        <v>49</v>
      </c>
      <c r="O1669">
        <f>Table1[[#This Row],[transit_storage_cost]] * (1-'What -if Analysis'!$D$26)</f>
        <v>49</v>
      </c>
      <c r="P1669">
        <v>110</v>
      </c>
      <c r="Q1669">
        <v>3158.5318012347498</v>
      </c>
    </row>
    <row r="1670" spans="1:17" x14ac:dyDescent="0.3">
      <c r="A1670">
        <v>600137</v>
      </c>
      <c r="B1670" s="1" t="s">
        <v>37</v>
      </c>
      <c r="C1670" s="1" t="s">
        <v>16</v>
      </c>
      <c r="D1670" s="1" t="s">
        <v>23</v>
      </c>
      <c r="E1670" s="1" t="s">
        <v>28</v>
      </c>
      <c r="F1670" s="1" t="s">
        <v>19</v>
      </c>
      <c r="G1670" s="1" t="s">
        <v>20</v>
      </c>
      <c r="H1670" t="s">
        <v>30</v>
      </c>
      <c r="I1670" s="1" t="s">
        <v>22</v>
      </c>
      <c r="J1670" s="2">
        <v>43532.830729166664</v>
      </c>
      <c r="K1670" s="2">
        <v>43534.830729166664</v>
      </c>
      <c r="L1670" s="2">
        <v>43539.830729166664</v>
      </c>
      <c r="M1670" s="1">
        <f>_xlfn.DAYS(Table1[[#This Row],[actual_delivery_date]],Table1[[#This Row],[dispatch_date]])</f>
        <v>2</v>
      </c>
      <c r="N1670">
        <v>65</v>
      </c>
      <c r="O1670">
        <f>Table1[[#This Row],[transit_storage_cost]] * (1-'What -if Analysis'!$D$26)</f>
        <v>65</v>
      </c>
      <c r="P1670">
        <v>101</v>
      </c>
      <c r="Q1670">
        <v>2594.4380162416778</v>
      </c>
    </row>
    <row r="1671" spans="1:17" x14ac:dyDescent="0.3">
      <c r="A1671">
        <v>478421</v>
      </c>
      <c r="B1671" s="1" t="s">
        <v>40</v>
      </c>
      <c r="C1671" s="1" t="s">
        <v>16</v>
      </c>
      <c r="D1671" s="1" t="s">
        <v>17</v>
      </c>
      <c r="E1671" s="1" t="s">
        <v>18</v>
      </c>
      <c r="F1671" s="1" t="s">
        <v>19</v>
      </c>
      <c r="G1671" s="1" t="s">
        <v>20</v>
      </c>
      <c r="H1671" t="s">
        <v>30</v>
      </c>
      <c r="I1671" s="1" t="s">
        <v>22</v>
      </c>
      <c r="J1671" s="2">
        <v>43529.83525462963</v>
      </c>
      <c r="K1671" s="2">
        <v>43534.83525462963</v>
      </c>
      <c r="L1671" s="2">
        <v>43533.83525462963</v>
      </c>
      <c r="M1671" s="1">
        <f>_xlfn.DAYS(Table1[[#This Row],[actual_delivery_date]],Table1[[#This Row],[dispatch_date]])</f>
        <v>5</v>
      </c>
      <c r="N1671">
        <v>66</v>
      </c>
      <c r="O1671">
        <f>Table1[[#This Row],[transit_storage_cost]] * (1-'What -if Analysis'!$D$26)</f>
        <v>66</v>
      </c>
      <c r="P1671">
        <v>85</v>
      </c>
      <c r="Q1671">
        <v>2290.7852120158632</v>
      </c>
    </row>
    <row r="1672" spans="1:17" x14ac:dyDescent="0.3">
      <c r="A1672">
        <v>978551</v>
      </c>
      <c r="B1672" s="1" t="s">
        <v>37</v>
      </c>
      <c r="C1672" s="1" t="s">
        <v>16</v>
      </c>
      <c r="D1672" s="1" t="s">
        <v>16</v>
      </c>
      <c r="E1672" s="1" t="s">
        <v>27</v>
      </c>
      <c r="F1672" s="1" t="s">
        <v>29</v>
      </c>
      <c r="G1672" s="1" t="s">
        <v>20</v>
      </c>
      <c r="H1672" t="s">
        <v>34</v>
      </c>
      <c r="I1672" s="1" t="s">
        <v>22</v>
      </c>
      <c r="J1672" s="2">
        <v>43530.835868055554</v>
      </c>
      <c r="K1672" s="2">
        <v>43534.835868055554</v>
      </c>
      <c r="L1672" s="2">
        <v>43533.835868055554</v>
      </c>
      <c r="M1672" s="1">
        <f>_xlfn.DAYS(Table1[[#This Row],[actual_delivery_date]],Table1[[#This Row],[dispatch_date]])</f>
        <v>4</v>
      </c>
      <c r="N1672">
        <v>9999</v>
      </c>
      <c r="O1672">
        <f>Table1[[#This Row],[transit_storage_cost]] * (1-'What -if Analysis'!$D$26)</f>
        <v>9999</v>
      </c>
      <c r="P1672">
        <v>123</v>
      </c>
      <c r="Q1672">
        <v>774</v>
      </c>
    </row>
    <row r="1673" spans="1:17" x14ac:dyDescent="0.3">
      <c r="A1673">
        <v>602383</v>
      </c>
      <c r="B1673" s="1" t="s">
        <v>39</v>
      </c>
      <c r="C1673" s="1" t="s">
        <v>23</v>
      </c>
      <c r="D1673" s="1" t="s">
        <v>24</v>
      </c>
      <c r="E1673" s="1" t="s">
        <v>25</v>
      </c>
      <c r="F1673" s="1" t="s">
        <v>29</v>
      </c>
      <c r="G1673" s="1" t="s">
        <v>20</v>
      </c>
      <c r="H1673" t="s">
        <v>30</v>
      </c>
      <c r="I1673" s="1" t="s">
        <v>22</v>
      </c>
      <c r="J1673" s="2">
        <v>43529.836354166669</v>
      </c>
      <c r="K1673" s="2">
        <v>43534.836354166669</v>
      </c>
      <c r="L1673" s="2">
        <v>43536.836354166669</v>
      </c>
      <c r="M1673" s="1">
        <f>_xlfn.DAYS(Table1[[#This Row],[actual_delivery_date]],Table1[[#This Row],[dispatch_date]])</f>
        <v>5</v>
      </c>
      <c r="N1673">
        <v>42</v>
      </c>
      <c r="O1673">
        <f>Table1[[#This Row],[transit_storage_cost]] * (1-'What -if Analysis'!$D$26)</f>
        <v>42</v>
      </c>
      <c r="P1673">
        <v>123</v>
      </c>
      <c r="Q1673">
        <v>1764.8799635843834</v>
      </c>
    </row>
    <row r="1674" spans="1:17" x14ac:dyDescent="0.3">
      <c r="A1674">
        <v>63768</v>
      </c>
      <c r="B1674" s="1" t="s">
        <v>38</v>
      </c>
      <c r="C1674" s="1" t="s">
        <v>16</v>
      </c>
      <c r="D1674" s="1" t="s">
        <v>17</v>
      </c>
      <c r="E1674" s="1" t="s">
        <v>18</v>
      </c>
      <c r="F1674" s="1" t="s">
        <v>19</v>
      </c>
      <c r="G1674" s="1" t="s">
        <v>20</v>
      </c>
      <c r="H1674" t="s">
        <v>21</v>
      </c>
      <c r="I1674" s="1" t="s">
        <v>26</v>
      </c>
      <c r="J1674" s="2">
        <v>43529.837430555555</v>
      </c>
      <c r="K1674" s="2">
        <v>43534.837430555555</v>
      </c>
      <c r="L1674" s="2">
        <v>43536.837430555555</v>
      </c>
      <c r="M1674" s="1">
        <f>_xlfn.DAYS(Table1[[#This Row],[actual_delivery_date]],Table1[[#This Row],[dispatch_date]])</f>
        <v>5</v>
      </c>
      <c r="N1674">
        <v>43</v>
      </c>
      <c r="O1674">
        <f>Table1[[#This Row],[transit_storage_cost]] * (1-'What -if Analysis'!$D$26)</f>
        <v>43</v>
      </c>
      <c r="P1674">
        <v>108</v>
      </c>
      <c r="Q1674">
        <v>392.07</v>
      </c>
    </row>
    <row r="1675" spans="1:17" x14ac:dyDescent="0.3">
      <c r="A1675">
        <v>801924</v>
      </c>
      <c r="B1675" s="1" t="s">
        <v>15</v>
      </c>
      <c r="C1675" s="1" t="s">
        <v>16</v>
      </c>
      <c r="D1675" s="1" t="s">
        <v>17</v>
      </c>
      <c r="E1675" s="1" t="s">
        <v>18</v>
      </c>
      <c r="F1675" s="1" t="s">
        <v>19</v>
      </c>
      <c r="G1675" s="1" t="s">
        <v>20</v>
      </c>
      <c r="H1675" t="s">
        <v>21</v>
      </c>
      <c r="I1675" s="1" t="s">
        <v>26</v>
      </c>
      <c r="J1675" s="2">
        <v>43528.850543981483</v>
      </c>
      <c r="K1675" s="2">
        <v>43534.850543981483</v>
      </c>
      <c r="L1675" s="2">
        <v>43533.850543981483</v>
      </c>
      <c r="M1675" s="1">
        <f>_xlfn.DAYS(Table1[[#This Row],[actual_delivery_date]],Table1[[#This Row],[dispatch_date]])</f>
        <v>6</v>
      </c>
      <c r="N1675">
        <v>78</v>
      </c>
      <c r="O1675">
        <f>Table1[[#This Row],[transit_storage_cost]] * (1-'What -if Analysis'!$D$26)</f>
        <v>78</v>
      </c>
      <c r="P1675">
        <v>92</v>
      </c>
      <c r="Q1675">
        <v>745.64</v>
      </c>
    </row>
    <row r="1676" spans="1:17" x14ac:dyDescent="0.3">
      <c r="A1676">
        <v>212515</v>
      </c>
      <c r="B1676" s="1" t="s">
        <v>41</v>
      </c>
      <c r="C1676" s="1" t="s">
        <v>23</v>
      </c>
      <c r="D1676" s="1" t="s">
        <v>17</v>
      </c>
      <c r="E1676" s="1" t="s">
        <v>18</v>
      </c>
      <c r="F1676" s="1" t="s">
        <v>29</v>
      </c>
      <c r="G1676" s="1" t="s">
        <v>20</v>
      </c>
      <c r="H1676" t="s">
        <v>30</v>
      </c>
      <c r="I1676" s="1" t="s">
        <v>22</v>
      </c>
      <c r="J1676" s="2">
        <v>43531.856493055559</v>
      </c>
      <c r="K1676" s="2">
        <v>43534.856493055559</v>
      </c>
      <c r="L1676" s="2">
        <v>43536.856493055559</v>
      </c>
      <c r="M1676" s="1">
        <f>_xlfn.DAYS(Table1[[#This Row],[actual_delivery_date]],Table1[[#This Row],[dispatch_date]])</f>
        <v>3</v>
      </c>
      <c r="N1676">
        <v>41</v>
      </c>
      <c r="O1676">
        <f>Table1[[#This Row],[transit_storage_cost]] * (1-'What -if Analysis'!$D$26)</f>
        <v>41</v>
      </c>
      <c r="P1676">
        <v>109</v>
      </c>
      <c r="Q1676">
        <v>1164.4463642179378</v>
      </c>
    </row>
    <row r="1677" spans="1:17" x14ac:dyDescent="0.3">
      <c r="A1677">
        <v>802150</v>
      </c>
      <c r="B1677" s="1" t="s">
        <v>15</v>
      </c>
      <c r="C1677" s="1" t="s">
        <v>16</v>
      </c>
      <c r="D1677" s="1" t="s">
        <v>16</v>
      </c>
      <c r="E1677" s="1" t="s">
        <v>27</v>
      </c>
      <c r="F1677" s="1" t="s">
        <v>19</v>
      </c>
      <c r="G1677" s="1" t="s">
        <v>20</v>
      </c>
      <c r="H1677" t="s">
        <v>21</v>
      </c>
      <c r="I1677" s="1" t="s">
        <v>22</v>
      </c>
      <c r="J1677" s="2">
        <v>43534.857465277775</v>
      </c>
      <c r="K1677" s="2">
        <v>43534.857465277775</v>
      </c>
      <c r="L1677" s="2">
        <v>43538.857465277775</v>
      </c>
      <c r="M1677" s="1">
        <f>_xlfn.DAYS(Table1[[#This Row],[actual_delivery_date]],Table1[[#This Row],[dispatch_date]])</f>
        <v>0</v>
      </c>
      <c r="N1677">
        <v>0</v>
      </c>
      <c r="O1677">
        <f>Table1[[#This Row],[transit_storage_cost]] * (1-'What -if Analysis'!$D$26)</f>
        <v>0</v>
      </c>
      <c r="P1677">
        <v>106</v>
      </c>
      <c r="Q1677">
        <v>756</v>
      </c>
    </row>
    <row r="1678" spans="1:17" x14ac:dyDescent="0.3">
      <c r="A1678">
        <v>292961</v>
      </c>
      <c r="B1678" s="1" t="s">
        <v>39</v>
      </c>
      <c r="C1678" s="1" t="s">
        <v>16</v>
      </c>
      <c r="D1678" s="1" t="s">
        <v>23</v>
      </c>
      <c r="E1678" s="1" t="s">
        <v>28</v>
      </c>
      <c r="F1678" s="1" t="s">
        <v>19</v>
      </c>
      <c r="G1678" s="1" t="s">
        <v>20</v>
      </c>
      <c r="H1678" t="s">
        <v>30</v>
      </c>
      <c r="I1678" s="1" t="s">
        <v>22</v>
      </c>
      <c r="J1678" s="2">
        <v>43529.860694444447</v>
      </c>
      <c r="K1678" s="2">
        <v>43534.860694444447</v>
      </c>
      <c r="L1678" s="2">
        <v>43534.860694444447</v>
      </c>
      <c r="M1678" s="1">
        <f>_xlfn.DAYS(Table1[[#This Row],[actual_delivery_date]],Table1[[#This Row],[dispatch_date]])</f>
        <v>5</v>
      </c>
      <c r="N1678">
        <v>68</v>
      </c>
      <c r="O1678">
        <f>Table1[[#This Row],[transit_storage_cost]] * (1-'What -if Analysis'!$D$26)</f>
        <v>68</v>
      </c>
      <c r="P1678">
        <v>109</v>
      </c>
      <c r="Q1678">
        <v>1500.0101979777487</v>
      </c>
    </row>
    <row r="1679" spans="1:17" x14ac:dyDescent="0.3">
      <c r="A1679">
        <v>97209</v>
      </c>
      <c r="B1679" s="1" t="s">
        <v>41</v>
      </c>
      <c r="C1679" s="1" t="s">
        <v>16</v>
      </c>
      <c r="D1679" s="1" t="s">
        <v>23</v>
      </c>
      <c r="E1679" s="1" t="s">
        <v>28</v>
      </c>
      <c r="F1679" s="1" t="s">
        <v>29</v>
      </c>
      <c r="G1679" s="1" t="s">
        <v>20</v>
      </c>
      <c r="H1679" t="s">
        <v>34</v>
      </c>
      <c r="I1679" s="1" t="s">
        <v>26</v>
      </c>
      <c r="J1679" s="2">
        <v>43528.861215277779</v>
      </c>
      <c r="K1679" s="2">
        <v>43534.861215277779</v>
      </c>
      <c r="L1679" s="2">
        <v>43531.861215277779</v>
      </c>
      <c r="M1679" s="1">
        <f>_xlfn.DAYS(Table1[[#This Row],[actual_delivery_date]],Table1[[#This Row],[dispatch_date]])</f>
        <v>6</v>
      </c>
      <c r="N1679">
        <v>43</v>
      </c>
      <c r="O1679">
        <f>Table1[[#This Row],[transit_storage_cost]] * (1-'What -if Analysis'!$D$26)</f>
        <v>43</v>
      </c>
      <c r="P1679">
        <v>122</v>
      </c>
      <c r="Q1679">
        <v>1387.59</v>
      </c>
    </row>
    <row r="1680" spans="1:17" x14ac:dyDescent="0.3">
      <c r="A1680">
        <v>583371</v>
      </c>
      <c r="B1680" s="1" t="s">
        <v>39</v>
      </c>
      <c r="C1680" s="1" t="s">
        <v>16</v>
      </c>
      <c r="D1680" s="1" t="s">
        <v>24</v>
      </c>
      <c r="E1680" s="1" t="s">
        <v>25</v>
      </c>
      <c r="F1680" s="1" t="s">
        <v>29</v>
      </c>
      <c r="G1680" s="1" t="s">
        <v>20</v>
      </c>
      <c r="H1680" t="s">
        <v>30</v>
      </c>
      <c r="I1680" s="1" t="s">
        <v>26</v>
      </c>
      <c r="J1680" s="2">
        <v>43530.86210648148</v>
      </c>
      <c r="K1680" s="2">
        <v>43534.86210648148</v>
      </c>
      <c r="L1680" s="2">
        <v>43535.86210648148</v>
      </c>
      <c r="M1680" s="1">
        <f>_xlfn.DAYS(Table1[[#This Row],[actual_delivery_date]],Table1[[#This Row],[dispatch_date]])</f>
        <v>4</v>
      </c>
      <c r="N1680">
        <v>47</v>
      </c>
      <c r="O1680">
        <f>Table1[[#This Row],[transit_storage_cost]] * (1-'What -if Analysis'!$D$26)</f>
        <v>47</v>
      </c>
      <c r="P1680">
        <v>124</v>
      </c>
      <c r="Q1680">
        <v>2909.4468247028244</v>
      </c>
    </row>
    <row r="1681" spans="1:17" x14ac:dyDescent="0.3">
      <c r="A1681">
        <v>735296</v>
      </c>
      <c r="B1681" s="1" t="s">
        <v>38</v>
      </c>
      <c r="C1681" s="1" t="s">
        <v>16</v>
      </c>
      <c r="D1681" s="1" t="s">
        <v>17</v>
      </c>
      <c r="E1681" s="1" t="s">
        <v>18</v>
      </c>
      <c r="F1681" s="1" t="s">
        <v>19</v>
      </c>
      <c r="G1681" s="1" t="s">
        <v>20</v>
      </c>
      <c r="H1681" t="s">
        <v>21</v>
      </c>
      <c r="I1681" s="1" t="s">
        <v>22</v>
      </c>
      <c r="J1681" s="2">
        <v>43529.868819444448</v>
      </c>
      <c r="K1681" s="2">
        <v>43534.868819444448</v>
      </c>
      <c r="L1681" s="2">
        <v>43532.868819444448</v>
      </c>
      <c r="M1681" s="1">
        <f>_xlfn.DAYS(Table1[[#This Row],[actual_delivery_date]],Table1[[#This Row],[dispatch_date]])</f>
        <v>5</v>
      </c>
      <c r="N1681">
        <v>80</v>
      </c>
      <c r="O1681">
        <f>Table1[[#This Row],[transit_storage_cost]] * (1-'What -if Analysis'!$D$26)</f>
        <v>80</v>
      </c>
      <c r="P1681">
        <v>93</v>
      </c>
      <c r="Q1681">
        <v>1952.316181573661</v>
      </c>
    </row>
    <row r="1682" spans="1:17" x14ac:dyDescent="0.3">
      <c r="A1682">
        <v>37351</v>
      </c>
      <c r="B1682" s="1" t="s">
        <v>38</v>
      </c>
      <c r="C1682" s="1" t="s">
        <v>16</v>
      </c>
      <c r="D1682" s="1" t="s">
        <v>23</v>
      </c>
      <c r="E1682" s="1" t="s">
        <v>28</v>
      </c>
      <c r="F1682" s="1" t="s">
        <v>29</v>
      </c>
      <c r="G1682" s="1" t="s">
        <v>20</v>
      </c>
      <c r="H1682" t="s">
        <v>30</v>
      </c>
      <c r="I1682" s="1" t="s">
        <v>22</v>
      </c>
      <c r="J1682" s="2">
        <v>43525.871342592596</v>
      </c>
      <c r="K1682" s="2">
        <v>43534.871342592596</v>
      </c>
      <c r="L1682" s="2">
        <v>43532.871342592596</v>
      </c>
      <c r="M1682" s="1">
        <f>_xlfn.DAYS(Table1[[#This Row],[actual_delivery_date]],Table1[[#This Row],[dispatch_date]])</f>
        <v>9</v>
      </c>
      <c r="N1682">
        <v>25</v>
      </c>
      <c r="O1682">
        <f>Table1[[#This Row],[transit_storage_cost]] * (1-'What -if Analysis'!$D$26)</f>
        <v>25</v>
      </c>
      <c r="P1682">
        <v>123</v>
      </c>
      <c r="Q1682">
        <v>1441.5954486681319</v>
      </c>
    </row>
    <row r="1683" spans="1:17" x14ac:dyDescent="0.3">
      <c r="A1683">
        <v>222859</v>
      </c>
      <c r="B1683" s="1" t="s">
        <v>40</v>
      </c>
      <c r="C1683" s="1" t="s">
        <v>16</v>
      </c>
      <c r="D1683" s="1" t="s">
        <v>17</v>
      </c>
      <c r="E1683" s="1" t="s">
        <v>18</v>
      </c>
      <c r="F1683" s="1" t="s">
        <v>29</v>
      </c>
      <c r="G1683" s="1" t="s">
        <v>20</v>
      </c>
      <c r="H1683" t="s">
        <v>34</v>
      </c>
      <c r="I1683" s="1" t="s">
        <v>22</v>
      </c>
      <c r="J1683" s="2">
        <v>43531.871712962966</v>
      </c>
      <c r="K1683" s="2">
        <v>43534.871712962966</v>
      </c>
      <c r="L1683" s="2">
        <v>43536.871712962966</v>
      </c>
      <c r="M1683" s="1">
        <f>_xlfn.DAYS(Table1[[#This Row],[actual_delivery_date]],Table1[[#This Row],[dispatch_date]])</f>
        <v>3</v>
      </c>
      <c r="N1683">
        <v>45</v>
      </c>
      <c r="O1683">
        <f>Table1[[#This Row],[transit_storage_cost]] * (1-'What -if Analysis'!$D$26)</f>
        <v>45</v>
      </c>
      <c r="P1683">
        <v>107</v>
      </c>
      <c r="Q1683">
        <v>2588</v>
      </c>
    </row>
    <row r="1684" spans="1:17" x14ac:dyDescent="0.3">
      <c r="A1684">
        <v>81003</v>
      </c>
      <c r="B1684" s="1" t="s">
        <v>39</v>
      </c>
      <c r="C1684" s="1" t="s">
        <v>16</v>
      </c>
      <c r="D1684" s="1" t="s">
        <v>23</v>
      </c>
      <c r="E1684" s="1" t="s">
        <v>28</v>
      </c>
      <c r="F1684" s="1" t="s">
        <v>19</v>
      </c>
      <c r="G1684" s="1" t="s">
        <v>20</v>
      </c>
      <c r="H1684" t="s">
        <v>30</v>
      </c>
      <c r="I1684" s="1" t="s">
        <v>26</v>
      </c>
      <c r="J1684" s="2">
        <v>43531.875567129631</v>
      </c>
      <c r="K1684" s="2">
        <v>43534.875567129631</v>
      </c>
      <c r="L1684" s="2">
        <v>43535.875567129631</v>
      </c>
      <c r="M1684" s="1">
        <f>_xlfn.DAYS(Table1[[#This Row],[actual_delivery_date]],Table1[[#This Row],[dispatch_date]])</f>
        <v>3</v>
      </c>
      <c r="N1684">
        <v>0</v>
      </c>
      <c r="O1684">
        <f>Table1[[#This Row],[transit_storage_cost]] * (1-'What -if Analysis'!$D$26)</f>
        <v>0</v>
      </c>
      <c r="P1684">
        <v>100</v>
      </c>
      <c r="Q1684">
        <v>2922.3302422472429</v>
      </c>
    </row>
    <row r="1685" spans="1:17" x14ac:dyDescent="0.3">
      <c r="A1685">
        <v>139131</v>
      </c>
      <c r="B1685" s="1" t="s">
        <v>38</v>
      </c>
      <c r="C1685" s="1" t="s">
        <v>16</v>
      </c>
      <c r="D1685" s="1" t="s">
        <v>16</v>
      </c>
      <c r="E1685" s="1" t="s">
        <v>27</v>
      </c>
      <c r="F1685" s="1" t="s">
        <v>29</v>
      </c>
      <c r="G1685" s="1" t="s">
        <v>20</v>
      </c>
      <c r="H1685" t="s">
        <v>30</v>
      </c>
      <c r="I1685" s="1" t="s">
        <v>26</v>
      </c>
      <c r="J1685" s="2">
        <v>43530.876863425925</v>
      </c>
      <c r="K1685" s="2">
        <v>43534.876863425925</v>
      </c>
      <c r="L1685" s="2">
        <v>43534.876863425925</v>
      </c>
      <c r="M1685" s="1">
        <f>_xlfn.DAYS(Table1[[#This Row],[actual_delivery_date]],Table1[[#This Row],[dispatch_date]])</f>
        <v>4</v>
      </c>
      <c r="N1685">
        <v>0</v>
      </c>
      <c r="O1685">
        <f>Table1[[#This Row],[transit_storage_cost]] * (1-'What -if Analysis'!$D$26)</f>
        <v>0</v>
      </c>
      <c r="P1685">
        <v>125</v>
      </c>
      <c r="Q1685">
        <v>2634.9295518991876</v>
      </c>
    </row>
    <row r="1686" spans="1:17" x14ac:dyDescent="0.3">
      <c r="A1686">
        <v>21665</v>
      </c>
      <c r="B1686" s="1" t="s">
        <v>39</v>
      </c>
      <c r="C1686" s="1" t="s">
        <v>16</v>
      </c>
      <c r="D1686" s="1" t="s">
        <v>23</v>
      </c>
      <c r="E1686" s="1" t="s">
        <v>28</v>
      </c>
      <c r="F1686" s="1" t="s">
        <v>29</v>
      </c>
      <c r="G1686" s="1" t="s">
        <v>20</v>
      </c>
      <c r="H1686" t="s">
        <v>34</v>
      </c>
      <c r="I1686" s="1" t="s">
        <v>22</v>
      </c>
      <c r="J1686" s="2">
        <v>43528.87736111111</v>
      </c>
      <c r="K1686" s="2">
        <v>43534.87736111111</v>
      </c>
      <c r="L1686" s="2">
        <v>43535.87736111111</v>
      </c>
      <c r="M1686" s="1">
        <f>_xlfn.DAYS(Table1[[#This Row],[actual_delivery_date]],Table1[[#This Row],[dispatch_date]])</f>
        <v>6</v>
      </c>
      <c r="N1686">
        <v>47</v>
      </c>
      <c r="O1686">
        <f>Table1[[#This Row],[transit_storage_cost]] * (1-'What -if Analysis'!$D$26)</f>
        <v>47</v>
      </c>
      <c r="P1686">
        <v>126</v>
      </c>
      <c r="Q1686">
        <v>2741.1896436270758</v>
      </c>
    </row>
    <row r="1687" spans="1:17" x14ac:dyDescent="0.3">
      <c r="A1687">
        <v>522406</v>
      </c>
      <c r="B1687" s="1" t="s">
        <v>39</v>
      </c>
      <c r="C1687" s="1" t="s">
        <v>16</v>
      </c>
      <c r="D1687" s="1" t="s">
        <v>24</v>
      </c>
      <c r="E1687" s="1" t="s">
        <v>25</v>
      </c>
      <c r="F1687" s="1" t="s">
        <v>31</v>
      </c>
      <c r="G1687" s="1" t="s">
        <v>20</v>
      </c>
      <c r="H1687" t="s">
        <v>21</v>
      </c>
      <c r="I1687" s="1" t="s">
        <v>22</v>
      </c>
      <c r="J1687" s="2">
        <v>43527.877662037034</v>
      </c>
      <c r="K1687" s="2">
        <v>43534.877662037034</v>
      </c>
      <c r="L1687" s="2">
        <v>43532.877662037034</v>
      </c>
      <c r="M1687" s="1">
        <f>_xlfn.DAYS(Table1[[#This Row],[actual_delivery_date]],Table1[[#This Row],[dispatch_date]])</f>
        <v>7</v>
      </c>
      <c r="N1687">
        <v>28</v>
      </c>
      <c r="O1687">
        <f>Table1[[#This Row],[transit_storage_cost]] * (1-'What -if Analysis'!$D$26)</f>
        <v>28</v>
      </c>
      <c r="P1687">
        <v>128</v>
      </c>
      <c r="Q1687">
        <v>2474.3709338419744</v>
      </c>
    </row>
    <row r="1688" spans="1:17" x14ac:dyDescent="0.3">
      <c r="A1688">
        <v>10278</v>
      </c>
      <c r="B1688" s="1" t="s">
        <v>15</v>
      </c>
      <c r="C1688" s="1" t="s">
        <v>16</v>
      </c>
      <c r="D1688" s="1" t="s">
        <v>17</v>
      </c>
      <c r="E1688" s="1" t="s">
        <v>18</v>
      </c>
      <c r="F1688" s="1" t="s">
        <v>19</v>
      </c>
      <c r="G1688" s="1" t="s">
        <v>20</v>
      </c>
      <c r="H1688" t="s">
        <v>21</v>
      </c>
      <c r="I1688" s="1" t="s">
        <v>26</v>
      </c>
      <c r="J1688" s="2">
        <v>43531.885231481479</v>
      </c>
      <c r="K1688" s="2">
        <v>43534.885231481479</v>
      </c>
      <c r="L1688" s="2">
        <v>43537.885231481479</v>
      </c>
      <c r="M1688" s="1">
        <f>_xlfn.DAYS(Table1[[#This Row],[actual_delivery_date]],Table1[[#This Row],[dispatch_date]])</f>
        <v>3</v>
      </c>
      <c r="N1688">
        <v>63</v>
      </c>
      <c r="O1688">
        <f>Table1[[#This Row],[transit_storage_cost]] * (1-'What -if Analysis'!$D$26)</f>
        <v>63</v>
      </c>
      <c r="P1688">
        <v>90</v>
      </c>
      <c r="Q1688">
        <v>2302.3601103881938</v>
      </c>
    </row>
    <row r="1689" spans="1:17" x14ac:dyDescent="0.3">
      <c r="A1689">
        <v>688410</v>
      </c>
      <c r="B1689" s="1" t="s">
        <v>38</v>
      </c>
      <c r="C1689" s="1" t="s">
        <v>23</v>
      </c>
      <c r="D1689" s="1" t="s">
        <v>17</v>
      </c>
      <c r="E1689" s="1" t="s">
        <v>18</v>
      </c>
      <c r="F1689" s="1" t="s">
        <v>31</v>
      </c>
      <c r="G1689" s="1" t="s">
        <v>20</v>
      </c>
      <c r="H1689" t="s">
        <v>21</v>
      </c>
      <c r="I1689" s="1" t="s">
        <v>26</v>
      </c>
      <c r="J1689" s="2">
        <v>43525.887627314813</v>
      </c>
      <c r="K1689" s="2">
        <v>43534.887627314813</v>
      </c>
      <c r="L1689" s="2">
        <v>43532.887627314813</v>
      </c>
      <c r="M1689" s="1">
        <f>_xlfn.DAYS(Table1[[#This Row],[actual_delivery_date]],Table1[[#This Row],[dispatch_date]])</f>
        <v>9</v>
      </c>
      <c r="N1689">
        <v>27</v>
      </c>
      <c r="O1689">
        <f>Table1[[#This Row],[transit_storage_cost]] * (1-'What -if Analysis'!$D$26)</f>
        <v>27</v>
      </c>
      <c r="P1689">
        <v>108</v>
      </c>
      <c r="Q1689">
        <v>1061.55</v>
      </c>
    </row>
    <row r="1690" spans="1:17" x14ac:dyDescent="0.3">
      <c r="A1690">
        <v>911948</v>
      </c>
      <c r="B1690" s="1" t="s">
        <v>40</v>
      </c>
      <c r="C1690" s="1" t="s">
        <v>23</v>
      </c>
      <c r="D1690" s="1" t="s">
        <v>23</v>
      </c>
      <c r="E1690" s="1" t="s">
        <v>28</v>
      </c>
      <c r="F1690" s="1" t="s">
        <v>19</v>
      </c>
      <c r="G1690" s="1" t="s">
        <v>20</v>
      </c>
      <c r="H1690" t="s">
        <v>21</v>
      </c>
      <c r="I1690" s="1" t="s">
        <v>22</v>
      </c>
      <c r="J1690" s="2">
        <v>43533.89334490741</v>
      </c>
      <c r="K1690" s="2">
        <v>43534.89334490741</v>
      </c>
      <c r="L1690" s="2">
        <v>43540.89334490741</v>
      </c>
      <c r="M1690" s="1">
        <f>_xlfn.DAYS(Table1[[#This Row],[actual_delivery_date]],Table1[[#This Row],[dispatch_date]])</f>
        <v>1</v>
      </c>
      <c r="N1690">
        <v>0</v>
      </c>
      <c r="O1690">
        <f>Table1[[#This Row],[transit_storage_cost]] * (1-'What -if Analysis'!$D$26)</f>
        <v>0</v>
      </c>
      <c r="P1690">
        <v>129</v>
      </c>
      <c r="Q1690">
        <v>500.43552129150913</v>
      </c>
    </row>
    <row r="1691" spans="1:17" x14ac:dyDescent="0.3">
      <c r="A1691">
        <v>779948</v>
      </c>
      <c r="B1691" s="1" t="s">
        <v>15</v>
      </c>
      <c r="C1691" s="1" t="s">
        <v>16</v>
      </c>
      <c r="D1691" s="1" t="s">
        <v>17</v>
      </c>
      <c r="E1691" s="1" t="s">
        <v>18</v>
      </c>
      <c r="F1691" s="1" t="s">
        <v>19</v>
      </c>
      <c r="G1691" s="1" t="s">
        <v>20</v>
      </c>
      <c r="H1691" t="s">
        <v>21</v>
      </c>
      <c r="I1691" s="1" t="s">
        <v>22</v>
      </c>
      <c r="J1691" s="2">
        <v>43532.894999999997</v>
      </c>
      <c r="K1691" s="2">
        <v>43534.894999999997</v>
      </c>
      <c r="L1691" s="2">
        <v>43536.894999999997</v>
      </c>
      <c r="M1691" s="1">
        <f>_xlfn.DAYS(Table1[[#This Row],[actual_delivery_date]],Table1[[#This Row],[dispatch_date]])</f>
        <v>2</v>
      </c>
      <c r="N1691">
        <v>39</v>
      </c>
      <c r="O1691">
        <f>Table1[[#This Row],[transit_storage_cost]] * (1-'What -if Analysis'!$D$26)</f>
        <v>39</v>
      </c>
      <c r="P1691">
        <v>107</v>
      </c>
      <c r="Q1691">
        <v>1333.5937215392571</v>
      </c>
    </row>
    <row r="1692" spans="1:17" x14ac:dyDescent="0.3">
      <c r="A1692">
        <v>751117</v>
      </c>
      <c r="B1692" s="1" t="s">
        <v>15</v>
      </c>
      <c r="C1692" s="1" t="s">
        <v>23</v>
      </c>
      <c r="D1692" s="1" t="s">
        <v>17</v>
      </c>
      <c r="E1692" s="1" t="s">
        <v>18</v>
      </c>
      <c r="F1692" s="1" t="s">
        <v>29</v>
      </c>
      <c r="G1692" s="1" t="s">
        <v>20</v>
      </c>
      <c r="H1692" t="s">
        <v>30</v>
      </c>
      <c r="I1692" s="1" t="s">
        <v>22</v>
      </c>
      <c r="J1692" s="2">
        <v>43531.897928240738</v>
      </c>
      <c r="K1692" s="2">
        <v>43534.897928240738</v>
      </c>
      <c r="L1692" s="2">
        <v>43537.897928240738</v>
      </c>
      <c r="M1692" s="1">
        <f>_xlfn.DAYS(Table1[[#This Row],[actual_delivery_date]],Table1[[#This Row],[dispatch_date]])</f>
        <v>3</v>
      </c>
      <c r="N1692">
        <v>35</v>
      </c>
      <c r="O1692">
        <f>Table1[[#This Row],[transit_storage_cost]] * (1-'What -if Analysis'!$D$26)</f>
        <v>35</v>
      </c>
      <c r="P1692">
        <v>111</v>
      </c>
      <c r="Q1692">
        <v>2978.3205622825803</v>
      </c>
    </row>
    <row r="1693" spans="1:17" x14ac:dyDescent="0.3">
      <c r="A1693">
        <v>378548</v>
      </c>
      <c r="B1693" s="1" t="s">
        <v>37</v>
      </c>
      <c r="C1693" s="1" t="s">
        <v>23</v>
      </c>
      <c r="D1693" s="1" t="s">
        <v>16</v>
      </c>
      <c r="E1693" s="1" t="s">
        <v>27</v>
      </c>
      <c r="F1693" s="1" t="s">
        <v>19</v>
      </c>
      <c r="G1693" s="1" t="s">
        <v>20</v>
      </c>
      <c r="H1693" t="s">
        <v>21</v>
      </c>
      <c r="I1693" s="1" t="s">
        <v>22</v>
      </c>
      <c r="J1693" s="2">
        <v>43531.902696759258</v>
      </c>
      <c r="K1693" s="2">
        <v>43534.902696759258</v>
      </c>
      <c r="L1693" s="2">
        <v>43538.902696759258</v>
      </c>
      <c r="M1693" s="1">
        <f>_xlfn.DAYS(Table1[[#This Row],[actual_delivery_date]],Table1[[#This Row],[dispatch_date]])</f>
        <v>3</v>
      </c>
      <c r="N1693">
        <v>26</v>
      </c>
      <c r="O1693">
        <f>Table1[[#This Row],[transit_storage_cost]] * (1-'What -if Analysis'!$D$26)</f>
        <v>26</v>
      </c>
      <c r="P1693">
        <v>125</v>
      </c>
      <c r="Q1693">
        <v>1752</v>
      </c>
    </row>
    <row r="1694" spans="1:17" x14ac:dyDescent="0.3">
      <c r="A1694">
        <v>47425</v>
      </c>
      <c r="B1694" s="1" t="s">
        <v>39</v>
      </c>
      <c r="C1694" s="1" t="s">
        <v>23</v>
      </c>
      <c r="D1694" s="1" t="s">
        <v>17</v>
      </c>
      <c r="E1694" s="1" t="s">
        <v>18</v>
      </c>
      <c r="F1694" s="1" t="s">
        <v>29</v>
      </c>
      <c r="G1694" s="1" t="s">
        <v>20</v>
      </c>
      <c r="H1694" t="s">
        <v>34</v>
      </c>
      <c r="I1694" s="1" t="s">
        <v>22</v>
      </c>
      <c r="J1694" s="2">
        <v>43531.905891203707</v>
      </c>
      <c r="K1694" s="2">
        <v>43534.905891203707</v>
      </c>
      <c r="L1694" s="2">
        <v>43534.905891203707</v>
      </c>
      <c r="M1694" s="1">
        <f>_xlfn.DAYS(Table1[[#This Row],[actual_delivery_date]],Table1[[#This Row],[dispatch_date]])</f>
        <v>3</v>
      </c>
      <c r="N1694">
        <v>26</v>
      </c>
      <c r="O1694">
        <f>Table1[[#This Row],[transit_storage_cost]] * (1-'What -if Analysis'!$D$26)</f>
        <v>26</v>
      </c>
      <c r="P1694">
        <v>112</v>
      </c>
      <c r="Q1694">
        <v>3402</v>
      </c>
    </row>
    <row r="1695" spans="1:17" x14ac:dyDescent="0.3">
      <c r="A1695">
        <v>803366</v>
      </c>
      <c r="B1695" s="1" t="s">
        <v>41</v>
      </c>
      <c r="C1695" s="1" t="s">
        <v>16</v>
      </c>
      <c r="D1695" s="1" t="s">
        <v>32</v>
      </c>
      <c r="E1695" s="1" t="s">
        <v>33</v>
      </c>
      <c r="F1695" s="1" t="s">
        <v>31</v>
      </c>
      <c r="G1695" s="1" t="s">
        <v>20</v>
      </c>
      <c r="H1695" t="s">
        <v>21</v>
      </c>
      <c r="I1695" s="1" t="s">
        <v>22</v>
      </c>
      <c r="J1695" s="2">
        <v>43532.906747685185</v>
      </c>
      <c r="K1695" s="2">
        <v>43534.906747685185</v>
      </c>
      <c r="L1695" s="2">
        <v>43537.906747685185</v>
      </c>
      <c r="M1695" s="1">
        <f>_xlfn.DAYS(Table1[[#This Row],[actual_delivery_date]],Table1[[#This Row],[dispatch_date]])</f>
        <v>2</v>
      </c>
      <c r="N1695">
        <v>34</v>
      </c>
      <c r="O1695">
        <f>Table1[[#This Row],[transit_storage_cost]] * (1-'What -if Analysis'!$D$26)</f>
        <v>34</v>
      </c>
      <c r="P1695">
        <v>105</v>
      </c>
      <c r="Q1695">
        <v>2632.9970430161497</v>
      </c>
    </row>
    <row r="1696" spans="1:17" x14ac:dyDescent="0.3">
      <c r="A1696">
        <v>467562</v>
      </c>
      <c r="B1696" s="1" t="s">
        <v>39</v>
      </c>
      <c r="C1696" s="1" t="s">
        <v>16</v>
      </c>
      <c r="D1696" s="1" t="s">
        <v>17</v>
      </c>
      <c r="E1696" s="1" t="s">
        <v>18</v>
      </c>
      <c r="F1696" s="1" t="s">
        <v>31</v>
      </c>
      <c r="G1696" s="1" t="s">
        <v>20</v>
      </c>
      <c r="H1696" t="s">
        <v>21</v>
      </c>
      <c r="I1696" s="1" t="s">
        <v>26</v>
      </c>
      <c r="J1696" s="2">
        <v>43531.907002314816</v>
      </c>
      <c r="K1696" s="2">
        <v>43534.907002314816</v>
      </c>
      <c r="L1696" s="2">
        <v>43535.907002314816</v>
      </c>
      <c r="M1696" s="1">
        <f>_xlfn.DAYS(Table1[[#This Row],[actual_delivery_date]],Table1[[#This Row],[dispatch_date]])</f>
        <v>3</v>
      </c>
      <c r="N1696">
        <v>32</v>
      </c>
      <c r="O1696">
        <f>Table1[[#This Row],[transit_storage_cost]] * (1-'What -if Analysis'!$D$26)</f>
        <v>32</v>
      </c>
      <c r="P1696">
        <v>106</v>
      </c>
      <c r="Q1696">
        <v>2957.2570233785004</v>
      </c>
    </row>
    <row r="1697" spans="1:17" x14ac:dyDescent="0.3">
      <c r="A1697">
        <v>653853</v>
      </c>
      <c r="B1697" s="1" t="s">
        <v>38</v>
      </c>
      <c r="C1697" s="1" t="s">
        <v>23</v>
      </c>
      <c r="D1697" s="1" t="s">
        <v>17</v>
      </c>
      <c r="E1697" s="1" t="s">
        <v>18</v>
      </c>
      <c r="F1697" s="1" t="s">
        <v>29</v>
      </c>
      <c r="G1697" s="1" t="s">
        <v>20</v>
      </c>
      <c r="H1697" t="s">
        <v>30</v>
      </c>
      <c r="I1697" s="1" t="s">
        <v>26</v>
      </c>
      <c r="J1697" s="2">
        <v>43530.91070601852</v>
      </c>
      <c r="K1697" s="2">
        <v>43534.91070601852</v>
      </c>
      <c r="L1697" s="2">
        <v>43534.91070601852</v>
      </c>
      <c r="M1697" s="1">
        <f>_xlfn.DAYS(Table1[[#This Row],[actual_delivery_date]],Table1[[#This Row],[dispatch_date]])</f>
        <v>4</v>
      </c>
      <c r="N1697">
        <v>0</v>
      </c>
      <c r="O1697">
        <f>Table1[[#This Row],[transit_storage_cost]] * (1-'What -if Analysis'!$D$26)</f>
        <v>0</v>
      </c>
      <c r="P1697">
        <v>109</v>
      </c>
      <c r="Q1697">
        <v>2695.6529808747741</v>
      </c>
    </row>
    <row r="1698" spans="1:17" x14ac:dyDescent="0.3">
      <c r="A1698">
        <v>247438</v>
      </c>
      <c r="B1698" s="1" t="s">
        <v>39</v>
      </c>
      <c r="C1698" s="1" t="s">
        <v>16</v>
      </c>
      <c r="D1698" s="1" t="s">
        <v>32</v>
      </c>
      <c r="E1698" s="1" t="s">
        <v>33</v>
      </c>
      <c r="F1698" s="1" t="s">
        <v>19</v>
      </c>
      <c r="G1698" s="1" t="s">
        <v>20</v>
      </c>
      <c r="H1698" t="s">
        <v>21</v>
      </c>
      <c r="I1698" s="1" t="s">
        <v>22</v>
      </c>
      <c r="J1698" s="2">
        <v>43530.913587962961</v>
      </c>
      <c r="K1698" s="2">
        <v>43534.913587962961</v>
      </c>
      <c r="L1698" s="2">
        <v>43537.913587962961</v>
      </c>
      <c r="M1698" s="1">
        <f>_xlfn.DAYS(Table1[[#This Row],[actual_delivery_date]],Table1[[#This Row],[dispatch_date]])</f>
        <v>4</v>
      </c>
      <c r="N1698">
        <v>72</v>
      </c>
      <c r="O1698">
        <f>Table1[[#This Row],[transit_storage_cost]] * (1-'What -if Analysis'!$D$26)</f>
        <v>72</v>
      </c>
      <c r="P1698">
        <v>93</v>
      </c>
      <c r="Q1698">
        <v>2452</v>
      </c>
    </row>
    <row r="1699" spans="1:17" x14ac:dyDescent="0.3">
      <c r="A1699">
        <v>43847</v>
      </c>
      <c r="B1699" s="1" t="s">
        <v>37</v>
      </c>
      <c r="C1699" s="1" t="s">
        <v>16</v>
      </c>
      <c r="D1699" s="1" t="s">
        <v>16</v>
      </c>
      <c r="E1699" s="1" t="s">
        <v>27</v>
      </c>
      <c r="F1699" s="1" t="s">
        <v>19</v>
      </c>
      <c r="G1699" s="1" t="s">
        <v>20</v>
      </c>
      <c r="H1699" t="s">
        <v>30</v>
      </c>
      <c r="I1699" s="1" t="s">
        <v>22</v>
      </c>
      <c r="J1699" s="2">
        <v>43530.915138888886</v>
      </c>
      <c r="K1699" s="2">
        <v>43534.915138888886</v>
      </c>
      <c r="L1699" s="2">
        <v>43536.915138888886</v>
      </c>
      <c r="M1699" s="1">
        <f>_xlfn.DAYS(Table1[[#This Row],[actual_delivery_date]],Table1[[#This Row],[dispatch_date]])</f>
        <v>4</v>
      </c>
      <c r="N1699">
        <v>0</v>
      </c>
      <c r="O1699">
        <f>Table1[[#This Row],[transit_storage_cost]] * (1-'What -if Analysis'!$D$26)</f>
        <v>0</v>
      </c>
      <c r="P1699">
        <v>107</v>
      </c>
      <c r="Q1699">
        <v>3193.2078189486547</v>
      </c>
    </row>
    <row r="1700" spans="1:17" x14ac:dyDescent="0.3">
      <c r="A1700">
        <v>777396</v>
      </c>
      <c r="B1700" s="1" t="s">
        <v>37</v>
      </c>
      <c r="C1700" s="1" t="s">
        <v>16</v>
      </c>
      <c r="D1700" s="1" t="s">
        <v>16</v>
      </c>
      <c r="E1700" s="1" t="s">
        <v>27</v>
      </c>
      <c r="F1700" s="1" t="s">
        <v>19</v>
      </c>
      <c r="G1700" s="1" t="s">
        <v>36</v>
      </c>
      <c r="H1700" t="s">
        <v>21</v>
      </c>
      <c r="I1700" s="1" t="s">
        <v>26</v>
      </c>
      <c r="J1700" s="2">
        <v>43534.920717592591</v>
      </c>
      <c r="K1700" s="2">
        <v>43534.920717592591</v>
      </c>
      <c r="L1700" s="2">
        <v>43540.920717592591</v>
      </c>
      <c r="M1700" s="1">
        <f>_xlfn.DAYS(Table1[[#This Row],[actual_delivery_date]],Table1[[#This Row],[dispatch_date]])</f>
        <v>0</v>
      </c>
      <c r="N1700">
        <v>0</v>
      </c>
      <c r="O1700">
        <f>Table1[[#This Row],[transit_storage_cost]] * (1-'What -if Analysis'!$D$26)</f>
        <v>0</v>
      </c>
      <c r="P1700">
        <v>109</v>
      </c>
      <c r="Q1700">
        <v>2652.7968086742339</v>
      </c>
    </row>
    <row r="1701" spans="1:17" x14ac:dyDescent="0.3">
      <c r="A1701">
        <v>798873</v>
      </c>
      <c r="B1701" s="1" t="s">
        <v>38</v>
      </c>
      <c r="C1701" s="1" t="s">
        <v>23</v>
      </c>
      <c r="D1701" s="1" t="s">
        <v>16</v>
      </c>
      <c r="E1701" s="1" t="s">
        <v>27</v>
      </c>
      <c r="F1701" s="1" t="s">
        <v>19</v>
      </c>
      <c r="G1701" s="1" t="s">
        <v>20</v>
      </c>
      <c r="H1701" t="s">
        <v>30</v>
      </c>
      <c r="I1701" s="1" t="s">
        <v>26</v>
      </c>
      <c r="J1701" s="2">
        <v>43532.921446759261</v>
      </c>
      <c r="K1701" s="2">
        <v>43534.921446759261</v>
      </c>
      <c r="L1701" s="2">
        <v>43538.921446759261</v>
      </c>
      <c r="M1701" s="1">
        <f>_xlfn.DAYS(Table1[[#This Row],[actual_delivery_date]],Table1[[#This Row],[dispatch_date]])</f>
        <v>2</v>
      </c>
      <c r="N1701">
        <v>68</v>
      </c>
      <c r="O1701">
        <f>Table1[[#This Row],[transit_storage_cost]] * (1-'What -if Analysis'!$D$26)</f>
        <v>68</v>
      </c>
      <c r="P1701">
        <v>102</v>
      </c>
      <c r="Q1701">
        <v>1056</v>
      </c>
    </row>
    <row r="1702" spans="1:17" x14ac:dyDescent="0.3">
      <c r="A1702">
        <v>519290</v>
      </c>
      <c r="B1702" s="1" t="s">
        <v>37</v>
      </c>
      <c r="C1702" s="1" t="s">
        <v>16</v>
      </c>
      <c r="D1702" s="1" t="s">
        <v>16</v>
      </c>
      <c r="E1702" s="1" t="s">
        <v>27</v>
      </c>
      <c r="F1702" s="1" t="s">
        <v>31</v>
      </c>
      <c r="G1702" s="1" t="s">
        <v>20</v>
      </c>
      <c r="H1702" t="s">
        <v>21</v>
      </c>
      <c r="I1702" s="1" t="s">
        <v>22</v>
      </c>
      <c r="J1702" s="2">
        <v>43529.921736111108</v>
      </c>
      <c r="K1702" s="2">
        <v>43534.921736111108</v>
      </c>
      <c r="L1702" s="2">
        <v>43536.921736111108</v>
      </c>
      <c r="M1702" s="1">
        <f>_xlfn.DAYS(Table1[[#This Row],[actual_delivery_date]],Table1[[#This Row],[dispatch_date]])</f>
        <v>5</v>
      </c>
      <c r="N1702">
        <v>0</v>
      </c>
      <c r="O1702">
        <f>Table1[[#This Row],[transit_storage_cost]] * (1-'What -if Analysis'!$D$26)</f>
        <v>0</v>
      </c>
      <c r="P1702">
        <v>124</v>
      </c>
      <c r="Q1702">
        <v>693.17775307942554</v>
      </c>
    </row>
    <row r="1703" spans="1:17" x14ac:dyDescent="0.3">
      <c r="A1703">
        <v>755862</v>
      </c>
      <c r="B1703" s="1" t="s">
        <v>37</v>
      </c>
      <c r="C1703" s="1" t="s">
        <v>23</v>
      </c>
      <c r="D1703" s="1" t="s">
        <v>32</v>
      </c>
      <c r="E1703" s="1" t="s">
        <v>33</v>
      </c>
      <c r="F1703" s="1" t="s">
        <v>31</v>
      </c>
      <c r="G1703" s="1" t="s">
        <v>20</v>
      </c>
      <c r="H1703" t="s">
        <v>21</v>
      </c>
      <c r="I1703" s="1" t="s">
        <v>26</v>
      </c>
      <c r="J1703" s="2">
        <v>43532.934224537035</v>
      </c>
      <c r="K1703" s="2">
        <v>43534.934224537035</v>
      </c>
      <c r="L1703" s="2">
        <v>43538.934224537035</v>
      </c>
      <c r="M1703" s="1">
        <f>_xlfn.DAYS(Table1[[#This Row],[actual_delivery_date]],Table1[[#This Row],[dispatch_date]])</f>
        <v>2</v>
      </c>
      <c r="N1703">
        <v>25</v>
      </c>
      <c r="O1703">
        <f>Table1[[#This Row],[transit_storage_cost]] * (1-'What -if Analysis'!$D$26)</f>
        <v>25</v>
      </c>
      <c r="P1703">
        <v>114</v>
      </c>
      <c r="Q1703">
        <v>2673.7648899100927</v>
      </c>
    </row>
    <row r="1704" spans="1:17" x14ac:dyDescent="0.3">
      <c r="A1704">
        <v>364057</v>
      </c>
      <c r="B1704" s="1" t="s">
        <v>39</v>
      </c>
      <c r="C1704" s="1" t="s">
        <v>16</v>
      </c>
      <c r="D1704" s="1" t="s">
        <v>23</v>
      </c>
      <c r="E1704" s="1" t="s">
        <v>28</v>
      </c>
      <c r="F1704" s="1" t="s">
        <v>29</v>
      </c>
      <c r="G1704" s="1" t="s">
        <v>20</v>
      </c>
      <c r="H1704" t="s">
        <v>30</v>
      </c>
      <c r="I1704" s="1" t="s">
        <v>22</v>
      </c>
      <c r="J1704" s="2">
        <v>43528.944525462961</v>
      </c>
      <c r="K1704" s="2">
        <v>43534.944525462961</v>
      </c>
      <c r="L1704" s="2">
        <v>43532.944525462961</v>
      </c>
      <c r="M1704" s="1">
        <f>_xlfn.DAYS(Table1[[#This Row],[actual_delivery_date]],Table1[[#This Row],[dispatch_date]])</f>
        <v>6</v>
      </c>
      <c r="N1704">
        <v>50</v>
      </c>
      <c r="O1704">
        <f>Table1[[#This Row],[transit_storage_cost]] * (1-'What -if Analysis'!$D$26)</f>
        <v>50</v>
      </c>
      <c r="P1704">
        <v>120</v>
      </c>
      <c r="Q1704">
        <v>539.41381275868025</v>
      </c>
    </row>
    <row r="1705" spans="1:17" x14ac:dyDescent="0.3">
      <c r="A1705">
        <v>698718</v>
      </c>
      <c r="B1705" s="1" t="s">
        <v>39</v>
      </c>
      <c r="C1705" s="1" t="s">
        <v>16</v>
      </c>
      <c r="D1705" s="1" t="s">
        <v>16</v>
      </c>
      <c r="E1705" s="1" t="s">
        <v>27</v>
      </c>
      <c r="F1705" s="1" t="s">
        <v>31</v>
      </c>
      <c r="G1705" s="1" t="s">
        <v>20</v>
      </c>
      <c r="H1705" t="s">
        <v>21</v>
      </c>
      <c r="I1705" s="1" t="s">
        <v>26</v>
      </c>
      <c r="J1705" s="2">
        <v>43531.945520833331</v>
      </c>
      <c r="K1705" s="2">
        <v>43534.945520833331</v>
      </c>
      <c r="L1705" s="2">
        <v>43538.945520833331</v>
      </c>
      <c r="M1705" s="1">
        <f>_xlfn.DAYS(Table1[[#This Row],[actual_delivery_date]],Table1[[#This Row],[dispatch_date]])</f>
        <v>3</v>
      </c>
      <c r="N1705">
        <v>0</v>
      </c>
      <c r="O1705">
        <f>Table1[[#This Row],[transit_storage_cost]] * (1-'What -if Analysis'!$D$26)</f>
        <v>0</v>
      </c>
      <c r="P1705">
        <v>126</v>
      </c>
      <c r="Q1705">
        <v>2625</v>
      </c>
    </row>
    <row r="1706" spans="1:17" x14ac:dyDescent="0.3">
      <c r="A1706">
        <v>192350</v>
      </c>
      <c r="B1706" s="1" t="s">
        <v>38</v>
      </c>
      <c r="C1706" s="1" t="s">
        <v>23</v>
      </c>
      <c r="D1706" s="1" t="s">
        <v>17</v>
      </c>
      <c r="E1706" s="1" t="s">
        <v>18</v>
      </c>
      <c r="F1706" s="1" t="s">
        <v>31</v>
      </c>
      <c r="G1706" s="1" t="s">
        <v>20</v>
      </c>
      <c r="H1706" t="s">
        <v>21</v>
      </c>
      <c r="I1706" s="1" t="s">
        <v>22</v>
      </c>
      <c r="J1706" s="2">
        <v>43525.950555555559</v>
      </c>
      <c r="K1706" s="2">
        <v>43534.950555555559</v>
      </c>
      <c r="L1706" s="2">
        <v>43531.950555555559</v>
      </c>
      <c r="M1706" s="1">
        <f>_xlfn.DAYS(Table1[[#This Row],[actual_delivery_date]],Table1[[#This Row],[dispatch_date]])</f>
        <v>9</v>
      </c>
      <c r="N1706">
        <v>46</v>
      </c>
      <c r="O1706">
        <f>Table1[[#This Row],[transit_storage_cost]] * (1-'What -if Analysis'!$D$26)</f>
        <v>46</v>
      </c>
      <c r="P1706">
        <v>109</v>
      </c>
      <c r="Q1706">
        <v>3087.9371739785856</v>
      </c>
    </row>
    <row r="1707" spans="1:17" x14ac:dyDescent="0.3">
      <c r="A1707">
        <v>299715</v>
      </c>
      <c r="B1707" s="1" t="s">
        <v>38</v>
      </c>
      <c r="C1707" s="1" t="s">
        <v>16</v>
      </c>
      <c r="D1707" s="1" t="s">
        <v>17</v>
      </c>
      <c r="E1707" s="1" t="s">
        <v>18</v>
      </c>
      <c r="F1707" s="1" t="s">
        <v>29</v>
      </c>
      <c r="G1707" s="1" t="s">
        <v>20</v>
      </c>
      <c r="H1707" t="s">
        <v>30</v>
      </c>
      <c r="I1707" s="1" t="s">
        <v>26</v>
      </c>
      <c r="J1707" s="2">
        <v>43526.953773148147</v>
      </c>
      <c r="K1707" s="2">
        <v>43534.953773148147</v>
      </c>
      <c r="L1707" s="2">
        <v>43532.953773148147</v>
      </c>
      <c r="M1707" s="1">
        <f>_xlfn.DAYS(Table1[[#This Row],[actual_delivery_date]],Table1[[#This Row],[dispatch_date]])</f>
        <v>8</v>
      </c>
      <c r="N1707">
        <v>29</v>
      </c>
      <c r="O1707">
        <f>Table1[[#This Row],[transit_storage_cost]] * (1-'What -if Analysis'!$D$26)</f>
        <v>29</v>
      </c>
      <c r="P1707">
        <v>105</v>
      </c>
      <c r="Q1707">
        <v>1786.73</v>
      </c>
    </row>
    <row r="1708" spans="1:17" x14ac:dyDescent="0.3">
      <c r="A1708">
        <v>943490</v>
      </c>
      <c r="B1708" s="1" t="s">
        <v>39</v>
      </c>
      <c r="C1708" s="1" t="s">
        <v>16</v>
      </c>
      <c r="D1708" s="1" t="s">
        <v>23</v>
      </c>
      <c r="E1708" s="1" t="s">
        <v>28</v>
      </c>
      <c r="F1708" s="1" t="s">
        <v>19</v>
      </c>
      <c r="G1708" s="1" t="s">
        <v>20</v>
      </c>
      <c r="H1708" t="s">
        <v>21</v>
      </c>
      <c r="I1708" s="1" t="s">
        <v>22</v>
      </c>
      <c r="J1708" s="2">
        <v>43532.954872685186</v>
      </c>
      <c r="K1708" s="2">
        <v>43534.954872685186</v>
      </c>
      <c r="L1708" s="2">
        <v>43536.954872685186</v>
      </c>
      <c r="M1708" s="1">
        <f>_xlfn.DAYS(Table1[[#This Row],[actual_delivery_date]],Table1[[#This Row],[dispatch_date]])</f>
        <v>2</v>
      </c>
      <c r="N1708">
        <v>75</v>
      </c>
      <c r="O1708">
        <f>Table1[[#This Row],[transit_storage_cost]] * (1-'What -if Analysis'!$D$26)</f>
        <v>75</v>
      </c>
      <c r="P1708">
        <v>108</v>
      </c>
      <c r="Q1708">
        <v>3559.2216201419783</v>
      </c>
    </row>
    <row r="1709" spans="1:17" x14ac:dyDescent="0.3">
      <c r="A1709">
        <v>880551</v>
      </c>
      <c r="B1709" s="1" t="s">
        <v>38</v>
      </c>
      <c r="C1709" s="1" t="s">
        <v>16</v>
      </c>
      <c r="D1709" s="1" t="s">
        <v>17</v>
      </c>
      <c r="E1709" s="1" t="s">
        <v>18</v>
      </c>
      <c r="F1709" s="1" t="s">
        <v>29</v>
      </c>
      <c r="G1709" s="1" t="s">
        <v>20</v>
      </c>
      <c r="H1709" t="s">
        <v>34</v>
      </c>
      <c r="I1709" s="1" t="s">
        <v>26</v>
      </c>
      <c r="J1709" s="2">
        <v>43527.960046296299</v>
      </c>
      <c r="K1709" s="2">
        <v>43534.960046296299</v>
      </c>
      <c r="L1709" s="2">
        <v>43530.960046296299</v>
      </c>
      <c r="M1709" s="1">
        <f>_xlfn.DAYS(Table1[[#This Row],[actual_delivery_date]],Table1[[#This Row],[dispatch_date]])</f>
        <v>7</v>
      </c>
      <c r="N1709">
        <v>25</v>
      </c>
      <c r="O1709">
        <f>Table1[[#This Row],[transit_storage_cost]] * (1-'What -if Analysis'!$D$26)</f>
        <v>25</v>
      </c>
      <c r="P1709">
        <v>113</v>
      </c>
      <c r="Q1709">
        <v>1536.94</v>
      </c>
    </row>
    <row r="1710" spans="1:17" x14ac:dyDescent="0.3">
      <c r="A1710">
        <v>28914</v>
      </c>
      <c r="B1710" s="1" t="s">
        <v>38</v>
      </c>
      <c r="C1710" s="1" t="s">
        <v>16</v>
      </c>
      <c r="D1710" s="1" t="s">
        <v>17</v>
      </c>
      <c r="E1710" s="1" t="s">
        <v>18</v>
      </c>
      <c r="F1710" s="1" t="s">
        <v>31</v>
      </c>
      <c r="G1710" s="1" t="s">
        <v>20</v>
      </c>
      <c r="H1710" t="s">
        <v>21</v>
      </c>
      <c r="I1710" s="1" t="s">
        <v>26</v>
      </c>
      <c r="J1710" s="2">
        <v>43527.965370370373</v>
      </c>
      <c r="K1710" s="2">
        <v>43534.965370370373</v>
      </c>
      <c r="L1710" s="2">
        <v>43530.965370370373</v>
      </c>
      <c r="M1710" s="1">
        <f>_xlfn.DAYS(Table1[[#This Row],[actual_delivery_date]],Table1[[#This Row],[dispatch_date]])</f>
        <v>7</v>
      </c>
      <c r="N1710">
        <v>33</v>
      </c>
      <c r="O1710">
        <f>Table1[[#This Row],[transit_storage_cost]] * (1-'What -if Analysis'!$D$26)</f>
        <v>33</v>
      </c>
      <c r="P1710">
        <v>108</v>
      </c>
      <c r="Q1710">
        <v>1824.28</v>
      </c>
    </row>
    <row r="1711" spans="1:17" x14ac:dyDescent="0.3">
      <c r="A1711">
        <v>317695</v>
      </c>
      <c r="B1711" s="1" t="s">
        <v>37</v>
      </c>
      <c r="C1711" s="1" t="s">
        <v>23</v>
      </c>
      <c r="D1711" s="1" t="s">
        <v>24</v>
      </c>
      <c r="E1711" s="1" t="s">
        <v>25</v>
      </c>
      <c r="F1711" s="1" t="s">
        <v>29</v>
      </c>
      <c r="G1711" s="1" t="s">
        <v>20</v>
      </c>
      <c r="H1711" t="s">
        <v>34</v>
      </c>
      <c r="I1711" s="1" t="s">
        <v>22</v>
      </c>
      <c r="J1711" s="2">
        <v>43531.966053240743</v>
      </c>
      <c r="K1711" s="2">
        <v>43534.966053240743</v>
      </c>
      <c r="L1711" s="2">
        <v>43535.966053240743</v>
      </c>
      <c r="M1711" s="1">
        <f>_xlfn.DAYS(Table1[[#This Row],[actual_delivery_date]],Table1[[#This Row],[dispatch_date]])</f>
        <v>3</v>
      </c>
      <c r="N1711">
        <v>36</v>
      </c>
      <c r="O1711">
        <f>Table1[[#This Row],[transit_storage_cost]] * (1-'What -if Analysis'!$D$26)</f>
        <v>36</v>
      </c>
      <c r="P1711">
        <v>120</v>
      </c>
      <c r="Q1711">
        <v>1471.5570015898463</v>
      </c>
    </row>
    <row r="1712" spans="1:17" x14ac:dyDescent="0.3">
      <c r="A1712">
        <v>729925</v>
      </c>
      <c r="B1712" s="1" t="s">
        <v>39</v>
      </c>
      <c r="C1712" s="1" t="s">
        <v>16</v>
      </c>
      <c r="D1712" s="1" t="s">
        <v>32</v>
      </c>
      <c r="E1712" s="1" t="s">
        <v>33</v>
      </c>
      <c r="F1712" s="1" t="s">
        <v>29</v>
      </c>
      <c r="G1712" s="1" t="s">
        <v>20</v>
      </c>
      <c r="H1712" t="s">
        <v>34</v>
      </c>
      <c r="I1712" s="1" t="s">
        <v>22</v>
      </c>
      <c r="J1712" s="2">
        <v>43527.966111111113</v>
      </c>
      <c r="K1712" s="2">
        <v>43534.966111111113</v>
      </c>
      <c r="L1712" s="2">
        <v>43530.966111111113</v>
      </c>
      <c r="M1712" s="1">
        <f>_xlfn.DAYS(Table1[[#This Row],[actual_delivery_date]],Table1[[#This Row],[dispatch_date]])</f>
        <v>7</v>
      </c>
      <c r="N1712">
        <v>9999</v>
      </c>
      <c r="O1712">
        <f>Table1[[#This Row],[transit_storage_cost]] * (1-'What -if Analysis'!$D$26)</f>
        <v>9999</v>
      </c>
      <c r="P1712">
        <v>109</v>
      </c>
      <c r="Q1712">
        <v>2658.8005846504311</v>
      </c>
    </row>
    <row r="1713" spans="1:17" x14ac:dyDescent="0.3">
      <c r="A1713">
        <v>889467</v>
      </c>
      <c r="B1713" s="1" t="s">
        <v>38</v>
      </c>
      <c r="C1713" s="1" t="s">
        <v>16</v>
      </c>
      <c r="D1713" s="1" t="s">
        <v>24</v>
      </c>
      <c r="E1713" s="1" t="s">
        <v>25</v>
      </c>
      <c r="F1713" s="1" t="s">
        <v>19</v>
      </c>
      <c r="G1713" s="1" t="s">
        <v>20</v>
      </c>
      <c r="H1713" t="s">
        <v>30</v>
      </c>
      <c r="I1713" s="1" t="s">
        <v>26</v>
      </c>
      <c r="J1713" s="2">
        <v>43528.966458333336</v>
      </c>
      <c r="K1713" s="2">
        <v>43534.966458333336</v>
      </c>
      <c r="L1713" s="2">
        <v>43535.966458333336</v>
      </c>
      <c r="M1713" s="1">
        <f>_xlfn.DAYS(Table1[[#This Row],[actual_delivery_date]],Table1[[#This Row],[dispatch_date]])</f>
        <v>6</v>
      </c>
      <c r="N1713">
        <v>70</v>
      </c>
      <c r="O1713">
        <f>Table1[[#This Row],[transit_storage_cost]] * (1-'What -if Analysis'!$D$26)</f>
        <v>70</v>
      </c>
      <c r="P1713">
        <v>105</v>
      </c>
      <c r="Q1713">
        <v>576.22</v>
      </c>
    </row>
    <row r="1714" spans="1:17" x14ac:dyDescent="0.3">
      <c r="A1714">
        <v>550097</v>
      </c>
      <c r="B1714" s="1" t="s">
        <v>41</v>
      </c>
      <c r="C1714" s="1" t="s">
        <v>23</v>
      </c>
      <c r="D1714" s="1" t="s">
        <v>16</v>
      </c>
      <c r="E1714" s="1" t="s">
        <v>27</v>
      </c>
      <c r="F1714" s="1" t="s">
        <v>29</v>
      </c>
      <c r="G1714" s="1" t="s">
        <v>20</v>
      </c>
      <c r="H1714" t="s">
        <v>30</v>
      </c>
      <c r="I1714" s="1" t="s">
        <v>22</v>
      </c>
      <c r="J1714" s="2">
        <v>43530.969965277778</v>
      </c>
      <c r="K1714" s="2">
        <v>43534.969965277778</v>
      </c>
      <c r="L1714" s="2">
        <v>43533.969965277778</v>
      </c>
      <c r="M1714" s="1">
        <f>_xlfn.DAYS(Table1[[#This Row],[actual_delivery_date]],Table1[[#This Row],[dispatch_date]])</f>
        <v>4</v>
      </c>
      <c r="N1714">
        <v>45</v>
      </c>
      <c r="O1714">
        <f>Table1[[#This Row],[transit_storage_cost]] * (1-'What -if Analysis'!$D$26)</f>
        <v>45</v>
      </c>
      <c r="P1714">
        <v>128</v>
      </c>
      <c r="Q1714">
        <v>2858.1682934109322</v>
      </c>
    </row>
    <row r="1715" spans="1:17" x14ac:dyDescent="0.3">
      <c r="A1715">
        <v>589840</v>
      </c>
      <c r="B1715" s="1" t="s">
        <v>38</v>
      </c>
      <c r="C1715" s="1" t="s">
        <v>16</v>
      </c>
      <c r="D1715" s="1" t="s">
        <v>23</v>
      </c>
      <c r="E1715" s="1" t="s">
        <v>28</v>
      </c>
      <c r="F1715" s="1" t="s">
        <v>19</v>
      </c>
      <c r="G1715" s="1" t="s">
        <v>20</v>
      </c>
      <c r="H1715" t="s">
        <v>21</v>
      </c>
      <c r="I1715" s="1" t="s">
        <v>22</v>
      </c>
      <c r="J1715" s="2">
        <v>43531.970127314817</v>
      </c>
      <c r="K1715" s="2">
        <v>43534.970127314817</v>
      </c>
      <c r="L1715" s="2">
        <v>43538.970127314817</v>
      </c>
      <c r="M1715" s="1">
        <f>_xlfn.DAYS(Table1[[#This Row],[actual_delivery_date]],Table1[[#This Row],[dispatch_date]])</f>
        <v>3</v>
      </c>
      <c r="N1715">
        <v>43</v>
      </c>
      <c r="O1715">
        <f>Table1[[#This Row],[transit_storage_cost]] * (1-'What -if Analysis'!$D$26)</f>
        <v>43</v>
      </c>
      <c r="P1715">
        <v>128</v>
      </c>
      <c r="Q1715">
        <v>363</v>
      </c>
    </row>
    <row r="1716" spans="1:17" x14ac:dyDescent="0.3">
      <c r="A1716">
        <v>670624</v>
      </c>
      <c r="B1716" s="1" t="s">
        <v>41</v>
      </c>
      <c r="C1716" s="1" t="s">
        <v>23</v>
      </c>
      <c r="D1716" s="1" t="s">
        <v>16</v>
      </c>
      <c r="E1716" s="1" t="s">
        <v>27</v>
      </c>
      <c r="F1716" s="1" t="s">
        <v>19</v>
      </c>
      <c r="G1716" s="1" t="s">
        <v>20</v>
      </c>
      <c r="H1716" t="s">
        <v>21</v>
      </c>
      <c r="I1716" s="1" t="s">
        <v>22</v>
      </c>
      <c r="J1716" s="2">
        <v>43532.972430555557</v>
      </c>
      <c r="K1716" s="2">
        <v>43534.972430555557</v>
      </c>
      <c r="L1716" s="2">
        <v>43538.972430555557</v>
      </c>
      <c r="M1716" s="1">
        <f>_xlfn.DAYS(Table1[[#This Row],[actual_delivery_date]],Table1[[#This Row],[dispatch_date]])</f>
        <v>2</v>
      </c>
      <c r="N1716">
        <v>66</v>
      </c>
      <c r="O1716">
        <f>Table1[[#This Row],[transit_storage_cost]] * (1-'What -if Analysis'!$D$26)</f>
        <v>66</v>
      </c>
      <c r="P1716">
        <v>101</v>
      </c>
      <c r="Q1716">
        <v>1374.2763469448817</v>
      </c>
    </row>
    <row r="1717" spans="1:17" x14ac:dyDescent="0.3">
      <c r="A1717">
        <v>853943</v>
      </c>
      <c r="B1717" s="1" t="s">
        <v>40</v>
      </c>
      <c r="C1717" s="1" t="s">
        <v>16</v>
      </c>
      <c r="D1717" s="1" t="s">
        <v>16</v>
      </c>
      <c r="E1717" s="1" t="s">
        <v>27</v>
      </c>
      <c r="F1717" s="1" t="s">
        <v>29</v>
      </c>
      <c r="G1717" s="1" t="s">
        <v>20</v>
      </c>
      <c r="H1717" t="s">
        <v>30</v>
      </c>
      <c r="I1717" s="1" t="s">
        <v>22</v>
      </c>
      <c r="J1717" s="2">
        <v>43529.973935185182</v>
      </c>
      <c r="K1717" s="2">
        <v>43534.973935185182</v>
      </c>
      <c r="L1717" s="2">
        <v>43536.973935185182</v>
      </c>
      <c r="M1717" s="1">
        <f>_xlfn.DAYS(Table1[[#This Row],[actual_delivery_date]],Table1[[#This Row],[dispatch_date]])</f>
        <v>5</v>
      </c>
      <c r="N1717">
        <v>0</v>
      </c>
      <c r="O1717">
        <f>Table1[[#This Row],[transit_storage_cost]] * (1-'What -if Analysis'!$D$26)</f>
        <v>0</v>
      </c>
      <c r="P1717">
        <v>128</v>
      </c>
      <c r="Q1717">
        <v>3352.4654281672128</v>
      </c>
    </row>
    <row r="1718" spans="1:17" x14ac:dyDescent="0.3">
      <c r="A1718">
        <v>180055</v>
      </c>
      <c r="B1718" s="1" t="s">
        <v>37</v>
      </c>
      <c r="C1718" s="1" t="s">
        <v>23</v>
      </c>
      <c r="D1718" s="1" t="s">
        <v>17</v>
      </c>
      <c r="E1718" s="1" t="s">
        <v>18</v>
      </c>
      <c r="F1718" s="1" t="s">
        <v>29</v>
      </c>
      <c r="G1718" s="1" t="s">
        <v>20</v>
      </c>
      <c r="H1718" t="s">
        <v>30</v>
      </c>
      <c r="I1718" s="1" t="s">
        <v>22</v>
      </c>
      <c r="J1718" s="2">
        <v>43526.978206018517</v>
      </c>
      <c r="K1718" s="2">
        <v>43534.978206018517</v>
      </c>
      <c r="L1718" s="2">
        <v>43530.978206018517</v>
      </c>
      <c r="M1718" s="1">
        <f>_xlfn.DAYS(Table1[[#This Row],[actual_delivery_date]],Table1[[#This Row],[dispatch_date]])</f>
        <v>8</v>
      </c>
      <c r="N1718">
        <v>39</v>
      </c>
      <c r="O1718">
        <f>Table1[[#This Row],[transit_storage_cost]] * (1-'What -if Analysis'!$D$26)</f>
        <v>39</v>
      </c>
      <c r="P1718">
        <v>107</v>
      </c>
      <c r="Q1718">
        <v>1662.5974123522878</v>
      </c>
    </row>
    <row r="1719" spans="1:17" x14ac:dyDescent="0.3">
      <c r="A1719">
        <v>168789</v>
      </c>
      <c r="B1719" s="1" t="s">
        <v>37</v>
      </c>
      <c r="C1719" s="1" t="s">
        <v>23</v>
      </c>
      <c r="D1719" s="1" t="s">
        <v>16</v>
      </c>
      <c r="E1719" s="1" t="s">
        <v>27</v>
      </c>
      <c r="F1719" s="1" t="s">
        <v>29</v>
      </c>
      <c r="G1719" s="1" t="s">
        <v>20</v>
      </c>
      <c r="H1719" t="s">
        <v>30</v>
      </c>
      <c r="I1719" s="1" t="s">
        <v>26</v>
      </c>
      <c r="J1719" s="2">
        <v>43527.978877314818</v>
      </c>
      <c r="K1719" s="2">
        <v>43534.978877314818</v>
      </c>
      <c r="L1719" s="2">
        <v>43533.978877314818</v>
      </c>
      <c r="M1719" s="1">
        <f>_xlfn.DAYS(Table1[[#This Row],[actual_delivery_date]],Table1[[#This Row],[dispatch_date]])</f>
        <v>7</v>
      </c>
      <c r="N1719">
        <v>34</v>
      </c>
      <c r="O1719">
        <f>Table1[[#This Row],[transit_storage_cost]] * (1-'What -if Analysis'!$D$26)</f>
        <v>34</v>
      </c>
      <c r="P1719">
        <v>121</v>
      </c>
      <c r="Q1719">
        <v>2392.96</v>
      </c>
    </row>
    <row r="1720" spans="1:17" x14ac:dyDescent="0.3">
      <c r="A1720">
        <v>8367</v>
      </c>
      <c r="B1720" s="1" t="s">
        <v>41</v>
      </c>
      <c r="C1720" s="1" t="s">
        <v>16</v>
      </c>
      <c r="D1720" s="1" t="s">
        <v>32</v>
      </c>
      <c r="E1720" s="1" t="s">
        <v>33</v>
      </c>
      <c r="F1720" s="1" t="s">
        <v>29</v>
      </c>
      <c r="G1720" s="1" t="s">
        <v>20</v>
      </c>
      <c r="H1720" t="s">
        <v>30</v>
      </c>
      <c r="I1720" s="1" t="s">
        <v>26</v>
      </c>
      <c r="J1720" s="2">
        <v>43528.984409722223</v>
      </c>
      <c r="K1720" s="2">
        <v>43534.984409722223</v>
      </c>
      <c r="L1720" s="2">
        <v>43532.984409722223</v>
      </c>
      <c r="M1720" s="1">
        <f>_xlfn.DAYS(Table1[[#This Row],[actual_delivery_date]],Table1[[#This Row],[dispatch_date]])</f>
        <v>6</v>
      </c>
      <c r="N1720">
        <v>49</v>
      </c>
      <c r="O1720">
        <f>Table1[[#This Row],[transit_storage_cost]] * (1-'What -if Analysis'!$D$26)</f>
        <v>49</v>
      </c>
      <c r="P1720">
        <v>115</v>
      </c>
      <c r="Q1720">
        <v>401.18</v>
      </c>
    </row>
    <row r="1721" spans="1:17" x14ac:dyDescent="0.3">
      <c r="A1721">
        <v>774562</v>
      </c>
      <c r="B1721" s="1" t="s">
        <v>39</v>
      </c>
      <c r="C1721" s="1" t="s">
        <v>16</v>
      </c>
      <c r="D1721" s="1" t="s">
        <v>16</v>
      </c>
      <c r="E1721" s="1" t="s">
        <v>27</v>
      </c>
      <c r="F1721" s="1" t="s">
        <v>19</v>
      </c>
      <c r="G1721" s="1" t="s">
        <v>20</v>
      </c>
      <c r="H1721" t="s">
        <v>21</v>
      </c>
      <c r="I1721" s="1" t="s">
        <v>22</v>
      </c>
      <c r="J1721" s="2">
        <v>43533.996365740742</v>
      </c>
      <c r="K1721" s="2">
        <v>43534.996365740742</v>
      </c>
      <c r="L1721" s="2">
        <v>43537.996365740742</v>
      </c>
      <c r="M1721" s="1">
        <f>_xlfn.DAYS(Table1[[#This Row],[actual_delivery_date]],Table1[[#This Row],[dispatch_date]])</f>
        <v>1</v>
      </c>
      <c r="N1721">
        <v>0</v>
      </c>
      <c r="O1721">
        <f>Table1[[#This Row],[transit_storage_cost]] * (1-'What -if Analysis'!$D$26)</f>
        <v>0</v>
      </c>
      <c r="P1721">
        <v>110</v>
      </c>
      <c r="Q1721">
        <v>2587</v>
      </c>
    </row>
    <row r="1722" spans="1:17" x14ac:dyDescent="0.3">
      <c r="A1722">
        <v>78886</v>
      </c>
      <c r="B1722" s="1" t="s">
        <v>38</v>
      </c>
      <c r="C1722" s="1" t="s">
        <v>23</v>
      </c>
      <c r="D1722" s="1" t="s">
        <v>16</v>
      </c>
      <c r="E1722" s="1" t="s">
        <v>27</v>
      </c>
      <c r="F1722" s="1" t="s">
        <v>31</v>
      </c>
      <c r="G1722" s="1" t="s">
        <v>20</v>
      </c>
      <c r="H1722" t="s">
        <v>21</v>
      </c>
      <c r="I1722" s="1" t="s">
        <v>22</v>
      </c>
      <c r="J1722" s="2">
        <v>43526.998206018521</v>
      </c>
      <c r="K1722" s="2">
        <v>43534.998206018521</v>
      </c>
      <c r="L1722" s="2">
        <v>43530.998206018521</v>
      </c>
      <c r="M1722" s="1">
        <f>_xlfn.DAYS(Table1[[#This Row],[actual_delivery_date]],Table1[[#This Row],[dispatch_date]])</f>
        <v>8</v>
      </c>
      <c r="N1722">
        <v>31</v>
      </c>
      <c r="O1722">
        <f>Table1[[#This Row],[transit_storage_cost]] * (1-'What -if Analysis'!$D$26)</f>
        <v>31</v>
      </c>
      <c r="P1722">
        <v>121</v>
      </c>
      <c r="Q1722">
        <v>319.43925496506324</v>
      </c>
    </row>
    <row r="1723" spans="1:17" x14ac:dyDescent="0.3">
      <c r="A1723">
        <v>54933</v>
      </c>
      <c r="B1723" s="1" t="s">
        <v>37</v>
      </c>
      <c r="C1723" s="1" t="s">
        <v>23</v>
      </c>
      <c r="D1723" s="1" t="s">
        <v>24</v>
      </c>
      <c r="E1723" s="1" t="s">
        <v>25</v>
      </c>
      <c r="F1723" s="1" t="s">
        <v>29</v>
      </c>
      <c r="G1723" s="1" t="s">
        <v>20</v>
      </c>
      <c r="H1723" t="s">
        <v>30</v>
      </c>
      <c r="I1723" s="1" t="s">
        <v>26</v>
      </c>
      <c r="J1723" s="2">
        <v>43533.003634259258</v>
      </c>
      <c r="K1723" s="2">
        <v>43535.003634259258</v>
      </c>
      <c r="L1723" s="2">
        <v>43539.003634259258</v>
      </c>
      <c r="M1723" s="1">
        <f>_xlfn.DAYS(Table1[[#This Row],[actual_delivery_date]],Table1[[#This Row],[dispatch_date]])</f>
        <v>2</v>
      </c>
      <c r="N1723">
        <v>37</v>
      </c>
      <c r="O1723">
        <f>Table1[[#This Row],[transit_storage_cost]] * (1-'What -if Analysis'!$D$26)</f>
        <v>37</v>
      </c>
      <c r="P1723">
        <v>123</v>
      </c>
      <c r="Q1723">
        <v>619.28285751723729</v>
      </c>
    </row>
    <row r="1724" spans="1:17" x14ac:dyDescent="0.3">
      <c r="A1724">
        <v>738315</v>
      </c>
      <c r="B1724" s="1" t="s">
        <v>37</v>
      </c>
      <c r="C1724" s="1" t="s">
        <v>16</v>
      </c>
      <c r="D1724" s="1" t="s">
        <v>23</v>
      </c>
      <c r="E1724" s="1" t="s">
        <v>28</v>
      </c>
      <c r="F1724" s="1" t="s">
        <v>29</v>
      </c>
      <c r="G1724" s="1" t="s">
        <v>20</v>
      </c>
      <c r="H1724" t="s">
        <v>30</v>
      </c>
      <c r="I1724" s="1" t="s">
        <v>26</v>
      </c>
      <c r="J1724" s="2">
        <v>43531.003912037035</v>
      </c>
      <c r="K1724" s="2">
        <v>43535.003912037035</v>
      </c>
      <c r="L1724" s="2">
        <v>43536.003912037035</v>
      </c>
      <c r="M1724" s="1">
        <f>_xlfn.DAYS(Table1[[#This Row],[actual_delivery_date]],Table1[[#This Row],[dispatch_date]])</f>
        <v>4</v>
      </c>
      <c r="N1724">
        <v>40</v>
      </c>
      <c r="O1724">
        <f>Table1[[#This Row],[transit_storage_cost]] * (1-'What -if Analysis'!$D$26)</f>
        <v>40</v>
      </c>
      <c r="P1724">
        <v>127</v>
      </c>
      <c r="Q1724">
        <v>2256.9512131584738</v>
      </c>
    </row>
    <row r="1725" spans="1:17" x14ac:dyDescent="0.3">
      <c r="A1725">
        <v>778808</v>
      </c>
      <c r="B1725" s="1" t="s">
        <v>37</v>
      </c>
      <c r="C1725" s="1" t="s">
        <v>16</v>
      </c>
      <c r="D1725" s="1" t="s">
        <v>17</v>
      </c>
      <c r="E1725" s="1" t="s">
        <v>18</v>
      </c>
      <c r="F1725" s="1" t="s">
        <v>19</v>
      </c>
      <c r="G1725" s="1" t="s">
        <v>20</v>
      </c>
      <c r="H1725" t="s">
        <v>21</v>
      </c>
      <c r="I1725" s="1" t="s">
        <v>22</v>
      </c>
      <c r="J1725" s="2">
        <v>43533.007071759261</v>
      </c>
      <c r="K1725" s="2">
        <v>43535.007071759261</v>
      </c>
      <c r="L1725" s="2">
        <v>43536.007071759261</v>
      </c>
      <c r="M1725" s="1">
        <f>_xlfn.DAYS(Table1[[#This Row],[actual_delivery_date]],Table1[[#This Row],[dispatch_date]])</f>
        <v>2</v>
      </c>
      <c r="N1725">
        <v>76</v>
      </c>
      <c r="O1725">
        <f>Table1[[#This Row],[transit_storage_cost]] * (1-'What -if Analysis'!$D$26)</f>
        <v>76</v>
      </c>
      <c r="P1725">
        <v>85</v>
      </c>
      <c r="Q1725">
        <v>2432.8197450039438</v>
      </c>
    </row>
    <row r="1726" spans="1:17" x14ac:dyDescent="0.3">
      <c r="A1726">
        <v>391610</v>
      </c>
      <c r="B1726" s="1" t="s">
        <v>38</v>
      </c>
      <c r="C1726" s="1" t="s">
        <v>23</v>
      </c>
      <c r="D1726" s="1" t="s">
        <v>17</v>
      </c>
      <c r="E1726" s="1" t="s">
        <v>18</v>
      </c>
      <c r="F1726" s="1" t="s">
        <v>31</v>
      </c>
      <c r="G1726" s="1" t="s">
        <v>20</v>
      </c>
      <c r="H1726" t="s">
        <v>21</v>
      </c>
      <c r="I1726" s="1" t="s">
        <v>22</v>
      </c>
      <c r="J1726" s="2">
        <v>43527.007777777777</v>
      </c>
      <c r="K1726" s="2">
        <v>43535.007777777777</v>
      </c>
      <c r="L1726" s="2">
        <v>43531.007777777777</v>
      </c>
      <c r="M1726" s="1">
        <f>_xlfn.DAYS(Table1[[#This Row],[actual_delivery_date]],Table1[[#This Row],[dispatch_date]])</f>
        <v>8</v>
      </c>
      <c r="N1726">
        <v>50</v>
      </c>
      <c r="O1726">
        <f>Table1[[#This Row],[transit_storage_cost]] * (1-'What -if Analysis'!$D$26)</f>
        <v>50</v>
      </c>
      <c r="P1726">
        <v>105</v>
      </c>
      <c r="Q1726">
        <v>3243.25570355331</v>
      </c>
    </row>
    <row r="1727" spans="1:17" x14ac:dyDescent="0.3">
      <c r="A1727">
        <v>580966</v>
      </c>
      <c r="B1727" s="1" t="s">
        <v>40</v>
      </c>
      <c r="C1727" s="1" t="s">
        <v>23</v>
      </c>
      <c r="D1727" s="1" t="s">
        <v>17</v>
      </c>
      <c r="E1727" s="1" t="s">
        <v>18</v>
      </c>
      <c r="F1727" s="1" t="s">
        <v>19</v>
      </c>
      <c r="G1727" s="1" t="s">
        <v>20</v>
      </c>
      <c r="H1727" t="s">
        <v>21</v>
      </c>
      <c r="I1727" s="1" t="s">
        <v>22</v>
      </c>
      <c r="J1727" s="2">
        <v>43530.009722222225</v>
      </c>
      <c r="K1727" s="2">
        <v>43535.009722222225</v>
      </c>
      <c r="L1727" s="2">
        <v>43537.009722222225</v>
      </c>
      <c r="M1727" s="1">
        <f>_xlfn.DAYS(Table1[[#This Row],[actual_delivery_date]],Table1[[#This Row],[dispatch_date]])</f>
        <v>5</v>
      </c>
      <c r="N1727">
        <v>75</v>
      </c>
      <c r="O1727">
        <f>Table1[[#This Row],[transit_storage_cost]] * (1-'What -if Analysis'!$D$26)</f>
        <v>75</v>
      </c>
      <c r="P1727">
        <v>90</v>
      </c>
      <c r="Q1727">
        <v>1161.2307581455595</v>
      </c>
    </row>
    <row r="1728" spans="1:17" x14ac:dyDescent="0.3">
      <c r="A1728">
        <v>303579</v>
      </c>
      <c r="B1728" s="1" t="s">
        <v>38</v>
      </c>
      <c r="C1728" s="1" t="s">
        <v>16</v>
      </c>
      <c r="D1728" s="1" t="s">
        <v>17</v>
      </c>
      <c r="E1728" s="1" t="s">
        <v>18</v>
      </c>
      <c r="F1728" s="1" t="s">
        <v>29</v>
      </c>
      <c r="G1728" s="1" t="s">
        <v>20</v>
      </c>
      <c r="H1728" t="s">
        <v>30</v>
      </c>
      <c r="I1728" s="1" t="s">
        <v>26</v>
      </c>
      <c r="J1728" s="2">
        <v>43532.012071759258</v>
      </c>
      <c r="K1728" s="2">
        <v>43535.012071759258</v>
      </c>
      <c r="L1728" s="2">
        <v>43536.012071759258</v>
      </c>
      <c r="M1728" s="1">
        <f>_xlfn.DAYS(Table1[[#This Row],[actual_delivery_date]],Table1[[#This Row],[dispatch_date]])</f>
        <v>3</v>
      </c>
      <c r="N1728">
        <v>43</v>
      </c>
      <c r="O1728">
        <f>Table1[[#This Row],[transit_storage_cost]] * (1-'What -if Analysis'!$D$26)</f>
        <v>43</v>
      </c>
      <c r="P1728">
        <v>113</v>
      </c>
      <c r="Q1728">
        <v>643.32843133907704</v>
      </c>
    </row>
    <row r="1729" spans="1:17" x14ac:dyDescent="0.3">
      <c r="A1729">
        <v>442457</v>
      </c>
      <c r="B1729" s="1" t="s">
        <v>37</v>
      </c>
      <c r="C1729" s="1" t="s">
        <v>16</v>
      </c>
      <c r="D1729" s="1" t="s">
        <v>23</v>
      </c>
      <c r="E1729" s="1" t="s">
        <v>28</v>
      </c>
      <c r="F1729" s="1" t="s">
        <v>29</v>
      </c>
      <c r="G1729" s="1" t="s">
        <v>20</v>
      </c>
      <c r="H1729" t="s">
        <v>30</v>
      </c>
      <c r="I1729" s="1" t="s">
        <v>22</v>
      </c>
      <c r="J1729" s="2">
        <v>43528.017824074072</v>
      </c>
      <c r="K1729" s="2">
        <v>43535.017824074072</v>
      </c>
      <c r="L1729" s="2">
        <v>43531.017824074072</v>
      </c>
      <c r="M1729" s="1">
        <f>_xlfn.DAYS(Table1[[#This Row],[actual_delivery_date]],Table1[[#This Row],[dispatch_date]])</f>
        <v>7</v>
      </c>
      <c r="N1729">
        <v>46</v>
      </c>
      <c r="O1729">
        <f>Table1[[#This Row],[transit_storage_cost]] * (1-'What -if Analysis'!$D$26)</f>
        <v>46</v>
      </c>
      <c r="P1729">
        <v>124</v>
      </c>
      <c r="Q1729">
        <v>2519.686484688053</v>
      </c>
    </row>
    <row r="1730" spans="1:17" x14ac:dyDescent="0.3">
      <c r="A1730">
        <v>276766</v>
      </c>
      <c r="B1730" s="1" t="s">
        <v>38</v>
      </c>
      <c r="C1730" s="1" t="s">
        <v>16</v>
      </c>
      <c r="D1730" s="1" t="s">
        <v>16</v>
      </c>
      <c r="E1730" s="1" t="s">
        <v>27</v>
      </c>
      <c r="F1730" s="1" t="s">
        <v>19</v>
      </c>
      <c r="G1730" s="1" t="s">
        <v>20</v>
      </c>
      <c r="H1730" t="s">
        <v>21</v>
      </c>
      <c r="I1730" s="1" t="s">
        <v>22</v>
      </c>
      <c r="J1730" s="2">
        <v>43530.018842592595</v>
      </c>
      <c r="K1730" s="2">
        <v>43535.018842592595</v>
      </c>
      <c r="L1730" s="2">
        <v>43533.018842592595</v>
      </c>
      <c r="M1730" s="1">
        <f>_xlfn.DAYS(Table1[[#This Row],[actual_delivery_date]],Table1[[#This Row],[dispatch_date]])</f>
        <v>5</v>
      </c>
      <c r="N1730">
        <v>0</v>
      </c>
      <c r="O1730">
        <f>Table1[[#This Row],[transit_storage_cost]] * (1-'What -if Analysis'!$D$26)</f>
        <v>0</v>
      </c>
      <c r="P1730">
        <v>102</v>
      </c>
      <c r="Q1730">
        <v>2437.955820999307</v>
      </c>
    </row>
    <row r="1731" spans="1:17" x14ac:dyDescent="0.3">
      <c r="A1731">
        <v>611782</v>
      </c>
      <c r="B1731" s="1" t="s">
        <v>37</v>
      </c>
      <c r="C1731" s="1" t="s">
        <v>16</v>
      </c>
      <c r="D1731" s="1" t="s">
        <v>16</v>
      </c>
      <c r="E1731" s="1" t="s">
        <v>27</v>
      </c>
      <c r="F1731" s="1" t="s">
        <v>31</v>
      </c>
      <c r="G1731" s="1" t="s">
        <v>36</v>
      </c>
      <c r="H1731" t="s">
        <v>21</v>
      </c>
      <c r="I1731" s="1" t="s">
        <v>22</v>
      </c>
      <c r="J1731" s="2">
        <v>43534.019178240742</v>
      </c>
      <c r="K1731" s="2">
        <v>43535.019178240742</v>
      </c>
      <c r="L1731" s="2">
        <v>43537.019178240742</v>
      </c>
      <c r="M1731" s="1">
        <f>_xlfn.DAYS(Table1[[#This Row],[actual_delivery_date]],Table1[[#This Row],[dispatch_date]])</f>
        <v>1</v>
      </c>
      <c r="N1731">
        <v>0</v>
      </c>
      <c r="O1731">
        <f>Table1[[#This Row],[transit_storage_cost]] * (1-'What -if Analysis'!$D$26)</f>
        <v>0</v>
      </c>
      <c r="P1731">
        <v>126</v>
      </c>
      <c r="Q1731">
        <v>824.8708992529007</v>
      </c>
    </row>
    <row r="1732" spans="1:17" x14ac:dyDescent="0.3">
      <c r="A1732">
        <v>594701</v>
      </c>
      <c r="B1732" s="1" t="s">
        <v>38</v>
      </c>
      <c r="C1732" s="1" t="s">
        <v>16</v>
      </c>
      <c r="D1732" s="1" t="s">
        <v>16</v>
      </c>
      <c r="E1732" s="1" t="s">
        <v>27</v>
      </c>
      <c r="F1732" s="1" t="s">
        <v>29</v>
      </c>
      <c r="G1732" s="1" t="s">
        <v>20</v>
      </c>
      <c r="H1732" t="s">
        <v>30</v>
      </c>
      <c r="I1732" s="1" t="s">
        <v>22</v>
      </c>
      <c r="J1732" s="2">
        <v>43533.021064814813</v>
      </c>
      <c r="K1732" s="2">
        <v>43535.021064814813</v>
      </c>
      <c r="L1732" s="2">
        <v>43537.021064814813</v>
      </c>
      <c r="M1732" s="1">
        <f>_xlfn.DAYS(Table1[[#This Row],[actual_delivery_date]],Table1[[#This Row],[dispatch_date]])</f>
        <v>2</v>
      </c>
      <c r="N1732">
        <v>0</v>
      </c>
      <c r="O1732">
        <f>Table1[[#This Row],[transit_storage_cost]] * (1-'What -if Analysis'!$D$26)</f>
        <v>0</v>
      </c>
      <c r="P1732">
        <v>130</v>
      </c>
      <c r="Q1732">
        <v>1705</v>
      </c>
    </row>
    <row r="1733" spans="1:17" x14ac:dyDescent="0.3">
      <c r="A1733">
        <v>672337</v>
      </c>
      <c r="B1733" s="1" t="s">
        <v>38</v>
      </c>
      <c r="C1733" s="1" t="s">
        <v>23</v>
      </c>
      <c r="D1733" s="1" t="s">
        <v>17</v>
      </c>
      <c r="E1733" s="1" t="s">
        <v>18</v>
      </c>
      <c r="F1733" s="1" t="s">
        <v>19</v>
      </c>
      <c r="G1733" s="1" t="s">
        <v>20</v>
      </c>
      <c r="H1733" t="s">
        <v>30</v>
      </c>
      <c r="I1733" s="1" t="s">
        <v>22</v>
      </c>
      <c r="J1733" s="2">
        <v>43530.022418981483</v>
      </c>
      <c r="K1733" s="2">
        <v>43535.022418981483</v>
      </c>
      <c r="L1733" s="2">
        <v>43533.022418981483</v>
      </c>
      <c r="M1733" s="1">
        <f>_xlfn.DAYS(Table1[[#This Row],[actual_delivery_date]],Table1[[#This Row],[dispatch_date]])</f>
        <v>5</v>
      </c>
      <c r="N1733">
        <v>83</v>
      </c>
      <c r="O1733">
        <f>Table1[[#This Row],[transit_storage_cost]] * (1-'What -if Analysis'!$D$26)</f>
        <v>83</v>
      </c>
      <c r="P1733">
        <v>87</v>
      </c>
      <c r="Q1733">
        <v>2100.0183007860105</v>
      </c>
    </row>
    <row r="1734" spans="1:17" x14ac:dyDescent="0.3">
      <c r="A1734">
        <v>529134</v>
      </c>
      <c r="B1734" s="1" t="s">
        <v>40</v>
      </c>
      <c r="C1734" s="1" t="s">
        <v>23</v>
      </c>
      <c r="D1734" s="1" t="s">
        <v>24</v>
      </c>
      <c r="E1734" s="1" t="s">
        <v>25</v>
      </c>
      <c r="F1734" s="1" t="s">
        <v>31</v>
      </c>
      <c r="G1734" s="1" t="s">
        <v>20</v>
      </c>
      <c r="H1734" t="s">
        <v>21</v>
      </c>
      <c r="I1734" s="1" t="s">
        <v>26</v>
      </c>
      <c r="J1734" s="2">
        <v>43529.027881944443</v>
      </c>
      <c r="K1734" s="2">
        <v>43535.027881944443</v>
      </c>
      <c r="L1734" s="2">
        <v>43536.027881944443</v>
      </c>
      <c r="M1734" s="1">
        <f>_xlfn.DAYS(Table1[[#This Row],[actual_delivery_date]],Table1[[#This Row],[dispatch_date]])</f>
        <v>6</v>
      </c>
      <c r="N1734">
        <v>41</v>
      </c>
      <c r="O1734">
        <f>Table1[[#This Row],[transit_storage_cost]] * (1-'What -if Analysis'!$D$26)</f>
        <v>41</v>
      </c>
      <c r="P1734">
        <v>125</v>
      </c>
      <c r="Q1734">
        <v>2035.69</v>
      </c>
    </row>
    <row r="1735" spans="1:17" x14ac:dyDescent="0.3">
      <c r="A1735">
        <v>405975</v>
      </c>
      <c r="B1735" s="1" t="s">
        <v>38</v>
      </c>
      <c r="C1735" s="1" t="s">
        <v>23</v>
      </c>
      <c r="D1735" s="1" t="s">
        <v>23</v>
      </c>
      <c r="E1735" s="1" t="s">
        <v>28</v>
      </c>
      <c r="F1735" s="1" t="s">
        <v>29</v>
      </c>
      <c r="G1735" s="1" t="s">
        <v>20</v>
      </c>
      <c r="H1735" t="s">
        <v>30</v>
      </c>
      <c r="I1735" s="1" t="s">
        <v>26</v>
      </c>
      <c r="J1735" s="2">
        <v>43531.029745370368</v>
      </c>
      <c r="K1735" s="2">
        <v>43535.029745370368</v>
      </c>
      <c r="L1735" s="2">
        <v>43537.029745370368</v>
      </c>
      <c r="M1735" s="1">
        <f>_xlfn.DAYS(Table1[[#This Row],[actual_delivery_date]],Table1[[#This Row],[dispatch_date]])</f>
        <v>4</v>
      </c>
      <c r="N1735">
        <v>0</v>
      </c>
      <c r="O1735">
        <f>Table1[[#This Row],[transit_storage_cost]] * (1-'What -if Analysis'!$D$26)</f>
        <v>0</v>
      </c>
      <c r="P1735">
        <v>122</v>
      </c>
      <c r="Q1735">
        <v>433.14155480095144</v>
      </c>
    </row>
    <row r="1736" spans="1:17" x14ac:dyDescent="0.3">
      <c r="A1736">
        <v>74725</v>
      </c>
      <c r="B1736" s="1" t="s">
        <v>39</v>
      </c>
      <c r="C1736" s="1" t="s">
        <v>23</v>
      </c>
      <c r="D1736" s="1" t="s">
        <v>23</v>
      </c>
      <c r="E1736" s="1" t="s">
        <v>28</v>
      </c>
      <c r="F1736" s="1" t="s">
        <v>19</v>
      </c>
      <c r="G1736" s="1" t="s">
        <v>20</v>
      </c>
      <c r="H1736" t="s">
        <v>34</v>
      </c>
      <c r="I1736" s="1" t="s">
        <v>22</v>
      </c>
      <c r="J1736" s="2">
        <v>43535.035393518519</v>
      </c>
      <c r="K1736" s="2">
        <v>43535.035393518519</v>
      </c>
      <c r="L1736" s="2">
        <v>43541.035393518519</v>
      </c>
      <c r="M1736" s="1">
        <f>_xlfn.DAYS(Table1[[#This Row],[actual_delivery_date]],Table1[[#This Row],[dispatch_date]])</f>
        <v>0</v>
      </c>
      <c r="N1736">
        <v>0</v>
      </c>
      <c r="O1736">
        <f>Table1[[#This Row],[transit_storage_cost]] * (1-'What -if Analysis'!$D$26)</f>
        <v>0</v>
      </c>
      <c r="P1736">
        <v>108</v>
      </c>
      <c r="Q1736">
        <v>1580.0926499576708</v>
      </c>
    </row>
    <row r="1737" spans="1:17" x14ac:dyDescent="0.3">
      <c r="A1737">
        <v>674766</v>
      </c>
      <c r="B1737" s="1" t="s">
        <v>37</v>
      </c>
      <c r="C1737" s="1" t="s">
        <v>23</v>
      </c>
      <c r="D1737" s="1" t="s">
        <v>17</v>
      </c>
      <c r="E1737" s="1" t="s">
        <v>18</v>
      </c>
      <c r="F1737" s="1" t="s">
        <v>31</v>
      </c>
      <c r="G1737" s="1" t="s">
        <v>20</v>
      </c>
      <c r="H1737" t="s">
        <v>21</v>
      </c>
      <c r="I1737" s="1" t="s">
        <v>26</v>
      </c>
      <c r="J1737" s="2">
        <v>43529.040497685186</v>
      </c>
      <c r="K1737" s="2">
        <v>43535.040497685186</v>
      </c>
      <c r="L1737" s="2">
        <v>43533.040497685186</v>
      </c>
      <c r="M1737" s="1">
        <f>_xlfn.DAYS(Table1[[#This Row],[actual_delivery_date]],Table1[[#This Row],[dispatch_date]])</f>
        <v>6</v>
      </c>
      <c r="N1737">
        <v>41</v>
      </c>
      <c r="O1737">
        <f>Table1[[#This Row],[transit_storage_cost]] * (1-'What -if Analysis'!$D$26)</f>
        <v>41</v>
      </c>
      <c r="P1737">
        <v>108</v>
      </c>
      <c r="Q1737">
        <v>3078.21</v>
      </c>
    </row>
    <row r="1738" spans="1:17" x14ac:dyDescent="0.3">
      <c r="A1738">
        <v>354423</v>
      </c>
      <c r="B1738" s="1" t="s">
        <v>37</v>
      </c>
      <c r="C1738" s="1" t="s">
        <v>23</v>
      </c>
      <c r="D1738" s="1" t="s">
        <v>24</v>
      </c>
      <c r="E1738" s="1" t="s">
        <v>25</v>
      </c>
      <c r="F1738" s="1" t="s">
        <v>29</v>
      </c>
      <c r="G1738" s="1" t="s">
        <v>20</v>
      </c>
      <c r="H1738" t="s">
        <v>30</v>
      </c>
      <c r="I1738" s="1" t="s">
        <v>26</v>
      </c>
      <c r="J1738" s="2">
        <v>43533.044444444444</v>
      </c>
      <c r="K1738" s="2">
        <v>43535.044444444444</v>
      </c>
      <c r="L1738" s="2">
        <v>43537.044444444444</v>
      </c>
      <c r="M1738" s="1">
        <f>_xlfn.DAYS(Table1[[#This Row],[actual_delivery_date]],Table1[[#This Row],[dispatch_date]])</f>
        <v>2</v>
      </c>
      <c r="N1738">
        <v>35</v>
      </c>
      <c r="O1738">
        <f>Table1[[#This Row],[transit_storage_cost]] * (1-'What -if Analysis'!$D$26)</f>
        <v>35</v>
      </c>
      <c r="P1738">
        <v>120</v>
      </c>
      <c r="Q1738">
        <v>1026.8104180036376</v>
      </c>
    </row>
    <row r="1739" spans="1:17" x14ac:dyDescent="0.3">
      <c r="A1739">
        <v>367054</v>
      </c>
      <c r="B1739" s="1" t="s">
        <v>37</v>
      </c>
      <c r="C1739" s="1" t="s">
        <v>23</v>
      </c>
      <c r="D1739" s="1" t="s">
        <v>23</v>
      </c>
      <c r="E1739" s="1" t="s">
        <v>28</v>
      </c>
      <c r="F1739" s="1" t="s">
        <v>19</v>
      </c>
      <c r="G1739" s="1" t="s">
        <v>20</v>
      </c>
      <c r="H1739" t="s">
        <v>21</v>
      </c>
      <c r="I1739" s="1" t="s">
        <v>22</v>
      </c>
      <c r="J1739" s="2">
        <v>43530.045648148145</v>
      </c>
      <c r="K1739" s="2">
        <v>43535.045648148145</v>
      </c>
      <c r="L1739" s="2">
        <v>43533.045648148145</v>
      </c>
      <c r="M1739" s="1">
        <f>_xlfn.DAYS(Table1[[#This Row],[actual_delivery_date]],Table1[[#This Row],[dispatch_date]])</f>
        <v>5</v>
      </c>
      <c r="N1739">
        <v>0</v>
      </c>
      <c r="O1739">
        <f>Table1[[#This Row],[transit_storage_cost]] * (1-'What -if Analysis'!$D$26)</f>
        <v>0</v>
      </c>
      <c r="P1739">
        <v>104</v>
      </c>
      <c r="Q1739">
        <v>271.67889508261374</v>
      </c>
    </row>
    <row r="1740" spans="1:17" x14ac:dyDescent="0.3">
      <c r="A1740">
        <v>670889</v>
      </c>
      <c r="B1740" s="1" t="s">
        <v>39</v>
      </c>
      <c r="C1740" s="1" t="s">
        <v>16</v>
      </c>
      <c r="D1740" s="1" t="s">
        <v>17</v>
      </c>
      <c r="E1740" s="1" t="s">
        <v>18</v>
      </c>
      <c r="F1740" s="1" t="s">
        <v>29</v>
      </c>
      <c r="G1740" s="1" t="s">
        <v>20</v>
      </c>
      <c r="H1740" t="s">
        <v>30</v>
      </c>
      <c r="I1740" s="1" t="s">
        <v>22</v>
      </c>
      <c r="J1740" s="2">
        <v>43531.049513888887</v>
      </c>
      <c r="K1740" s="2">
        <v>43535.049513888887</v>
      </c>
      <c r="L1740" s="2">
        <v>43535.049513888887</v>
      </c>
      <c r="M1740" s="1">
        <f>_xlfn.DAYS(Table1[[#This Row],[actual_delivery_date]],Table1[[#This Row],[dispatch_date]])</f>
        <v>4</v>
      </c>
      <c r="N1740">
        <v>33</v>
      </c>
      <c r="O1740">
        <f>Table1[[#This Row],[transit_storage_cost]] * (1-'What -if Analysis'!$D$26)</f>
        <v>33</v>
      </c>
      <c r="P1740">
        <v>106</v>
      </c>
      <c r="Q1740">
        <v>3375.4402040025589</v>
      </c>
    </row>
    <row r="1741" spans="1:17" x14ac:dyDescent="0.3">
      <c r="A1741">
        <v>100067</v>
      </c>
      <c r="B1741" s="1" t="s">
        <v>37</v>
      </c>
      <c r="C1741" s="1" t="s">
        <v>16</v>
      </c>
      <c r="D1741" s="1" t="s">
        <v>23</v>
      </c>
      <c r="E1741" s="1" t="s">
        <v>28</v>
      </c>
      <c r="F1741" s="1" t="s">
        <v>19</v>
      </c>
      <c r="G1741" s="1" t="s">
        <v>20</v>
      </c>
      <c r="H1741" t="s">
        <v>30</v>
      </c>
      <c r="I1741" s="1" t="s">
        <v>22</v>
      </c>
      <c r="J1741" s="2">
        <v>43529.052094907405</v>
      </c>
      <c r="K1741" s="2">
        <v>43535.052094907405</v>
      </c>
      <c r="L1741" s="2">
        <v>43534.052094907405</v>
      </c>
      <c r="M1741" s="1">
        <f>_xlfn.DAYS(Table1[[#This Row],[actual_delivery_date]],Table1[[#This Row],[dispatch_date]])</f>
        <v>6</v>
      </c>
      <c r="N1741">
        <v>59</v>
      </c>
      <c r="O1741">
        <f>Table1[[#This Row],[transit_storage_cost]] * (1-'What -if Analysis'!$D$26)</f>
        <v>59</v>
      </c>
      <c r="P1741">
        <v>104</v>
      </c>
      <c r="Q1741">
        <v>2956.4200516944215</v>
      </c>
    </row>
    <row r="1742" spans="1:17" x14ac:dyDescent="0.3">
      <c r="A1742">
        <v>64834</v>
      </c>
      <c r="B1742" s="1" t="s">
        <v>40</v>
      </c>
      <c r="C1742" s="1" t="s">
        <v>16</v>
      </c>
      <c r="D1742" s="1" t="s">
        <v>23</v>
      </c>
      <c r="E1742" s="1" t="s">
        <v>28</v>
      </c>
      <c r="F1742" s="1" t="s">
        <v>19</v>
      </c>
      <c r="G1742" s="1" t="s">
        <v>20</v>
      </c>
      <c r="H1742" t="s">
        <v>21</v>
      </c>
      <c r="I1742" s="1" t="s">
        <v>22</v>
      </c>
      <c r="J1742" s="2">
        <v>43531.053333333337</v>
      </c>
      <c r="K1742" s="2">
        <v>43535.053333333337</v>
      </c>
      <c r="L1742" s="2">
        <v>43534.053333333337</v>
      </c>
      <c r="M1742" s="1">
        <f>_xlfn.DAYS(Table1[[#This Row],[actual_delivery_date]],Table1[[#This Row],[dispatch_date]])</f>
        <v>4</v>
      </c>
      <c r="N1742">
        <v>62</v>
      </c>
      <c r="O1742">
        <f>Table1[[#This Row],[transit_storage_cost]] * (1-'What -if Analysis'!$D$26)</f>
        <v>62</v>
      </c>
      <c r="P1742">
        <v>109</v>
      </c>
      <c r="Q1742">
        <v>2984.9878827465386</v>
      </c>
    </row>
    <row r="1743" spans="1:17" x14ac:dyDescent="0.3">
      <c r="A1743">
        <v>18024</v>
      </c>
      <c r="B1743" s="1" t="s">
        <v>41</v>
      </c>
      <c r="C1743" s="1" t="s">
        <v>16</v>
      </c>
      <c r="D1743" s="1" t="s">
        <v>32</v>
      </c>
      <c r="E1743" s="1" t="s">
        <v>33</v>
      </c>
      <c r="F1743" s="1" t="s">
        <v>19</v>
      </c>
      <c r="G1743" s="1" t="s">
        <v>20</v>
      </c>
      <c r="H1743" t="s">
        <v>21</v>
      </c>
      <c r="I1743" s="1" t="s">
        <v>26</v>
      </c>
      <c r="J1743" s="2">
        <v>43530.056238425925</v>
      </c>
      <c r="K1743" s="2">
        <v>43535.056238425925</v>
      </c>
      <c r="L1743" s="2">
        <v>43533.056238425925</v>
      </c>
      <c r="M1743" s="1">
        <f>_xlfn.DAYS(Table1[[#This Row],[actual_delivery_date]],Table1[[#This Row],[dispatch_date]])</f>
        <v>5</v>
      </c>
      <c r="N1743">
        <v>38</v>
      </c>
      <c r="O1743">
        <f>Table1[[#This Row],[transit_storage_cost]] * (1-'What -if Analysis'!$D$26)</f>
        <v>38</v>
      </c>
      <c r="P1743">
        <v>108</v>
      </c>
      <c r="Q1743">
        <v>3035.88</v>
      </c>
    </row>
    <row r="1744" spans="1:17" x14ac:dyDescent="0.3">
      <c r="A1744">
        <v>72369</v>
      </c>
      <c r="B1744" s="1" t="s">
        <v>40</v>
      </c>
      <c r="C1744" s="1" t="s">
        <v>16</v>
      </c>
      <c r="D1744" s="1" t="s">
        <v>17</v>
      </c>
      <c r="E1744" s="1" t="s">
        <v>18</v>
      </c>
      <c r="F1744" s="1" t="s">
        <v>19</v>
      </c>
      <c r="G1744" s="1" t="s">
        <v>20</v>
      </c>
      <c r="H1744" t="s">
        <v>30</v>
      </c>
      <c r="I1744" s="1" t="s">
        <v>26</v>
      </c>
      <c r="J1744" s="2">
        <v>43530.056585648148</v>
      </c>
      <c r="K1744" s="2">
        <v>43535.056585648148</v>
      </c>
      <c r="L1744" s="2">
        <v>43534.056585648148</v>
      </c>
      <c r="M1744" s="1">
        <f>_xlfn.DAYS(Table1[[#This Row],[actual_delivery_date]],Table1[[#This Row],[dispatch_date]])</f>
        <v>5</v>
      </c>
      <c r="N1744">
        <v>85</v>
      </c>
      <c r="O1744">
        <f>Table1[[#This Row],[transit_storage_cost]] * (1-'What -if Analysis'!$D$26)</f>
        <v>85</v>
      </c>
      <c r="P1744">
        <v>93</v>
      </c>
      <c r="Q1744">
        <v>1246.3399999999999</v>
      </c>
    </row>
    <row r="1745" spans="1:17" x14ac:dyDescent="0.3">
      <c r="A1745">
        <v>817530</v>
      </c>
      <c r="B1745" s="1" t="s">
        <v>40</v>
      </c>
      <c r="C1745" s="1" t="s">
        <v>23</v>
      </c>
      <c r="D1745" s="1" t="s">
        <v>16</v>
      </c>
      <c r="E1745" s="1" t="s">
        <v>27</v>
      </c>
      <c r="F1745" s="1" t="s">
        <v>19</v>
      </c>
      <c r="G1745" s="1" t="s">
        <v>20</v>
      </c>
      <c r="H1745" t="s">
        <v>21</v>
      </c>
      <c r="I1745" s="1" t="s">
        <v>26</v>
      </c>
      <c r="J1745" s="2">
        <v>43532.068865740737</v>
      </c>
      <c r="K1745" s="2">
        <v>43535.068865740737</v>
      </c>
      <c r="L1745" s="2">
        <v>43538.068865740737</v>
      </c>
      <c r="M1745" s="1">
        <f>_xlfn.DAYS(Table1[[#This Row],[actual_delivery_date]],Table1[[#This Row],[dispatch_date]])</f>
        <v>3</v>
      </c>
      <c r="N1745">
        <v>70</v>
      </c>
      <c r="O1745">
        <f>Table1[[#This Row],[transit_storage_cost]] * (1-'What -if Analysis'!$D$26)</f>
        <v>70</v>
      </c>
      <c r="P1745">
        <v>102</v>
      </c>
      <c r="Q1745">
        <v>2203</v>
      </c>
    </row>
    <row r="1746" spans="1:17" x14ac:dyDescent="0.3">
      <c r="A1746">
        <v>553322</v>
      </c>
      <c r="B1746" s="1" t="s">
        <v>38</v>
      </c>
      <c r="C1746" s="1" t="s">
        <v>16</v>
      </c>
      <c r="D1746" s="1" t="s">
        <v>17</v>
      </c>
      <c r="E1746" s="1" t="s">
        <v>18</v>
      </c>
      <c r="F1746" s="1" t="s">
        <v>19</v>
      </c>
      <c r="G1746" s="1" t="s">
        <v>20</v>
      </c>
      <c r="H1746" t="s">
        <v>21</v>
      </c>
      <c r="I1746" s="1" t="s">
        <v>22</v>
      </c>
      <c r="J1746" s="2">
        <v>43533.071932870371</v>
      </c>
      <c r="K1746" s="2">
        <v>43535.071932870371</v>
      </c>
      <c r="L1746" s="2">
        <v>43540.071932870371</v>
      </c>
      <c r="M1746" s="1">
        <f>_xlfn.DAYS(Table1[[#This Row],[actual_delivery_date]],Table1[[#This Row],[dispatch_date]])</f>
        <v>2</v>
      </c>
      <c r="N1746">
        <v>59</v>
      </c>
      <c r="O1746">
        <f>Table1[[#This Row],[transit_storage_cost]] * (1-'What -if Analysis'!$D$26)</f>
        <v>59</v>
      </c>
      <c r="P1746">
        <v>93</v>
      </c>
      <c r="Q1746">
        <v>3531</v>
      </c>
    </row>
    <row r="1747" spans="1:17" x14ac:dyDescent="0.3">
      <c r="A1747">
        <v>903391</v>
      </c>
      <c r="B1747" s="1" t="s">
        <v>41</v>
      </c>
      <c r="C1747" s="1" t="s">
        <v>16</v>
      </c>
      <c r="D1747" s="1" t="s">
        <v>23</v>
      </c>
      <c r="E1747" s="1" t="s">
        <v>28</v>
      </c>
      <c r="F1747" s="1" t="s">
        <v>19</v>
      </c>
      <c r="G1747" s="1" t="s">
        <v>20</v>
      </c>
      <c r="H1747" t="s">
        <v>30</v>
      </c>
      <c r="I1747" s="1" t="s">
        <v>22</v>
      </c>
      <c r="J1747" s="2">
        <v>43529.073206018518</v>
      </c>
      <c r="K1747" s="2">
        <v>43535.073206018518</v>
      </c>
      <c r="L1747" s="2">
        <v>43532.073206018518</v>
      </c>
      <c r="M1747" s="1">
        <f>_xlfn.DAYS(Table1[[#This Row],[actual_delivery_date]],Table1[[#This Row],[dispatch_date]])</f>
        <v>6</v>
      </c>
      <c r="N1747">
        <v>68</v>
      </c>
      <c r="O1747">
        <f>Table1[[#This Row],[transit_storage_cost]] * (1-'What -if Analysis'!$D$26)</f>
        <v>68</v>
      </c>
      <c r="P1747">
        <v>105</v>
      </c>
      <c r="Q1747">
        <v>1660.1627776439022</v>
      </c>
    </row>
    <row r="1748" spans="1:17" x14ac:dyDescent="0.3">
      <c r="A1748">
        <v>63475</v>
      </c>
      <c r="B1748" s="1" t="s">
        <v>38</v>
      </c>
      <c r="C1748" s="1" t="s">
        <v>23</v>
      </c>
      <c r="D1748" s="1" t="s">
        <v>32</v>
      </c>
      <c r="E1748" s="1" t="s">
        <v>33</v>
      </c>
      <c r="F1748" s="1" t="s">
        <v>29</v>
      </c>
      <c r="G1748" s="1" t="s">
        <v>20</v>
      </c>
      <c r="H1748" t="s">
        <v>30</v>
      </c>
      <c r="I1748" s="1" t="s">
        <v>22</v>
      </c>
      <c r="J1748" s="2">
        <v>43530.083703703705</v>
      </c>
      <c r="K1748" s="2">
        <v>43535.083703703705</v>
      </c>
      <c r="L1748" s="2">
        <v>43535.083703703705</v>
      </c>
      <c r="M1748" s="1">
        <f>_xlfn.DAYS(Table1[[#This Row],[actual_delivery_date]],Table1[[#This Row],[dispatch_date]])</f>
        <v>5</v>
      </c>
      <c r="N1748">
        <v>25</v>
      </c>
      <c r="O1748">
        <f>Table1[[#This Row],[transit_storage_cost]] * (1-'What -if Analysis'!$D$26)</f>
        <v>25</v>
      </c>
      <c r="P1748">
        <v>110</v>
      </c>
      <c r="Q1748">
        <v>3257.6672730640448</v>
      </c>
    </row>
    <row r="1749" spans="1:17" x14ac:dyDescent="0.3">
      <c r="A1749">
        <v>573264</v>
      </c>
      <c r="B1749" s="1" t="s">
        <v>38</v>
      </c>
      <c r="C1749" s="1" t="s">
        <v>16</v>
      </c>
      <c r="D1749" s="1" t="s">
        <v>17</v>
      </c>
      <c r="E1749" s="1" t="s">
        <v>18</v>
      </c>
      <c r="F1749" s="1" t="s">
        <v>19</v>
      </c>
      <c r="G1749" s="1" t="s">
        <v>20</v>
      </c>
      <c r="H1749" t="s">
        <v>21</v>
      </c>
      <c r="I1749" s="1" t="s">
        <v>26</v>
      </c>
      <c r="J1749" s="2">
        <v>43533.08388888889</v>
      </c>
      <c r="K1749" s="2">
        <v>43535.08388888889</v>
      </c>
      <c r="L1749" s="2">
        <v>43540.08388888889</v>
      </c>
      <c r="M1749" s="1">
        <f>_xlfn.DAYS(Table1[[#This Row],[actual_delivery_date]],Table1[[#This Row],[dispatch_date]])</f>
        <v>2</v>
      </c>
      <c r="N1749">
        <v>26</v>
      </c>
      <c r="O1749">
        <f>Table1[[#This Row],[transit_storage_cost]] * (1-'What -if Analysis'!$D$26)</f>
        <v>26</v>
      </c>
      <c r="P1749">
        <v>112</v>
      </c>
      <c r="Q1749">
        <v>968.73954668835029</v>
      </c>
    </row>
    <row r="1750" spans="1:17" x14ac:dyDescent="0.3">
      <c r="A1750">
        <v>541073</v>
      </c>
      <c r="B1750" s="1" t="s">
        <v>38</v>
      </c>
      <c r="C1750" s="1" t="s">
        <v>16</v>
      </c>
      <c r="D1750" s="1" t="s">
        <v>16</v>
      </c>
      <c r="E1750" s="1" t="s">
        <v>27</v>
      </c>
      <c r="F1750" s="1" t="s">
        <v>29</v>
      </c>
      <c r="G1750" s="1" t="s">
        <v>20</v>
      </c>
      <c r="H1750" t="s">
        <v>30</v>
      </c>
      <c r="I1750" s="1" t="s">
        <v>22</v>
      </c>
      <c r="J1750" s="2">
        <v>43530.089236111111</v>
      </c>
      <c r="K1750" s="2">
        <v>43535.089236111111</v>
      </c>
      <c r="L1750" s="2">
        <v>43537.089236111111</v>
      </c>
      <c r="M1750" s="1">
        <f>_xlfn.DAYS(Table1[[#This Row],[actual_delivery_date]],Table1[[#This Row],[dispatch_date]])</f>
        <v>5</v>
      </c>
      <c r="N1750">
        <v>0</v>
      </c>
      <c r="O1750">
        <f>Table1[[#This Row],[transit_storage_cost]] * (1-'What -if Analysis'!$D$26)</f>
        <v>0</v>
      </c>
      <c r="P1750">
        <v>125</v>
      </c>
      <c r="Q1750">
        <v>2565.6381808353817</v>
      </c>
    </row>
    <row r="1751" spans="1:17" x14ac:dyDescent="0.3">
      <c r="A1751">
        <v>324841</v>
      </c>
      <c r="B1751" s="1" t="s">
        <v>38</v>
      </c>
      <c r="C1751" s="1" t="s">
        <v>23</v>
      </c>
      <c r="D1751" s="1" t="s">
        <v>16</v>
      </c>
      <c r="E1751" s="1" t="s">
        <v>27</v>
      </c>
      <c r="F1751" s="1" t="s">
        <v>29</v>
      </c>
      <c r="G1751" s="1" t="s">
        <v>20</v>
      </c>
      <c r="H1751" t="s">
        <v>30</v>
      </c>
      <c r="I1751" s="1" t="s">
        <v>22</v>
      </c>
      <c r="J1751" s="2">
        <v>43529.090277777781</v>
      </c>
      <c r="K1751" s="2">
        <v>43535.090277777781</v>
      </c>
      <c r="L1751" s="2">
        <v>43532.090277777781</v>
      </c>
      <c r="M1751" s="1">
        <f>_xlfn.DAYS(Table1[[#This Row],[actual_delivery_date]],Table1[[#This Row],[dispatch_date]])</f>
        <v>6</v>
      </c>
      <c r="N1751">
        <v>31</v>
      </c>
      <c r="O1751">
        <f>Table1[[#This Row],[transit_storage_cost]] * (1-'What -if Analysis'!$D$26)</f>
        <v>31</v>
      </c>
      <c r="P1751">
        <v>124</v>
      </c>
      <c r="Q1751">
        <v>931.04367421093275</v>
      </c>
    </row>
    <row r="1752" spans="1:17" x14ac:dyDescent="0.3">
      <c r="A1752">
        <v>227643</v>
      </c>
      <c r="B1752" s="1" t="s">
        <v>38</v>
      </c>
      <c r="C1752" s="1" t="s">
        <v>16</v>
      </c>
      <c r="D1752" s="1" t="s">
        <v>16</v>
      </c>
      <c r="E1752" s="1" t="s">
        <v>27</v>
      </c>
      <c r="F1752" s="1" t="s">
        <v>29</v>
      </c>
      <c r="G1752" s="1" t="s">
        <v>20</v>
      </c>
      <c r="H1752" t="s">
        <v>30</v>
      </c>
      <c r="I1752" s="1" t="s">
        <v>26</v>
      </c>
      <c r="J1752" s="2">
        <v>43528.09107638889</v>
      </c>
      <c r="K1752" s="2">
        <v>43535.09107638889</v>
      </c>
      <c r="L1752" s="2">
        <v>43531.09107638889</v>
      </c>
      <c r="M1752" s="1">
        <f>_xlfn.DAYS(Table1[[#This Row],[actual_delivery_date]],Table1[[#This Row],[dispatch_date]])</f>
        <v>7</v>
      </c>
      <c r="N1752">
        <v>0</v>
      </c>
      <c r="O1752">
        <f>Table1[[#This Row],[transit_storage_cost]] * (1-'What -if Analysis'!$D$26)</f>
        <v>0</v>
      </c>
      <c r="P1752">
        <v>122</v>
      </c>
      <c r="Q1752">
        <v>1998.96</v>
      </c>
    </row>
    <row r="1753" spans="1:17" x14ac:dyDescent="0.3">
      <c r="A1753">
        <v>443245</v>
      </c>
      <c r="B1753" s="1" t="s">
        <v>39</v>
      </c>
      <c r="C1753" s="1" t="s">
        <v>23</v>
      </c>
      <c r="D1753" s="1" t="s">
        <v>16</v>
      </c>
      <c r="E1753" s="1" t="s">
        <v>27</v>
      </c>
      <c r="F1753" s="1" t="s">
        <v>29</v>
      </c>
      <c r="G1753" s="1" t="s">
        <v>20</v>
      </c>
      <c r="H1753" t="s">
        <v>30</v>
      </c>
      <c r="I1753" s="1" t="s">
        <v>22</v>
      </c>
      <c r="J1753" s="2">
        <v>43532.093495370369</v>
      </c>
      <c r="K1753" s="2">
        <v>43535.093495370369</v>
      </c>
      <c r="L1753" s="2">
        <v>43537.093495370369</v>
      </c>
      <c r="M1753" s="1">
        <f>_xlfn.DAYS(Table1[[#This Row],[actual_delivery_date]],Table1[[#This Row],[dispatch_date]])</f>
        <v>3</v>
      </c>
      <c r="N1753">
        <v>30</v>
      </c>
      <c r="O1753">
        <f>Table1[[#This Row],[transit_storage_cost]] * (1-'What -if Analysis'!$D$26)</f>
        <v>30</v>
      </c>
      <c r="P1753">
        <v>125</v>
      </c>
      <c r="Q1753">
        <v>2074.543630595268</v>
      </c>
    </row>
    <row r="1754" spans="1:17" x14ac:dyDescent="0.3">
      <c r="A1754">
        <v>807081</v>
      </c>
      <c r="B1754" s="1" t="s">
        <v>38</v>
      </c>
      <c r="C1754" s="1" t="s">
        <v>16</v>
      </c>
      <c r="D1754" s="1" t="s">
        <v>16</v>
      </c>
      <c r="E1754" s="1" t="s">
        <v>27</v>
      </c>
      <c r="F1754" s="1" t="s">
        <v>29</v>
      </c>
      <c r="G1754" s="1" t="s">
        <v>20</v>
      </c>
      <c r="H1754" t="s">
        <v>30</v>
      </c>
      <c r="I1754" s="1" t="s">
        <v>26</v>
      </c>
      <c r="J1754" s="2">
        <v>43532.093518518515</v>
      </c>
      <c r="K1754" s="2">
        <v>43535.093518518515</v>
      </c>
      <c r="L1754" s="2">
        <v>43535.093518518515</v>
      </c>
      <c r="M1754" s="1">
        <f>_xlfn.DAYS(Table1[[#This Row],[actual_delivery_date]],Table1[[#This Row],[dispatch_date]])</f>
        <v>3</v>
      </c>
      <c r="N1754">
        <v>0</v>
      </c>
      <c r="O1754">
        <f>Table1[[#This Row],[transit_storage_cost]] * (1-'What -if Analysis'!$D$26)</f>
        <v>0</v>
      </c>
      <c r="P1754">
        <v>129</v>
      </c>
      <c r="Q1754">
        <v>3051.0049344073027</v>
      </c>
    </row>
    <row r="1755" spans="1:17" x14ac:dyDescent="0.3">
      <c r="A1755">
        <v>426160</v>
      </c>
      <c r="B1755" s="1" t="s">
        <v>39</v>
      </c>
      <c r="C1755" s="1" t="s">
        <v>16</v>
      </c>
      <c r="D1755" s="1" t="s">
        <v>16</v>
      </c>
      <c r="E1755" s="1" t="s">
        <v>27</v>
      </c>
      <c r="F1755" s="1" t="s">
        <v>19</v>
      </c>
      <c r="G1755" s="1" t="s">
        <v>20</v>
      </c>
      <c r="H1755" t="s">
        <v>21</v>
      </c>
      <c r="I1755" s="1" t="s">
        <v>22</v>
      </c>
      <c r="J1755" s="2">
        <v>43530.097071759257</v>
      </c>
      <c r="K1755" s="2">
        <v>43535.097071759257</v>
      </c>
      <c r="L1755" s="2">
        <v>43537.097071759257</v>
      </c>
      <c r="M1755" s="1">
        <f>_xlfn.DAYS(Table1[[#This Row],[actual_delivery_date]],Table1[[#This Row],[dispatch_date]])</f>
        <v>5</v>
      </c>
      <c r="N1755">
        <v>0</v>
      </c>
      <c r="O1755">
        <f>Table1[[#This Row],[transit_storage_cost]] * (1-'What -if Analysis'!$D$26)</f>
        <v>0</v>
      </c>
      <c r="P1755">
        <v>126</v>
      </c>
      <c r="Q1755">
        <v>1633.6624561123217</v>
      </c>
    </row>
    <row r="1756" spans="1:17" x14ac:dyDescent="0.3">
      <c r="A1756">
        <v>797208</v>
      </c>
      <c r="B1756" s="1" t="s">
        <v>37</v>
      </c>
      <c r="C1756" s="1" t="s">
        <v>16</v>
      </c>
      <c r="D1756" s="1" t="s">
        <v>24</v>
      </c>
      <c r="E1756" s="1" t="s">
        <v>25</v>
      </c>
      <c r="F1756" s="1" t="s">
        <v>19</v>
      </c>
      <c r="G1756" s="1" t="s">
        <v>20</v>
      </c>
      <c r="H1756" t="s">
        <v>21</v>
      </c>
      <c r="I1756" s="1" t="s">
        <v>26</v>
      </c>
      <c r="J1756" s="2">
        <v>43530.102407407408</v>
      </c>
      <c r="K1756" s="2">
        <v>43535.102407407408</v>
      </c>
      <c r="L1756" s="2">
        <v>43534.102407407408</v>
      </c>
      <c r="M1756" s="1">
        <f>_xlfn.DAYS(Table1[[#This Row],[actual_delivery_date]],Table1[[#This Row],[dispatch_date]])</f>
        <v>5</v>
      </c>
      <c r="N1756">
        <v>31</v>
      </c>
      <c r="O1756">
        <f>Table1[[#This Row],[transit_storage_cost]] * (1-'What -if Analysis'!$D$26)</f>
        <v>31</v>
      </c>
      <c r="P1756">
        <v>121</v>
      </c>
      <c r="Q1756">
        <v>1919.98</v>
      </c>
    </row>
    <row r="1757" spans="1:17" x14ac:dyDescent="0.3">
      <c r="A1757">
        <v>554090</v>
      </c>
      <c r="B1757" s="1" t="s">
        <v>40</v>
      </c>
      <c r="C1757" s="1" t="s">
        <v>23</v>
      </c>
      <c r="D1757" s="1" t="s">
        <v>16</v>
      </c>
      <c r="E1757" s="1" t="s">
        <v>27</v>
      </c>
      <c r="F1757" s="1" t="s">
        <v>31</v>
      </c>
      <c r="G1757" s="1" t="s">
        <v>20</v>
      </c>
      <c r="H1757" t="s">
        <v>21</v>
      </c>
      <c r="I1757" s="1" t="s">
        <v>22</v>
      </c>
      <c r="J1757" s="2">
        <v>43532.11136574074</v>
      </c>
      <c r="K1757" s="2">
        <v>43535.11136574074</v>
      </c>
      <c r="L1757" s="2">
        <v>43535.11136574074</v>
      </c>
      <c r="M1757" s="1">
        <f>_xlfn.DAYS(Table1[[#This Row],[actual_delivery_date]],Table1[[#This Row],[dispatch_date]])</f>
        <v>3</v>
      </c>
      <c r="N1757">
        <v>25</v>
      </c>
      <c r="O1757">
        <f>Table1[[#This Row],[transit_storage_cost]] * (1-'What -if Analysis'!$D$26)</f>
        <v>25</v>
      </c>
      <c r="P1757">
        <v>126</v>
      </c>
      <c r="Q1757">
        <v>1757.5571699555023</v>
      </c>
    </row>
    <row r="1758" spans="1:17" x14ac:dyDescent="0.3">
      <c r="A1758">
        <v>694898</v>
      </c>
      <c r="B1758" s="1" t="s">
        <v>39</v>
      </c>
      <c r="C1758" s="1" t="s">
        <v>16</v>
      </c>
      <c r="D1758" s="1" t="s">
        <v>23</v>
      </c>
      <c r="E1758" s="1" t="s">
        <v>28</v>
      </c>
      <c r="F1758" s="1" t="s">
        <v>31</v>
      </c>
      <c r="G1758" s="1" t="s">
        <v>20</v>
      </c>
      <c r="H1758" t="s">
        <v>21</v>
      </c>
      <c r="I1758" s="1" t="s">
        <v>22</v>
      </c>
      <c r="J1758" s="2">
        <v>43526.112256944441</v>
      </c>
      <c r="K1758" s="2">
        <v>43535.112256944441</v>
      </c>
      <c r="L1758" s="2">
        <v>43529.112256944441</v>
      </c>
      <c r="M1758" s="1">
        <f>_xlfn.DAYS(Table1[[#This Row],[actual_delivery_date]],Table1[[#This Row],[dispatch_date]])</f>
        <v>9</v>
      </c>
      <c r="N1758">
        <v>37</v>
      </c>
      <c r="O1758">
        <f>Table1[[#This Row],[transit_storage_cost]] * (1-'What -if Analysis'!$D$26)</f>
        <v>37</v>
      </c>
      <c r="P1758">
        <v>122</v>
      </c>
      <c r="Q1758">
        <v>1513.6467246570205</v>
      </c>
    </row>
    <row r="1759" spans="1:17" x14ac:dyDescent="0.3">
      <c r="A1759">
        <v>325533</v>
      </c>
      <c r="B1759" s="1" t="s">
        <v>38</v>
      </c>
      <c r="C1759" s="1" t="s">
        <v>16</v>
      </c>
      <c r="D1759" s="1" t="s">
        <v>24</v>
      </c>
      <c r="E1759" s="1" t="s">
        <v>25</v>
      </c>
      <c r="F1759" s="1" t="s">
        <v>29</v>
      </c>
      <c r="G1759" s="1" t="s">
        <v>20</v>
      </c>
      <c r="H1759" t="s">
        <v>30</v>
      </c>
      <c r="I1759" s="1" t="s">
        <v>26</v>
      </c>
      <c r="J1759" s="2">
        <v>43528.115219907406</v>
      </c>
      <c r="K1759" s="2">
        <v>43535.115219907406</v>
      </c>
      <c r="L1759" s="2">
        <v>43532.115219907406</v>
      </c>
      <c r="M1759" s="1">
        <f>_xlfn.DAYS(Table1[[#This Row],[actual_delivery_date]],Table1[[#This Row],[dispatch_date]])</f>
        <v>7</v>
      </c>
      <c r="N1759">
        <v>33</v>
      </c>
      <c r="O1759">
        <f>Table1[[#This Row],[transit_storage_cost]] * (1-'What -if Analysis'!$D$26)</f>
        <v>33</v>
      </c>
      <c r="P1759">
        <v>120</v>
      </c>
      <c r="Q1759">
        <v>324.70999999999998</v>
      </c>
    </row>
    <row r="1760" spans="1:17" x14ac:dyDescent="0.3">
      <c r="A1760">
        <v>942567</v>
      </c>
      <c r="B1760" s="1" t="s">
        <v>39</v>
      </c>
      <c r="C1760" s="1" t="s">
        <v>16</v>
      </c>
      <c r="D1760" s="1" t="s">
        <v>16</v>
      </c>
      <c r="E1760" s="1" t="s">
        <v>27</v>
      </c>
      <c r="F1760" s="1" t="s">
        <v>29</v>
      </c>
      <c r="G1760" s="1" t="s">
        <v>20</v>
      </c>
      <c r="H1760" t="s">
        <v>30</v>
      </c>
      <c r="I1760" s="1" t="s">
        <v>26</v>
      </c>
      <c r="J1760" s="2">
        <v>43531.115590277775</v>
      </c>
      <c r="K1760" s="2">
        <v>43535.115590277775</v>
      </c>
      <c r="L1760" s="2">
        <v>43534.115590277775</v>
      </c>
      <c r="M1760" s="1">
        <f>_xlfn.DAYS(Table1[[#This Row],[actual_delivery_date]],Table1[[#This Row],[dispatch_date]])</f>
        <v>4</v>
      </c>
      <c r="N1760">
        <v>0</v>
      </c>
      <c r="O1760">
        <f>Table1[[#This Row],[transit_storage_cost]] * (1-'What -if Analysis'!$D$26)</f>
        <v>0</v>
      </c>
      <c r="P1760">
        <v>128</v>
      </c>
      <c r="Q1760">
        <v>2097.3668282480239</v>
      </c>
    </row>
    <row r="1761" spans="1:17" x14ac:dyDescent="0.3">
      <c r="A1761">
        <v>14760</v>
      </c>
      <c r="B1761" s="1" t="s">
        <v>38</v>
      </c>
      <c r="C1761" s="1" t="s">
        <v>23</v>
      </c>
      <c r="D1761" s="1" t="s">
        <v>16</v>
      </c>
      <c r="E1761" s="1" t="s">
        <v>27</v>
      </c>
      <c r="F1761" s="1" t="s">
        <v>19</v>
      </c>
      <c r="G1761" s="1" t="s">
        <v>20</v>
      </c>
      <c r="H1761" t="s">
        <v>21</v>
      </c>
      <c r="I1761" s="1" t="s">
        <v>26</v>
      </c>
      <c r="J1761" s="2">
        <v>43533.121805555558</v>
      </c>
      <c r="K1761" s="2">
        <v>43535.121805555558</v>
      </c>
      <c r="L1761" s="2">
        <v>43537.121805555558</v>
      </c>
      <c r="M1761" s="1">
        <f>_xlfn.DAYS(Table1[[#This Row],[actual_delivery_date]],Table1[[#This Row],[dispatch_date]])</f>
        <v>2</v>
      </c>
      <c r="N1761">
        <v>41</v>
      </c>
      <c r="O1761">
        <f>Table1[[#This Row],[transit_storage_cost]] * (1-'What -if Analysis'!$D$26)</f>
        <v>41</v>
      </c>
      <c r="P1761">
        <v>128</v>
      </c>
      <c r="Q1761">
        <v>1428</v>
      </c>
    </row>
    <row r="1762" spans="1:17" x14ac:dyDescent="0.3">
      <c r="A1762">
        <v>486380</v>
      </c>
      <c r="B1762" s="1" t="s">
        <v>37</v>
      </c>
      <c r="C1762" s="1" t="s">
        <v>23</v>
      </c>
      <c r="D1762" s="1" t="s">
        <v>16</v>
      </c>
      <c r="E1762" s="1" t="s">
        <v>27</v>
      </c>
      <c r="F1762" s="1" t="s">
        <v>19</v>
      </c>
      <c r="G1762" s="1" t="s">
        <v>20</v>
      </c>
      <c r="H1762" t="s">
        <v>21</v>
      </c>
      <c r="I1762" s="1" t="s">
        <v>22</v>
      </c>
      <c r="J1762" s="2">
        <v>43530.127291666664</v>
      </c>
      <c r="K1762" s="2">
        <v>43535.127291666664</v>
      </c>
      <c r="L1762" s="2">
        <v>43537.127291666664</v>
      </c>
      <c r="M1762" s="1">
        <f>_xlfn.DAYS(Table1[[#This Row],[actual_delivery_date]],Table1[[#This Row],[dispatch_date]])</f>
        <v>5</v>
      </c>
      <c r="N1762">
        <v>36</v>
      </c>
      <c r="O1762">
        <f>Table1[[#This Row],[transit_storage_cost]] * (1-'What -if Analysis'!$D$26)</f>
        <v>36</v>
      </c>
      <c r="P1762">
        <v>122</v>
      </c>
      <c r="Q1762">
        <v>3509.9526956577452</v>
      </c>
    </row>
    <row r="1763" spans="1:17" x14ac:dyDescent="0.3">
      <c r="A1763">
        <v>536059</v>
      </c>
      <c r="B1763" s="1" t="s">
        <v>37</v>
      </c>
      <c r="C1763" s="1" t="s">
        <v>23</v>
      </c>
      <c r="D1763" s="1" t="s">
        <v>16</v>
      </c>
      <c r="E1763" s="1" t="s">
        <v>27</v>
      </c>
      <c r="F1763" s="1" t="s">
        <v>29</v>
      </c>
      <c r="G1763" s="1" t="s">
        <v>20</v>
      </c>
      <c r="H1763" t="s">
        <v>30</v>
      </c>
      <c r="I1763" s="1" t="s">
        <v>22</v>
      </c>
      <c r="J1763" s="2">
        <v>43528.127442129633</v>
      </c>
      <c r="K1763" s="2">
        <v>43535.127442129633</v>
      </c>
      <c r="L1763" s="2">
        <v>43533.127442129633</v>
      </c>
      <c r="M1763" s="1">
        <f>_xlfn.DAYS(Table1[[#This Row],[actual_delivery_date]],Table1[[#This Row],[dispatch_date]])</f>
        <v>7</v>
      </c>
      <c r="N1763">
        <v>50</v>
      </c>
      <c r="O1763">
        <f>Table1[[#This Row],[transit_storage_cost]] * (1-'What -if Analysis'!$D$26)</f>
        <v>50</v>
      </c>
      <c r="P1763">
        <v>128</v>
      </c>
      <c r="Q1763">
        <v>761.29372094967061</v>
      </c>
    </row>
    <row r="1764" spans="1:17" x14ac:dyDescent="0.3">
      <c r="A1764">
        <v>190383</v>
      </c>
      <c r="B1764" s="1" t="s">
        <v>40</v>
      </c>
      <c r="C1764" s="1" t="s">
        <v>16</v>
      </c>
      <c r="D1764" s="1" t="s">
        <v>16</v>
      </c>
      <c r="E1764" s="1" t="s">
        <v>27</v>
      </c>
      <c r="F1764" s="1" t="s">
        <v>29</v>
      </c>
      <c r="G1764" s="1" t="s">
        <v>20</v>
      </c>
      <c r="H1764" t="s">
        <v>30</v>
      </c>
      <c r="I1764" s="1" t="s">
        <v>26</v>
      </c>
      <c r="J1764" s="2">
        <v>43532.129363425927</v>
      </c>
      <c r="K1764" s="2">
        <v>43535.129363425927</v>
      </c>
      <c r="L1764" s="2">
        <v>43537.129363425927</v>
      </c>
      <c r="M1764" s="1">
        <f>_xlfn.DAYS(Table1[[#This Row],[actual_delivery_date]],Table1[[#This Row],[dispatch_date]])</f>
        <v>3</v>
      </c>
      <c r="N1764">
        <v>0</v>
      </c>
      <c r="O1764">
        <f>Table1[[#This Row],[transit_storage_cost]] * (1-'What -if Analysis'!$D$26)</f>
        <v>0</v>
      </c>
      <c r="P1764">
        <v>122</v>
      </c>
      <c r="Q1764">
        <v>2493.759884008864</v>
      </c>
    </row>
    <row r="1765" spans="1:17" x14ac:dyDescent="0.3">
      <c r="A1765">
        <v>122460</v>
      </c>
      <c r="B1765" s="1" t="s">
        <v>37</v>
      </c>
      <c r="C1765" s="1" t="s">
        <v>16</v>
      </c>
      <c r="D1765" s="1" t="s">
        <v>17</v>
      </c>
      <c r="E1765" s="1" t="s">
        <v>18</v>
      </c>
      <c r="F1765" s="1" t="s">
        <v>19</v>
      </c>
      <c r="G1765" s="1" t="s">
        <v>20</v>
      </c>
      <c r="H1765" t="s">
        <v>21</v>
      </c>
      <c r="I1765" s="1" t="s">
        <v>26</v>
      </c>
      <c r="J1765" s="2">
        <v>43530.129733796297</v>
      </c>
      <c r="K1765" s="2">
        <v>43535.129733796297</v>
      </c>
      <c r="L1765" s="2">
        <v>43537.129733796297</v>
      </c>
      <c r="M1765" s="1">
        <f>_xlfn.DAYS(Table1[[#This Row],[actual_delivery_date]],Table1[[#This Row],[dispatch_date]])</f>
        <v>5</v>
      </c>
      <c r="N1765">
        <v>48</v>
      </c>
      <c r="O1765">
        <f>Table1[[#This Row],[transit_storage_cost]] * (1-'What -if Analysis'!$D$26)</f>
        <v>48</v>
      </c>
      <c r="P1765">
        <v>112</v>
      </c>
      <c r="Q1765">
        <v>1901.12</v>
      </c>
    </row>
    <row r="1766" spans="1:17" x14ac:dyDescent="0.3">
      <c r="A1766">
        <v>569570</v>
      </c>
      <c r="B1766" s="1" t="s">
        <v>37</v>
      </c>
      <c r="C1766" s="1" t="s">
        <v>16</v>
      </c>
      <c r="D1766" s="1" t="s">
        <v>23</v>
      </c>
      <c r="E1766" s="1" t="s">
        <v>28</v>
      </c>
      <c r="F1766" s="1" t="s">
        <v>31</v>
      </c>
      <c r="G1766" s="1" t="s">
        <v>20</v>
      </c>
      <c r="H1766" t="s">
        <v>21</v>
      </c>
      <c r="I1766" s="1" t="s">
        <v>22</v>
      </c>
      <c r="J1766" s="2">
        <v>43525.132037037038</v>
      </c>
      <c r="K1766" s="2">
        <v>43535.132037037038</v>
      </c>
      <c r="L1766" s="2">
        <v>43529.132037037038</v>
      </c>
      <c r="M1766" s="1">
        <f>_xlfn.DAYS(Table1[[#This Row],[actual_delivery_date]],Table1[[#This Row],[dispatch_date]])</f>
        <v>10</v>
      </c>
      <c r="N1766">
        <v>44</v>
      </c>
      <c r="O1766">
        <f>Table1[[#This Row],[transit_storage_cost]] * (1-'What -if Analysis'!$D$26)</f>
        <v>44</v>
      </c>
      <c r="P1766">
        <v>122</v>
      </c>
      <c r="Q1766">
        <v>1432.3358510207872</v>
      </c>
    </row>
    <row r="1767" spans="1:17" x14ac:dyDescent="0.3">
      <c r="A1767">
        <v>149737</v>
      </c>
      <c r="B1767" s="1" t="s">
        <v>39</v>
      </c>
      <c r="C1767" s="1" t="s">
        <v>16</v>
      </c>
      <c r="D1767" s="1" t="s">
        <v>23</v>
      </c>
      <c r="E1767" s="1" t="s">
        <v>28</v>
      </c>
      <c r="F1767" s="1" t="s">
        <v>29</v>
      </c>
      <c r="G1767" s="1" t="s">
        <v>20</v>
      </c>
      <c r="H1767" t="s">
        <v>34</v>
      </c>
      <c r="I1767" s="1" t="s">
        <v>22</v>
      </c>
      <c r="J1767" s="2">
        <v>43526.132164351853</v>
      </c>
      <c r="K1767" s="2">
        <v>43535.132164351853</v>
      </c>
      <c r="L1767" s="2">
        <v>43533.132164351853</v>
      </c>
      <c r="M1767" s="1">
        <f>_xlfn.DAYS(Table1[[#This Row],[actual_delivery_date]],Table1[[#This Row],[dispatch_date]])</f>
        <v>9</v>
      </c>
      <c r="N1767">
        <v>45</v>
      </c>
      <c r="O1767">
        <f>Table1[[#This Row],[transit_storage_cost]] * (1-'What -if Analysis'!$D$26)</f>
        <v>45</v>
      </c>
      <c r="P1767">
        <v>128</v>
      </c>
      <c r="Q1767">
        <v>1363.4534993085681</v>
      </c>
    </row>
    <row r="1768" spans="1:17" x14ac:dyDescent="0.3">
      <c r="A1768">
        <v>86995</v>
      </c>
      <c r="B1768" s="1" t="s">
        <v>40</v>
      </c>
      <c r="C1768" s="1" t="s">
        <v>23</v>
      </c>
      <c r="D1768" s="1" t="s">
        <v>24</v>
      </c>
      <c r="E1768" s="1" t="s">
        <v>25</v>
      </c>
      <c r="F1768" s="1" t="s">
        <v>29</v>
      </c>
      <c r="G1768" s="1" t="s">
        <v>20</v>
      </c>
      <c r="H1768" t="s">
        <v>30</v>
      </c>
      <c r="I1768" s="1" t="s">
        <v>22</v>
      </c>
      <c r="J1768" s="2">
        <v>43530.134386574071</v>
      </c>
      <c r="K1768" s="2">
        <v>43535.134386574071</v>
      </c>
      <c r="L1768" s="2">
        <v>43535.134386574071</v>
      </c>
      <c r="M1768" s="1">
        <f>_xlfn.DAYS(Table1[[#This Row],[actual_delivery_date]],Table1[[#This Row],[dispatch_date]])</f>
        <v>5</v>
      </c>
      <c r="N1768">
        <v>44</v>
      </c>
      <c r="O1768">
        <f>Table1[[#This Row],[transit_storage_cost]] * (1-'What -if Analysis'!$D$26)</f>
        <v>44</v>
      </c>
      <c r="P1768">
        <v>126</v>
      </c>
      <c r="Q1768">
        <v>1149.0371220965446</v>
      </c>
    </row>
    <row r="1769" spans="1:17" x14ac:dyDescent="0.3">
      <c r="A1769">
        <v>86184</v>
      </c>
      <c r="B1769" s="1" t="s">
        <v>38</v>
      </c>
      <c r="C1769" s="1" t="s">
        <v>23</v>
      </c>
      <c r="D1769" s="1" t="s">
        <v>16</v>
      </c>
      <c r="E1769" s="1" t="s">
        <v>27</v>
      </c>
      <c r="F1769" s="1" t="s">
        <v>19</v>
      </c>
      <c r="G1769" s="1" t="s">
        <v>20</v>
      </c>
      <c r="H1769" t="s">
        <v>21</v>
      </c>
      <c r="I1769" s="1" t="s">
        <v>26</v>
      </c>
      <c r="J1769" s="2">
        <v>43533.135266203702</v>
      </c>
      <c r="K1769" s="2">
        <v>43535.135266203702</v>
      </c>
      <c r="L1769" s="2">
        <v>43536.135266203702</v>
      </c>
      <c r="M1769" s="1">
        <f>_xlfn.DAYS(Table1[[#This Row],[actual_delivery_date]],Table1[[#This Row],[dispatch_date]])</f>
        <v>2</v>
      </c>
      <c r="N1769">
        <v>44</v>
      </c>
      <c r="O1769">
        <f>Table1[[#This Row],[transit_storage_cost]] * (1-'What -if Analysis'!$D$26)</f>
        <v>44</v>
      </c>
      <c r="P1769">
        <v>122</v>
      </c>
      <c r="Q1769">
        <v>2363.9894838243868</v>
      </c>
    </row>
    <row r="1770" spans="1:17" x14ac:dyDescent="0.3">
      <c r="A1770">
        <v>268092</v>
      </c>
      <c r="B1770" s="1" t="s">
        <v>37</v>
      </c>
      <c r="C1770" s="1" t="s">
        <v>16</v>
      </c>
      <c r="D1770" s="1" t="s">
        <v>23</v>
      </c>
      <c r="E1770" s="1" t="s">
        <v>28</v>
      </c>
      <c r="F1770" s="1" t="s">
        <v>19</v>
      </c>
      <c r="G1770" s="1" t="s">
        <v>20</v>
      </c>
      <c r="H1770" t="s">
        <v>21</v>
      </c>
      <c r="I1770" s="1" t="s">
        <v>26</v>
      </c>
      <c r="J1770" s="2">
        <v>43529.142476851855</v>
      </c>
      <c r="K1770" s="2">
        <v>43535.142476851855</v>
      </c>
      <c r="L1770" s="2">
        <v>43532.142476851855</v>
      </c>
      <c r="M1770" s="1">
        <f>_xlfn.DAYS(Table1[[#This Row],[actual_delivery_date]],Table1[[#This Row],[dispatch_date]])</f>
        <v>6</v>
      </c>
      <c r="N1770">
        <v>42</v>
      </c>
      <c r="O1770">
        <f>Table1[[#This Row],[transit_storage_cost]] * (1-'What -if Analysis'!$D$26)</f>
        <v>42</v>
      </c>
      <c r="P1770">
        <v>121</v>
      </c>
      <c r="Q1770">
        <v>1253.49</v>
      </c>
    </row>
    <row r="1771" spans="1:17" x14ac:dyDescent="0.3">
      <c r="A1771">
        <v>89840</v>
      </c>
      <c r="B1771" s="1" t="s">
        <v>15</v>
      </c>
      <c r="C1771" s="1" t="s">
        <v>16</v>
      </c>
      <c r="D1771" s="1" t="s">
        <v>16</v>
      </c>
      <c r="E1771" s="1" t="s">
        <v>27</v>
      </c>
      <c r="F1771" s="1" t="s">
        <v>19</v>
      </c>
      <c r="G1771" s="1" t="s">
        <v>20</v>
      </c>
      <c r="H1771" t="s">
        <v>21</v>
      </c>
      <c r="I1771" s="1" t="s">
        <v>22</v>
      </c>
      <c r="J1771" s="2">
        <v>43533.143460648149</v>
      </c>
      <c r="K1771" s="2">
        <v>43535.143460648149</v>
      </c>
      <c r="L1771" s="2">
        <v>43540.143460648149</v>
      </c>
      <c r="M1771" s="1">
        <f>_xlfn.DAYS(Table1[[#This Row],[actual_delivery_date]],Table1[[#This Row],[dispatch_date]])</f>
        <v>2</v>
      </c>
      <c r="N1771">
        <v>0</v>
      </c>
      <c r="O1771">
        <f>Table1[[#This Row],[transit_storage_cost]] * (1-'What -if Analysis'!$D$26)</f>
        <v>0</v>
      </c>
      <c r="P1771">
        <v>103</v>
      </c>
      <c r="Q1771">
        <v>3099.5710370105303</v>
      </c>
    </row>
    <row r="1772" spans="1:17" x14ac:dyDescent="0.3">
      <c r="A1772">
        <v>94666</v>
      </c>
      <c r="B1772" s="1" t="s">
        <v>37</v>
      </c>
      <c r="C1772" s="1" t="s">
        <v>16</v>
      </c>
      <c r="D1772" s="1" t="s">
        <v>23</v>
      </c>
      <c r="E1772" s="1" t="s">
        <v>28</v>
      </c>
      <c r="F1772" s="1" t="s">
        <v>31</v>
      </c>
      <c r="G1772" s="1" t="s">
        <v>20</v>
      </c>
      <c r="H1772" t="s">
        <v>21</v>
      </c>
      <c r="I1772" s="1" t="s">
        <v>22</v>
      </c>
      <c r="J1772" s="2">
        <v>43526.143703703703</v>
      </c>
      <c r="K1772" s="2">
        <v>43535.143703703703</v>
      </c>
      <c r="L1772" s="2">
        <v>43529.143703703703</v>
      </c>
      <c r="M1772" s="1">
        <f>_xlfn.DAYS(Table1[[#This Row],[actual_delivery_date]],Table1[[#This Row],[dispatch_date]])</f>
        <v>9</v>
      </c>
      <c r="N1772">
        <v>28</v>
      </c>
      <c r="O1772">
        <f>Table1[[#This Row],[transit_storage_cost]] * (1-'What -if Analysis'!$D$26)</f>
        <v>28</v>
      </c>
      <c r="P1772">
        <v>123</v>
      </c>
      <c r="Q1772">
        <v>3255.6699145511843</v>
      </c>
    </row>
    <row r="1773" spans="1:17" x14ac:dyDescent="0.3">
      <c r="A1773">
        <v>401286</v>
      </c>
      <c r="B1773" s="1" t="s">
        <v>38</v>
      </c>
      <c r="C1773" s="1" t="s">
        <v>23</v>
      </c>
      <c r="D1773" s="1" t="s">
        <v>16</v>
      </c>
      <c r="E1773" s="1" t="s">
        <v>27</v>
      </c>
      <c r="F1773" s="1" t="s">
        <v>31</v>
      </c>
      <c r="G1773" s="1" t="s">
        <v>20</v>
      </c>
      <c r="H1773" t="s">
        <v>21</v>
      </c>
      <c r="I1773" s="1" t="s">
        <v>26</v>
      </c>
      <c r="J1773" s="2">
        <v>43526.155810185184</v>
      </c>
      <c r="K1773" s="2">
        <v>43535.155810185184</v>
      </c>
      <c r="L1773" s="2">
        <v>43529.155810185184</v>
      </c>
      <c r="M1773" s="1">
        <f>_xlfn.DAYS(Table1[[#This Row],[actual_delivery_date]],Table1[[#This Row],[dispatch_date]])</f>
        <v>9</v>
      </c>
      <c r="N1773">
        <v>40</v>
      </c>
      <c r="O1773">
        <f>Table1[[#This Row],[transit_storage_cost]] * (1-'What -if Analysis'!$D$26)</f>
        <v>40</v>
      </c>
      <c r="P1773">
        <v>120</v>
      </c>
      <c r="Q1773">
        <v>3348.69</v>
      </c>
    </row>
    <row r="1774" spans="1:17" x14ac:dyDescent="0.3">
      <c r="A1774">
        <v>698299</v>
      </c>
      <c r="B1774" s="1" t="s">
        <v>38</v>
      </c>
      <c r="C1774" s="1" t="s">
        <v>16</v>
      </c>
      <c r="D1774" s="1" t="s">
        <v>32</v>
      </c>
      <c r="E1774" s="1" t="s">
        <v>33</v>
      </c>
      <c r="F1774" s="1" t="s">
        <v>19</v>
      </c>
      <c r="G1774" s="1" t="s">
        <v>20</v>
      </c>
      <c r="H1774" t="s">
        <v>34</v>
      </c>
      <c r="I1774" s="1" t="s">
        <v>22</v>
      </c>
      <c r="J1774" s="2">
        <v>43526.156423611108</v>
      </c>
      <c r="K1774" s="2">
        <v>43535.156423611108</v>
      </c>
      <c r="L1774" s="2">
        <v>43532.156423611108</v>
      </c>
      <c r="M1774" s="1">
        <f>_xlfn.DAYS(Table1[[#This Row],[actual_delivery_date]],Table1[[#This Row],[dispatch_date]])</f>
        <v>9</v>
      </c>
      <c r="N1774">
        <v>79</v>
      </c>
      <c r="O1774">
        <f>Table1[[#This Row],[transit_storage_cost]] * (1-'What -if Analysis'!$D$26)</f>
        <v>79</v>
      </c>
      <c r="P1774">
        <v>95</v>
      </c>
      <c r="Q1774">
        <v>2531.3042656379403</v>
      </c>
    </row>
    <row r="1775" spans="1:17" x14ac:dyDescent="0.3">
      <c r="A1775">
        <v>485629</v>
      </c>
      <c r="B1775" s="1" t="s">
        <v>38</v>
      </c>
      <c r="C1775" s="1" t="s">
        <v>23</v>
      </c>
      <c r="D1775" s="1" t="s">
        <v>32</v>
      </c>
      <c r="E1775" s="1" t="s">
        <v>33</v>
      </c>
      <c r="F1775" s="1" t="s">
        <v>19</v>
      </c>
      <c r="G1775" s="1" t="s">
        <v>20</v>
      </c>
      <c r="H1775" t="s">
        <v>30</v>
      </c>
      <c r="I1775" s="1" t="s">
        <v>22</v>
      </c>
      <c r="J1775" s="2">
        <v>43530.158472222225</v>
      </c>
      <c r="K1775" s="2">
        <v>43535.158472222225</v>
      </c>
      <c r="L1775" s="2">
        <v>43537.158472222225</v>
      </c>
      <c r="M1775" s="1">
        <f>_xlfn.DAYS(Table1[[#This Row],[actual_delivery_date]],Table1[[#This Row],[dispatch_date]])</f>
        <v>5</v>
      </c>
      <c r="N1775">
        <v>85</v>
      </c>
      <c r="O1775">
        <f>Table1[[#This Row],[transit_storage_cost]] * (1-'What -if Analysis'!$D$26)</f>
        <v>85</v>
      </c>
      <c r="P1775">
        <v>89</v>
      </c>
      <c r="Q1775">
        <v>1840.528655505696</v>
      </c>
    </row>
    <row r="1776" spans="1:17" x14ac:dyDescent="0.3">
      <c r="A1776">
        <v>799185</v>
      </c>
      <c r="B1776" s="1" t="s">
        <v>38</v>
      </c>
      <c r="C1776" s="1" t="s">
        <v>23</v>
      </c>
      <c r="D1776" s="1" t="s">
        <v>17</v>
      </c>
      <c r="E1776" s="1" t="s">
        <v>18</v>
      </c>
      <c r="F1776" s="1" t="s">
        <v>19</v>
      </c>
      <c r="G1776" s="1" t="s">
        <v>20</v>
      </c>
      <c r="H1776" t="s">
        <v>30</v>
      </c>
      <c r="I1776" s="1" t="s">
        <v>26</v>
      </c>
      <c r="J1776" s="2">
        <v>43533.15996527778</v>
      </c>
      <c r="K1776" s="2">
        <v>43535.15996527778</v>
      </c>
      <c r="L1776" s="2">
        <v>43538.15996527778</v>
      </c>
      <c r="M1776" s="1">
        <f>_xlfn.DAYS(Table1[[#This Row],[actual_delivery_date]],Table1[[#This Row],[dispatch_date]])</f>
        <v>2</v>
      </c>
      <c r="N1776">
        <v>64</v>
      </c>
      <c r="O1776">
        <f>Table1[[#This Row],[transit_storage_cost]] * (1-'What -if Analysis'!$D$26)</f>
        <v>64</v>
      </c>
      <c r="P1776">
        <v>95</v>
      </c>
      <c r="Q1776">
        <v>2018.8330071821488</v>
      </c>
    </row>
    <row r="1777" spans="1:17" x14ac:dyDescent="0.3">
      <c r="A1777">
        <v>250951</v>
      </c>
      <c r="B1777" s="1" t="s">
        <v>37</v>
      </c>
      <c r="C1777" s="1" t="s">
        <v>23</v>
      </c>
      <c r="D1777" s="1" t="s">
        <v>16</v>
      </c>
      <c r="E1777" s="1" t="s">
        <v>27</v>
      </c>
      <c r="F1777" s="1" t="s">
        <v>29</v>
      </c>
      <c r="G1777" s="1" t="s">
        <v>20</v>
      </c>
      <c r="H1777" t="s">
        <v>30</v>
      </c>
      <c r="I1777" s="1" t="s">
        <v>22</v>
      </c>
      <c r="J1777" s="2">
        <v>43528.162314814814</v>
      </c>
      <c r="K1777" s="2">
        <v>43535.162314814814</v>
      </c>
      <c r="L1777" s="2">
        <v>43533.162314814814</v>
      </c>
      <c r="M1777" s="1">
        <f>_xlfn.DAYS(Table1[[#This Row],[actual_delivery_date]],Table1[[#This Row],[dispatch_date]])</f>
        <v>7</v>
      </c>
      <c r="N1777">
        <v>27</v>
      </c>
      <c r="O1777">
        <f>Table1[[#This Row],[transit_storage_cost]] * (1-'What -if Analysis'!$D$26)</f>
        <v>27</v>
      </c>
      <c r="P1777">
        <v>127</v>
      </c>
      <c r="Q1777">
        <v>3427.0742641223969</v>
      </c>
    </row>
    <row r="1778" spans="1:17" x14ac:dyDescent="0.3">
      <c r="A1778">
        <v>899107</v>
      </c>
      <c r="B1778" s="1" t="s">
        <v>37</v>
      </c>
      <c r="C1778" s="1" t="s">
        <v>16</v>
      </c>
      <c r="D1778" s="1" t="s">
        <v>17</v>
      </c>
      <c r="E1778" s="1" t="s">
        <v>18</v>
      </c>
      <c r="F1778" s="1" t="s">
        <v>29</v>
      </c>
      <c r="G1778" s="1" t="s">
        <v>20</v>
      </c>
      <c r="H1778" t="s">
        <v>30</v>
      </c>
      <c r="I1778" s="1" t="s">
        <v>22</v>
      </c>
      <c r="J1778" s="2">
        <v>43526.16474537037</v>
      </c>
      <c r="K1778" s="2">
        <v>43535.16474537037</v>
      </c>
      <c r="L1778" s="2">
        <v>43529.16474537037</v>
      </c>
      <c r="M1778" s="1">
        <f>_xlfn.DAYS(Table1[[#This Row],[actual_delivery_date]],Table1[[#This Row],[dispatch_date]])</f>
        <v>9</v>
      </c>
      <c r="N1778">
        <v>39</v>
      </c>
      <c r="O1778">
        <f>Table1[[#This Row],[transit_storage_cost]] * (1-'What -if Analysis'!$D$26)</f>
        <v>39</v>
      </c>
      <c r="P1778">
        <v>109</v>
      </c>
      <c r="Q1778">
        <v>2879.6092350708468</v>
      </c>
    </row>
    <row r="1779" spans="1:17" x14ac:dyDescent="0.3">
      <c r="A1779">
        <v>345220</v>
      </c>
      <c r="B1779" s="1" t="s">
        <v>39</v>
      </c>
      <c r="C1779" s="1" t="s">
        <v>16</v>
      </c>
      <c r="D1779" s="1" t="s">
        <v>16</v>
      </c>
      <c r="E1779" s="1" t="s">
        <v>27</v>
      </c>
      <c r="F1779" s="1" t="s">
        <v>19</v>
      </c>
      <c r="G1779" s="1" t="s">
        <v>20</v>
      </c>
      <c r="H1779" t="s">
        <v>21</v>
      </c>
      <c r="I1779" s="1" t="s">
        <v>22</v>
      </c>
      <c r="J1779" s="2">
        <v>43534.165775462963</v>
      </c>
      <c r="K1779" s="2">
        <v>43535.165775462963</v>
      </c>
      <c r="L1779" s="2">
        <v>43541.165775462963</v>
      </c>
      <c r="M1779" s="1">
        <f>_xlfn.DAYS(Table1[[#This Row],[actual_delivery_date]],Table1[[#This Row],[dispatch_date]])</f>
        <v>1</v>
      </c>
      <c r="N1779">
        <v>0</v>
      </c>
      <c r="O1779">
        <f>Table1[[#This Row],[transit_storage_cost]] * (1-'What -if Analysis'!$D$26)</f>
        <v>0</v>
      </c>
      <c r="P1779">
        <v>127</v>
      </c>
      <c r="Q1779">
        <v>470.57428026773073</v>
      </c>
    </row>
    <row r="1780" spans="1:17" x14ac:dyDescent="0.3">
      <c r="A1780">
        <v>237871</v>
      </c>
      <c r="B1780" s="1" t="s">
        <v>39</v>
      </c>
      <c r="C1780" s="1" t="s">
        <v>16</v>
      </c>
      <c r="D1780" s="1" t="s">
        <v>23</v>
      </c>
      <c r="E1780" s="1" t="s">
        <v>28</v>
      </c>
      <c r="F1780" s="1" t="s">
        <v>29</v>
      </c>
      <c r="G1780" s="1" t="s">
        <v>20</v>
      </c>
      <c r="H1780" t="s">
        <v>30</v>
      </c>
      <c r="I1780" s="1" t="s">
        <v>22</v>
      </c>
      <c r="J1780" s="2">
        <v>43526.171944444446</v>
      </c>
      <c r="K1780" s="2">
        <v>43535.171944444446</v>
      </c>
      <c r="L1780" s="2">
        <v>43533.171944444446</v>
      </c>
      <c r="M1780" s="1">
        <f>_xlfn.DAYS(Table1[[#This Row],[actual_delivery_date]],Table1[[#This Row],[dispatch_date]])</f>
        <v>9</v>
      </c>
      <c r="N1780">
        <v>42</v>
      </c>
      <c r="O1780">
        <f>Table1[[#This Row],[transit_storage_cost]] * (1-'What -if Analysis'!$D$26)</f>
        <v>42</v>
      </c>
      <c r="P1780">
        <v>123</v>
      </c>
      <c r="Q1780">
        <v>2859.6548921375124</v>
      </c>
    </row>
    <row r="1781" spans="1:17" x14ac:dyDescent="0.3">
      <c r="A1781">
        <v>47631</v>
      </c>
      <c r="B1781" s="1" t="s">
        <v>37</v>
      </c>
      <c r="C1781" s="1" t="s">
        <v>16</v>
      </c>
      <c r="D1781" s="1" t="s">
        <v>23</v>
      </c>
      <c r="E1781" s="1" t="s">
        <v>28</v>
      </c>
      <c r="F1781" s="1" t="s">
        <v>19</v>
      </c>
      <c r="G1781" s="1" t="s">
        <v>20</v>
      </c>
      <c r="H1781" t="s">
        <v>30</v>
      </c>
      <c r="I1781" s="1" t="s">
        <v>26</v>
      </c>
      <c r="J1781" s="2">
        <v>43533.178136574075</v>
      </c>
      <c r="K1781" s="2">
        <v>43535.178136574075</v>
      </c>
      <c r="L1781" s="2">
        <v>43536.178136574075</v>
      </c>
      <c r="M1781" s="1">
        <f>_xlfn.DAYS(Table1[[#This Row],[actual_delivery_date]],Table1[[#This Row],[dispatch_date]])</f>
        <v>2</v>
      </c>
      <c r="N1781">
        <v>63</v>
      </c>
      <c r="O1781">
        <f>Table1[[#This Row],[transit_storage_cost]] * (1-'What -if Analysis'!$D$26)</f>
        <v>63</v>
      </c>
      <c r="P1781">
        <v>106</v>
      </c>
      <c r="Q1781">
        <v>2421</v>
      </c>
    </row>
    <row r="1782" spans="1:17" x14ac:dyDescent="0.3">
      <c r="A1782">
        <v>878209</v>
      </c>
      <c r="B1782" s="1" t="s">
        <v>38</v>
      </c>
      <c r="C1782" s="1" t="s">
        <v>23</v>
      </c>
      <c r="D1782" s="1" t="s">
        <v>16</v>
      </c>
      <c r="E1782" s="1" t="s">
        <v>27</v>
      </c>
      <c r="F1782" s="1" t="s">
        <v>19</v>
      </c>
      <c r="G1782" s="1" t="s">
        <v>20</v>
      </c>
      <c r="H1782" t="s">
        <v>30</v>
      </c>
      <c r="I1782" s="1" t="s">
        <v>22</v>
      </c>
      <c r="J1782" s="2">
        <v>43533.178564814814</v>
      </c>
      <c r="K1782" s="2">
        <v>43535.178564814814</v>
      </c>
      <c r="L1782" s="2">
        <v>43536.178564814814</v>
      </c>
      <c r="M1782" s="1">
        <f>_xlfn.DAYS(Table1[[#This Row],[actual_delivery_date]],Table1[[#This Row],[dispatch_date]])</f>
        <v>2</v>
      </c>
      <c r="N1782">
        <v>81</v>
      </c>
      <c r="O1782">
        <f>Table1[[#This Row],[transit_storage_cost]] * (1-'What -if Analysis'!$D$26)</f>
        <v>81</v>
      </c>
      <c r="P1782">
        <v>102</v>
      </c>
      <c r="Q1782">
        <v>2341.0081778968197</v>
      </c>
    </row>
    <row r="1783" spans="1:17" x14ac:dyDescent="0.3">
      <c r="A1783">
        <v>737476</v>
      </c>
      <c r="B1783" s="1" t="s">
        <v>40</v>
      </c>
      <c r="C1783" s="1" t="s">
        <v>23</v>
      </c>
      <c r="D1783" s="1" t="s">
        <v>17</v>
      </c>
      <c r="E1783" s="1" t="s">
        <v>18</v>
      </c>
      <c r="F1783" s="1" t="s">
        <v>19</v>
      </c>
      <c r="G1783" s="1" t="s">
        <v>20</v>
      </c>
      <c r="H1783" t="s">
        <v>21</v>
      </c>
      <c r="I1783" s="1" t="s">
        <v>22</v>
      </c>
      <c r="J1783" s="2">
        <v>43532.181307870371</v>
      </c>
      <c r="K1783" s="2">
        <v>43535.181307870371</v>
      </c>
      <c r="L1783" s="2">
        <v>43539.181307870371</v>
      </c>
      <c r="M1783" s="1">
        <f>_xlfn.DAYS(Table1[[#This Row],[actual_delivery_date]],Table1[[#This Row],[dispatch_date]])</f>
        <v>3</v>
      </c>
      <c r="N1783">
        <v>46</v>
      </c>
      <c r="O1783">
        <f>Table1[[#This Row],[transit_storage_cost]] * (1-'What -if Analysis'!$D$26)</f>
        <v>46</v>
      </c>
      <c r="P1783">
        <v>108</v>
      </c>
      <c r="Q1783">
        <v>1823.0286531306097</v>
      </c>
    </row>
    <row r="1784" spans="1:17" x14ac:dyDescent="0.3">
      <c r="A1784">
        <v>228046</v>
      </c>
      <c r="B1784" s="1" t="s">
        <v>39</v>
      </c>
      <c r="C1784" s="1" t="s">
        <v>16</v>
      </c>
      <c r="D1784" s="1" t="s">
        <v>17</v>
      </c>
      <c r="E1784" s="1" t="s">
        <v>18</v>
      </c>
      <c r="F1784" s="1" t="s">
        <v>31</v>
      </c>
      <c r="G1784" s="1" t="s">
        <v>20</v>
      </c>
      <c r="H1784" t="s">
        <v>21</v>
      </c>
      <c r="I1784" s="1" t="s">
        <v>22</v>
      </c>
      <c r="J1784" s="2">
        <v>43528.18986111111</v>
      </c>
      <c r="K1784" s="2">
        <v>43535.18986111111</v>
      </c>
      <c r="L1784" s="2">
        <v>43533.18986111111</v>
      </c>
      <c r="M1784" s="1">
        <f>_xlfn.DAYS(Table1[[#This Row],[actual_delivery_date]],Table1[[#This Row],[dispatch_date]])</f>
        <v>7</v>
      </c>
      <c r="N1784">
        <v>27</v>
      </c>
      <c r="O1784">
        <f>Table1[[#This Row],[transit_storage_cost]] * (1-'What -if Analysis'!$D$26)</f>
        <v>27</v>
      </c>
      <c r="P1784">
        <v>108</v>
      </c>
      <c r="Q1784">
        <v>1052.0515518651273</v>
      </c>
    </row>
    <row r="1785" spans="1:17" x14ac:dyDescent="0.3">
      <c r="A1785">
        <v>46572</v>
      </c>
      <c r="B1785" s="1" t="s">
        <v>40</v>
      </c>
      <c r="C1785" s="1" t="s">
        <v>16</v>
      </c>
      <c r="D1785" s="1" t="s">
        <v>24</v>
      </c>
      <c r="E1785" s="1" t="s">
        <v>25</v>
      </c>
      <c r="F1785" s="1" t="s">
        <v>19</v>
      </c>
      <c r="G1785" s="1" t="s">
        <v>20</v>
      </c>
      <c r="H1785" t="s">
        <v>21</v>
      </c>
      <c r="I1785" s="1" t="s">
        <v>26</v>
      </c>
      <c r="J1785" s="2">
        <v>43525.191851851851</v>
      </c>
      <c r="K1785" s="2">
        <v>43535.191851851851</v>
      </c>
      <c r="L1785" s="2">
        <v>43532.191851851851</v>
      </c>
      <c r="M1785" s="1">
        <f>_xlfn.DAYS(Table1[[#This Row],[actual_delivery_date]],Table1[[#This Row],[dispatch_date]])</f>
        <v>10</v>
      </c>
      <c r="N1785">
        <v>60</v>
      </c>
      <c r="O1785">
        <f>Table1[[#This Row],[transit_storage_cost]] * (1-'What -if Analysis'!$D$26)</f>
        <v>60</v>
      </c>
      <c r="P1785">
        <v>109</v>
      </c>
      <c r="Q1785">
        <v>2743.34</v>
      </c>
    </row>
    <row r="1786" spans="1:17" x14ac:dyDescent="0.3">
      <c r="A1786">
        <v>81978</v>
      </c>
      <c r="B1786" s="1" t="s">
        <v>37</v>
      </c>
      <c r="C1786" s="1" t="s">
        <v>23</v>
      </c>
      <c r="D1786" s="1" t="s">
        <v>23</v>
      </c>
      <c r="E1786" s="1" t="s">
        <v>28</v>
      </c>
      <c r="F1786" s="1" t="s">
        <v>31</v>
      </c>
      <c r="G1786" s="1" t="s">
        <v>20</v>
      </c>
      <c r="H1786" t="s">
        <v>21</v>
      </c>
      <c r="I1786" s="1" t="s">
        <v>26</v>
      </c>
      <c r="J1786" s="2">
        <v>43530.204062500001</v>
      </c>
      <c r="K1786" s="2">
        <v>43535.204062500001</v>
      </c>
      <c r="L1786" s="2">
        <v>43537.204062500001</v>
      </c>
      <c r="M1786" s="1">
        <f>_xlfn.DAYS(Table1[[#This Row],[actual_delivery_date]],Table1[[#This Row],[dispatch_date]])</f>
        <v>5</v>
      </c>
      <c r="N1786">
        <v>0</v>
      </c>
      <c r="O1786">
        <f>Table1[[#This Row],[transit_storage_cost]] * (1-'What -if Analysis'!$D$26)</f>
        <v>0</v>
      </c>
      <c r="P1786">
        <v>128</v>
      </c>
      <c r="Q1786">
        <v>3224.7768479459237</v>
      </c>
    </row>
    <row r="1787" spans="1:17" x14ac:dyDescent="0.3">
      <c r="A1787">
        <v>169114</v>
      </c>
      <c r="B1787" s="1" t="s">
        <v>38</v>
      </c>
      <c r="C1787" s="1" t="s">
        <v>23</v>
      </c>
      <c r="D1787" s="1" t="s">
        <v>23</v>
      </c>
      <c r="E1787" s="1" t="s">
        <v>28</v>
      </c>
      <c r="F1787" s="1" t="s">
        <v>19</v>
      </c>
      <c r="G1787" s="1" t="s">
        <v>20</v>
      </c>
      <c r="H1787" t="s">
        <v>21</v>
      </c>
      <c r="I1787" s="1" t="s">
        <v>22</v>
      </c>
      <c r="J1787" s="2">
        <v>43531.211701388886</v>
      </c>
      <c r="K1787" s="2">
        <v>43535.211701388886</v>
      </c>
      <c r="L1787" s="2">
        <v>43538.211701388886</v>
      </c>
      <c r="M1787" s="1">
        <f>_xlfn.DAYS(Table1[[#This Row],[actual_delivery_date]],Table1[[#This Row],[dispatch_date]])</f>
        <v>4</v>
      </c>
      <c r="N1787">
        <v>0</v>
      </c>
      <c r="O1787">
        <f>Table1[[#This Row],[transit_storage_cost]] * (1-'What -if Analysis'!$D$26)</f>
        <v>0</v>
      </c>
      <c r="P1787">
        <v>107</v>
      </c>
      <c r="Q1787">
        <v>2297.4743059089742</v>
      </c>
    </row>
    <row r="1788" spans="1:17" x14ac:dyDescent="0.3">
      <c r="A1788">
        <v>577870</v>
      </c>
      <c r="B1788" s="1" t="s">
        <v>15</v>
      </c>
      <c r="C1788" s="1" t="s">
        <v>23</v>
      </c>
      <c r="D1788" s="1" t="s">
        <v>24</v>
      </c>
      <c r="E1788" s="1" t="s">
        <v>25</v>
      </c>
      <c r="F1788" s="1" t="s">
        <v>19</v>
      </c>
      <c r="G1788" s="1" t="s">
        <v>20</v>
      </c>
      <c r="H1788" t="s">
        <v>21</v>
      </c>
      <c r="I1788" s="1" t="s">
        <v>22</v>
      </c>
      <c r="J1788" s="2">
        <v>43527.212326388886</v>
      </c>
      <c r="K1788" s="2">
        <v>43535.212326388886</v>
      </c>
      <c r="L1788" s="2">
        <v>43530.212326388886</v>
      </c>
      <c r="M1788" s="1">
        <f>_xlfn.DAYS(Table1[[#This Row],[actual_delivery_date]],Table1[[#This Row],[dispatch_date]])</f>
        <v>8</v>
      </c>
      <c r="N1788">
        <v>58</v>
      </c>
      <c r="O1788">
        <f>Table1[[#This Row],[transit_storage_cost]] * (1-'What -if Analysis'!$D$26)</f>
        <v>58</v>
      </c>
      <c r="P1788">
        <v>106</v>
      </c>
      <c r="Q1788">
        <v>1328.0624875440628</v>
      </c>
    </row>
    <row r="1789" spans="1:17" x14ac:dyDescent="0.3">
      <c r="A1789">
        <v>537344</v>
      </c>
      <c r="B1789" s="1" t="s">
        <v>39</v>
      </c>
      <c r="C1789" s="1" t="s">
        <v>16</v>
      </c>
      <c r="D1789" s="1" t="s">
        <v>16</v>
      </c>
      <c r="E1789" s="1" t="s">
        <v>27</v>
      </c>
      <c r="F1789" s="1" t="s">
        <v>19</v>
      </c>
      <c r="G1789" s="1" t="s">
        <v>20</v>
      </c>
      <c r="H1789" t="s">
        <v>21</v>
      </c>
      <c r="I1789" s="1" t="s">
        <v>22</v>
      </c>
      <c r="J1789" s="2">
        <v>43531.21466435185</v>
      </c>
      <c r="K1789" s="2">
        <v>43535.21466435185</v>
      </c>
      <c r="L1789" s="2">
        <v>43538.21466435185</v>
      </c>
      <c r="M1789" s="1">
        <f>_xlfn.DAYS(Table1[[#This Row],[actual_delivery_date]],Table1[[#This Row],[dispatch_date]])</f>
        <v>4</v>
      </c>
      <c r="N1789">
        <v>0</v>
      </c>
      <c r="O1789">
        <f>Table1[[#This Row],[transit_storage_cost]] * (1-'What -if Analysis'!$D$26)</f>
        <v>0</v>
      </c>
      <c r="P1789">
        <v>108</v>
      </c>
      <c r="Q1789">
        <v>1666.8138811433321</v>
      </c>
    </row>
    <row r="1790" spans="1:17" x14ac:dyDescent="0.3">
      <c r="A1790">
        <v>504928</v>
      </c>
      <c r="B1790" s="1" t="s">
        <v>40</v>
      </c>
      <c r="C1790" s="1" t="s">
        <v>16</v>
      </c>
      <c r="D1790" s="1" t="s">
        <v>23</v>
      </c>
      <c r="E1790" s="1" t="s">
        <v>28</v>
      </c>
      <c r="F1790" s="1" t="s">
        <v>19</v>
      </c>
      <c r="G1790" s="1" t="s">
        <v>20</v>
      </c>
      <c r="H1790" t="s">
        <v>21</v>
      </c>
      <c r="I1790" s="1" t="s">
        <v>22</v>
      </c>
      <c r="J1790" s="2">
        <v>43533.216550925928</v>
      </c>
      <c r="K1790" s="2">
        <v>43535.216550925928</v>
      </c>
      <c r="L1790" s="2">
        <v>43537.216550925928</v>
      </c>
      <c r="M1790" s="1">
        <f>_xlfn.DAYS(Table1[[#This Row],[actual_delivery_date]],Table1[[#This Row],[dispatch_date]])</f>
        <v>2</v>
      </c>
      <c r="N1790">
        <v>69</v>
      </c>
      <c r="O1790">
        <f>Table1[[#This Row],[transit_storage_cost]] * (1-'What -if Analysis'!$D$26)</f>
        <v>69</v>
      </c>
      <c r="P1790">
        <v>101</v>
      </c>
      <c r="Q1790">
        <v>852</v>
      </c>
    </row>
    <row r="1791" spans="1:17" x14ac:dyDescent="0.3">
      <c r="A1791">
        <v>889959</v>
      </c>
      <c r="B1791" s="1" t="s">
        <v>40</v>
      </c>
      <c r="C1791" s="1" t="s">
        <v>23</v>
      </c>
      <c r="D1791" s="1" t="s">
        <v>23</v>
      </c>
      <c r="E1791" s="1" t="s">
        <v>28</v>
      </c>
      <c r="F1791" s="1" t="s">
        <v>29</v>
      </c>
      <c r="G1791" s="1" t="s">
        <v>20</v>
      </c>
      <c r="H1791" t="s">
        <v>34</v>
      </c>
      <c r="I1791" s="1" t="s">
        <v>26</v>
      </c>
      <c r="J1791" s="2">
        <v>43535.217847222222</v>
      </c>
      <c r="K1791" s="2">
        <v>43535.217847222222</v>
      </c>
      <c r="L1791" s="2">
        <v>43542.217847222222</v>
      </c>
      <c r="M1791" s="1">
        <f>_xlfn.DAYS(Table1[[#This Row],[actual_delivery_date]],Table1[[#This Row],[dispatch_date]])</f>
        <v>0</v>
      </c>
      <c r="N1791">
        <v>0</v>
      </c>
      <c r="O1791">
        <f>Table1[[#This Row],[transit_storage_cost]] * (1-'What -if Analysis'!$D$26)</f>
        <v>0</v>
      </c>
      <c r="P1791">
        <v>126</v>
      </c>
      <c r="Q1791">
        <v>1030</v>
      </c>
    </row>
    <row r="1792" spans="1:17" x14ac:dyDescent="0.3">
      <c r="A1792">
        <v>556621</v>
      </c>
      <c r="B1792" s="1" t="s">
        <v>38</v>
      </c>
      <c r="C1792" s="1" t="s">
        <v>23</v>
      </c>
      <c r="D1792" s="1" t="s">
        <v>17</v>
      </c>
      <c r="E1792" s="1" t="s">
        <v>18</v>
      </c>
      <c r="F1792" s="1" t="s">
        <v>29</v>
      </c>
      <c r="G1792" s="1" t="s">
        <v>20</v>
      </c>
      <c r="H1792" t="s">
        <v>30</v>
      </c>
      <c r="I1792" s="1" t="s">
        <v>22</v>
      </c>
      <c r="J1792" s="2">
        <v>43529.219039351854</v>
      </c>
      <c r="K1792" s="2">
        <v>43535.219039351854</v>
      </c>
      <c r="L1792" s="2">
        <v>43536.219039351854</v>
      </c>
      <c r="M1792" s="1">
        <f>_xlfn.DAYS(Table1[[#This Row],[actual_delivery_date]],Table1[[#This Row],[dispatch_date]])</f>
        <v>6</v>
      </c>
      <c r="N1792">
        <v>42</v>
      </c>
      <c r="O1792">
        <f>Table1[[#This Row],[transit_storage_cost]] * (1-'What -if Analysis'!$D$26)</f>
        <v>42</v>
      </c>
      <c r="P1792">
        <v>106</v>
      </c>
      <c r="Q1792">
        <v>1422.4512530483703</v>
      </c>
    </row>
    <row r="1793" spans="1:17" x14ac:dyDescent="0.3">
      <c r="A1793">
        <v>275351</v>
      </c>
      <c r="B1793" s="1" t="s">
        <v>39</v>
      </c>
      <c r="C1793" s="1" t="s">
        <v>23</v>
      </c>
      <c r="D1793" s="1" t="s">
        <v>32</v>
      </c>
      <c r="E1793" s="1" t="s">
        <v>33</v>
      </c>
      <c r="F1793" s="1" t="s">
        <v>29</v>
      </c>
      <c r="G1793" s="1" t="s">
        <v>20</v>
      </c>
      <c r="H1793" t="s">
        <v>30</v>
      </c>
      <c r="I1793" s="1" t="s">
        <v>22</v>
      </c>
      <c r="J1793" s="2">
        <v>43529.219675925924</v>
      </c>
      <c r="K1793" s="2">
        <v>43535.219675925924</v>
      </c>
      <c r="L1793" s="2">
        <v>43534.219675925924</v>
      </c>
      <c r="M1793" s="1">
        <f>_xlfn.DAYS(Table1[[#This Row],[actual_delivery_date]],Table1[[#This Row],[dispatch_date]])</f>
        <v>6</v>
      </c>
      <c r="N1793">
        <v>30</v>
      </c>
      <c r="O1793">
        <f>Table1[[#This Row],[transit_storage_cost]] * (1-'What -if Analysis'!$D$26)</f>
        <v>30</v>
      </c>
      <c r="P1793">
        <v>114</v>
      </c>
      <c r="Q1793">
        <v>3056.3083804865505</v>
      </c>
    </row>
    <row r="1794" spans="1:17" x14ac:dyDescent="0.3">
      <c r="A1794">
        <v>506030</v>
      </c>
      <c r="B1794" s="1" t="s">
        <v>39</v>
      </c>
      <c r="C1794" s="1" t="s">
        <v>16</v>
      </c>
      <c r="D1794" s="1" t="s">
        <v>23</v>
      </c>
      <c r="E1794" s="1" t="s">
        <v>28</v>
      </c>
      <c r="F1794" s="1" t="s">
        <v>31</v>
      </c>
      <c r="G1794" s="1" t="s">
        <v>20</v>
      </c>
      <c r="H1794" t="s">
        <v>21</v>
      </c>
      <c r="I1794" s="1" t="s">
        <v>22</v>
      </c>
      <c r="J1794" s="2">
        <v>43526.222268518519</v>
      </c>
      <c r="K1794" s="2">
        <v>43535.222268518519</v>
      </c>
      <c r="L1794" s="2">
        <v>43529.222268518519</v>
      </c>
      <c r="M1794" s="1">
        <f>_xlfn.DAYS(Table1[[#This Row],[actual_delivery_date]],Table1[[#This Row],[dispatch_date]])</f>
        <v>9</v>
      </c>
      <c r="N1794">
        <v>26</v>
      </c>
      <c r="O1794">
        <f>Table1[[#This Row],[transit_storage_cost]] * (1-'What -if Analysis'!$D$26)</f>
        <v>26</v>
      </c>
      <c r="P1794">
        <v>122</v>
      </c>
      <c r="Q1794">
        <v>1619.2847331791677</v>
      </c>
    </row>
    <row r="1795" spans="1:17" x14ac:dyDescent="0.3">
      <c r="A1795">
        <v>774764</v>
      </c>
      <c r="B1795" s="1" t="s">
        <v>15</v>
      </c>
      <c r="C1795" s="1" t="s">
        <v>16</v>
      </c>
      <c r="D1795" s="1" t="s">
        <v>17</v>
      </c>
      <c r="E1795" s="1" t="s">
        <v>18</v>
      </c>
      <c r="F1795" s="1" t="s">
        <v>19</v>
      </c>
      <c r="G1795" s="1" t="s">
        <v>20</v>
      </c>
      <c r="H1795" t="s">
        <v>21</v>
      </c>
      <c r="I1795" s="1" t="s">
        <v>22</v>
      </c>
      <c r="J1795" s="2">
        <v>43533.225925925923</v>
      </c>
      <c r="K1795" s="2">
        <v>43535.225925925923</v>
      </c>
      <c r="L1795" s="2">
        <v>43540.225925925923</v>
      </c>
      <c r="M1795" s="1">
        <f>_xlfn.DAYS(Table1[[#This Row],[actual_delivery_date]],Table1[[#This Row],[dispatch_date]])</f>
        <v>2</v>
      </c>
      <c r="N1795">
        <v>40</v>
      </c>
      <c r="O1795">
        <f>Table1[[#This Row],[transit_storage_cost]] * (1-'What -if Analysis'!$D$26)</f>
        <v>40</v>
      </c>
      <c r="P1795">
        <v>106</v>
      </c>
      <c r="Q1795">
        <v>1149</v>
      </c>
    </row>
    <row r="1796" spans="1:17" x14ac:dyDescent="0.3">
      <c r="A1796">
        <v>930739</v>
      </c>
      <c r="B1796" s="1" t="s">
        <v>15</v>
      </c>
      <c r="C1796" s="1" t="s">
        <v>23</v>
      </c>
      <c r="D1796" s="1" t="s">
        <v>16</v>
      </c>
      <c r="E1796" s="1" t="s">
        <v>27</v>
      </c>
      <c r="F1796" s="1" t="s">
        <v>29</v>
      </c>
      <c r="G1796" s="1" t="s">
        <v>20</v>
      </c>
      <c r="H1796" t="s">
        <v>30</v>
      </c>
      <c r="I1796" s="1" t="s">
        <v>22</v>
      </c>
      <c r="J1796" s="2">
        <v>43530.229849537034</v>
      </c>
      <c r="K1796" s="2">
        <v>43535.229849537034</v>
      </c>
      <c r="L1796" s="2">
        <v>43537.229849537034</v>
      </c>
      <c r="M1796" s="1">
        <f>_xlfn.DAYS(Table1[[#This Row],[actual_delivery_date]],Table1[[#This Row],[dispatch_date]])</f>
        <v>5</v>
      </c>
      <c r="N1796">
        <v>49</v>
      </c>
      <c r="O1796">
        <f>Table1[[#This Row],[transit_storage_cost]] * (1-'What -if Analysis'!$D$26)</f>
        <v>49</v>
      </c>
      <c r="P1796">
        <v>120</v>
      </c>
      <c r="Q1796">
        <v>1124</v>
      </c>
    </row>
    <row r="1797" spans="1:17" x14ac:dyDescent="0.3">
      <c r="A1797">
        <v>104628</v>
      </c>
      <c r="B1797" s="1" t="s">
        <v>41</v>
      </c>
      <c r="C1797" s="1" t="s">
        <v>23</v>
      </c>
      <c r="D1797" s="1" t="s">
        <v>23</v>
      </c>
      <c r="E1797" s="1" t="s">
        <v>28</v>
      </c>
      <c r="F1797" s="1" t="s">
        <v>19</v>
      </c>
      <c r="G1797" s="1" t="s">
        <v>20</v>
      </c>
      <c r="H1797" t="s">
        <v>21</v>
      </c>
      <c r="I1797" s="1" t="s">
        <v>26</v>
      </c>
      <c r="J1797" s="2">
        <v>43535.232731481483</v>
      </c>
      <c r="K1797" s="2">
        <v>43535.232731481483</v>
      </c>
      <c r="L1797" s="2">
        <v>43540.232731481483</v>
      </c>
      <c r="M1797" s="1">
        <f>_xlfn.DAYS(Table1[[#This Row],[actual_delivery_date]],Table1[[#This Row],[dispatch_date]])</f>
        <v>0</v>
      </c>
      <c r="N1797">
        <v>0</v>
      </c>
      <c r="O1797">
        <f>Table1[[#This Row],[transit_storage_cost]] * (1-'What -if Analysis'!$D$26)</f>
        <v>0</v>
      </c>
      <c r="P1797">
        <v>109</v>
      </c>
      <c r="Q1797">
        <v>521.40533506292695</v>
      </c>
    </row>
    <row r="1798" spans="1:17" x14ac:dyDescent="0.3">
      <c r="A1798">
        <v>143046</v>
      </c>
      <c r="B1798" s="1" t="s">
        <v>38</v>
      </c>
      <c r="C1798" s="1" t="s">
        <v>16</v>
      </c>
      <c r="D1798" s="1" t="s">
        <v>17</v>
      </c>
      <c r="E1798" s="1" t="s">
        <v>18</v>
      </c>
      <c r="F1798" s="1" t="s">
        <v>31</v>
      </c>
      <c r="G1798" s="1" t="s">
        <v>20</v>
      </c>
      <c r="H1798" t="s">
        <v>21</v>
      </c>
      <c r="I1798" s="1" t="s">
        <v>26</v>
      </c>
      <c r="J1798" s="2">
        <v>43530.234861111108</v>
      </c>
      <c r="K1798" s="2">
        <v>43535.234861111108</v>
      </c>
      <c r="L1798" s="2">
        <v>43535.234861111108</v>
      </c>
      <c r="M1798" s="1">
        <f>_xlfn.DAYS(Table1[[#This Row],[actual_delivery_date]],Table1[[#This Row],[dispatch_date]])</f>
        <v>5</v>
      </c>
      <c r="N1798">
        <v>29</v>
      </c>
      <c r="O1798">
        <f>Table1[[#This Row],[transit_storage_cost]] * (1-'What -if Analysis'!$D$26)</f>
        <v>29</v>
      </c>
      <c r="P1798">
        <v>108</v>
      </c>
      <c r="Q1798">
        <v>1867.9965831917527</v>
      </c>
    </row>
    <row r="1799" spans="1:17" x14ac:dyDescent="0.3">
      <c r="A1799">
        <v>717753</v>
      </c>
      <c r="B1799" s="1" t="s">
        <v>38</v>
      </c>
      <c r="C1799" s="1" t="s">
        <v>23</v>
      </c>
      <c r="D1799" s="1" t="s">
        <v>32</v>
      </c>
      <c r="E1799" s="1" t="s">
        <v>33</v>
      </c>
      <c r="F1799" s="1" t="s">
        <v>29</v>
      </c>
      <c r="G1799" s="1" t="s">
        <v>20</v>
      </c>
      <c r="H1799" t="s">
        <v>30</v>
      </c>
      <c r="I1799" s="1" t="s">
        <v>26</v>
      </c>
      <c r="J1799" s="2">
        <v>43533.236296296294</v>
      </c>
      <c r="K1799" s="2">
        <v>43535.236296296294</v>
      </c>
      <c r="L1799" s="2">
        <v>43537.236296296294</v>
      </c>
      <c r="M1799" s="1">
        <f>_xlfn.DAYS(Table1[[#This Row],[actual_delivery_date]],Table1[[#This Row],[dispatch_date]])</f>
        <v>2</v>
      </c>
      <c r="N1799">
        <v>31</v>
      </c>
      <c r="O1799">
        <f>Table1[[#This Row],[transit_storage_cost]] * (1-'What -if Analysis'!$D$26)</f>
        <v>31</v>
      </c>
      <c r="P1799">
        <v>111</v>
      </c>
      <c r="Q1799">
        <v>545</v>
      </c>
    </row>
    <row r="1800" spans="1:17" x14ac:dyDescent="0.3">
      <c r="A1800">
        <v>738060</v>
      </c>
      <c r="B1800" s="1" t="s">
        <v>38</v>
      </c>
      <c r="C1800" s="1" t="s">
        <v>16</v>
      </c>
      <c r="D1800" s="1" t="s">
        <v>16</v>
      </c>
      <c r="E1800" s="1" t="s">
        <v>27</v>
      </c>
      <c r="F1800" s="1" t="s">
        <v>19</v>
      </c>
      <c r="G1800" s="1" t="s">
        <v>20</v>
      </c>
      <c r="H1800" t="s">
        <v>21</v>
      </c>
      <c r="I1800" s="1" t="s">
        <v>26</v>
      </c>
      <c r="J1800" s="2">
        <v>43535.242210648146</v>
      </c>
      <c r="K1800" s="2">
        <v>43535.242210648146</v>
      </c>
      <c r="L1800" s="2">
        <v>43542.242210648146</v>
      </c>
      <c r="M1800" s="1">
        <f>_xlfn.DAYS(Table1[[#This Row],[actual_delivery_date]],Table1[[#This Row],[dispatch_date]])</f>
        <v>0</v>
      </c>
      <c r="N1800">
        <v>0</v>
      </c>
      <c r="O1800">
        <f>Table1[[#This Row],[transit_storage_cost]] * (1-'What -if Analysis'!$D$26)</f>
        <v>0</v>
      </c>
      <c r="P1800">
        <v>103</v>
      </c>
      <c r="Q1800">
        <v>1175.7307119165343</v>
      </c>
    </row>
    <row r="1801" spans="1:17" x14ac:dyDescent="0.3">
      <c r="A1801">
        <v>913213</v>
      </c>
      <c r="B1801" s="1" t="s">
        <v>39</v>
      </c>
      <c r="C1801" s="1" t="s">
        <v>23</v>
      </c>
      <c r="D1801" s="1" t="s">
        <v>16</v>
      </c>
      <c r="E1801" s="1" t="s">
        <v>27</v>
      </c>
      <c r="F1801" s="1" t="s">
        <v>29</v>
      </c>
      <c r="G1801" s="1" t="s">
        <v>20</v>
      </c>
      <c r="H1801" t="s">
        <v>34</v>
      </c>
      <c r="I1801" s="1" t="s">
        <v>22</v>
      </c>
      <c r="J1801" s="2">
        <v>43531.243622685186</v>
      </c>
      <c r="K1801" s="2">
        <v>43535.243622685186</v>
      </c>
      <c r="L1801" s="2">
        <v>43538.243622685186</v>
      </c>
      <c r="M1801" s="1">
        <f>_xlfn.DAYS(Table1[[#This Row],[actual_delivery_date]],Table1[[#This Row],[dispatch_date]])</f>
        <v>4</v>
      </c>
      <c r="N1801">
        <v>31</v>
      </c>
      <c r="O1801">
        <f>Table1[[#This Row],[transit_storage_cost]] * (1-'What -if Analysis'!$D$26)</f>
        <v>31</v>
      </c>
      <c r="P1801">
        <v>129</v>
      </c>
      <c r="Q1801">
        <v>3205.651483431775</v>
      </c>
    </row>
    <row r="1802" spans="1:17" x14ac:dyDescent="0.3">
      <c r="A1802">
        <v>685854</v>
      </c>
      <c r="B1802" s="1" t="s">
        <v>39</v>
      </c>
      <c r="C1802" s="1" t="s">
        <v>16</v>
      </c>
      <c r="D1802" s="1" t="s">
        <v>24</v>
      </c>
      <c r="E1802" s="1" t="s">
        <v>25</v>
      </c>
      <c r="F1802" s="1" t="s">
        <v>31</v>
      </c>
      <c r="G1802" s="1" t="s">
        <v>20</v>
      </c>
      <c r="H1802" t="s">
        <v>21</v>
      </c>
      <c r="I1802" s="1" t="s">
        <v>26</v>
      </c>
      <c r="J1802" s="2">
        <v>43531.255937499998</v>
      </c>
      <c r="K1802" s="2">
        <v>43535.255937499998</v>
      </c>
      <c r="L1802" s="2">
        <v>43536.255937499998</v>
      </c>
      <c r="M1802" s="1">
        <f>_xlfn.DAYS(Table1[[#This Row],[actual_delivery_date]],Table1[[#This Row],[dispatch_date]])</f>
        <v>4</v>
      </c>
      <c r="N1802">
        <v>36</v>
      </c>
      <c r="O1802">
        <f>Table1[[#This Row],[transit_storage_cost]] * (1-'What -if Analysis'!$D$26)</f>
        <v>36</v>
      </c>
      <c r="P1802">
        <v>123</v>
      </c>
      <c r="Q1802">
        <v>3076.5777498419702</v>
      </c>
    </row>
    <row r="1803" spans="1:17" x14ac:dyDescent="0.3">
      <c r="A1803">
        <v>936818</v>
      </c>
      <c r="B1803" s="1" t="s">
        <v>15</v>
      </c>
      <c r="C1803" s="1" t="s">
        <v>16</v>
      </c>
      <c r="D1803" s="1" t="s">
        <v>17</v>
      </c>
      <c r="E1803" s="1" t="s">
        <v>18</v>
      </c>
      <c r="F1803" s="1" t="s">
        <v>31</v>
      </c>
      <c r="G1803" s="1" t="s">
        <v>20</v>
      </c>
      <c r="H1803" t="s">
        <v>21</v>
      </c>
      <c r="I1803" s="1" t="s">
        <v>22</v>
      </c>
      <c r="J1803" s="2">
        <v>43529.259201388886</v>
      </c>
      <c r="K1803" s="2">
        <v>43535.259201388886</v>
      </c>
      <c r="L1803" s="2">
        <v>43536.259201388886</v>
      </c>
      <c r="M1803" s="1">
        <f>_xlfn.DAYS(Table1[[#This Row],[actual_delivery_date]],Table1[[#This Row],[dispatch_date]])</f>
        <v>6</v>
      </c>
      <c r="N1803">
        <v>36</v>
      </c>
      <c r="O1803">
        <f>Table1[[#This Row],[transit_storage_cost]] * (1-'What -if Analysis'!$D$26)</f>
        <v>36</v>
      </c>
      <c r="P1803">
        <v>114</v>
      </c>
      <c r="Q1803">
        <v>1079.4654705652979</v>
      </c>
    </row>
    <row r="1804" spans="1:17" x14ac:dyDescent="0.3">
      <c r="A1804">
        <v>147335</v>
      </c>
      <c r="B1804" s="1" t="s">
        <v>15</v>
      </c>
      <c r="C1804" s="1" t="s">
        <v>16</v>
      </c>
      <c r="D1804" s="1" t="s">
        <v>24</v>
      </c>
      <c r="E1804" s="1" t="s">
        <v>25</v>
      </c>
      <c r="F1804" s="1" t="s">
        <v>29</v>
      </c>
      <c r="G1804" s="1" t="s">
        <v>20</v>
      </c>
      <c r="H1804" t="s">
        <v>30</v>
      </c>
      <c r="I1804" s="1" t="s">
        <v>22</v>
      </c>
      <c r="J1804" s="2">
        <v>43533.260300925926</v>
      </c>
      <c r="K1804" s="2">
        <v>43535.260300925926</v>
      </c>
      <c r="L1804" s="2">
        <v>43538.260300925926</v>
      </c>
      <c r="M1804" s="1">
        <f>_xlfn.DAYS(Table1[[#This Row],[actual_delivery_date]],Table1[[#This Row],[dispatch_date]])</f>
        <v>2</v>
      </c>
      <c r="N1804">
        <v>41</v>
      </c>
      <c r="O1804">
        <f>Table1[[#This Row],[transit_storage_cost]] * (1-'What -if Analysis'!$D$26)</f>
        <v>41</v>
      </c>
      <c r="P1804">
        <v>126</v>
      </c>
      <c r="Q1804">
        <v>1443.3482288009959</v>
      </c>
    </row>
    <row r="1805" spans="1:17" x14ac:dyDescent="0.3">
      <c r="A1805">
        <v>284039</v>
      </c>
      <c r="B1805" s="1" t="s">
        <v>38</v>
      </c>
      <c r="C1805" s="1" t="s">
        <v>23</v>
      </c>
      <c r="D1805" s="1" t="s">
        <v>32</v>
      </c>
      <c r="E1805" s="1" t="s">
        <v>33</v>
      </c>
      <c r="F1805" s="1" t="s">
        <v>29</v>
      </c>
      <c r="G1805" s="1" t="s">
        <v>20</v>
      </c>
      <c r="H1805" t="s">
        <v>34</v>
      </c>
      <c r="I1805" s="1" t="s">
        <v>22</v>
      </c>
      <c r="J1805" s="2">
        <v>43533.262395833335</v>
      </c>
      <c r="K1805" s="2">
        <v>43535.262395833335</v>
      </c>
      <c r="L1805" s="2">
        <v>43536.262395833335</v>
      </c>
      <c r="M1805" s="1">
        <f>_xlfn.DAYS(Table1[[#This Row],[actual_delivery_date]],Table1[[#This Row],[dispatch_date]])</f>
        <v>2</v>
      </c>
      <c r="N1805">
        <v>35</v>
      </c>
      <c r="O1805">
        <f>Table1[[#This Row],[transit_storage_cost]] * (1-'What -if Analysis'!$D$26)</f>
        <v>35</v>
      </c>
      <c r="P1805">
        <v>114</v>
      </c>
      <c r="Q1805">
        <v>3536.6798070823925</v>
      </c>
    </row>
    <row r="1806" spans="1:17" x14ac:dyDescent="0.3">
      <c r="A1806">
        <v>714855</v>
      </c>
      <c r="B1806" s="1" t="s">
        <v>38</v>
      </c>
      <c r="C1806" s="1" t="s">
        <v>16</v>
      </c>
      <c r="D1806" s="1" t="s">
        <v>17</v>
      </c>
      <c r="E1806" s="1" t="s">
        <v>18</v>
      </c>
      <c r="F1806" s="1" t="s">
        <v>29</v>
      </c>
      <c r="G1806" s="1" t="s">
        <v>20</v>
      </c>
      <c r="H1806" t="s">
        <v>30</v>
      </c>
      <c r="I1806" s="1" t="s">
        <v>26</v>
      </c>
      <c r="J1806" s="2">
        <v>43527.267384259256</v>
      </c>
      <c r="K1806" s="2">
        <v>43535.267384259256</v>
      </c>
      <c r="L1806" s="2">
        <v>43532.267384259256</v>
      </c>
      <c r="M1806" s="1">
        <f>_xlfn.DAYS(Table1[[#This Row],[actual_delivery_date]],Table1[[#This Row],[dispatch_date]])</f>
        <v>8</v>
      </c>
      <c r="N1806">
        <v>30</v>
      </c>
      <c r="O1806">
        <f>Table1[[#This Row],[transit_storage_cost]] * (1-'What -if Analysis'!$D$26)</f>
        <v>30</v>
      </c>
      <c r="P1806">
        <v>111</v>
      </c>
      <c r="Q1806">
        <v>276.07</v>
      </c>
    </row>
    <row r="1807" spans="1:17" x14ac:dyDescent="0.3">
      <c r="A1807">
        <v>123210</v>
      </c>
      <c r="B1807" s="1" t="s">
        <v>41</v>
      </c>
      <c r="C1807" s="1" t="s">
        <v>16</v>
      </c>
      <c r="D1807" s="1" t="s">
        <v>23</v>
      </c>
      <c r="E1807" s="1" t="s">
        <v>28</v>
      </c>
      <c r="F1807" s="1" t="s">
        <v>31</v>
      </c>
      <c r="G1807" s="1" t="s">
        <v>20</v>
      </c>
      <c r="H1807" t="s">
        <v>21</v>
      </c>
      <c r="I1807" s="1" t="s">
        <v>26</v>
      </c>
      <c r="J1807" s="2">
        <v>43529.271481481483</v>
      </c>
      <c r="K1807" s="2">
        <v>43535.271481481483</v>
      </c>
      <c r="L1807" s="2">
        <v>43536.271481481483</v>
      </c>
      <c r="M1807" s="1">
        <f>_xlfn.DAYS(Table1[[#This Row],[actual_delivery_date]],Table1[[#This Row],[dispatch_date]])</f>
        <v>6</v>
      </c>
      <c r="N1807">
        <v>40</v>
      </c>
      <c r="O1807">
        <f>Table1[[#This Row],[transit_storage_cost]] * (1-'What -if Analysis'!$D$26)</f>
        <v>40</v>
      </c>
      <c r="P1807">
        <v>123</v>
      </c>
      <c r="Q1807">
        <v>909.75</v>
      </c>
    </row>
    <row r="1808" spans="1:17" x14ac:dyDescent="0.3">
      <c r="A1808">
        <v>979003</v>
      </c>
      <c r="B1808" s="1" t="s">
        <v>38</v>
      </c>
      <c r="C1808" s="1" t="s">
        <v>16</v>
      </c>
      <c r="D1808" s="1" t="s">
        <v>32</v>
      </c>
      <c r="E1808" s="1" t="s">
        <v>33</v>
      </c>
      <c r="F1808" s="1" t="s">
        <v>29</v>
      </c>
      <c r="G1808" s="1" t="s">
        <v>20</v>
      </c>
      <c r="H1808" t="s">
        <v>30</v>
      </c>
      <c r="I1808" s="1" t="s">
        <v>22</v>
      </c>
      <c r="J1808" s="2">
        <v>43530.274456018517</v>
      </c>
      <c r="K1808" s="2">
        <v>43535.274456018517</v>
      </c>
      <c r="L1808" s="2">
        <v>43533.274456018517</v>
      </c>
      <c r="M1808" s="1">
        <f>_xlfn.DAYS(Table1[[#This Row],[actual_delivery_date]],Table1[[#This Row],[dispatch_date]])</f>
        <v>5</v>
      </c>
      <c r="N1808">
        <v>35</v>
      </c>
      <c r="O1808">
        <f>Table1[[#This Row],[transit_storage_cost]] * (1-'What -if Analysis'!$D$26)</f>
        <v>35</v>
      </c>
      <c r="P1808">
        <v>105</v>
      </c>
      <c r="Q1808">
        <v>2027.8348958806537</v>
      </c>
    </row>
    <row r="1809" spans="1:17" x14ac:dyDescent="0.3">
      <c r="A1809">
        <v>191333</v>
      </c>
      <c r="B1809" s="1" t="s">
        <v>15</v>
      </c>
      <c r="C1809" s="1" t="s">
        <v>16</v>
      </c>
      <c r="D1809" s="1" t="s">
        <v>23</v>
      </c>
      <c r="E1809" s="1" t="s">
        <v>28</v>
      </c>
      <c r="F1809" s="1" t="s">
        <v>19</v>
      </c>
      <c r="G1809" s="1" t="s">
        <v>20</v>
      </c>
      <c r="H1809" t="s">
        <v>30</v>
      </c>
      <c r="I1809" s="1" t="s">
        <v>22</v>
      </c>
      <c r="J1809" s="2">
        <v>43529.284375000003</v>
      </c>
      <c r="K1809" s="2">
        <v>43535.284375000003</v>
      </c>
      <c r="L1809" s="2">
        <v>43535.284375000003</v>
      </c>
      <c r="M1809" s="1">
        <f>_xlfn.DAYS(Table1[[#This Row],[actual_delivery_date]],Table1[[#This Row],[dispatch_date]])</f>
        <v>6</v>
      </c>
      <c r="N1809">
        <v>70</v>
      </c>
      <c r="O1809">
        <f>Table1[[#This Row],[transit_storage_cost]] * (1-'What -if Analysis'!$D$26)</f>
        <v>70</v>
      </c>
      <c r="P1809">
        <v>107</v>
      </c>
      <c r="Q1809">
        <v>3273.9744829351057</v>
      </c>
    </row>
    <row r="1810" spans="1:17" x14ac:dyDescent="0.3">
      <c r="A1810">
        <v>126178</v>
      </c>
      <c r="B1810" s="1" t="s">
        <v>37</v>
      </c>
      <c r="C1810" s="1" t="s">
        <v>23</v>
      </c>
      <c r="D1810" s="1" t="s">
        <v>17</v>
      </c>
      <c r="E1810" s="1" t="s">
        <v>18</v>
      </c>
      <c r="F1810" s="1" t="s">
        <v>19</v>
      </c>
      <c r="G1810" s="1" t="s">
        <v>20</v>
      </c>
      <c r="H1810" t="s">
        <v>21</v>
      </c>
      <c r="I1810" s="1" t="s">
        <v>22</v>
      </c>
      <c r="J1810" s="2">
        <v>43533.284409722219</v>
      </c>
      <c r="K1810" s="2">
        <v>43535.284409722219</v>
      </c>
      <c r="L1810" s="2">
        <v>43539.284409722219</v>
      </c>
      <c r="M1810" s="1">
        <f>_xlfn.DAYS(Table1[[#This Row],[actual_delivery_date]],Table1[[#This Row],[dispatch_date]])</f>
        <v>2</v>
      </c>
      <c r="N1810">
        <v>82</v>
      </c>
      <c r="O1810">
        <f>Table1[[#This Row],[transit_storage_cost]] * (1-'What -if Analysis'!$D$26)</f>
        <v>82</v>
      </c>
      <c r="P1810">
        <v>93</v>
      </c>
      <c r="Q1810">
        <v>1259.369677211507</v>
      </c>
    </row>
    <row r="1811" spans="1:17" x14ac:dyDescent="0.3">
      <c r="A1811">
        <v>932439</v>
      </c>
      <c r="B1811" s="1" t="s">
        <v>37</v>
      </c>
      <c r="C1811" s="1" t="s">
        <v>23</v>
      </c>
      <c r="D1811" s="1" t="s">
        <v>16</v>
      </c>
      <c r="E1811" s="1" t="s">
        <v>27</v>
      </c>
      <c r="F1811" s="1" t="s">
        <v>29</v>
      </c>
      <c r="G1811" s="1" t="s">
        <v>20</v>
      </c>
      <c r="H1811" t="s">
        <v>30</v>
      </c>
      <c r="I1811" s="1" t="s">
        <v>26</v>
      </c>
      <c r="J1811" s="2">
        <v>43530.289467592593</v>
      </c>
      <c r="K1811" s="2">
        <v>43535.289467592593</v>
      </c>
      <c r="L1811" s="2">
        <v>43536.289467592593</v>
      </c>
      <c r="M1811" s="1">
        <f>_xlfn.DAYS(Table1[[#This Row],[actual_delivery_date]],Table1[[#This Row],[dispatch_date]])</f>
        <v>5</v>
      </c>
      <c r="N1811">
        <v>0</v>
      </c>
      <c r="O1811">
        <f>Table1[[#This Row],[transit_storage_cost]] * (1-'What -if Analysis'!$D$26)</f>
        <v>0</v>
      </c>
      <c r="P1811">
        <v>125</v>
      </c>
      <c r="Q1811">
        <v>847</v>
      </c>
    </row>
    <row r="1812" spans="1:17" x14ac:dyDescent="0.3">
      <c r="A1812">
        <v>464308</v>
      </c>
      <c r="B1812" s="1" t="s">
        <v>37</v>
      </c>
      <c r="C1812" s="1" t="s">
        <v>23</v>
      </c>
      <c r="D1812" s="1" t="s">
        <v>17</v>
      </c>
      <c r="E1812" s="1" t="s">
        <v>18</v>
      </c>
      <c r="F1812" s="1" t="s">
        <v>19</v>
      </c>
      <c r="G1812" s="1" t="s">
        <v>20</v>
      </c>
      <c r="H1812" t="s">
        <v>21</v>
      </c>
      <c r="I1812" s="1" t="s">
        <v>22</v>
      </c>
      <c r="J1812" s="2">
        <v>43532.290891203702</v>
      </c>
      <c r="K1812" s="2">
        <v>43535.290891203702</v>
      </c>
      <c r="L1812" s="2">
        <v>43539.290891203702</v>
      </c>
      <c r="M1812" s="1">
        <f>_xlfn.DAYS(Table1[[#This Row],[actual_delivery_date]],Table1[[#This Row],[dispatch_date]])</f>
        <v>3</v>
      </c>
      <c r="N1812">
        <v>30</v>
      </c>
      <c r="O1812">
        <f>Table1[[#This Row],[transit_storage_cost]] * (1-'What -if Analysis'!$D$26)</f>
        <v>30</v>
      </c>
      <c r="P1812">
        <v>114</v>
      </c>
      <c r="Q1812">
        <v>2975.5796153893066</v>
      </c>
    </row>
    <row r="1813" spans="1:17" x14ac:dyDescent="0.3">
      <c r="A1813">
        <v>926119</v>
      </c>
      <c r="B1813" s="1" t="s">
        <v>37</v>
      </c>
      <c r="C1813" s="1" t="s">
        <v>16</v>
      </c>
      <c r="D1813" s="1" t="s">
        <v>23</v>
      </c>
      <c r="E1813" s="1" t="s">
        <v>28</v>
      </c>
      <c r="F1813" s="1" t="s">
        <v>19</v>
      </c>
      <c r="G1813" s="1" t="s">
        <v>20</v>
      </c>
      <c r="H1813" t="s">
        <v>30</v>
      </c>
      <c r="I1813" s="1" t="s">
        <v>22</v>
      </c>
      <c r="J1813" s="2">
        <v>43533.291377314818</v>
      </c>
      <c r="K1813" s="2">
        <v>43535.291377314818</v>
      </c>
      <c r="L1813" s="2">
        <v>43538.291377314818</v>
      </c>
      <c r="M1813" s="1">
        <f>_xlfn.DAYS(Table1[[#This Row],[actual_delivery_date]],Table1[[#This Row],[dispatch_date]])</f>
        <v>2</v>
      </c>
      <c r="N1813">
        <v>79</v>
      </c>
      <c r="O1813">
        <f>Table1[[#This Row],[transit_storage_cost]] * (1-'What -if Analysis'!$D$26)</f>
        <v>79</v>
      </c>
      <c r="P1813">
        <v>102</v>
      </c>
      <c r="Q1813">
        <v>3259</v>
      </c>
    </row>
    <row r="1814" spans="1:17" x14ac:dyDescent="0.3">
      <c r="A1814">
        <v>688557</v>
      </c>
      <c r="B1814" s="1" t="s">
        <v>39</v>
      </c>
      <c r="C1814" s="1" t="s">
        <v>23</v>
      </c>
      <c r="D1814" s="1" t="s">
        <v>16</v>
      </c>
      <c r="E1814" s="1" t="s">
        <v>27</v>
      </c>
      <c r="F1814" s="1" t="s">
        <v>29</v>
      </c>
      <c r="G1814" s="1" t="s">
        <v>20</v>
      </c>
      <c r="H1814" t="s">
        <v>30</v>
      </c>
      <c r="I1814" s="1" t="s">
        <v>26</v>
      </c>
      <c r="J1814" s="2">
        <v>43528.292337962965</v>
      </c>
      <c r="K1814" s="2">
        <v>43535.292337962965</v>
      </c>
      <c r="L1814" s="2">
        <v>43534.292337962965</v>
      </c>
      <c r="M1814" s="1">
        <f>_xlfn.DAYS(Table1[[#This Row],[actual_delivery_date]],Table1[[#This Row],[dispatch_date]])</f>
        <v>7</v>
      </c>
      <c r="N1814">
        <v>49</v>
      </c>
      <c r="O1814">
        <f>Table1[[#This Row],[transit_storage_cost]] * (1-'What -if Analysis'!$D$26)</f>
        <v>49</v>
      </c>
      <c r="P1814">
        <v>126</v>
      </c>
      <c r="Q1814">
        <v>882.1</v>
      </c>
    </row>
    <row r="1815" spans="1:17" x14ac:dyDescent="0.3">
      <c r="A1815">
        <v>727151</v>
      </c>
      <c r="B1815" s="1" t="s">
        <v>41</v>
      </c>
      <c r="C1815" s="1" t="s">
        <v>16</v>
      </c>
      <c r="D1815" s="1" t="s">
        <v>17</v>
      </c>
      <c r="E1815" s="1" t="s">
        <v>18</v>
      </c>
      <c r="F1815" s="1" t="s">
        <v>29</v>
      </c>
      <c r="G1815" s="1" t="s">
        <v>20</v>
      </c>
      <c r="H1815" t="s">
        <v>30</v>
      </c>
      <c r="I1815" s="1" t="s">
        <v>22</v>
      </c>
      <c r="J1815" s="2">
        <v>43530.296539351853</v>
      </c>
      <c r="K1815" s="2">
        <v>43535.296539351853</v>
      </c>
      <c r="L1815" s="2">
        <v>43536.296539351853</v>
      </c>
      <c r="M1815" s="1">
        <f>_xlfn.DAYS(Table1[[#This Row],[actual_delivery_date]],Table1[[#This Row],[dispatch_date]])</f>
        <v>5</v>
      </c>
      <c r="N1815">
        <v>25</v>
      </c>
      <c r="O1815">
        <f>Table1[[#This Row],[transit_storage_cost]] * (1-'What -if Analysis'!$D$26)</f>
        <v>25</v>
      </c>
      <c r="P1815">
        <v>106</v>
      </c>
      <c r="Q1815">
        <v>3204.135341424219</v>
      </c>
    </row>
    <row r="1816" spans="1:17" x14ac:dyDescent="0.3">
      <c r="A1816">
        <v>270534</v>
      </c>
      <c r="B1816" s="1" t="s">
        <v>38</v>
      </c>
      <c r="C1816" s="1" t="s">
        <v>23</v>
      </c>
      <c r="D1816" s="1" t="s">
        <v>16</v>
      </c>
      <c r="E1816" s="1" t="s">
        <v>27</v>
      </c>
      <c r="F1816" s="1" t="s">
        <v>19</v>
      </c>
      <c r="G1816" s="1" t="s">
        <v>36</v>
      </c>
      <c r="H1816" t="s">
        <v>21</v>
      </c>
      <c r="I1816" s="1" t="s">
        <v>26</v>
      </c>
      <c r="J1816" s="2">
        <v>43533.298796296294</v>
      </c>
      <c r="K1816" s="2">
        <v>43535.298796296294</v>
      </c>
      <c r="L1816" s="2">
        <v>43540.298796296294</v>
      </c>
      <c r="M1816" s="1">
        <f>_xlfn.DAYS(Table1[[#This Row],[actual_delivery_date]],Table1[[#This Row],[dispatch_date]])</f>
        <v>2</v>
      </c>
      <c r="N1816">
        <v>64</v>
      </c>
      <c r="O1816">
        <f>Table1[[#This Row],[transit_storage_cost]] * (1-'What -if Analysis'!$D$26)</f>
        <v>64</v>
      </c>
      <c r="P1816">
        <v>107</v>
      </c>
      <c r="Q1816">
        <v>1222.4048205231338</v>
      </c>
    </row>
    <row r="1817" spans="1:17" x14ac:dyDescent="0.3">
      <c r="A1817">
        <v>6346</v>
      </c>
      <c r="B1817" s="1" t="s">
        <v>40</v>
      </c>
      <c r="C1817" s="1" t="s">
        <v>16</v>
      </c>
      <c r="D1817" s="1" t="s">
        <v>32</v>
      </c>
      <c r="E1817" s="1" t="s">
        <v>33</v>
      </c>
      <c r="F1817" s="1" t="s">
        <v>19</v>
      </c>
      <c r="G1817" s="1" t="s">
        <v>20</v>
      </c>
      <c r="H1817" t="s">
        <v>21</v>
      </c>
      <c r="I1817" s="1" t="s">
        <v>22</v>
      </c>
      <c r="J1817" s="2">
        <v>43526.299756944441</v>
      </c>
      <c r="K1817" s="2">
        <v>43535.299756944441</v>
      </c>
      <c r="L1817" s="2">
        <v>43529.299756944441</v>
      </c>
      <c r="M1817" s="1">
        <f>_xlfn.DAYS(Table1[[#This Row],[actual_delivery_date]],Table1[[#This Row],[dispatch_date]])</f>
        <v>9</v>
      </c>
      <c r="N1817">
        <v>66</v>
      </c>
      <c r="O1817">
        <f>Table1[[#This Row],[transit_storage_cost]] * (1-'What -if Analysis'!$D$26)</f>
        <v>66</v>
      </c>
      <c r="P1817">
        <v>88</v>
      </c>
      <c r="Q1817">
        <v>2744.587526912369</v>
      </c>
    </row>
    <row r="1818" spans="1:17" x14ac:dyDescent="0.3">
      <c r="A1818">
        <v>75493</v>
      </c>
      <c r="B1818" s="1" t="s">
        <v>38</v>
      </c>
      <c r="C1818" s="1" t="s">
        <v>16</v>
      </c>
      <c r="D1818" s="1" t="s">
        <v>23</v>
      </c>
      <c r="E1818" s="1" t="s">
        <v>28</v>
      </c>
      <c r="F1818" s="1" t="s">
        <v>29</v>
      </c>
      <c r="G1818" s="1" t="s">
        <v>20</v>
      </c>
      <c r="H1818" t="s">
        <v>30</v>
      </c>
      <c r="I1818" s="1" t="s">
        <v>22</v>
      </c>
      <c r="J1818" s="2">
        <v>43525.299814814818</v>
      </c>
      <c r="K1818" s="2">
        <v>43535.299814814818</v>
      </c>
      <c r="L1818" s="2">
        <v>43532.299814814818</v>
      </c>
      <c r="M1818" s="1">
        <f>_xlfn.DAYS(Table1[[#This Row],[actual_delivery_date]],Table1[[#This Row],[dispatch_date]])</f>
        <v>10</v>
      </c>
      <c r="N1818">
        <v>47</v>
      </c>
      <c r="O1818">
        <f>Table1[[#This Row],[transit_storage_cost]] * (1-'What -if Analysis'!$D$26)</f>
        <v>47</v>
      </c>
      <c r="P1818">
        <v>129</v>
      </c>
      <c r="Q1818">
        <v>459.7725947437583</v>
      </c>
    </row>
    <row r="1819" spans="1:17" x14ac:dyDescent="0.3">
      <c r="A1819">
        <v>559008</v>
      </c>
      <c r="B1819" s="1" t="s">
        <v>39</v>
      </c>
      <c r="C1819" s="1" t="s">
        <v>23</v>
      </c>
      <c r="D1819" s="1" t="s">
        <v>23</v>
      </c>
      <c r="E1819" s="1" t="s">
        <v>28</v>
      </c>
      <c r="F1819" s="1" t="s">
        <v>19</v>
      </c>
      <c r="G1819" s="1" t="s">
        <v>20</v>
      </c>
      <c r="H1819" t="s">
        <v>21</v>
      </c>
      <c r="I1819" s="1" t="s">
        <v>26</v>
      </c>
      <c r="J1819" s="2">
        <v>43535.300405092596</v>
      </c>
      <c r="K1819" s="2">
        <v>43535.300405092596</v>
      </c>
      <c r="L1819" s="2">
        <v>43538.300405092596</v>
      </c>
      <c r="M1819" s="1">
        <f>_xlfn.DAYS(Table1[[#This Row],[actual_delivery_date]],Table1[[#This Row],[dispatch_date]])</f>
        <v>0</v>
      </c>
      <c r="N1819">
        <v>0</v>
      </c>
      <c r="O1819">
        <f>Table1[[#This Row],[transit_storage_cost]] * (1-'What -if Analysis'!$D$26)</f>
        <v>0</v>
      </c>
      <c r="P1819">
        <v>102</v>
      </c>
      <c r="Q1819">
        <v>2467.082542278572</v>
      </c>
    </row>
    <row r="1820" spans="1:17" x14ac:dyDescent="0.3">
      <c r="A1820">
        <v>767383</v>
      </c>
      <c r="B1820" s="1" t="s">
        <v>39</v>
      </c>
      <c r="C1820" s="1" t="s">
        <v>23</v>
      </c>
      <c r="D1820" s="1" t="s">
        <v>17</v>
      </c>
      <c r="E1820" s="1" t="s">
        <v>18</v>
      </c>
      <c r="F1820" s="1" t="s">
        <v>29</v>
      </c>
      <c r="G1820" s="1" t="s">
        <v>20</v>
      </c>
      <c r="H1820" t="s">
        <v>30</v>
      </c>
      <c r="I1820" s="1" t="s">
        <v>22</v>
      </c>
      <c r="J1820" s="2">
        <v>43531.304201388892</v>
      </c>
      <c r="K1820" s="2">
        <v>43535.304201388892</v>
      </c>
      <c r="L1820" s="2">
        <v>43534.304201388892</v>
      </c>
      <c r="M1820" s="1">
        <f>_xlfn.DAYS(Table1[[#This Row],[actual_delivery_date]],Table1[[#This Row],[dispatch_date]])</f>
        <v>4</v>
      </c>
      <c r="N1820">
        <v>36</v>
      </c>
      <c r="O1820">
        <f>Table1[[#This Row],[transit_storage_cost]] * (1-'What -if Analysis'!$D$26)</f>
        <v>36</v>
      </c>
      <c r="P1820">
        <v>110</v>
      </c>
      <c r="Q1820">
        <v>3512.3023263576692</v>
      </c>
    </row>
    <row r="1821" spans="1:17" x14ac:dyDescent="0.3">
      <c r="A1821">
        <v>862649</v>
      </c>
      <c r="B1821" s="1" t="s">
        <v>38</v>
      </c>
      <c r="C1821" s="1" t="s">
        <v>16</v>
      </c>
      <c r="D1821" s="1" t="s">
        <v>17</v>
      </c>
      <c r="E1821" s="1" t="s">
        <v>18</v>
      </c>
      <c r="F1821" s="1" t="s">
        <v>19</v>
      </c>
      <c r="G1821" s="1" t="s">
        <v>20</v>
      </c>
      <c r="H1821" t="s">
        <v>30</v>
      </c>
      <c r="I1821" s="1" t="s">
        <v>22</v>
      </c>
      <c r="J1821" s="2">
        <v>43531.306944444441</v>
      </c>
      <c r="K1821" s="2">
        <v>43535.306944444441</v>
      </c>
      <c r="L1821" s="2">
        <v>43538.306944444441</v>
      </c>
      <c r="M1821" s="1">
        <f>_xlfn.DAYS(Table1[[#This Row],[actual_delivery_date]],Table1[[#This Row],[dispatch_date]])</f>
        <v>4</v>
      </c>
      <c r="N1821">
        <v>62</v>
      </c>
      <c r="O1821">
        <f>Table1[[#This Row],[transit_storage_cost]] * (1-'What -if Analysis'!$D$26)</f>
        <v>62</v>
      </c>
      <c r="P1821">
        <v>89</v>
      </c>
      <c r="Q1821">
        <v>2065.6949457201631</v>
      </c>
    </row>
    <row r="1822" spans="1:17" x14ac:dyDescent="0.3">
      <c r="A1822">
        <v>892827</v>
      </c>
      <c r="B1822" s="1" t="s">
        <v>37</v>
      </c>
      <c r="C1822" s="1" t="s">
        <v>23</v>
      </c>
      <c r="D1822" s="1" t="s">
        <v>16</v>
      </c>
      <c r="E1822" s="1" t="s">
        <v>27</v>
      </c>
      <c r="F1822" s="1" t="s">
        <v>29</v>
      </c>
      <c r="G1822" s="1" t="s">
        <v>20</v>
      </c>
      <c r="H1822" t="s">
        <v>30</v>
      </c>
      <c r="I1822" s="1" t="s">
        <v>26</v>
      </c>
      <c r="J1822" s="2">
        <v>43532.316863425927</v>
      </c>
      <c r="K1822" s="2">
        <v>43535.316863425927</v>
      </c>
      <c r="L1822" s="2">
        <v>43539.316863425927</v>
      </c>
      <c r="M1822" s="1">
        <f>_xlfn.DAYS(Table1[[#This Row],[actual_delivery_date]],Table1[[#This Row],[dispatch_date]])</f>
        <v>3</v>
      </c>
      <c r="N1822">
        <v>47</v>
      </c>
      <c r="O1822">
        <f>Table1[[#This Row],[transit_storage_cost]] * (1-'What -if Analysis'!$D$26)</f>
        <v>47</v>
      </c>
      <c r="P1822">
        <v>128</v>
      </c>
      <c r="Q1822">
        <v>2428.4721845058511</v>
      </c>
    </row>
    <row r="1823" spans="1:17" x14ac:dyDescent="0.3">
      <c r="A1823">
        <v>345956</v>
      </c>
      <c r="B1823" s="1" t="s">
        <v>38</v>
      </c>
      <c r="C1823" s="1" t="s">
        <v>23</v>
      </c>
      <c r="D1823" s="1" t="s">
        <v>17</v>
      </c>
      <c r="E1823" s="1" t="s">
        <v>18</v>
      </c>
      <c r="F1823" s="1" t="s">
        <v>19</v>
      </c>
      <c r="G1823" s="1" t="s">
        <v>20</v>
      </c>
      <c r="H1823" t="s">
        <v>21</v>
      </c>
      <c r="I1823" s="1" t="s">
        <v>22</v>
      </c>
      <c r="J1823" s="2">
        <v>43533.318888888891</v>
      </c>
      <c r="K1823" s="2">
        <v>43535.318888888891</v>
      </c>
      <c r="L1823" s="2">
        <v>43538.318888888891</v>
      </c>
      <c r="M1823" s="1">
        <f>_xlfn.DAYS(Table1[[#This Row],[actual_delivery_date]],Table1[[#This Row],[dispatch_date]])</f>
        <v>2</v>
      </c>
      <c r="N1823">
        <v>43</v>
      </c>
      <c r="O1823">
        <f>Table1[[#This Row],[transit_storage_cost]] * (1-'What -if Analysis'!$D$26)</f>
        <v>43</v>
      </c>
      <c r="P1823">
        <v>110</v>
      </c>
      <c r="Q1823">
        <v>2449.4794056101609</v>
      </c>
    </row>
    <row r="1824" spans="1:17" x14ac:dyDescent="0.3">
      <c r="A1824">
        <v>326927</v>
      </c>
      <c r="B1824" s="1" t="s">
        <v>37</v>
      </c>
      <c r="C1824" s="1" t="s">
        <v>23</v>
      </c>
      <c r="D1824" s="1" t="s">
        <v>17</v>
      </c>
      <c r="E1824" s="1" t="s">
        <v>18</v>
      </c>
      <c r="F1824" s="1" t="s">
        <v>29</v>
      </c>
      <c r="G1824" s="1" t="s">
        <v>20</v>
      </c>
      <c r="H1824" t="s">
        <v>30</v>
      </c>
      <c r="I1824" s="1" t="s">
        <v>22</v>
      </c>
      <c r="J1824" s="2">
        <v>43530.319432870368</v>
      </c>
      <c r="K1824" s="2">
        <v>43535.319432870368</v>
      </c>
      <c r="L1824" s="2">
        <v>43536.319432870368</v>
      </c>
      <c r="M1824" s="1">
        <f>_xlfn.DAYS(Table1[[#This Row],[actual_delivery_date]],Table1[[#This Row],[dispatch_date]])</f>
        <v>5</v>
      </c>
      <c r="N1824">
        <v>50</v>
      </c>
      <c r="O1824">
        <f>Table1[[#This Row],[transit_storage_cost]] * (1-'What -if Analysis'!$D$26)</f>
        <v>50</v>
      </c>
      <c r="P1824">
        <v>114</v>
      </c>
      <c r="Q1824">
        <v>1313</v>
      </c>
    </row>
    <row r="1825" spans="1:17" x14ac:dyDescent="0.3">
      <c r="A1825">
        <v>303157</v>
      </c>
      <c r="B1825" s="1" t="s">
        <v>15</v>
      </c>
      <c r="C1825" s="1" t="s">
        <v>23</v>
      </c>
      <c r="D1825" s="1" t="s">
        <v>23</v>
      </c>
      <c r="E1825" s="1" t="s">
        <v>28</v>
      </c>
      <c r="F1825" s="1" t="s">
        <v>29</v>
      </c>
      <c r="G1825" s="1" t="s">
        <v>20</v>
      </c>
      <c r="H1825" t="s">
        <v>30</v>
      </c>
      <c r="I1825" s="1" t="s">
        <v>22</v>
      </c>
      <c r="J1825" s="2">
        <v>43535.323530092595</v>
      </c>
      <c r="K1825" s="2">
        <v>43535.323530092595</v>
      </c>
      <c r="L1825" s="2">
        <v>43542.323530092595</v>
      </c>
      <c r="M1825" s="1">
        <f>_xlfn.DAYS(Table1[[#This Row],[actual_delivery_date]],Table1[[#This Row],[dispatch_date]])</f>
        <v>0</v>
      </c>
      <c r="N1825">
        <v>0</v>
      </c>
      <c r="O1825">
        <f>Table1[[#This Row],[transit_storage_cost]] * (1-'What -if Analysis'!$D$26)</f>
        <v>0</v>
      </c>
      <c r="P1825">
        <v>127</v>
      </c>
      <c r="Q1825">
        <v>1553</v>
      </c>
    </row>
    <row r="1826" spans="1:17" x14ac:dyDescent="0.3">
      <c r="A1826">
        <v>910369</v>
      </c>
      <c r="B1826" s="1" t="s">
        <v>15</v>
      </c>
      <c r="C1826" s="1" t="s">
        <v>16</v>
      </c>
      <c r="D1826" s="1" t="s">
        <v>17</v>
      </c>
      <c r="E1826" s="1" t="s">
        <v>18</v>
      </c>
      <c r="F1826" s="1" t="s">
        <v>29</v>
      </c>
      <c r="G1826" s="1" t="s">
        <v>20</v>
      </c>
      <c r="H1826" t="s">
        <v>30</v>
      </c>
      <c r="I1826" s="1" t="s">
        <v>22</v>
      </c>
      <c r="J1826" s="2">
        <v>43528.324965277781</v>
      </c>
      <c r="K1826" s="2">
        <v>43535.324965277781</v>
      </c>
      <c r="L1826" s="2">
        <v>43532.324965277781</v>
      </c>
      <c r="M1826" s="1">
        <f>_xlfn.DAYS(Table1[[#This Row],[actual_delivery_date]],Table1[[#This Row],[dispatch_date]])</f>
        <v>7</v>
      </c>
      <c r="N1826">
        <v>37</v>
      </c>
      <c r="O1826">
        <f>Table1[[#This Row],[transit_storage_cost]] * (1-'What -if Analysis'!$D$26)</f>
        <v>37</v>
      </c>
      <c r="P1826">
        <v>113</v>
      </c>
      <c r="Q1826">
        <v>1482.3191235264219</v>
      </c>
    </row>
    <row r="1827" spans="1:17" x14ac:dyDescent="0.3">
      <c r="A1827">
        <v>915480</v>
      </c>
      <c r="B1827" s="1" t="s">
        <v>41</v>
      </c>
      <c r="C1827" s="1" t="s">
        <v>23</v>
      </c>
      <c r="D1827" s="1" t="s">
        <v>16</v>
      </c>
      <c r="E1827" s="1" t="s">
        <v>27</v>
      </c>
      <c r="F1827" s="1" t="s">
        <v>19</v>
      </c>
      <c r="G1827" s="1" t="s">
        <v>20</v>
      </c>
      <c r="H1827" t="s">
        <v>21</v>
      </c>
      <c r="I1827" s="1" t="s">
        <v>26</v>
      </c>
      <c r="J1827" s="2">
        <v>43533.326481481483</v>
      </c>
      <c r="K1827" s="2">
        <v>43535.326481481483</v>
      </c>
      <c r="L1827" s="2">
        <v>43537.326481481483</v>
      </c>
      <c r="M1827" s="1">
        <f>_xlfn.DAYS(Table1[[#This Row],[actual_delivery_date]],Table1[[#This Row],[dispatch_date]])</f>
        <v>2</v>
      </c>
      <c r="N1827">
        <v>36</v>
      </c>
      <c r="O1827">
        <f>Table1[[#This Row],[transit_storage_cost]] * (1-'What -if Analysis'!$D$26)</f>
        <v>36</v>
      </c>
      <c r="P1827">
        <v>123</v>
      </c>
      <c r="Q1827">
        <v>1512.2458852638706</v>
      </c>
    </row>
    <row r="1828" spans="1:17" x14ac:dyDescent="0.3">
      <c r="A1828">
        <v>884919</v>
      </c>
      <c r="B1828" s="1" t="s">
        <v>37</v>
      </c>
      <c r="C1828" s="1" t="s">
        <v>23</v>
      </c>
      <c r="D1828" s="1" t="s">
        <v>16</v>
      </c>
      <c r="E1828" s="1" t="s">
        <v>27</v>
      </c>
      <c r="F1828" s="1" t="s">
        <v>29</v>
      </c>
      <c r="G1828" s="1" t="s">
        <v>20</v>
      </c>
      <c r="H1828" t="s">
        <v>34</v>
      </c>
      <c r="I1828" s="1" t="s">
        <v>26</v>
      </c>
      <c r="J1828" s="2">
        <v>43526.329050925924</v>
      </c>
      <c r="K1828" s="2">
        <v>43535.329050925924</v>
      </c>
      <c r="L1828" s="2">
        <v>43529.329050925924</v>
      </c>
      <c r="M1828" s="1">
        <f>_xlfn.DAYS(Table1[[#This Row],[actual_delivery_date]],Table1[[#This Row],[dispatch_date]])</f>
        <v>9</v>
      </c>
      <c r="N1828">
        <v>33</v>
      </c>
      <c r="O1828">
        <f>Table1[[#This Row],[transit_storage_cost]] * (1-'What -if Analysis'!$D$26)</f>
        <v>33</v>
      </c>
      <c r="P1828">
        <v>129</v>
      </c>
      <c r="Q1828">
        <v>1454.97</v>
      </c>
    </row>
    <row r="1829" spans="1:17" x14ac:dyDescent="0.3">
      <c r="A1829">
        <v>678370</v>
      </c>
      <c r="B1829" s="1" t="s">
        <v>39</v>
      </c>
      <c r="C1829" s="1" t="s">
        <v>16</v>
      </c>
      <c r="D1829" s="1" t="s">
        <v>17</v>
      </c>
      <c r="E1829" s="1" t="s">
        <v>18</v>
      </c>
      <c r="F1829" s="1" t="s">
        <v>31</v>
      </c>
      <c r="G1829" s="1" t="s">
        <v>20</v>
      </c>
      <c r="H1829" t="s">
        <v>21</v>
      </c>
      <c r="I1829" s="1" t="s">
        <v>22</v>
      </c>
      <c r="J1829" s="2">
        <v>43530.330694444441</v>
      </c>
      <c r="K1829" s="2">
        <v>43535.330694444441</v>
      </c>
      <c r="L1829" s="2">
        <v>43533.330694444441</v>
      </c>
      <c r="M1829" s="1">
        <f>_xlfn.DAYS(Table1[[#This Row],[actual_delivery_date]],Table1[[#This Row],[dispatch_date]])</f>
        <v>5</v>
      </c>
      <c r="N1829">
        <v>37</v>
      </c>
      <c r="O1829">
        <f>Table1[[#This Row],[transit_storage_cost]] * (1-'What -if Analysis'!$D$26)</f>
        <v>37</v>
      </c>
      <c r="P1829">
        <v>109</v>
      </c>
      <c r="Q1829">
        <v>3732.6775247228807</v>
      </c>
    </row>
    <row r="1830" spans="1:17" x14ac:dyDescent="0.3">
      <c r="A1830">
        <v>303852</v>
      </c>
      <c r="B1830" s="1" t="s">
        <v>37</v>
      </c>
      <c r="C1830" s="1" t="s">
        <v>23</v>
      </c>
      <c r="D1830" s="1" t="s">
        <v>17</v>
      </c>
      <c r="E1830" s="1" t="s">
        <v>18</v>
      </c>
      <c r="F1830" s="1" t="s">
        <v>19</v>
      </c>
      <c r="G1830" s="1" t="s">
        <v>20</v>
      </c>
      <c r="H1830" t="s">
        <v>21</v>
      </c>
      <c r="I1830" s="1" t="s">
        <v>26</v>
      </c>
      <c r="J1830" s="2">
        <v>43533.332071759258</v>
      </c>
      <c r="K1830" s="2">
        <v>43535.332071759258</v>
      </c>
      <c r="L1830" s="2">
        <v>43536.332071759258</v>
      </c>
      <c r="M1830" s="1">
        <f>_xlfn.DAYS(Table1[[#This Row],[actual_delivery_date]],Table1[[#This Row],[dispatch_date]])</f>
        <v>2</v>
      </c>
      <c r="N1830">
        <v>61</v>
      </c>
      <c r="O1830">
        <f>Table1[[#This Row],[transit_storage_cost]] * (1-'What -if Analysis'!$D$26)</f>
        <v>61</v>
      </c>
      <c r="P1830">
        <v>95</v>
      </c>
      <c r="Q1830">
        <v>2223.6346179815682</v>
      </c>
    </row>
    <row r="1831" spans="1:17" x14ac:dyDescent="0.3">
      <c r="A1831">
        <v>500451</v>
      </c>
      <c r="B1831" s="1" t="s">
        <v>41</v>
      </c>
      <c r="C1831" s="1" t="s">
        <v>23</v>
      </c>
      <c r="D1831" s="1" t="s">
        <v>16</v>
      </c>
      <c r="E1831" s="1" t="s">
        <v>27</v>
      </c>
      <c r="F1831" s="1" t="s">
        <v>19</v>
      </c>
      <c r="G1831" s="1" t="s">
        <v>20</v>
      </c>
      <c r="H1831" t="s">
        <v>34</v>
      </c>
      <c r="I1831" s="1" t="s">
        <v>26</v>
      </c>
      <c r="J1831" s="2">
        <v>43530.336331018516</v>
      </c>
      <c r="K1831" s="2">
        <v>43535.336331018516</v>
      </c>
      <c r="L1831" s="2">
        <v>43534.336331018516</v>
      </c>
      <c r="M1831" s="1">
        <f>_xlfn.DAYS(Table1[[#This Row],[actual_delivery_date]],Table1[[#This Row],[dispatch_date]])</f>
        <v>5</v>
      </c>
      <c r="N1831">
        <v>62</v>
      </c>
      <c r="O1831">
        <f>Table1[[#This Row],[transit_storage_cost]] * (1-'What -if Analysis'!$D$26)</f>
        <v>62</v>
      </c>
      <c r="P1831">
        <v>102</v>
      </c>
      <c r="Q1831">
        <v>1215.3625990710625</v>
      </c>
    </row>
    <row r="1832" spans="1:17" x14ac:dyDescent="0.3">
      <c r="A1832">
        <v>896414</v>
      </c>
      <c r="B1832" s="1" t="s">
        <v>39</v>
      </c>
      <c r="C1832" s="1" t="s">
        <v>23</v>
      </c>
      <c r="D1832" s="1" t="s">
        <v>16</v>
      </c>
      <c r="E1832" s="1" t="s">
        <v>27</v>
      </c>
      <c r="F1832" s="1" t="s">
        <v>31</v>
      </c>
      <c r="G1832" s="1" t="s">
        <v>20</v>
      </c>
      <c r="H1832" t="s">
        <v>21</v>
      </c>
      <c r="I1832" s="1" t="s">
        <v>22</v>
      </c>
      <c r="J1832" s="2">
        <v>43532.337789351855</v>
      </c>
      <c r="K1832" s="2">
        <v>43535.337789351855</v>
      </c>
      <c r="L1832" s="2">
        <v>43539.337789351855</v>
      </c>
      <c r="M1832" s="1">
        <f>_xlfn.DAYS(Table1[[#This Row],[actual_delivery_date]],Table1[[#This Row],[dispatch_date]])</f>
        <v>3</v>
      </c>
      <c r="N1832">
        <v>35</v>
      </c>
      <c r="O1832">
        <f>Table1[[#This Row],[transit_storage_cost]] * (1-'What -if Analysis'!$D$26)</f>
        <v>35</v>
      </c>
      <c r="P1832">
        <v>124</v>
      </c>
      <c r="Q1832">
        <v>2443.8513089319526</v>
      </c>
    </row>
    <row r="1833" spans="1:17" x14ac:dyDescent="0.3">
      <c r="A1833">
        <v>240379</v>
      </c>
      <c r="B1833" s="1" t="s">
        <v>40</v>
      </c>
      <c r="C1833" s="1" t="s">
        <v>16</v>
      </c>
      <c r="D1833" s="1" t="s">
        <v>16</v>
      </c>
      <c r="E1833" s="1" t="s">
        <v>27</v>
      </c>
      <c r="F1833" s="1" t="s">
        <v>29</v>
      </c>
      <c r="G1833" s="1" t="s">
        <v>20</v>
      </c>
      <c r="H1833" t="s">
        <v>30</v>
      </c>
      <c r="I1833" s="1" t="s">
        <v>22</v>
      </c>
      <c r="J1833" s="2">
        <v>43534.337800925925</v>
      </c>
      <c r="K1833" s="2">
        <v>43535.337800925925</v>
      </c>
      <c r="L1833" s="2">
        <v>43537.337800925925</v>
      </c>
      <c r="M1833" s="1">
        <f>_xlfn.DAYS(Table1[[#This Row],[actual_delivery_date]],Table1[[#This Row],[dispatch_date]])</f>
        <v>1</v>
      </c>
      <c r="N1833">
        <v>0</v>
      </c>
      <c r="O1833">
        <f>Table1[[#This Row],[transit_storage_cost]] * (1-'What -if Analysis'!$D$26)</f>
        <v>0</v>
      </c>
      <c r="P1833">
        <v>126</v>
      </c>
      <c r="Q1833">
        <v>2337.6829029715373</v>
      </c>
    </row>
    <row r="1834" spans="1:17" x14ac:dyDescent="0.3">
      <c r="A1834">
        <v>474005</v>
      </c>
      <c r="B1834" s="1" t="s">
        <v>41</v>
      </c>
      <c r="C1834" s="1" t="s">
        <v>16</v>
      </c>
      <c r="D1834" s="1" t="s">
        <v>32</v>
      </c>
      <c r="E1834" s="1" t="s">
        <v>33</v>
      </c>
      <c r="F1834" s="1" t="s">
        <v>29</v>
      </c>
      <c r="G1834" s="1" t="s">
        <v>20</v>
      </c>
      <c r="H1834" t="s">
        <v>34</v>
      </c>
      <c r="I1834" s="1" t="s">
        <v>22</v>
      </c>
      <c r="J1834" s="2">
        <v>43531.338333333333</v>
      </c>
      <c r="K1834" s="2">
        <v>43535.338333333333</v>
      </c>
      <c r="L1834" s="2">
        <v>43535.338333333333</v>
      </c>
      <c r="M1834" s="1">
        <f>_xlfn.DAYS(Table1[[#This Row],[actual_delivery_date]],Table1[[#This Row],[dispatch_date]])</f>
        <v>4</v>
      </c>
      <c r="N1834">
        <v>46</v>
      </c>
      <c r="O1834">
        <f>Table1[[#This Row],[transit_storage_cost]] * (1-'What -if Analysis'!$D$26)</f>
        <v>46</v>
      </c>
      <c r="P1834">
        <v>107</v>
      </c>
      <c r="Q1834">
        <v>1446.0606943092137</v>
      </c>
    </row>
    <row r="1835" spans="1:17" x14ac:dyDescent="0.3">
      <c r="A1835">
        <v>220772</v>
      </c>
      <c r="B1835" s="1" t="s">
        <v>37</v>
      </c>
      <c r="C1835" s="1" t="s">
        <v>23</v>
      </c>
      <c r="D1835" s="1" t="s">
        <v>23</v>
      </c>
      <c r="E1835" s="1" t="s">
        <v>28</v>
      </c>
      <c r="F1835" s="1" t="s">
        <v>19</v>
      </c>
      <c r="G1835" s="1" t="s">
        <v>20</v>
      </c>
      <c r="H1835" t="s">
        <v>21</v>
      </c>
      <c r="I1835" s="1" t="s">
        <v>22</v>
      </c>
      <c r="J1835" s="2">
        <v>43530.338750000003</v>
      </c>
      <c r="K1835" s="2">
        <v>43535.338750000003</v>
      </c>
      <c r="L1835" s="2">
        <v>43535.338750000003</v>
      </c>
      <c r="M1835" s="1">
        <f>_xlfn.DAYS(Table1[[#This Row],[actual_delivery_date]],Table1[[#This Row],[dispatch_date]])</f>
        <v>5</v>
      </c>
      <c r="N1835">
        <v>0</v>
      </c>
      <c r="O1835">
        <f>Table1[[#This Row],[transit_storage_cost]] * (1-'What -if Analysis'!$D$26)</f>
        <v>0</v>
      </c>
      <c r="P1835">
        <v>127</v>
      </c>
      <c r="Q1835">
        <v>821.03555371479194</v>
      </c>
    </row>
    <row r="1836" spans="1:17" x14ac:dyDescent="0.3">
      <c r="A1836">
        <v>358993</v>
      </c>
      <c r="B1836" s="1" t="s">
        <v>41</v>
      </c>
      <c r="C1836" s="1" t="s">
        <v>23</v>
      </c>
      <c r="D1836" s="1" t="s">
        <v>23</v>
      </c>
      <c r="E1836" s="1" t="s">
        <v>28</v>
      </c>
      <c r="F1836" s="1" t="s">
        <v>29</v>
      </c>
      <c r="G1836" s="1" t="s">
        <v>20</v>
      </c>
      <c r="H1836" t="s">
        <v>30</v>
      </c>
      <c r="I1836" s="1" t="s">
        <v>22</v>
      </c>
      <c r="J1836" s="2">
        <v>43530.343194444446</v>
      </c>
      <c r="K1836" s="2">
        <v>43535.343194444446</v>
      </c>
      <c r="L1836" s="2">
        <v>43533.343194444446</v>
      </c>
      <c r="M1836" s="1">
        <f>_xlfn.DAYS(Table1[[#This Row],[actual_delivery_date]],Table1[[#This Row],[dispatch_date]])</f>
        <v>5</v>
      </c>
      <c r="N1836">
        <v>0</v>
      </c>
      <c r="O1836">
        <f>Table1[[#This Row],[transit_storage_cost]] * (1-'What -if Analysis'!$D$26)</f>
        <v>0</v>
      </c>
      <c r="P1836">
        <v>125</v>
      </c>
      <c r="Q1836">
        <v>1780</v>
      </c>
    </row>
    <row r="1837" spans="1:17" x14ac:dyDescent="0.3">
      <c r="A1837">
        <v>414295</v>
      </c>
      <c r="B1837" s="1" t="s">
        <v>38</v>
      </c>
      <c r="C1837" s="1" t="s">
        <v>16</v>
      </c>
      <c r="D1837" s="1" t="s">
        <v>17</v>
      </c>
      <c r="E1837" s="1" t="s">
        <v>18</v>
      </c>
      <c r="F1837" s="1" t="s">
        <v>29</v>
      </c>
      <c r="G1837" s="1" t="s">
        <v>36</v>
      </c>
      <c r="H1837" t="s">
        <v>34</v>
      </c>
      <c r="I1837" s="1" t="s">
        <v>22</v>
      </c>
      <c r="J1837" s="2">
        <v>43528.346180555556</v>
      </c>
      <c r="K1837" s="2">
        <v>43535.346180555556</v>
      </c>
      <c r="L1837" s="2">
        <v>43535.346180555556</v>
      </c>
      <c r="M1837" s="1">
        <f>_xlfn.DAYS(Table1[[#This Row],[actual_delivery_date]],Table1[[#This Row],[dispatch_date]])</f>
        <v>7</v>
      </c>
      <c r="N1837">
        <v>32</v>
      </c>
      <c r="O1837">
        <f>Table1[[#This Row],[transit_storage_cost]] * (1-'What -if Analysis'!$D$26)</f>
        <v>32</v>
      </c>
      <c r="P1837">
        <v>107</v>
      </c>
      <c r="Q1837">
        <v>2846.8048943893787</v>
      </c>
    </row>
    <row r="1838" spans="1:17" x14ac:dyDescent="0.3">
      <c r="A1838">
        <v>236384</v>
      </c>
      <c r="B1838" s="1" t="s">
        <v>39</v>
      </c>
      <c r="C1838" s="1" t="s">
        <v>16</v>
      </c>
      <c r="D1838" s="1" t="s">
        <v>17</v>
      </c>
      <c r="E1838" s="1" t="s">
        <v>18</v>
      </c>
      <c r="F1838" s="1" t="s">
        <v>19</v>
      </c>
      <c r="G1838" s="1" t="s">
        <v>20</v>
      </c>
      <c r="H1838" t="s">
        <v>21</v>
      </c>
      <c r="I1838" s="1" t="s">
        <v>22</v>
      </c>
      <c r="J1838" s="2">
        <v>43531.346562500003</v>
      </c>
      <c r="K1838" s="2">
        <v>43535.346562500003</v>
      </c>
      <c r="L1838" s="2">
        <v>43535.346562500003</v>
      </c>
      <c r="M1838" s="1">
        <f>_xlfn.DAYS(Table1[[#This Row],[actual_delivery_date]],Table1[[#This Row],[dispatch_date]])</f>
        <v>4</v>
      </c>
      <c r="N1838">
        <v>40</v>
      </c>
      <c r="O1838">
        <f>Table1[[#This Row],[transit_storage_cost]] * (1-'What -if Analysis'!$D$26)</f>
        <v>40</v>
      </c>
      <c r="P1838">
        <v>113</v>
      </c>
      <c r="Q1838">
        <v>1356.1112401582648</v>
      </c>
    </row>
    <row r="1839" spans="1:17" x14ac:dyDescent="0.3">
      <c r="A1839">
        <v>509596</v>
      </c>
      <c r="B1839" s="1" t="s">
        <v>37</v>
      </c>
      <c r="C1839" s="1" t="s">
        <v>23</v>
      </c>
      <c r="D1839" s="1" t="s">
        <v>23</v>
      </c>
      <c r="E1839" s="1" t="s">
        <v>28</v>
      </c>
      <c r="F1839" s="1" t="s">
        <v>19</v>
      </c>
      <c r="G1839" s="1" t="s">
        <v>20</v>
      </c>
      <c r="H1839" t="s">
        <v>21</v>
      </c>
      <c r="I1839" s="1" t="s">
        <v>22</v>
      </c>
      <c r="J1839" s="2">
        <v>43535.348865740743</v>
      </c>
      <c r="K1839" s="2">
        <v>43535.348865740743</v>
      </c>
      <c r="L1839" s="2">
        <v>43539.348865740743</v>
      </c>
      <c r="M1839" s="1">
        <f>_xlfn.DAYS(Table1[[#This Row],[actual_delivery_date]],Table1[[#This Row],[dispatch_date]])</f>
        <v>0</v>
      </c>
      <c r="N1839">
        <v>0</v>
      </c>
      <c r="O1839">
        <f>Table1[[#This Row],[transit_storage_cost]] * (1-'What -if Analysis'!$D$26)</f>
        <v>0</v>
      </c>
      <c r="P1839">
        <v>107</v>
      </c>
      <c r="Q1839">
        <v>3374.3493822879905</v>
      </c>
    </row>
    <row r="1840" spans="1:17" x14ac:dyDescent="0.3">
      <c r="A1840">
        <v>160163</v>
      </c>
      <c r="B1840" s="1" t="s">
        <v>39</v>
      </c>
      <c r="C1840" s="1" t="s">
        <v>16</v>
      </c>
      <c r="D1840" s="1" t="s">
        <v>16</v>
      </c>
      <c r="E1840" s="1" t="s">
        <v>27</v>
      </c>
      <c r="F1840" s="1" t="s">
        <v>29</v>
      </c>
      <c r="G1840" s="1" t="s">
        <v>20</v>
      </c>
      <c r="H1840" t="s">
        <v>30</v>
      </c>
      <c r="I1840" s="1" t="s">
        <v>22</v>
      </c>
      <c r="J1840" s="2">
        <v>43528.349791666667</v>
      </c>
      <c r="K1840" s="2">
        <v>43535.349791666667</v>
      </c>
      <c r="L1840" s="2">
        <v>43532.349791666667</v>
      </c>
      <c r="M1840" s="1">
        <f>_xlfn.DAYS(Table1[[#This Row],[actual_delivery_date]],Table1[[#This Row],[dispatch_date]])</f>
        <v>7</v>
      </c>
      <c r="N1840">
        <v>0</v>
      </c>
      <c r="O1840">
        <f>Table1[[#This Row],[transit_storage_cost]] * (1-'What -if Analysis'!$D$26)</f>
        <v>0</v>
      </c>
      <c r="P1840">
        <v>127</v>
      </c>
      <c r="Q1840">
        <v>2452.4813506095693</v>
      </c>
    </row>
    <row r="1841" spans="1:17" x14ac:dyDescent="0.3">
      <c r="A1841">
        <v>109796</v>
      </c>
      <c r="B1841" s="1" t="s">
        <v>37</v>
      </c>
      <c r="C1841" s="1" t="s">
        <v>16</v>
      </c>
      <c r="D1841" s="1" t="s">
        <v>17</v>
      </c>
      <c r="E1841" s="1" t="s">
        <v>18</v>
      </c>
      <c r="F1841" s="1" t="s">
        <v>19</v>
      </c>
      <c r="G1841" s="1" t="s">
        <v>20</v>
      </c>
      <c r="H1841" t="s">
        <v>21</v>
      </c>
      <c r="I1841" s="1" t="s">
        <v>22</v>
      </c>
      <c r="J1841" s="2">
        <v>43529.357916666668</v>
      </c>
      <c r="K1841" s="2">
        <v>43535.357916666668</v>
      </c>
      <c r="L1841" s="2">
        <v>43536.357916666668</v>
      </c>
      <c r="M1841" s="1">
        <f>_xlfn.DAYS(Table1[[#This Row],[actual_delivery_date]],Table1[[#This Row],[dispatch_date]])</f>
        <v>6</v>
      </c>
      <c r="N1841">
        <v>34</v>
      </c>
      <c r="O1841">
        <f>Table1[[#This Row],[transit_storage_cost]] * (1-'What -if Analysis'!$D$26)</f>
        <v>34</v>
      </c>
      <c r="P1841">
        <v>109</v>
      </c>
      <c r="Q1841">
        <v>1129.6672790386499</v>
      </c>
    </row>
    <row r="1842" spans="1:17" x14ac:dyDescent="0.3">
      <c r="A1842">
        <v>384460</v>
      </c>
      <c r="B1842" s="1" t="s">
        <v>38</v>
      </c>
      <c r="C1842" s="1" t="s">
        <v>23</v>
      </c>
      <c r="D1842" s="1" t="s">
        <v>16</v>
      </c>
      <c r="E1842" s="1" t="s">
        <v>27</v>
      </c>
      <c r="F1842" s="1" t="s">
        <v>19</v>
      </c>
      <c r="G1842" s="1" t="s">
        <v>36</v>
      </c>
      <c r="H1842" t="s">
        <v>21</v>
      </c>
      <c r="I1842" s="1" t="s">
        <v>22</v>
      </c>
      <c r="J1842" s="2">
        <v>43529.361643518518</v>
      </c>
      <c r="K1842" s="2">
        <v>43535.361643518518</v>
      </c>
      <c r="L1842" s="2">
        <v>43535.361643518518</v>
      </c>
      <c r="M1842" s="1">
        <f>_xlfn.DAYS(Table1[[#This Row],[actual_delivery_date]],Table1[[#This Row],[dispatch_date]])</f>
        <v>6</v>
      </c>
      <c r="N1842">
        <v>26</v>
      </c>
      <c r="O1842">
        <f>Table1[[#This Row],[transit_storage_cost]] * (1-'What -if Analysis'!$D$26)</f>
        <v>26</v>
      </c>
      <c r="P1842">
        <v>129</v>
      </c>
      <c r="Q1842">
        <v>3599</v>
      </c>
    </row>
    <row r="1843" spans="1:17" x14ac:dyDescent="0.3">
      <c r="A1843">
        <v>364312</v>
      </c>
      <c r="B1843" s="1" t="s">
        <v>38</v>
      </c>
      <c r="C1843" s="1" t="s">
        <v>23</v>
      </c>
      <c r="D1843" s="1" t="s">
        <v>17</v>
      </c>
      <c r="E1843" s="1" t="s">
        <v>18</v>
      </c>
      <c r="F1843" s="1" t="s">
        <v>19</v>
      </c>
      <c r="G1843" s="1" t="s">
        <v>20</v>
      </c>
      <c r="H1843" t="s">
        <v>21</v>
      </c>
      <c r="I1843" s="1" t="s">
        <v>22</v>
      </c>
      <c r="J1843" s="2">
        <v>43530.361747685187</v>
      </c>
      <c r="K1843" s="2">
        <v>43535.361747685187</v>
      </c>
      <c r="L1843" s="2">
        <v>43536.361747685187</v>
      </c>
      <c r="M1843" s="1">
        <f>_xlfn.DAYS(Table1[[#This Row],[actual_delivery_date]],Table1[[#This Row],[dispatch_date]])</f>
        <v>5</v>
      </c>
      <c r="N1843">
        <v>70</v>
      </c>
      <c r="O1843">
        <f>Table1[[#This Row],[transit_storage_cost]] * (1-'What -if Analysis'!$D$26)</f>
        <v>70</v>
      </c>
      <c r="P1843">
        <v>87</v>
      </c>
      <c r="Q1843">
        <v>2116.4600888744271</v>
      </c>
    </row>
    <row r="1844" spans="1:17" x14ac:dyDescent="0.3">
      <c r="A1844">
        <v>918485</v>
      </c>
      <c r="B1844" s="1" t="s">
        <v>37</v>
      </c>
      <c r="C1844" s="1" t="s">
        <v>23</v>
      </c>
      <c r="D1844" s="1" t="s">
        <v>17</v>
      </c>
      <c r="E1844" s="1" t="s">
        <v>18</v>
      </c>
      <c r="F1844" s="1" t="s">
        <v>19</v>
      </c>
      <c r="G1844" s="1" t="s">
        <v>20</v>
      </c>
      <c r="H1844" t="s">
        <v>30</v>
      </c>
      <c r="I1844" s="1" t="s">
        <v>22</v>
      </c>
      <c r="J1844" s="2">
        <v>43533.366296296299</v>
      </c>
      <c r="K1844" s="2">
        <v>43535.366296296299</v>
      </c>
      <c r="L1844" s="2">
        <v>43538.366296296299</v>
      </c>
      <c r="M1844" s="1">
        <f>_xlfn.DAYS(Table1[[#This Row],[actual_delivery_date]],Table1[[#This Row],[dispatch_date]])</f>
        <v>2</v>
      </c>
      <c r="N1844">
        <v>76</v>
      </c>
      <c r="O1844">
        <f>Table1[[#This Row],[transit_storage_cost]] * (1-'What -if Analysis'!$D$26)</f>
        <v>76</v>
      </c>
      <c r="P1844">
        <v>95</v>
      </c>
      <c r="Q1844">
        <v>3064</v>
      </c>
    </row>
    <row r="1845" spans="1:17" x14ac:dyDescent="0.3">
      <c r="A1845">
        <v>964927</v>
      </c>
      <c r="B1845" s="1" t="s">
        <v>40</v>
      </c>
      <c r="C1845" s="1" t="s">
        <v>23</v>
      </c>
      <c r="D1845" s="1" t="s">
        <v>23</v>
      </c>
      <c r="E1845" s="1" t="s">
        <v>28</v>
      </c>
      <c r="F1845" s="1" t="s">
        <v>19</v>
      </c>
      <c r="G1845" s="1" t="s">
        <v>20</v>
      </c>
      <c r="H1845" t="s">
        <v>30</v>
      </c>
      <c r="I1845" s="1" t="s">
        <v>22</v>
      </c>
      <c r="J1845" s="2">
        <v>43535.369930555556</v>
      </c>
      <c r="K1845" s="2">
        <v>43535.369930555556</v>
      </c>
      <c r="L1845" s="2">
        <v>43541.369930555556</v>
      </c>
      <c r="M1845" s="1">
        <f>_xlfn.DAYS(Table1[[#This Row],[actual_delivery_date]],Table1[[#This Row],[dispatch_date]])</f>
        <v>0</v>
      </c>
      <c r="N1845">
        <v>0</v>
      </c>
      <c r="O1845">
        <f>Table1[[#This Row],[transit_storage_cost]] * (1-'What -if Analysis'!$D$26)</f>
        <v>0</v>
      </c>
      <c r="P1845">
        <v>106</v>
      </c>
      <c r="Q1845">
        <v>1119</v>
      </c>
    </row>
    <row r="1846" spans="1:17" x14ac:dyDescent="0.3">
      <c r="A1846">
        <v>807576</v>
      </c>
      <c r="B1846" s="1" t="s">
        <v>41</v>
      </c>
      <c r="C1846" s="1" t="s">
        <v>16</v>
      </c>
      <c r="D1846" s="1" t="s">
        <v>17</v>
      </c>
      <c r="E1846" s="1" t="s">
        <v>18</v>
      </c>
      <c r="F1846" s="1" t="s">
        <v>19</v>
      </c>
      <c r="G1846" s="1" t="s">
        <v>20</v>
      </c>
      <c r="H1846" t="s">
        <v>21</v>
      </c>
      <c r="I1846" s="1" t="s">
        <v>26</v>
      </c>
      <c r="J1846" s="2">
        <v>43530.371840277781</v>
      </c>
      <c r="K1846" s="2">
        <v>43535.371840277781</v>
      </c>
      <c r="L1846" s="2">
        <v>43533.371840277781</v>
      </c>
      <c r="M1846" s="1">
        <f>_xlfn.DAYS(Table1[[#This Row],[actual_delivery_date]],Table1[[#This Row],[dispatch_date]])</f>
        <v>5</v>
      </c>
      <c r="N1846">
        <v>43</v>
      </c>
      <c r="O1846">
        <f>Table1[[#This Row],[transit_storage_cost]] * (1-'What -if Analysis'!$D$26)</f>
        <v>43</v>
      </c>
      <c r="P1846">
        <v>111</v>
      </c>
      <c r="Q1846">
        <v>3070</v>
      </c>
    </row>
    <row r="1847" spans="1:17" x14ac:dyDescent="0.3">
      <c r="A1847">
        <v>924171</v>
      </c>
      <c r="B1847" s="1" t="s">
        <v>37</v>
      </c>
      <c r="C1847" s="1" t="s">
        <v>23</v>
      </c>
      <c r="D1847" s="1" t="s">
        <v>23</v>
      </c>
      <c r="E1847" s="1" t="s">
        <v>28</v>
      </c>
      <c r="F1847" s="1" t="s">
        <v>19</v>
      </c>
      <c r="G1847" s="1" t="s">
        <v>20</v>
      </c>
      <c r="H1847" t="s">
        <v>30</v>
      </c>
      <c r="I1847" s="1" t="s">
        <v>26</v>
      </c>
      <c r="J1847" s="2">
        <v>43530.373032407406</v>
      </c>
      <c r="K1847" s="2">
        <v>43535.373032407406</v>
      </c>
      <c r="L1847" s="2">
        <v>43533.373032407406</v>
      </c>
      <c r="M1847" s="1">
        <f>_xlfn.DAYS(Table1[[#This Row],[actual_delivery_date]],Table1[[#This Row],[dispatch_date]])</f>
        <v>5</v>
      </c>
      <c r="N1847">
        <v>0</v>
      </c>
      <c r="O1847">
        <f>Table1[[#This Row],[transit_storage_cost]] * (1-'What -if Analysis'!$D$26)</f>
        <v>0</v>
      </c>
      <c r="P1847">
        <v>102</v>
      </c>
      <c r="Q1847">
        <v>2461</v>
      </c>
    </row>
    <row r="1848" spans="1:17" x14ac:dyDescent="0.3">
      <c r="A1848">
        <v>884109</v>
      </c>
      <c r="B1848" s="1" t="s">
        <v>38</v>
      </c>
      <c r="C1848" s="1" t="s">
        <v>16</v>
      </c>
      <c r="D1848" s="1" t="s">
        <v>23</v>
      </c>
      <c r="E1848" s="1" t="s">
        <v>28</v>
      </c>
      <c r="F1848" s="1" t="s">
        <v>19</v>
      </c>
      <c r="G1848" s="1" t="s">
        <v>20</v>
      </c>
      <c r="H1848" t="s">
        <v>30</v>
      </c>
      <c r="I1848" s="1" t="s">
        <v>26</v>
      </c>
      <c r="J1848" s="2">
        <v>43533.3747337963</v>
      </c>
      <c r="K1848" s="2">
        <v>43535.3747337963</v>
      </c>
      <c r="L1848" s="2">
        <v>43537.3747337963</v>
      </c>
      <c r="M1848" s="1">
        <f>_xlfn.DAYS(Table1[[#This Row],[actual_delivery_date]],Table1[[#This Row],[dispatch_date]])</f>
        <v>2</v>
      </c>
      <c r="N1848">
        <v>77</v>
      </c>
      <c r="O1848">
        <f>Table1[[#This Row],[transit_storage_cost]] * (1-'What -if Analysis'!$D$26)</f>
        <v>77</v>
      </c>
      <c r="P1848">
        <v>108</v>
      </c>
      <c r="Q1848">
        <v>2502.5813829986473</v>
      </c>
    </row>
    <row r="1849" spans="1:17" x14ac:dyDescent="0.3">
      <c r="A1849">
        <v>249841</v>
      </c>
      <c r="B1849" s="1" t="s">
        <v>38</v>
      </c>
      <c r="C1849" s="1" t="s">
        <v>16</v>
      </c>
      <c r="D1849" s="1" t="s">
        <v>23</v>
      </c>
      <c r="E1849" s="1" t="s">
        <v>28</v>
      </c>
      <c r="F1849" s="1" t="s">
        <v>19</v>
      </c>
      <c r="G1849" s="1" t="s">
        <v>20</v>
      </c>
      <c r="H1849" t="s">
        <v>30</v>
      </c>
      <c r="I1849" s="1" t="s">
        <v>22</v>
      </c>
      <c r="J1849" s="2">
        <v>43533.376493055555</v>
      </c>
      <c r="K1849" s="2">
        <v>43535.376493055555</v>
      </c>
      <c r="L1849" s="2">
        <v>43539.376493055555</v>
      </c>
      <c r="M1849" s="1">
        <f>_xlfn.DAYS(Table1[[#This Row],[actual_delivery_date]],Table1[[#This Row],[dispatch_date]])</f>
        <v>2</v>
      </c>
      <c r="N1849">
        <v>78</v>
      </c>
      <c r="O1849">
        <f>Table1[[#This Row],[transit_storage_cost]] * (1-'What -if Analysis'!$D$26)</f>
        <v>78</v>
      </c>
      <c r="P1849">
        <v>104</v>
      </c>
      <c r="Q1849">
        <v>1133.8664511605075</v>
      </c>
    </row>
    <row r="1850" spans="1:17" x14ac:dyDescent="0.3">
      <c r="A1850">
        <v>999146</v>
      </c>
      <c r="B1850" s="1" t="s">
        <v>38</v>
      </c>
      <c r="C1850" s="1" t="s">
        <v>23</v>
      </c>
      <c r="D1850" s="1" t="s">
        <v>17</v>
      </c>
      <c r="E1850" s="1" t="s">
        <v>18</v>
      </c>
      <c r="F1850" s="1" t="s">
        <v>31</v>
      </c>
      <c r="G1850" s="1" t="s">
        <v>20</v>
      </c>
      <c r="H1850" t="s">
        <v>21</v>
      </c>
      <c r="I1850" s="1" t="s">
        <v>22</v>
      </c>
      <c r="J1850" s="2">
        <v>43527.376655092594</v>
      </c>
      <c r="K1850" s="2">
        <v>43535.376655092594</v>
      </c>
      <c r="L1850" s="2">
        <v>43531.376655092594</v>
      </c>
      <c r="M1850" s="1">
        <f>_xlfn.DAYS(Table1[[#This Row],[actual_delivery_date]],Table1[[#This Row],[dispatch_date]])</f>
        <v>8</v>
      </c>
      <c r="N1850">
        <v>49</v>
      </c>
      <c r="O1850">
        <f>Table1[[#This Row],[transit_storage_cost]] * (1-'What -if Analysis'!$D$26)</f>
        <v>49</v>
      </c>
      <c r="P1850">
        <v>112</v>
      </c>
      <c r="Q1850">
        <v>3629.7734287493759</v>
      </c>
    </row>
    <row r="1851" spans="1:17" x14ac:dyDescent="0.3">
      <c r="A1851">
        <v>978469</v>
      </c>
      <c r="B1851" s="1" t="s">
        <v>38</v>
      </c>
      <c r="C1851" s="1" t="s">
        <v>16</v>
      </c>
      <c r="D1851" s="1" t="s">
        <v>23</v>
      </c>
      <c r="E1851" s="1" t="s">
        <v>28</v>
      </c>
      <c r="F1851" s="1" t="s">
        <v>29</v>
      </c>
      <c r="G1851" s="1" t="s">
        <v>20</v>
      </c>
      <c r="H1851" t="s">
        <v>30</v>
      </c>
      <c r="I1851" s="1" t="s">
        <v>22</v>
      </c>
      <c r="J1851" s="2">
        <v>43531.378229166665</v>
      </c>
      <c r="K1851" s="2">
        <v>43535.378229166665</v>
      </c>
      <c r="L1851" s="2">
        <v>43538.378229166665</v>
      </c>
      <c r="M1851" s="1">
        <f>_xlfn.DAYS(Table1[[#This Row],[actual_delivery_date]],Table1[[#This Row],[dispatch_date]])</f>
        <v>4</v>
      </c>
      <c r="N1851">
        <v>39</v>
      </c>
      <c r="O1851">
        <f>Table1[[#This Row],[transit_storage_cost]] * (1-'What -if Analysis'!$D$26)</f>
        <v>39</v>
      </c>
      <c r="P1851">
        <v>124</v>
      </c>
      <c r="Q1851">
        <v>1622</v>
      </c>
    </row>
    <row r="1852" spans="1:17" x14ac:dyDescent="0.3">
      <c r="A1852">
        <v>349239</v>
      </c>
      <c r="B1852" s="1" t="s">
        <v>37</v>
      </c>
      <c r="C1852" s="1" t="s">
        <v>16</v>
      </c>
      <c r="D1852" s="1" t="s">
        <v>23</v>
      </c>
      <c r="E1852" s="1" t="s">
        <v>28</v>
      </c>
      <c r="F1852" s="1" t="s">
        <v>19</v>
      </c>
      <c r="G1852" s="1" t="s">
        <v>20</v>
      </c>
      <c r="H1852" t="s">
        <v>30</v>
      </c>
      <c r="I1852" s="1" t="s">
        <v>26</v>
      </c>
      <c r="J1852" s="2">
        <v>43531.380300925928</v>
      </c>
      <c r="K1852" s="2">
        <v>43535.380300925928</v>
      </c>
      <c r="L1852" s="2">
        <v>43535.380300925928</v>
      </c>
      <c r="M1852" s="1">
        <f>_xlfn.DAYS(Table1[[#This Row],[actual_delivery_date]],Table1[[#This Row],[dispatch_date]])</f>
        <v>4</v>
      </c>
      <c r="N1852">
        <v>65</v>
      </c>
      <c r="O1852">
        <f>Table1[[#This Row],[transit_storage_cost]] * (1-'What -if Analysis'!$D$26)</f>
        <v>65</v>
      </c>
      <c r="P1852">
        <v>107</v>
      </c>
      <c r="Q1852">
        <v>855</v>
      </c>
    </row>
    <row r="1853" spans="1:17" x14ac:dyDescent="0.3">
      <c r="A1853">
        <v>81343</v>
      </c>
      <c r="B1853" s="1" t="s">
        <v>37</v>
      </c>
      <c r="C1853" s="1" t="s">
        <v>23</v>
      </c>
      <c r="D1853" s="1" t="s">
        <v>17</v>
      </c>
      <c r="E1853" s="1" t="s">
        <v>18</v>
      </c>
      <c r="F1853" s="1" t="s">
        <v>29</v>
      </c>
      <c r="G1853" s="1" t="s">
        <v>36</v>
      </c>
      <c r="H1853" t="s">
        <v>30</v>
      </c>
      <c r="I1853" s="1" t="s">
        <v>22</v>
      </c>
      <c r="J1853" s="2">
        <v>43532.380497685182</v>
      </c>
      <c r="K1853" s="2">
        <v>43535.380497685182</v>
      </c>
      <c r="L1853" s="2">
        <v>43535.380497685182</v>
      </c>
      <c r="M1853" s="1">
        <f>_xlfn.DAYS(Table1[[#This Row],[actual_delivery_date]],Table1[[#This Row],[dispatch_date]])</f>
        <v>3</v>
      </c>
      <c r="N1853">
        <v>30</v>
      </c>
      <c r="O1853">
        <f>Table1[[#This Row],[transit_storage_cost]] * (1-'What -if Analysis'!$D$26)</f>
        <v>30</v>
      </c>
      <c r="P1853">
        <v>113</v>
      </c>
      <c r="Q1853">
        <v>2031</v>
      </c>
    </row>
    <row r="1854" spans="1:17" x14ac:dyDescent="0.3">
      <c r="A1854">
        <v>872177</v>
      </c>
      <c r="B1854" s="1" t="s">
        <v>37</v>
      </c>
      <c r="C1854" s="1" t="s">
        <v>23</v>
      </c>
      <c r="D1854" s="1" t="s">
        <v>24</v>
      </c>
      <c r="E1854" s="1" t="s">
        <v>25</v>
      </c>
      <c r="F1854" s="1" t="s">
        <v>29</v>
      </c>
      <c r="G1854" s="1" t="s">
        <v>20</v>
      </c>
      <c r="H1854" t="s">
        <v>30</v>
      </c>
      <c r="I1854" s="1" t="s">
        <v>22</v>
      </c>
      <c r="J1854" s="2">
        <v>43531.38244212963</v>
      </c>
      <c r="K1854" s="2">
        <v>43535.38244212963</v>
      </c>
      <c r="L1854" s="2">
        <v>43534.38244212963</v>
      </c>
      <c r="M1854" s="1">
        <f>_xlfn.DAYS(Table1[[#This Row],[actual_delivery_date]],Table1[[#This Row],[dispatch_date]])</f>
        <v>4</v>
      </c>
      <c r="N1854">
        <v>50</v>
      </c>
      <c r="O1854">
        <f>Table1[[#This Row],[transit_storage_cost]] * (1-'What -if Analysis'!$D$26)</f>
        <v>50</v>
      </c>
      <c r="P1854">
        <v>126</v>
      </c>
      <c r="Q1854">
        <v>1977.6703873325</v>
      </c>
    </row>
    <row r="1855" spans="1:17" x14ac:dyDescent="0.3">
      <c r="A1855">
        <v>868502</v>
      </c>
      <c r="B1855" s="1" t="s">
        <v>38</v>
      </c>
      <c r="C1855" s="1" t="s">
        <v>16</v>
      </c>
      <c r="D1855" s="1" t="s">
        <v>16</v>
      </c>
      <c r="E1855" s="1" t="s">
        <v>27</v>
      </c>
      <c r="F1855" s="1" t="s">
        <v>19</v>
      </c>
      <c r="G1855" s="1" t="s">
        <v>20</v>
      </c>
      <c r="H1855" t="s">
        <v>21</v>
      </c>
      <c r="I1855" s="1" t="s">
        <v>22</v>
      </c>
      <c r="J1855" s="2">
        <v>43535.387418981481</v>
      </c>
      <c r="K1855" s="2">
        <v>43535.387418981481</v>
      </c>
      <c r="L1855" s="2">
        <v>43539.387418981481</v>
      </c>
      <c r="M1855" s="1">
        <f>_xlfn.DAYS(Table1[[#This Row],[actual_delivery_date]],Table1[[#This Row],[dispatch_date]])</f>
        <v>0</v>
      </c>
      <c r="N1855">
        <v>0</v>
      </c>
      <c r="O1855">
        <f>Table1[[#This Row],[transit_storage_cost]] * (1-'What -if Analysis'!$D$26)</f>
        <v>0</v>
      </c>
      <c r="P1855">
        <v>109</v>
      </c>
      <c r="Q1855">
        <v>3229</v>
      </c>
    </row>
    <row r="1856" spans="1:17" x14ac:dyDescent="0.3">
      <c r="A1856">
        <v>232667</v>
      </c>
      <c r="B1856" s="1" t="s">
        <v>37</v>
      </c>
      <c r="C1856" s="1" t="s">
        <v>16</v>
      </c>
      <c r="D1856" s="1" t="s">
        <v>16</v>
      </c>
      <c r="E1856" s="1" t="s">
        <v>27</v>
      </c>
      <c r="F1856" s="1" t="s">
        <v>29</v>
      </c>
      <c r="G1856" s="1" t="s">
        <v>20</v>
      </c>
      <c r="H1856" t="s">
        <v>30</v>
      </c>
      <c r="I1856" s="1" t="s">
        <v>22</v>
      </c>
      <c r="J1856" s="2">
        <v>43531.387604166666</v>
      </c>
      <c r="K1856" s="2">
        <v>43535.387604166666</v>
      </c>
      <c r="L1856" s="2">
        <v>43534.387604166666</v>
      </c>
      <c r="M1856" s="1">
        <f>_xlfn.DAYS(Table1[[#This Row],[actual_delivery_date]],Table1[[#This Row],[dispatch_date]])</f>
        <v>4</v>
      </c>
      <c r="N1856">
        <v>0</v>
      </c>
      <c r="O1856">
        <f>Table1[[#This Row],[transit_storage_cost]] * (1-'What -if Analysis'!$D$26)</f>
        <v>0</v>
      </c>
      <c r="P1856">
        <v>126</v>
      </c>
      <c r="Q1856">
        <v>357</v>
      </c>
    </row>
    <row r="1857" spans="1:17" x14ac:dyDescent="0.3">
      <c r="A1857">
        <v>845768</v>
      </c>
      <c r="B1857" s="1" t="s">
        <v>37</v>
      </c>
      <c r="C1857" s="1" t="s">
        <v>16</v>
      </c>
      <c r="D1857" s="1" t="s">
        <v>32</v>
      </c>
      <c r="E1857" s="1" t="s">
        <v>33</v>
      </c>
      <c r="F1857" s="1" t="s">
        <v>19</v>
      </c>
      <c r="G1857" s="1" t="s">
        <v>20</v>
      </c>
      <c r="H1857" t="s">
        <v>21</v>
      </c>
      <c r="I1857" s="1" t="s">
        <v>22</v>
      </c>
      <c r="J1857" s="2">
        <v>43528.387789351851</v>
      </c>
      <c r="K1857" s="2">
        <v>43535.387789351851</v>
      </c>
      <c r="L1857" s="2">
        <v>43531.387789351851</v>
      </c>
      <c r="M1857" s="1">
        <f>_xlfn.DAYS(Table1[[#This Row],[actual_delivery_date]],Table1[[#This Row],[dispatch_date]])</f>
        <v>7</v>
      </c>
      <c r="N1857">
        <v>49</v>
      </c>
      <c r="O1857">
        <f>Table1[[#This Row],[transit_storage_cost]] * (1-'What -if Analysis'!$D$26)</f>
        <v>49</v>
      </c>
      <c r="P1857">
        <v>106</v>
      </c>
      <c r="Q1857">
        <v>2580.2145429637467</v>
      </c>
    </row>
    <row r="1858" spans="1:17" x14ac:dyDescent="0.3">
      <c r="A1858">
        <v>87728</v>
      </c>
      <c r="B1858" s="1" t="s">
        <v>38</v>
      </c>
      <c r="C1858" s="1" t="s">
        <v>16</v>
      </c>
      <c r="D1858" s="1" t="s">
        <v>17</v>
      </c>
      <c r="E1858" s="1" t="s">
        <v>18</v>
      </c>
      <c r="F1858" s="1" t="s">
        <v>19</v>
      </c>
      <c r="G1858" s="1" t="s">
        <v>20</v>
      </c>
      <c r="H1858" t="s">
        <v>21</v>
      </c>
      <c r="I1858" s="1" t="s">
        <v>22</v>
      </c>
      <c r="J1858" s="2">
        <v>43533.395312499997</v>
      </c>
      <c r="K1858" s="2">
        <v>43535.395312499997</v>
      </c>
      <c r="L1858" s="2">
        <v>43539.395312499997</v>
      </c>
      <c r="M1858" s="1">
        <f>_xlfn.DAYS(Table1[[#This Row],[actual_delivery_date]],Table1[[#This Row],[dispatch_date]])</f>
        <v>2</v>
      </c>
      <c r="N1858">
        <v>29</v>
      </c>
      <c r="O1858">
        <f>Table1[[#This Row],[transit_storage_cost]] * (1-'What -if Analysis'!$D$26)</f>
        <v>29</v>
      </c>
      <c r="P1858">
        <v>112</v>
      </c>
      <c r="Q1858">
        <v>3472.7682747371409</v>
      </c>
    </row>
    <row r="1859" spans="1:17" x14ac:dyDescent="0.3">
      <c r="A1859">
        <v>542710</v>
      </c>
      <c r="B1859" s="1" t="s">
        <v>41</v>
      </c>
      <c r="C1859" s="1" t="s">
        <v>23</v>
      </c>
      <c r="D1859" s="1" t="s">
        <v>24</v>
      </c>
      <c r="E1859" s="1" t="s">
        <v>25</v>
      </c>
      <c r="F1859" s="1" t="s">
        <v>31</v>
      </c>
      <c r="G1859" s="1" t="s">
        <v>20</v>
      </c>
      <c r="H1859" t="s">
        <v>21</v>
      </c>
      <c r="I1859" s="1" t="s">
        <v>22</v>
      </c>
      <c r="J1859" s="2">
        <v>43529.40221064815</v>
      </c>
      <c r="K1859" s="2">
        <v>43535.40221064815</v>
      </c>
      <c r="L1859" s="2">
        <v>43533.40221064815</v>
      </c>
      <c r="M1859" s="1">
        <f>_xlfn.DAYS(Table1[[#This Row],[actual_delivery_date]],Table1[[#This Row],[dispatch_date]])</f>
        <v>6</v>
      </c>
      <c r="N1859">
        <v>39</v>
      </c>
      <c r="O1859">
        <f>Table1[[#This Row],[transit_storage_cost]] * (1-'What -if Analysis'!$D$26)</f>
        <v>39</v>
      </c>
      <c r="P1859">
        <v>123</v>
      </c>
      <c r="Q1859">
        <v>3304.1098250801383</v>
      </c>
    </row>
    <row r="1860" spans="1:17" x14ac:dyDescent="0.3">
      <c r="A1860">
        <v>326644</v>
      </c>
      <c r="B1860" s="1" t="s">
        <v>38</v>
      </c>
      <c r="C1860" s="1" t="s">
        <v>23</v>
      </c>
      <c r="D1860" s="1" t="s">
        <v>32</v>
      </c>
      <c r="E1860" s="1" t="s">
        <v>33</v>
      </c>
      <c r="F1860" s="1" t="s">
        <v>19</v>
      </c>
      <c r="G1860" s="1" t="s">
        <v>20</v>
      </c>
      <c r="H1860" t="s">
        <v>21</v>
      </c>
      <c r="I1860" s="1" t="s">
        <v>22</v>
      </c>
      <c r="J1860" s="2">
        <v>43532.404247685183</v>
      </c>
      <c r="K1860" s="2">
        <v>43535.404247685183</v>
      </c>
      <c r="L1860" s="2">
        <v>43535.404247685183</v>
      </c>
      <c r="M1860" s="1">
        <f>_xlfn.DAYS(Table1[[#This Row],[actual_delivery_date]],Table1[[#This Row],[dispatch_date]])</f>
        <v>3</v>
      </c>
      <c r="N1860">
        <v>35</v>
      </c>
      <c r="O1860">
        <f>Table1[[#This Row],[transit_storage_cost]] * (1-'What -if Analysis'!$D$26)</f>
        <v>35</v>
      </c>
      <c r="P1860">
        <v>113</v>
      </c>
      <c r="Q1860">
        <v>3238</v>
      </c>
    </row>
    <row r="1861" spans="1:17" x14ac:dyDescent="0.3">
      <c r="A1861">
        <v>201712</v>
      </c>
      <c r="B1861" s="1" t="s">
        <v>39</v>
      </c>
      <c r="C1861" s="1" t="s">
        <v>23</v>
      </c>
      <c r="D1861" s="1" t="s">
        <v>32</v>
      </c>
      <c r="E1861" s="1" t="s">
        <v>33</v>
      </c>
      <c r="F1861" s="1" t="s">
        <v>19</v>
      </c>
      <c r="G1861" s="1" t="s">
        <v>20</v>
      </c>
      <c r="H1861" t="s">
        <v>21</v>
      </c>
      <c r="I1861" s="1" t="s">
        <v>22</v>
      </c>
      <c r="J1861" s="2">
        <v>43527.408726851849</v>
      </c>
      <c r="K1861" s="2">
        <v>43535.408726851849</v>
      </c>
      <c r="L1861" s="2">
        <v>43531.408726851849</v>
      </c>
      <c r="M1861" s="1">
        <f>_xlfn.DAYS(Table1[[#This Row],[actual_delivery_date]],Table1[[#This Row],[dispatch_date]])</f>
        <v>8</v>
      </c>
      <c r="N1861">
        <v>77</v>
      </c>
      <c r="O1861">
        <f>Table1[[#This Row],[transit_storage_cost]] * (1-'What -if Analysis'!$D$26)</f>
        <v>77</v>
      </c>
      <c r="P1861">
        <v>85</v>
      </c>
      <c r="Q1861">
        <v>1311.1255281631859</v>
      </c>
    </row>
    <row r="1862" spans="1:17" x14ac:dyDescent="0.3">
      <c r="A1862">
        <v>612612</v>
      </c>
      <c r="B1862" s="1" t="s">
        <v>38</v>
      </c>
      <c r="C1862" s="1" t="s">
        <v>23</v>
      </c>
      <c r="D1862" s="1" t="s">
        <v>17</v>
      </c>
      <c r="E1862" s="1" t="s">
        <v>18</v>
      </c>
      <c r="F1862" s="1" t="s">
        <v>19</v>
      </c>
      <c r="G1862" s="1" t="s">
        <v>20</v>
      </c>
      <c r="H1862" t="s">
        <v>21</v>
      </c>
      <c r="I1862" s="1" t="s">
        <v>26</v>
      </c>
      <c r="J1862" s="2">
        <v>43533.412615740737</v>
      </c>
      <c r="K1862" s="2">
        <v>43535.412615740737</v>
      </c>
      <c r="L1862" s="2">
        <v>43538.412615740737</v>
      </c>
      <c r="M1862" s="1">
        <f>_xlfn.DAYS(Table1[[#This Row],[actual_delivery_date]],Table1[[#This Row],[dispatch_date]])</f>
        <v>2</v>
      </c>
      <c r="N1862">
        <v>33</v>
      </c>
      <c r="O1862">
        <f>Table1[[#This Row],[transit_storage_cost]] * (1-'What -if Analysis'!$D$26)</f>
        <v>33</v>
      </c>
      <c r="P1862">
        <v>108</v>
      </c>
      <c r="Q1862">
        <v>2711</v>
      </c>
    </row>
    <row r="1863" spans="1:17" x14ac:dyDescent="0.3">
      <c r="A1863">
        <v>245747</v>
      </c>
      <c r="B1863" s="1" t="s">
        <v>40</v>
      </c>
      <c r="C1863" s="1" t="s">
        <v>16</v>
      </c>
      <c r="D1863" s="1" t="s">
        <v>17</v>
      </c>
      <c r="E1863" s="1" t="s">
        <v>18</v>
      </c>
      <c r="F1863" s="1" t="s">
        <v>29</v>
      </c>
      <c r="G1863" s="1" t="s">
        <v>20</v>
      </c>
      <c r="H1863" t="s">
        <v>30</v>
      </c>
      <c r="I1863" s="1" t="s">
        <v>22</v>
      </c>
      <c r="J1863" s="2">
        <v>43530.415324074071</v>
      </c>
      <c r="K1863" s="2">
        <v>43535.415324074071</v>
      </c>
      <c r="L1863" s="2">
        <v>43534.415324074071</v>
      </c>
      <c r="M1863" s="1">
        <f>_xlfn.DAYS(Table1[[#This Row],[actual_delivery_date]],Table1[[#This Row],[dispatch_date]])</f>
        <v>5</v>
      </c>
      <c r="N1863">
        <v>31</v>
      </c>
      <c r="O1863">
        <f>Table1[[#This Row],[transit_storage_cost]] * (1-'What -if Analysis'!$D$26)</f>
        <v>31</v>
      </c>
      <c r="P1863">
        <v>106</v>
      </c>
      <c r="Q1863">
        <v>650.12814393425003</v>
      </c>
    </row>
    <row r="1864" spans="1:17" x14ac:dyDescent="0.3">
      <c r="A1864">
        <v>480224</v>
      </c>
      <c r="B1864" s="1" t="s">
        <v>39</v>
      </c>
      <c r="C1864" s="1" t="s">
        <v>16</v>
      </c>
      <c r="D1864" s="1" t="s">
        <v>17</v>
      </c>
      <c r="E1864" s="1" t="s">
        <v>18</v>
      </c>
      <c r="F1864" s="1" t="s">
        <v>19</v>
      </c>
      <c r="G1864" s="1" t="s">
        <v>20</v>
      </c>
      <c r="H1864" t="s">
        <v>21</v>
      </c>
      <c r="I1864" s="1" t="s">
        <v>22</v>
      </c>
      <c r="J1864" s="2">
        <v>43532.425509259258</v>
      </c>
      <c r="K1864" s="2">
        <v>43535.425509259258</v>
      </c>
      <c r="L1864" s="2">
        <v>43535.425509259258</v>
      </c>
      <c r="M1864" s="1">
        <f>_xlfn.DAYS(Table1[[#This Row],[actual_delivery_date]],Table1[[#This Row],[dispatch_date]])</f>
        <v>3</v>
      </c>
      <c r="N1864">
        <v>35</v>
      </c>
      <c r="O1864">
        <f>Table1[[#This Row],[transit_storage_cost]] * (1-'What -if Analysis'!$D$26)</f>
        <v>35</v>
      </c>
      <c r="P1864">
        <v>106</v>
      </c>
      <c r="Q1864">
        <v>3695.9134964782111</v>
      </c>
    </row>
    <row r="1865" spans="1:17" x14ac:dyDescent="0.3">
      <c r="A1865">
        <v>467418</v>
      </c>
      <c r="B1865" s="1" t="s">
        <v>41</v>
      </c>
      <c r="C1865" s="1" t="s">
        <v>23</v>
      </c>
      <c r="D1865" s="1" t="s">
        <v>24</v>
      </c>
      <c r="E1865" s="1" t="s">
        <v>25</v>
      </c>
      <c r="F1865" s="1" t="s">
        <v>31</v>
      </c>
      <c r="G1865" s="1" t="s">
        <v>20</v>
      </c>
      <c r="H1865" t="s">
        <v>21</v>
      </c>
      <c r="I1865" s="1" t="s">
        <v>26</v>
      </c>
      <c r="J1865" s="2">
        <v>43533.427743055552</v>
      </c>
      <c r="K1865" s="2">
        <v>43535.427743055552</v>
      </c>
      <c r="L1865" s="2">
        <v>43540.427743055552</v>
      </c>
      <c r="M1865" s="1">
        <f>_xlfn.DAYS(Table1[[#This Row],[actual_delivery_date]],Table1[[#This Row],[dispatch_date]])</f>
        <v>2</v>
      </c>
      <c r="N1865">
        <v>29</v>
      </c>
      <c r="O1865">
        <f>Table1[[#This Row],[transit_storage_cost]] * (1-'What -if Analysis'!$D$26)</f>
        <v>29</v>
      </c>
      <c r="P1865">
        <v>122</v>
      </c>
      <c r="Q1865">
        <v>2273.144653744655</v>
      </c>
    </row>
    <row r="1866" spans="1:17" x14ac:dyDescent="0.3">
      <c r="A1866">
        <v>603836</v>
      </c>
      <c r="B1866" s="1" t="s">
        <v>37</v>
      </c>
      <c r="C1866" s="1" t="s">
        <v>16</v>
      </c>
      <c r="D1866" s="1" t="s">
        <v>16</v>
      </c>
      <c r="E1866" s="1" t="s">
        <v>27</v>
      </c>
      <c r="F1866" s="1" t="s">
        <v>19</v>
      </c>
      <c r="G1866" s="1" t="s">
        <v>20</v>
      </c>
      <c r="H1866" t="s">
        <v>21</v>
      </c>
      <c r="I1866" s="1" t="s">
        <v>22</v>
      </c>
      <c r="J1866" s="2">
        <v>43534.429340277777</v>
      </c>
      <c r="K1866" s="2">
        <v>43535.429340277777</v>
      </c>
      <c r="L1866" s="2">
        <v>43538.429340277777</v>
      </c>
      <c r="M1866" s="1">
        <f>_xlfn.DAYS(Table1[[#This Row],[actual_delivery_date]],Table1[[#This Row],[dispatch_date]])</f>
        <v>1</v>
      </c>
      <c r="N1866">
        <v>0</v>
      </c>
      <c r="O1866">
        <f>Table1[[#This Row],[transit_storage_cost]] * (1-'What -if Analysis'!$D$26)</f>
        <v>0</v>
      </c>
      <c r="P1866">
        <v>109</v>
      </c>
      <c r="Q1866">
        <v>610.06832553668301</v>
      </c>
    </row>
    <row r="1867" spans="1:17" x14ac:dyDescent="0.3">
      <c r="A1867">
        <v>893027</v>
      </c>
      <c r="B1867" s="1" t="s">
        <v>37</v>
      </c>
      <c r="C1867" s="1" t="s">
        <v>16</v>
      </c>
      <c r="D1867" s="1" t="s">
        <v>32</v>
      </c>
      <c r="E1867" s="1" t="s">
        <v>33</v>
      </c>
      <c r="F1867" s="1" t="s">
        <v>29</v>
      </c>
      <c r="G1867" s="1" t="s">
        <v>20</v>
      </c>
      <c r="H1867" t="s">
        <v>30</v>
      </c>
      <c r="I1867" s="1" t="s">
        <v>22</v>
      </c>
      <c r="J1867" s="2">
        <v>43531.435312499998</v>
      </c>
      <c r="K1867" s="2">
        <v>43535.435312499998</v>
      </c>
      <c r="L1867" s="2">
        <v>43537.435312499998</v>
      </c>
      <c r="M1867" s="1">
        <f>_xlfn.DAYS(Table1[[#This Row],[actual_delivery_date]],Table1[[#This Row],[dispatch_date]])</f>
        <v>4</v>
      </c>
      <c r="N1867">
        <v>39</v>
      </c>
      <c r="O1867">
        <f>Table1[[#This Row],[transit_storage_cost]] * (1-'What -if Analysis'!$D$26)</f>
        <v>39</v>
      </c>
      <c r="P1867">
        <v>107</v>
      </c>
      <c r="Q1867">
        <v>3723.9051626152714</v>
      </c>
    </row>
    <row r="1868" spans="1:17" x14ac:dyDescent="0.3">
      <c r="A1868">
        <v>303709</v>
      </c>
      <c r="B1868" s="1" t="s">
        <v>41</v>
      </c>
      <c r="C1868" s="1" t="s">
        <v>16</v>
      </c>
      <c r="D1868" s="1" t="s">
        <v>16</v>
      </c>
      <c r="E1868" s="1" t="s">
        <v>27</v>
      </c>
      <c r="F1868" s="1" t="s">
        <v>29</v>
      </c>
      <c r="G1868" s="1" t="s">
        <v>20</v>
      </c>
      <c r="H1868" t="s">
        <v>34</v>
      </c>
      <c r="I1868" s="1" t="s">
        <v>22</v>
      </c>
      <c r="J1868" s="2">
        <v>43533.436944444446</v>
      </c>
      <c r="K1868" s="2">
        <v>43535.436944444446</v>
      </c>
      <c r="L1868" s="2">
        <v>43538.436944444446</v>
      </c>
      <c r="M1868" s="1">
        <f>_xlfn.DAYS(Table1[[#This Row],[actual_delivery_date]],Table1[[#This Row],[dispatch_date]])</f>
        <v>2</v>
      </c>
      <c r="N1868">
        <v>9999</v>
      </c>
      <c r="O1868">
        <f>Table1[[#This Row],[transit_storage_cost]] * (1-'What -if Analysis'!$D$26)</f>
        <v>9999</v>
      </c>
      <c r="P1868">
        <v>120</v>
      </c>
      <c r="Q1868">
        <v>1388.3709452917387</v>
      </c>
    </row>
    <row r="1869" spans="1:17" x14ac:dyDescent="0.3">
      <c r="A1869">
        <v>71162</v>
      </c>
      <c r="B1869" s="1" t="s">
        <v>37</v>
      </c>
      <c r="C1869" s="1" t="s">
        <v>23</v>
      </c>
      <c r="D1869" s="1" t="s">
        <v>17</v>
      </c>
      <c r="E1869" s="1" t="s">
        <v>18</v>
      </c>
      <c r="F1869" s="1" t="s">
        <v>19</v>
      </c>
      <c r="G1869" s="1" t="s">
        <v>20</v>
      </c>
      <c r="H1869" t="s">
        <v>21</v>
      </c>
      <c r="I1869" s="1" t="s">
        <v>22</v>
      </c>
      <c r="J1869" s="2">
        <v>43533.437164351853</v>
      </c>
      <c r="K1869" s="2">
        <v>43535.437164351853</v>
      </c>
      <c r="L1869" s="2">
        <v>43539.437164351853</v>
      </c>
      <c r="M1869" s="1">
        <f>_xlfn.DAYS(Table1[[#This Row],[actual_delivery_date]],Table1[[#This Row],[dispatch_date]])</f>
        <v>2</v>
      </c>
      <c r="N1869">
        <v>81</v>
      </c>
      <c r="O1869">
        <f>Table1[[#This Row],[transit_storage_cost]] * (1-'What -if Analysis'!$D$26)</f>
        <v>81</v>
      </c>
      <c r="P1869">
        <v>92</v>
      </c>
      <c r="Q1869">
        <v>1743.8836769561665</v>
      </c>
    </row>
    <row r="1870" spans="1:17" x14ac:dyDescent="0.3">
      <c r="A1870">
        <v>90131</v>
      </c>
      <c r="B1870" s="1" t="s">
        <v>38</v>
      </c>
      <c r="C1870" s="1" t="s">
        <v>16</v>
      </c>
      <c r="D1870" s="1" t="s">
        <v>23</v>
      </c>
      <c r="E1870" s="1" t="s">
        <v>28</v>
      </c>
      <c r="F1870" s="1" t="s">
        <v>19</v>
      </c>
      <c r="G1870" s="1" t="s">
        <v>20</v>
      </c>
      <c r="H1870" t="s">
        <v>30</v>
      </c>
      <c r="I1870" s="1" t="s">
        <v>22</v>
      </c>
      <c r="J1870" s="2">
        <v>43533.437662037039</v>
      </c>
      <c r="K1870" s="2">
        <v>43535.437662037039</v>
      </c>
      <c r="L1870" s="2">
        <v>43536.437662037039</v>
      </c>
      <c r="M1870" s="1">
        <f>_xlfn.DAYS(Table1[[#This Row],[actual_delivery_date]],Table1[[#This Row],[dispatch_date]])</f>
        <v>2</v>
      </c>
      <c r="N1870">
        <v>68</v>
      </c>
      <c r="O1870">
        <f>Table1[[#This Row],[transit_storage_cost]] * (1-'What -if Analysis'!$D$26)</f>
        <v>68</v>
      </c>
      <c r="P1870">
        <v>105</v>
      </c>
      <c r="Q1870">
        <v>2235.4210376023329</v>
      </c>
    </row>
    <row r="1871" spans="1:17" x14ac:dyDescent="0.3">
      <c r="A1871">
        <v>838585</v>
      </c>
      <c r="B1871" s="1" t="s">
        <v>41</v>
      </c>
      <c r="C1871" s="1" t="s">
        <v>16</v>
      </c>
      <c r="D1871" s="1" t="s">
        <v>24</v>
      </c>
      <c r="E1871" s="1" t="s">
        <v>25</v>
      </c>
      <c r="F1871" s="1" t="s">
        <v>29</v>
      </c>
      <c r="G1871" s="1" t="s">
        <v>20</v>
      </c>
      <c r="H1871" t="s">
        <v>30</v>
      </c>
      <c r="I1871" s="1" t="s">
        <v>22</v>
      </c>
      <c r="J1871" s="2">
        <v>43532.438854166663</v>
      </c>
      <c r="K1871" s="2">
        <v>43535.438854166663</v>
      </c>
      <c r="L1871" s="2">
        <v>43537.438854166663</v>
      </c>
      <c r="M1871" s="1">
        <f>_xlfn.DAYS(Table1[[#This Row],[actual_delivery_date]],Table1[[#This Row],[dispatch_date]])</f>
        <v>3</v>
      </c>
      <c r="N1871">
        <v>45</v>
      </c>
      <c r="O1871">
        <f>Table1[[#This Row],[transit_storage_cost]] * (1-'What -if Analysis'!$D$26)</f>
        <v>45</v>
      </c>
      <c r="P1871">
        <v>124</v>
      </c>
      <c r="Q1871">
        <v>1498.116016044823</v>
      </c>
    </row>
    <row r="1872" spans="1:17" x14ac:dyDescent="0.3">
      <c r="A1872">
        <v>270436</v>
      </c>
      <c r="B1872" s="1" t="s">
        <v>39</v>
      </c>
      <c r="C1872" s="1" t="s">
        <v>16</v>
      </c>
      <c r="D1872" s="1" t="s">
        <v>16</v>
      </c>
      <c r="E1872" s="1" t="s">
        <v>27</v>
      </c>
      <c r="F1872" s="1" t="s">
        <v>19</v>
      </c>
      <c r="G1872" s="1" t="s">
        <v>20</v>
      </c>
      <c r="H1872" t="s">
        <v>21</v>
      </c>
      <c r="I1872" s="1" t="s">
        <v>22</v>
      </c>
      <c r="J1872" s="2">
        <v>43531.439317129632</v>
      </c>
      <c r="K1872" s="2">
        <v>43535.439317129632</v>
      </c>
      <c r="L1872" s="2">
        <v>43538.439317129632</v>
      </c>
      <c r="M1872" s="1">
        <f>_xlfn.DAYS(Table1[[#This Row],[actual_delivery_date]],Table1[[#This Row],[dispatch_date]])</f>
        <v>4</v>
      </c>
      <c r="N1872">
        <v>0</v>
      </c>
      <c r="O1872">
        <f>Table1[[#This Row],[transit_storage_cost]] * (1-'What -if Analysis'!$D$26)</f>
        <v>0</v>
      </c>
      <c r="P1872">
        <v>128</v>
      </c>
      <c r="Q1872">
        <v>1078.6240317692011</v>
      </c>
    </row>
    <row r="1873" spans="1:17" x14ac:dyDescent="0.3">
      <c r="A1873">
        <v>321040</v>
      </c>
      <c r="B1873" s="1" t="s">
        <v>41</v>
      </c>
      <c r="C1873" s="1" t="s">
        <v>16</v>
      </c>
      <c r="D1873" s="1" t="s">
        <v>17</v>
      </c>
      <c r="E1873" s="1" t="s">
        <v>18</v>
      </c>
      <c r="F1873" s="1" t="s">
        <v>19</v>
      </c>
      <c r="G1873" s="1" t="s">
        <v>20</v>
      </c>
      <c r="H1873" t="s">
        <v>21</v>
      </c>
      <c r="I1873" s="1" t="s">
        <v>22</v>
      </c>
      <c r="J1873" s="2">
        <v>43533.440416666665</v>
      </c>
      <c r="K1873" s="2">
        <v>43535.440416666665</v>
      </c>
      <c r="L1873" s="2">
        <v>43539.440416666665</v>
      </c>
      <c r="M1873" s="1">
        <f>_xlfn.DAYS(Table1[[#This Row],[actual_delivery_date]],Table1[[#This Row],[dispatch_date]])</f>
        <v>2</v>
      </c>
      <c r="N1873">
        <v>26</v>
      </c>
      <c r="O1873">
        <f>Table1[[#This Row],[transit_storage_cost]] * (1-'What -if Analysis'!$D$26)</f>
        <v>26</v>
      </c>
      <c r="P1873">
        <v>113</v>
      </c>
      <c r="Q1873">
        <v>1398.0315350809544</v>
      </c>
    </row>
    <row r="1874" spans="1:17" x14ac:dyDescent="0.3">
      <c r="A1874">
        <v>598438</v>
      </c>
      <c r="B1874" s="1" t="s">
        <v>38</v>
      </c>
      <c r="C1874" s="1" t="s">
        <v>16</v>
      </c>
      <c r="D1874" s="1" t="s">
        <v>17</v>
      </c>
      <c r="E1874" s="1" t="s">
        <v>18</v>
      </c>
      <c r="F1874" s="1" t="s">
        <v>31</v>
      </c>
      <c r="G1874" s="1" t="s">
        <v>20</v>
      </c>
      <c r="H1874" t="s">
        <v>21</v>
      </c>
      <c r="I1874" s="1" t="s">
        <v>22</v>
      </c>
      <c r="J1874" s="2">
        <v>43532.440601851849</v>
      </c>
      <c r="K1874" s="2">
        <v>43535.440601851849</v>
      </c>
      <c r="L1874" s="2">
        <v>43537.440601851849</v>
      </c>
      <c r="M1874" s="1">
        <f>_xlfn.DAYS(Table1[[#This Row],[actual_delivery_date]],Table1[[#This Row],[dispatch_date]])</f>
        <v>3</v>
      </c>
      <c r="N1874">
        <v>37</v>
      </c>
      <c r="O1874">
        <f>Table1[[#This Row],[transit_storage_cost]] * (1-'What -if Analysis'!$D$26)</f>
        <v>37</v>
      </c>
      <c r="P1874">
        <v>109</v>
      </c>
      <c r="Q1874">
        <v>770.28556918516369</v>
      </c>
    </row>
    <row r="1875" spans="1:17" x14ac:dyDescent="0.3">
      <c r="A1875">
        <v>63529</v>
      </c>
      <c r="B1875" s="1" t="s">
        <v>37</v>
      </c>
      <c r="C1875" s="1" t="s">
        <v>16</v>
      </c>
      <c r="D1875" s="1" t="s">
        <v>17</v>
      </c>
      <c r="E1875" s="1" t="s">
        <v>18</v>
      </c>
      <c r="F1875" s="1" t="s">
        <v>29</v>
      </c>
      <c r="G1875" s="1" t="s">
        <v>20</v>
      </c>
      <c r="H1875" t="s">
        <v>30</v>
      </c>
      <c r="I1875" s="1" t="s">
        <v>22</v>
      </c>
      <c r="J1875" s="2">
        <v>43528.445729166669</v>
      </c>
      <c r="K1875" s="2">
        <v>43535.445729166669</v>
      </c>
      <c r="L1875" s="2">
        <v>43531.445729166669</v>
      </c>
      <c r="M1875" s="1">
        <f>_xlfn.DAYS(Table1[[#This Row],[actual_delivery_date]],Table1[[#This Row],[dispatch_date]])</f>
        <v>7</v>
      </c>
      <c r="N1875">
        <v>48</v>
      </c>
      <c r="O1875">
        <f>Table1[[#This Row],[transit_storage_cost]] * (1-'What -if Analysis'!$D$26)</f>
        <v>48</v>
      </c>
      <c r="P1875">
        <v>108</v>
      </c>
      <c r="Q1875">
        <v>3440.873357861522</v>
      </c>
    </row>
    <row r="1876" spans="1:17" x14ac:dyDescent="0.3">
      <c r="A1876">
        <v>866026</v>
      </c>
      <c r="B1876" s="1" t="s">
        <v>37</v>
      </c>
      <c r="C1876" s="1" t="s">
        <v>23</v>
      </c>
      <c r="D1876" s="1" t="s">
        <v>17</v>
      </c>
      <c r="E1876" s="1" t="s">
        <v>18</v>
      </c>
      <c r="F1876" s="1" t="s">
        <v>31</v>
      </c>
      <c r="G1876" s="1" t="s">
        <v>20</v>
      </c>
      <c r="H1876" t="s">
        <v>21</v>
      </c>
      <c r="I1876" s="1" t="s">
        <v>22</v>
      </c>
      <c r="J1876" s="2">
        <v>43530.448796296296</v>
      </c>
      <c r="K1876" s="2">
        <v>43535.448796296296</v>
      </c>
      <c r="L1876" s="2">
        <v>43535.448796296296</v>
      </c>
      <c r="M1876" s="1">
        <f>_xlfn.DAYS(Table1[[#This Row],[actual_delivery_date]],Table1[[#This Row],[dispatch_date]])</f>
        <v>5</v>
      </c>
      <c r="N1876">
        <v>30</v>
      </c>
      <c r="O1876">
        <f>Table1[[#This Row],[transit_storage_cost]] * (1-'What -if Analysis'!$D$26)</f>
        <v>30</v>
      </c>
      <c r="P1876">
        <v>112</v>
      </c>
      <c r="Q1876">
        <v>1496.2859520020306</v>
      </c>
    </row>
    <row r="1877" spans="1:17" x14ac:dyDescent="0.3">
      <c r="A1877">
        <v>345682</v>
      </c>
      <c r="B1877" s="1" t="s">
        <v>39</v>
      </c>
      <c r="C1877" s="1" t="s">
        <v>23</v>
      </c>
      <c r="D1877" s="1" t="s">
        <v>16</v>
      </c>
      <c r="E1877" s="1" t="s">
        <v>27</v>
      </c>
      <c r="F1877" s="1" t="s">
        <v>31</v>
      </c>
      <c r="G1877" s="1" t="s">
        <v>20</v>
      </c>
      <c r="H1877" t="s">
        <v>21</v>
      </c>
      <c r="I1877" s="1" t="s">
        <v>22</v>
      </c>
      <c r="J1877" s="2">
        <v>43529.457627314812</v>
      </c>
      <c r="K1877" s="2">
        <v>43535.457627314812</v>
      </c>
      <c r="L1877" s="2">
        <v>43532.457627314812</v>
      </c>
      <c r="M1877" s="1">
        <f>_xlfn.DAYS(Table1[[#This Row],[actual_delivery_date]],Table1[[#This Row],[dispatch_date]])</f>
        <v>6</v>
      </c>
      <c r="N1877">
        <v>50</v>
      </c>
      <c r="O1877">
        <f>Table1[[#This Row],[transit_storage_cost]] * (1-'What -if Analysis'!$D$26)</f>
        <v>50</v>
      </c>
      <c r="P1877">
        <v>127</v>
      </c>
      <c r="Q1877">
        <v>452.71796934222738</v>
      </c>
    </row>
    <row r="1878" spans="1:17" x14ac:dyDescent="0.3">
      <c r="A1878">
        <v>223804</v>
      </c>
      <c r="B1878" s="1" t="s">
        <v>41</v>
      </c>
      <c r="C1878" s="1" t="s">
        <v>16</v>
      </c>
      <c r="D1878" s="1" t="s">
        <v>16</v>
      </c>
      <c r="E1878" s="1" t="s">
        <v>27</v>
      </c>
      <c r="F1878" s="1" t="s">
        <v>19</v>
      </c>
      <c r="G1878" s="1" t="s">
        <v>36</v>
      </c>
      <c r="H1878" t="s">
        <v>21</v>
      </c>
      <c r="I1878" s="1" t="s">
        <v>22</v>
      </c>
      <c r="J1878" s="2">
        <v>43532.460659722223</v>
      </c>
      <c r="K1878" s="2">
        <v>43535.460659722223</v>
      </c>
      <c r="L1878" s="2">
        <v>43538.460659722223</v>
      </c>
      <c r="M1878" s="1">
        <f>_xlfn.DAYS(Table1[[#This Row],[actual_delivery_date]],Table1[[#This Row],[dispatch_date]])</f>
        <v>3</v>
      </c>
      <c r="N1878">
        <v>0</v>
      </c>
      <c r="O1878">
        <f>Table1[[#This Row],[transit_storage_cost]] * (1-'What -if Analysis'!$D$26)</f>
        <v>0</v>
      </c>
      <c r="P1878">
        <v>126</v>
      </c>
      <c r="Q1878">
        <v>3621.7663616627769</v>
      </c>
    </row>
    <row r="1879" spans="1:17" x14ac:dyDescent="0.3">
      <c r="A1879">
        <v>934055</v>
      </c>
      <c r="B1879" s="1" t="s">
        <v>15</v>
      </c>
      <c r="C1879" s="1" t="s">
        <v>23</v>
      </c>
      <c r="D1879" s="1" t="s">
        <v>16</v>
      </c>
      <c r="E1879" s="1" t="s">
        <v>27</v>
      </c>
      <c r="F1879" s="1" t="s">
        <v>29</v>
      </c>
      <c r="G1879" s="1" t="s">
        <v>20</v>
      </c>
      <c r="H1879" t="s">
        <v>30</v>
      </c>
      <c r="I1879" s="1" t="s">
        <v>22</v>
      </c>
      <c r="J1879" s="2">
        <v>43526.462222222224</v>
      </c>
      <c r="K1879" s="2">
        <v>43535.462222222224</v>
      </c>
      <c r="L1879" s="2">
        <v>43529.462222222224</v>
      </c>
      <c r="M1879" s="1">
        <f>_xlfn.DAYS(Table1[[#This Row],[actual_delivery_date]],Table1[[#This Row],[dispatch_date]])</f>
        <v>9</v>
      </c>
      <c r="N1879">
        <v>40</v>
      </c>
      <c r="O1879">
        <f>Table1[[#This Row],[transit_storage_cost]] * (1-'What -if Analysis'!$D$26)</f>
        <v>40</v>
      </c>
      <c r="P1879">
        <v>121</v>
      </c>
      <c r="Q1879">
        <v>1279.0124019298853</v>
      </c>
    </row>
    <row r="1880" spans="1:17" x14ac:dyDescent="0.3">
      <c r="A1880">
        <v>286987</v>
      </c>
      <c r="B1880" s="1" t="s">
        <v>15</v>
      </c>
      <c r="C1880" s="1" t="s">
        <v>23</v>
      </c>
      <c r="D1880" s="1" t="s">
        <v>16</v>
      </c>
      <c r="E1880" s="1" t="s">
        <v>27</v>
      </c>
      <c r="F1880" s="1" t="s">
        <v>29</v>
      </c>
      <c r="G1880" s="1" t="s">
        <v>20</v>
      </c>
      <c r="H1880" t="s">
        <v>30</v>
      </c>
      <c r="I1880" s="1" t="s">
        <v>22</v>
      </c>
      <c r="J1880" s="2">
        <v>43526.470763888887</v>
      </c>
      <c r="K1880" s="2">
        <v>43535.470763888887</v>
      </c>
      <c r="L1880" s="2">
        <v>43531.470763888887</v>
      </c>
      <c r="M1880" s="1">
        <f>_xlfn.DAYS(Table1[[#This Row],[actual_delivery_date]],Table1[[#This Row],[dispatch_date]])</f>
        <v>9</v>
      </c>
      <c r="N1880">
        <v>33</v>
      </c>
      <c r="O1880">
        <f>Table1[[#This Row],[transit_storage_cost]] * (1-'What -if Analysis'!$D$26)</f>
        <v>33</v>
      </c>
      <c r="P1880">
        <v>122</v>
      </c>
      <c r="Q1880">
        <v>2095.3867295586683</v>
      </c>
    </row>
    <row r="1881" spans="1:17" x14ac:dyDescent="0.3">
      <c r="A1881">
        <v>10690</v>
      </c>
      <c r="B1881" s="1" t="s">
        <v>38</v>
      </c>
      <c r="C1881" s="1" t="s">
        <v>23</v>
      </c>
      <c r="D1881" s="1" t="s">
        <v>23</v>
      </c>
      <c r="E1881" s="1" t="s">
        <v>28</v>
      </c>
      <c r="F1881" s="1" t="s">
        <v>31</v>
      </c>
      <c r="G1881" s="1" t="s">
        <v>20</v>
      </c>
      <c r="H1881" t="s">
        <v>21</v>
      </c>
      <c r="I1881" s="1" t="s">
        <v>22</v>
      </c>
      <c r="J1881" s="2">
        <v>43535.474537037036</v>
      </c>
      <c r="K1881" s="2">
        <v>43535.474537037036</v>
      </c>
      <c r="L1881" s="2">
        <v>43541.474537037036</v>
      </c>
      <c r="M1881" s="1">
        <f>_xlfn.DAYS(Table1[[#This Row],[actual_delivery_date]],Table1[[#This Row],[dispatch_date]])</f>
        <v>0</v>
      </c>
      <c r="N1881">
        <v>0</v>
      </c>
      <c r="O1881">
        <f>Table1[[#This Row],[transit_storage_cost]] * (1-'What -if Analysis'!$D$26)</f>
        <v>0</v>
      </c>
      <c r="P1881">
        <v>123</v>
      </c>
      <c r="Q1881">
        <v>692</v>
      </c>
    </row>
    <row r="1882" spans="1:17" x14ac:dyDescent="0.3">
      <c r="A1882">
        <v>103097</v>
      </c>
      <c r="B1882" s="1" t="s">
        <v>40</v>
      </c>
      <c r="C1882" s="1" t="s">
        <v>16</v>
      </c>
      <c r="D1882" s="1" t="s">
        <v>16</v>
      </c>
      <c r="E1882" s="1" t="s">
        <v>27</v>
      </c>
      <c r="F1882" s="1" t="s">
        <v>29</v>
      </c>
      <c r="G1882" s="1" t="s">
        <v>20</v>
      </c>
      <c r="H1882" t="s">
        <v>30</v>
      </c>
      <c r="I1882" s="1" t="s">
        <v>22</v>
      </c>
      <c r="J1882" s="2">
        <v>43530.478645833333</v>
      </c>
      <c r="K1882" s="2">
        <v>43535.478645833333</v>
      </c>
      <c r="L1882" s="2">
        <v>43535.478645833333</v>
      </c>
      <c r="M1882" s="1">
        <f>_xlfn.DAYS(Table1[[#This Row],[actual_delivery_date]],Table1[[#This Row],[dispatch_date]])</f>
        <v>5</v>
      </c>
      <c r="N1882">
        <v>0</v>
      </c>
      <c r="O1882">
        <f>Table1[[#This Row],[transit_storage_cost]] * (1-'What -if Analysis'!$D$26)</f>
        <v>0</v>
      </c>
      <c r="P1882">
        <v>123</v>
      </c>
      <c r="Q1882">
        <v>2596.9218142745449</v>
      </c>
    </row>
    <row r="1883" spans="1:17" x14ac:dyDescent="0.3">
      <c r="A1883">
        <v>660343</v>
      </c>
      <c r="B1883" s="1" t="s">
        <v>15</v>
      </c>
      <c r="C1883" s="1" t="s">
        <v>16</v>
      </c>
      <c r="D1883" s="1" t="s">
        <v>16</v>
      </c>
      <c r="E1883" s="1" t="s">
        <v>27</v>
      </c>
      <c r="F1883" s="1" t="s">
        <v>29</v>
      </c>
      <c r="G1883" s="1" t="s">
        <v>20</v>
      </c>
      <c r="H1883" t="s">
        <v>30</v>
      </c>
      <c r="I1883" s="1" t="s">
        <v>22</v>
      </c>
      <c r="J1883" s="2">
        <v>43531.479629629626</v>
      </c>
      <c r="K1883" s="2">
        <v>43535.479629629626</v>
      </c>
      <c r="L1883" s="2">
        <v>43538.479629629626</v>
      </c>
      <c r="M1883" s="1">
        <f>_xlfn.DAYS(Table1[[#This Row],[actual_delivery_date]],Table1[[#This Row],[dispatch_date]])</f>
        <v>4</v>
      </c>
      <c r="N1883">
        <v>0</v>
      </c>
      <c r="O1883">
        <f>Table1[[#This Row],[transit_storage_cost]] * (1-'What -if Analysis'!$D$26)</f>
        <v>0</v>
      </c>
      <c r="P1883">
        <v>129</v>
      </c>
      <c r="Q1883">
        <v>2011.4810411621229</v>
      </c>
    </row>
    <row r="1884" spans="1:17" x14ac:dyDescent="0.3">
      <c r="A1884">
        <v>594383</v>
      </c>
      <c r="B1884" s="1" t="s">
        <v>38</v>
      </c>
      <c r="C1884" s="1" t="s">
        <v>16</v>
      </c>
      <c r="D1884" s="1" t="s">
        <v>24</v>
      </c>
      <c r="E1884" s="1" t="s">
        <v>25</v>
      </c>
      <c r="F1884" s="1" t="s">
        <v>19</v>
      </c>
      <c r="G1884" s="1" t="s">
        <v>20</v>
      </c>
      <c r="H1884" t="s">
        <v>30</v>
      </c>
      <c r="I1884" s="1" t="s">
        <v>22</v>
      </c>
      <c r="J1884" s="2">
        <v>43525.481296296297</v>
      </c>
      <c r="K1884" s="2">
        <v>43535.481296296297</v>
      </c>
      <c r="L1884" s="2">
        <v>43528.481296296297</v>
      </c>
      <c r="M1884" s="1">
        <f>_xlfn.DAYS(Table1[[#This Row],[actual_delivery_date]],Table1[[#This Row],[dispatch_date]])</f>
        <v>10</v>
      </c>
      <c r="N1884">
        <v>75</v>
      </c>
      <c r="O1884">
        <f>Table1[[#This Row],[transit_storage_cost]] * (1-'What -if Analysis'!$D$26)</f>
        <v>75</v>
      </c>
      <c r="P1884">
        <v>103</v>
      </c>
      <c r="Q1884">
        <v>2333.7079908525261</v>
      </c>
    </row>
    <row r="1885" spans="1:17" x14ac:dyDescent="0.3">
      <c r="A1885">
        <v>956996</v>
      </c>
      <c r="B1885" s="1" t="s">
        <v>38</v>
      </c>
      <c r="C1885" s="1" t="s">
        <v>16</v>
      </c>
      <c r="D1885" s="1" t="s">
        <v>23</v>
      </c>
      <c r="E1885" s="1" t="s">
        <v>28</v>
      </c>
      <c r="F1885" s="1" t="s">
        <v>19</v>
      </c>
      <c r="G1885" s="1" t="s">
        <v>20</v>
      </c>
      <c r="H1885" t="s">
        <v>21</v>
      </c>
      <c r="I1885" s="1" t="s">
        <v>22</v>
      </c>
      <c r="J1885" s="2">
        <v>43532.481898148151</v>
      </c>
      <c r="K1885" s="2">
        <v>43535.481898148151</v>
      </c>
      <c r="L1885" s="2">
        <v>43537.481898148151</v>
      </c>
      <c r="M1885" s="1">
        <f>_xlfn.DAYS(Table1[[#This Row],[actual_delivery_date]],Table1[[#This Row],[dispatch_date]])</f>
        <v>3</v>
      </c>
      <c r="N1885">
        <v>44</v>
      </c>
      <c r="O1885">
        <f>Table1[[#This Row],[transit_storage_cost]] * (1-'What -if Analysis'!$D$26)</f>
        <v>44</v>
      </c>
      <c r="P1885">
        <v>129</v>
      </c>
      <c r="Q1885">
        <v>2503</v>
      </c>
    </row>
    <row r="1886" spans="1:17" x14ac:dyDescent="0.3">
      <c r="A1886">
        <v>293951</v>
      </c>
      <c r="B1886" s="1" t="s">
        <v>38</v>
      </c>
      <c r="C1886" s="1" t="s">
        <v>23</v>
      </c>
      <c r="D1886" s="1" t="s">
        <v>23</v>
      </c>
      <c r="E1886" s="1" t="s">
        <v>28</v>
      </c>
      <c r="F1886" s="1" t="s">
        <v>19</v>
      </c>
      <c r="G1886" s="1" t="s">
        <v>20</v>
      </c>
      <c r="H1886" t="s">
        <v>34</v>
      </c>
      <c r="I1886" s="1" t="s">
        <v>22</v>
      </c>
      <c r="J1886" s="2">
        <v>43530.487951388888</v>
      </c>
      <c r="K1886" s="2">
        <v>43535.487951388888</v>
      </c>
      <c r="L1886" s="2">
        <v>43535.487951388888</v>
      </c>
      <c r="M1886" s="1">
        <f>_xlfn.DAYS(Table1[[#This Row],[actual_delivery_date]],Table1[[#This Row],[dispatch_date]])</f>
        <v>5</v>
      </c>
      <c r="N1886">
        <v>0</v>
      </c>
      <c r="O1886">
        <f>Table1[[#This Row],[transit_storage_cost]] * (1-'What -if Analysis'!$D$26)</f>
        <v>0</v>
      </c>
      <c r="P1886">
        <v>108</v>
      </c>
      <c r="Q1886">
        <v>3025</v>
      </c>
    </row>
    <row r="1887" spans="1:17" x14ac:dyDescent="0.3">
      <c r="A1887">
        <v>242170</v>
      </c>
      <c r="B1887" s="1" t="s">
        <v>38</v>
      </c>
      <c r="C1887" s="1" t="s">
        <v>16</v>
      </c>
      <c r="D1887" s="1" t="s">
        <v>17</v>
      </c>
      <c r="E1887" s="1" t="s">
        <v>18</v>
      </c>
      <c r="F1887" s="1" t="s">
        <v>31</v>
      </c>
      <c r="G1887" s="1" t="s">
        <v>20</v>
      </c>
      <c r="H1887" t="s">
        <v>21</v>
      </c>
      <c r="I1887" s="1" t="s">
        <v>22</v>
      </c>
      <c r="J1887" s="2">
        <v>43531.49559027778</v>
      </c>
      <c r="K1887" s="2">
        <v>43535.49559027778</v>
      </c>
      <c r="L1887" s="2">
        <v>43537.49559027778</v>
      </c>
      <c r="M1887" s="1">
        <f>_xlfn.DAYS(Table1[[#This Row],[actual_delivery_date]],Table1[[#This Row],[dispatch_date]])</f>
        <v>4</v>
      </c>
      <c r="N1887">
        <v>30</v>
      </c>
      <c r="O1887">
        <f>Table1[[#This Row],[transit_storage_cost]] * (1-'What -if Analysis'!$D$26)</f>
        <v>30</v>
      </c>
      <c r="P1887">
        <v>112</v>
      </c>
      <c r="Q1887">
        <v>2628.0965546371231</v>
      </c>
    </row>
    <row r="1888" spans="1:17" x14ac:dyDescent="0.3">
      <c r="A1888">
        <v>753016</v>
      </c>
      <c r="B1888" s="1" t="s">
        <v>38</v>
      </c>
      <c r="C1888" s="1" t="s">
        <v>23</v>
      </c>
      <c r="D1888" s="1" t="s">
        <v>16</v>
      </c>
      <c r="E1888" s="1" t="s">
        <v>27</v>
      </c>
      <c r="F1888" s="1" t="s">
        <v>19</v>
      </c>
      <c r="G1888" s="1" t="s">
        <v>20</v>
      </c>
      <c r="H1888" t="s">
        <v>21</v>
      </c>
      <c r="I1888" s="1" t="s">
        <v>22</v>
      </c>
      <c r="J1888" s="2">
        <v>43533.499189814815</v>
      </c>
      <c r="K1888" s="2">
        <v>43535.499189814815</v>
      </c>
      <c r="L1888" s="2">
        <v>43536.499189814815</v>
      </c>
      <c r="M1888" s="1">
        <f>_xlfn.DAYS(Table1[[#This Row],[actual_delivery_date]],Table1[[#This Row],[dispatch_date]])</f>
        <v>2</v>
      </c>
      <c r="N1888">
        <v>31</v>
      </c>
      <c r="O1888">
        <f>Table1[[#This Row],[transit_storage_cost]] * (1-'What -if Analysis'!$D$26)</f>
        <v>31</v>
      </c>
      <c r="P1888">
        <v>121</v>
      </c>
      <c r="Q1888">
        <v>2080</v>
      </c>
    </row>
    <row r="1889" spans="1:17" x14ac:dyDescent="0.3">
      <c r="A1889">
        <v>836375</v>
      </c>
      <c r="B1889" s="1" t="s">
        <v>37</v>
      </c>
      <c r="C1889" s="1" t="s">
        <v>23</v>
      </c>
      <c r="D1889" s="1" t="s">
        <v>17</v>
      </c>
      <c r="E1889" s="1" t="s">
        <v>18</v>
      </c>
      <c r="F1889" s="1" t="s">
        <v>19</v>
      </c>
      <c r="G1889" s="1" t="s">
        <v>20</v>
      </c>
      <c r="H1889" t="s">
        <v>30</v>
      </c>
      <c r="I1889" s="1" t="s">
        <v>22</v>
      </c>
      <c r="J1889" s="2">
        <v>43533.500555555554</v>
      </c>
      <c r="K1889" s="2">
        <v>43535.500555555554</v>
      </c>
      <c r="L1889" s="2">
        <v>43536.500555555554</v>
      </c>
      <c r="M1889" s="1">
        <f>_xlfn.DAYS(Table1[[#This Row],[actual_delivery_date]],Table1[[#This Row],[dispatch_date]])</f>
        <v>2</v>
      </c>
      <c r="N1889">
        <v>62</v>
      </c>
      <c r="O1889">
        <f>Table1[[#This Row],[transit_storage_cost]] * (1-'What -if Analysis'!$D$26)</f>
        <v>62</v>
      </c>
      <c r="P1889">
        <v>85</v>
      </c>
      <c r="Q1889">
        <v>1873.571431860433</v>
      </c>
    </row>
    <row r="1890" spans="1:17" x14ac:dyDescent="0.3">
      <c r="A1890">
        <v>526961</v>
      </c>
      <c r="B1890" s="1" t="s">
        <v>15</v>
      </c>
      <c r="C1890" s="1" t="s">
        <v>16</v>
      </c>
      <c r="D1890" s="1" t="s">
        <v>23</v>
      </c>
      <c r="E1890" s="1" t="s">
        <v>28</v>
      </c>
      <c r="F1890" s="1" t="s">
        <v>29</v>
      </c>
      <c r="G1890" s="1" t="s">
        <v>20</v>
      </c>
      <c r="H1890" t="s">
        <v>30</v>
      </c>
      <c r="I1890" s="1" t="s">
        <v>22</v>
      </c>
      <c r="J1890" s="2">
        <v>43525.501192129632</v>
      </c>
      <c r="K1890" s="2">
        <v>43535.501192129632</v>
      </c>
      <c r="L1890" s="2">
        <v>43530.501192129632</v>
      </c>
      <c r="M1890" s="1">
        <f>_xlfn.DAYS(Table1[[#This Row],[actual_delivery_date]],Table1[[#This Row],[dispatch_date]])</f>
        <v>10</v>
      </c>
      <c r="N1890">
        <v>37</v>
      </c>
      <c r="O1890">
        <f>Table1[[#This Row],[transit_storage_cost]] * (1-'What -if Analysis'!$D$26)</f>
        <v>37</v>
      </c>
      <c r="P1890">
        <v>124</v>
      </c>
      <c r="Q1890">
        <v>625.97619877023499</v>
      </c>
    </row>
    <row r="1891" spans="1:17" x14ac:dyDescent="0.3">
      <c r="A1891">
        <v>867967</v>
      </c>
      <c r="B1891" s="1" t="s">
        <v>37</v>
      </c>
      <c r="C1891" s="1" t="s">
        <v>16</v>
      </c>
      <c r="D1891" s="1" t="s">
        <v>23</v>
      </c>
      <c r="E1891" s="1" t="s">
        <v>28</v>
      </c>
      <c r="F1891" s="1" t="s">
        <v>19</v>
      </c>
      <c r="G1891" s="1" t="s">
        <v>20</v>
      </c>
      <c r="H1891" t="s">
        <v>30</v>
      </c>
      <c r="I1891" s="1" t="s">
        <v>22</v>
      </c>
      <c r="J1891" s="2">
        <v>43532.502708333333</v>
      </c>
      <c r="K1891" s="2">
        <v>43535.502708333333</v>
      </c>
      <c r="L1891" s="2">
        <v>43537.502708333333</v>
      </c>
      <c r="M1891" s="1">
        <f>_xlfn.DAYS(Table1[[#This Row],[actual_delivery_date]],Table1[[#This Row],[dispatch_date]])</f>
        <v>3</v>
      </c>
      <c r="N1891">
        <v>84</v>
      </c>
      <c r="O1891">
        <f>Table1[[#This Row],[transit_storage_cost]] * (1-'What -if Analysis'!$D$26)</f>
        <v>84</v>
      </c>
      <c r="P1891">
        <v>106</v>
      </c>
      <c r="Q1891">
        <v>1392.4696144624843</v>
      </c>
    </row>
    <row r="1892" spans="1:17" x14ac:dyDescent="0.3">
      <c r="A1892">
        <v>209728</v>
      </c>
      <c r="B1892" s="1" t="s">
        <v>41</v>
      </c>
      <c r="C1892" s="1" t="s">
        <v>23</v>
      </c>
      <c r="D1892" s="1" t="s">
        <v>32</v>
      </c>
      <c r="E1892" s="1" t="s">
        <v>33</v>
      </c>
      <c r="F1892" s="1" t="s">
        <v>19</v>
      </c>
      <c r="G1892" s="1" t="s">
        <v>20</v>
      </c>
      <c r="H1892" t="s">
        <v>21</v>
      </c>
      <c r="I1892" s="1" t="s">
        <v>22</v>
      </c>
      <c r="J1892" s="2">
        <v>43532.506423611114</v>
      </c>
      <c r="K1892" s="2">
        <v>43535.506423611114</v>
      </c>
      <c r="L1892" s="2">
        <v>43536.506423611114</v>
      </c>
      <c r="M1892" s="1">
        <f>_xlfn.DAYS(Table1[[#This Row],[actual_delivery_date]],Table1[[#This Row],[dispatch_date]])</f>
        <v>3</v>
      </c>
      <c r="N1892">
        <v>48</v>
      </c>
      <c r="O1892">
        <f>Table1[[#This Row],[transit_storage_cost]] * (1-'What -if Analysis'!$D$26)</f>
        <v>48</v>
      </c>
      <c r="P1892">
        <v>112</v>
      </c>
      <c r="Q1892">
        <v>787.38422857828493</v>
      </c>
    </row>
    <row r="1893" spans="1:17" x14ac:dyDescent="0.3">
      <c r="A1893">
        <v>798001</v>
      </c>
      <c r="B1893" s="1" t="s">
        <v>40</v>
      </c>
      <c r="C1893" s="1" t="s">
        <v>23</v>
      </c>
      <c r="D1893" s="1" t="s">
        <v>23</v>
      </c>
      <c r="E1893" s="1" t="s">
        <v>28</v>
      </c>
      <c r="F1893" s="1" t="s">
        <v>29</v>
      </c>
      <c r="G1893" s="1" t="s">
        <v>20</v>
      </c>
      <c r="H1893" t="s">
        <v>30</v>
      </c>
      <c r="I1893" s="1" t="s">
        <v>22</v>
      </c>
      <c r="J1893" s="2">
        <v>43530.509722222225</v>
      </c>
      <c r="K1893" s="2">
        <v>43535.509722222225</v>
      </c>
      <c r="L1893" s="2">
        <v>43536.509722222225</v>
      </c>
      <c r="M1893" s="1">
        <f>_xlfn.DAYS(Table1[[#This Row],[actual_delivery_date]],Table1[[#This Row],[dispatch_date]])</f>
        <v>5</v>
      </c>
      <c r="N1893">
        <v>0</v>
      </c>
      <c r="O1893">
        <f>Table1[[#This Row],[transit_storage_cost]] * (1-'What -if Analysis'!$D$26)</f>
        <v>0</v>
      </c>
      <c r="P1893">
        <v>121</v>
      </c>
      <c r="Q1893">
        <v>1507.6566876385966</v>
      </c>
    </row>
    <row r="1894" spans="1:17" x14ac:dyDescent="0.3">
      <c r="A1894">
        <v>170086</v>
      </c>
      <c r="B1894" s="1" t="s">
        <v>39</v>
      </c>
      <c r="C1894" s="1" t="s">
        <v>16</v>
      </c>
      <c r="D1894" s="1" t="s">
        <v>16</v>
      </c>
      <c r="E1894" s="1" t="s">
        <v>27</v>
      </c>
      <c r="F1894" s="1" t="s">
        <v>31</v>
      </c>
      <c r="G1894" s="1" t="s">
        <v>20</v>
      </c>
      <c r="H1894" t="s">
        <v>21</v>
      </c>
      <c r="I1894" s="1" t="s">
        <v>22</v>
      </c>
      <c r="J1894" s="2">
        <v>43529.51222222222</v>
      </c>
      <c r="K1894" s="2">
        <v>43535.51222222222</v>
      </c>
      <c r="L1894" s="2">
        <v>43533.51222222222</v>
      </c>
      <c r="M1894" s="1">
        <f>_xlfn.DAYS(Table1[[#This Row],[actual_delivery_date]],Table1[[#This Row],[dispatch_date]])</f>
        <v>6</v>
      </c>
      <c r="N1894">
        <v>0</v>
      </c>
      <c r="O1894">
        <f>Table1[[#This Row],[transit_storage_cost]] * (1-'What -if Analysis'!$D$26)</f>
        <v>0</v>
      </c>
      <c r="P1894">
        <v>123</v>
      </c>
      <c r="Q1894">
        <v>1149.3304718659133</v>
      </c>
    </row>
    <row r="1895" spans="1:17" x14ac:dyDescent="0.3">
      <c r="A1895">
        <v>538690</v>
      </c>
      <c r="B1895" s="1" t="s">
        <v>41</v>
      </c>
      <c r="C1895" s="1" t="s">
        <v>16</v>
      </c>
      <c r="D1895" s="1" t="s">
        <v>16</v>
      </c>
      <c r="E1895" s="1" t="s">
        <v>27</v>
      </c>
      <c r="F1895" s="1" t="s">
        <v>31</v>
      </c>
      <c r="G1895" s="1" t="s">
        <v>20</v>
      </c>
      <c r="H1895" t="s">
        <v>21</v>
      </c>
      <c r="I1895" s="1" t="s">
        <v>22</v>
      </c>
      <c r="J1895" s="2">
        <v>43529.513321759259</v>
      </c>
      <c r="K1895" s="2">
        <v>43535.513321759259</v>
      </c>
      <c r="L1895" s="2">
        <v>43535.513321759259</v>
      </c>
      <c r="M1895" s="1">
        <f>_xlfn.DAYS(Table1[[#This Row],[actual_delivery_date]],Table1[[#This Row],[dispatch_date]])</f>
        <v>6</v>
      </c>
      <c r="N1895">
        <v>0</v>
      </c>
      <c r="O1895">
        <f>Table1[[#This Row],[transit_storage_cost]] * (1-'What -if Analysis'!$D$26)</f>
        <v>0</v>
      </c>
      <c r="P1895">
        <v>124</v>
      </c>
      <c r="Q1895">
        <v>1244.6167676901241</v>
      </c>
    </row>
    <row r="1896" spans="1:17" x14ac:dyDescent="0.3">
      <c r="A1896">
        <v>623666</v>
      </c>
      <c r="B1896" s="1" t="s">
        <v>38</v>
      </c>
      <c r="C1896" s="1" t="s">
        <v>16</v>
      </c>
      <c r="D1896" s="1" t="s">
        <v>16</v>
      </c>
      <c r="E1896" s="1" t="s">
        <v>27</v>
      </c>
      <c r="F1896" s="1" t="s">
        <v>31</v>
      </c>
      <c r="G1896" s="1" t="s">
        <v>20</v>
      </c>
      <c r="H1896" t="s">
        <v>21</v>
      </c>
      <c r="I1896" s="1" t="s">
        <v>22</v>
      </c>
      <c r="J1896" s="2">
        <v>43528.514016203706</v>
      </c>
      <c r="K1896" s="2">
        <v>43535.514016203706</v>
      </c>
      <c r="L1896" s="2">
        <v>43531.514016203706</v>
      </c>
      <c r="M1896" s="1">
        <f>_xlfn.DAYS(Table1[[#This Row],[actual_delivery_date]],Table1[[#This Row],[dispatch_date]])</f>
        <v>7</v>
      </c>
      <c r="N1896">
        <v>0</v>
      </c>
      <c r="O1896">
        <f>Table1[[#This Row],[transit_storage_cost]] * (1-'What -if Analysis'!$D$26)</f>
        <v>0</v>
      </c>
      <c r="P1896">
        <v>122</v>
      </c>
      <c r="Q1896">
        <v>1841.661675933952</v>
      </c>
    </row>
    <row r="1897" spans="1:17" x14ac:dyDescent="0.3">
      <c r="A1897">
        <v>827669</v>
      </c>
      <c r="B1897" s="1" t="s">
        <v>37</v>
      </c>
      <c r="C1897" s="1" t="s">
        <v>16</v>
      </c>
      <c r="D1897" s="1" t="s">
        <v>16</v>
      </c>
      <c r="E1897" s="1" t="s">
        <v>27</v>
      </c>
      <c r="F1897" s="1" t="s">
        <v>29</v>
      </c>
      <c r="G1897" s="1" t="s">
        <v>20</v>
      </c>
      <c r="H1897" t="s">
        <v>30</v>
      </c>
      <c r="I1897" s="1" t="s">
        <v>22</v>
      </c>
      <c r="J1897" s="2">
        <v>43529.520335648151</v>
      </c>
      <c r="K1897" s="2">
        <v>43535.520335648151</v>
      </c>
      <c r="L1897" s="2">
        <v>43535.520335648151</v>
      </c>
      <c r="M1897" s="1">
        <f>_xlfn.DAYS(Table1[[#This Row],[actual_delivery_date]],Table1[[#This Row],[dispatch_date]])</f>
        <v>6</v>
      </c>
      <c r="N1897">
        <v>0</v>
      </c>
      <c r="O1897">
        <f>Table1[[#This Row],[transit_storage_cost]] * (1-'What -if Analysis'!$D$26)</f>
        <v>0</v>
      </c>
      <c r="P1897">
        <v>129</v>
      </c>
      <c r="Q1897">
        <v>1332.470385253195</v>
      </c>
    </row>
    <row r="1898" spans="1:17" x14ac:dyDescent="0.3">
      <c r="A1898">
        <v>846794</v>
      </c>
      <c r="B1898" s="1" t="s">
        <v>37</v>
      </c>
      <c r="C1898" s="1" t="s">
        <v>16</v>
      </c>
      <c r="D1898" s="1" t="s">
        <v>17</v>
      </c>
      <c r="E1898" s="1" t="s">
        <v>18</v>
      </c>
      <c r="F1898" s="1" t="s">
        <v>31</v>
      </c>
      <c r="G1898" s="1" t="s">
        <v>20</v>
      </c>
      <c r="H1898" t="s">
        <v>21</v>
      </c>
      <c r="I1898" s="1" t="s">
        <v>22</v>
      </c>
      <c r="J1898" s="2">
        <v>43531.520555555559</v>
      </c>
      <c r="K1898" s="2">
        <v>43535.520555555559</v>
      </c>
      <c r="L1898" s="2">
        <v>43537.520555555559</v>
      </c>
      <c r="M1898" s="1">
        <f>_xlfn.DAYS(Table1[[#This Row],[actual_delivery_date]],Table1[[#This Row],[dispatch_date]])</f>
        <v>4</v>
      </c>
      <c r="N1898">
        <v>34</v>
      </c>
      <c r="O1898">
        <f>Table1[[#This Row],[transit_storage_cost]] * (1-'What -if Analysis'!$D$26)</f>
        <v>34</v>
      </c>
      <c r="P1898">
        <v>107</v>
      </c>
      <c r="Q1898">
        <v>3185</v>
      </c>
    </row>
    <row r="1899" spans="1:17" x14ac:dyDescent="0.3">
      <c r="A1899">
        <v>200622</v>
      </c>
      <c r="B1899" s="1" t="s">
        <v>37</v>
      </c>
      <c r="C1899" s="1" t="s">
        <v>16</v>
      </c>
      <c r="D1899" s="1" t="s">
        <v>23</v>
      </c>
      <c r="E1899" s="1" t="s">
        <v>28</v>
      </c>
      <c r="F1899" s="1" t="s">
        <v>31</v>
      </c>
      <c r="G1899" s="1" t="s">
        <v>20</v>
      </c>
      <c r="H1899" t="s">
        <v>21</v>
      </c>
      <c r="I1899" s="1" t="s">
        <v>26</v>
      </c>
      <c r="J1899" s="2">
        <v>43525.526666666665</v>
      </c>
      <c r="K1899" s="2">
        <v>43535.526666666665</v>
      </c>
      <c r="L1899" s="2">
        <v>43532.526666666665</v>
      </c>
      <c r="M1899" s="1">
        <f>_xlfn.DAYS(Table1[[#This Row],[actual_delivery_date]],Table1[[#This Row],[dispatch_date]])</f>
        <v>10</v>
      </c>
      <c r="N1899">
        <v>37</v>
      </c>
      <c r="O1899">
        <f>Table1[[#This Row],[transit_storage_cost]] * (1-'What -if Analysis'!$D$26)</f>
        <v>37</v>
      </c>
      <c r="P1899">
        <v>126</v>
      </c>
      <c r="Q1899">
        <v>767.49</v>
      </c>
    </row>
    <row r="1900" spans="1:17" x14ac:dyDescent="0.3">
      <c r="A1900">
        <v>137068</v>
      </c>
      <c r="B1900" s="1" t="s">
        <v>38</v>
      </c>
      <c r="C1900" s="1" t="s">
        <v>23</v>
      </c>
      <c r="D1900" s="1" t="s">
        <v>16</v>
      </c>
      <c r="E1900" s="1" t="s">
        <v>27</v>
      </c>
      <c r="F1900" s="1" t="s">
        <v>19</v>
      </c>
      <c r="G1900" s="1" t="s">
        <v>20</v>
      </c>
      <c r="H1900" t="s">
        <v>21</v>
      </c>
      <c r="I1900" s="1" t="s">
        <v>22</v>
      </c>
      <c r="J1900" s="2">
        <v>43530.531099537038</v>
      </c>
      <c r="K1900" s="2">
        <v>43535.531099537038</v>
      </c>
      <c r="L1900" s="2">
        <v>43536.531099537038</v>
      </c>
      <c r="M1900" s="1">
        <f>_xlfn.DAYS(Table1[[#This Row],[actual_delivery_date]],Table1[[#This Row],[dispatch_date]])</f>
        <v>5</v>
      </c>
      <c r="N1900">
        <v>47</v>
      </c>
      <c r="O1900">
        <f>Table1[[#This Row],[transit_storage_cost]] * (1-'What -if Analysis'!$D$26)</f>
        <v>47</v>
      </c>
      <c r="P1900">
        <v>126</v>
      </c>
      <c r="Q1900">
        <v>552.04671408808031</v>
      </c>
    </row>
    <row r="1901" spans="1:17" x14ac:dyDescent="0.3">
      <c r="A1901">
        <v>218357</v>
      </c>
      <c r="B1901" s="1" t="s">
        <v>38</v>
      </c>
      <c r="C1901" s="1" t="s">
        <v>16</v>
      </c>
      <c r="D1901" s="1" t="s">
        <v>32</v>
      </c>
      <c r="E1901" s="1" t="s">
        <v>33</v>
      </c>
      <c r="F1901" s="1" t="s">
        <v>29</v>
      </c>
      <c r="G1901" s="1" t="s">
        <v>20</v>
      </c>
      <c r="H1901" t="s">
        <v>30</v>
      </c>
      <c r="I1901" s="1" t="s">
        <v>22</v>
      </c>
      <c r="J1901" s="2">
        <v>43528.534120370372</v>
      </c>
      <c r="K1901" s="2">
        <v>43535.534120370372</v>
      </c>
      <c r="L1901" s="2">
        <v>43534.534120370372</v>
      </c>
      <c r="M1901" s="1">
        <f>_xlfn.DAYS(Table1[[#This Row],[actual_delivery_date]],Table1[[#This Row],[dispatch_date]])</f>
        <v>7</v>
      </c>
      <c r="N1901">
        <v>48</v>
      </c>
      <c r="O1901">
        <f>Table1[[#This Row],[transit_storage_cost]] * (1-'What -if Analysis'!$D$26)</f>
        <v>48</v>
      </c>
      <c r="P1901">
        <v>113</v>
      </c>
      <c r="Q1901">
        <v>2384.808204209894</v>
      </c>
    </row>
    <row r="1902" spans="1:17" x14ac:dyDescent="0.3">
      <c r="A1902">
        <v>692335</v>
      </c>
      <c r="B1902" s="1" t="s">
        <v>15</v>
      </c>
      <c r="C1902" s="1" t="s">
        <v>23</v>
      </c>
      <c r="D1902" s="1" t="s">
        <v>32</v>
      </c>
      <c r="E1902" s="1" t="s">
        <v>33</v>
      </c>
      <c r="F1902" s="1" t="s">
        <v>19</v>
      </c>
      <c r="G1902" s="1" t="s">
        <v>20</v>
      </c>
      <c r="H1902" t="s">
        <v>34</v>
      </c>
      <c r="I1902" s="1" t="s">
        <v>22</v>
      </c>
      <c r="J1902" s="2">
        <v>43527.536030092589</v>
      </c>
      <c r="K1902" s="2">
        <v>43535.536030092589</v>
      </c>
      <c r="L1902" s="2">
        <v>43533.536030092589</v>
      </c>
      <c r="M1902" s="1">
        <f>_xlfn.DAYS(Table1[[#This Row],[actual_delivery_date]],Table1[[#This Row],[dispatch_date]])</f>
        <v>8</v>
      </c>
      <c r="N1902">
        <v>69</v>
      </c>
      <c r="O1902">
        <f>Table1[[#This Row],[transit_storage_cost]] * (1-'What -if Analysis'!$D$26)</f>
        <v>69</v>
      </c>
      <c r="P1902">
        <v>85</v>
      </c>
      <c r="Q1902">
        <v>1397.4424989093272</v>
      </c>
    </row>
    <row r="1903" spans="1:17" x14ac:dyDescent="0.3">
      <c r="A1903">
        <v>16439</v>
      </c>
      <c r="B1903" s="1" t="s">
        <v>41</v>
      </c>
      <c r="C1903" s="1" t="s">
        <v>23</v>
      </c>
      <c r="D1903" s="1" t="s">
        <v>23</v>
      </c>
      <c r="E1903" s="1" t="s">
        <v>28</v>
      </c>
      <c r="F1903" s="1" t="s">
        <v>29</v>
      </c>
      <c r="G1903" s="1" t="s">
        <v>20</v>
      </c>
      <c r="H1903" t="s">
        <v>30</v>
      </c>
      <c r="I1903" s="1" t="s">
        <v>22</v>
      </c>
      <c r="J1903" s="2">
        <v>43532.53628472222</v>
      </c>
      <c r="K1903" s="2">
        <v>43535.53628472222</v>
      </c>
      <c r="L1903" s="2">
        <v>43536.53628472222</v>
      </c>
      <c r="M1903" s="1">
        <f>_xlfn.DAYS(Table1[[#This Row],[actual_delivery_date]],Table1[[#This Row],[dispatch_date]])</f>
        <v>3</v>
      </c>
      <c r="N1903">
        <v>0</v>
      </c>
      <c r="O1903">
        <f>Table1[[#This Row],[transit_storage_cost]] * (1-'What -if Analysis'!$D$26)</f>
        <v>0</v>
      </c>
      <c r="P1903">
        <v>123</v>
      </c>
      <c r="Q1903">
        <v>1088.1108848195945</v>
      </c>
    </row>
    <row r="1904" spans="1:17" x14ac:dyDescent="0.3">
      <c r="A1904">
        <v>551237</v>
      </c>
      <c r="B1904" s="1" t="s">
        <v>38</v>
      </c>
      <c r="C1904" s="1" t="s">
        <v>23</v>
      </c>
      <c r="D1904" s="1" t="s">
        <v>16</v>
      </c>
      <c r="E1904" s="1" t="s">
        <v>27</v>
      </c>
      <c r="F1904" s="1" t="s">
        <v>19</v>
      </c>
      <c r="G1904" s="1" t="s">
        <v>20</v>
      </c>
      <c r="H1904" t="s">
        <v>30</v>
      </c>
      <c r="I1904" s="1" t="s">
        <v>22</v>
      </c>
      <c r="J1904" s="2">
        <v>43533.538344907407</v>
      </c>
      <c r="K1904" s="2">
        <v>43535.538344907407</v>
      </c>
      <c r="L1904" s="2">
        <v>43540.538344907407</v>
      </c>
      <c r="M1904" s="1">
        <f>_xlfn.DAYS(Table1[[#This Row],[actual_delivery_date]],Table1[[#This Row],[dispatch_date]])</f>
        <v>2</v>
      </c>
      <c r="N1904">
        <v>59</v>
      </c>
      <c r="O1904">
        <f>Table1[[#This Row],[transit_storage_cost]] * (1-'What -if Analysis'!$D$26)</f>
        <v>59</v>
      </c>
      <c r="P1904">
        <v>108</v>
      </c>
      <c r="Q1904">
        <v>3487.137218713212</v>
      </c>
    </row>
    <row r="1905" spans="1:17" x14ac:dyDescent="0.3">
      <c r="A1905">
        <v>605656</v>
      </c>
      <c r="B1905" s="1" t="s">
        <v>39</v>
      </c>
      <c r="C1905" s="1" t="s">
        <v>16</v>
      </c>
      <c r="D1905" s="1" t="s">
        <v>17</v>
      </c>
      <c r="E1905" s="1" t="s">
        <v>18</v>
      </c>
      <c r="F1905" s="1" t="s">
        <v>19</v>
      </c>
      <c r="G1905" s="1" t="s">
        <v>20</v>
      </c>
      <c r="H1905" t="s">
        <v>21</v>
      </c>
      <c r="I1905" s="1" t="s">
        <v>22</v>
      </c>
      <c r="J1905" s="2">
        <v>43533.539236111108</v>
      </c>
      <c r="K1905" s="2">
        <v>43535.539236111108</v>
      </c>
      <c r="L1905" s="2">
        <v>43538.539236111108</v>
      </c>
      <c r="M1905" s="1">
        <f>_xlfn.DAYS(Table1[[#This Row],[actual_delivery_date]],Table1[[#This Row],[dispatch_date]])</f>
        <v>2</v>
      </c>
      <c r="N1905">
        <v>37</v>
      </c>
      <c r="O1905">
        <f>Table1[[#This Row],[transit_storage_cost]] * (1-'What -if Analysis'!$D$26)</f>
        <v>37</v>
      </c>
      <c r="P1905">
        <v>112</v>
      </c>
      <c r="Q1905">
        <v>3528.2684148994631</v>
      </c>
    </row>
    <row r="1906" spans="1:17" x14ac:dyDescent="0.3">
      <c r="A1906">
        <v>103221</v>
      </c>
      <c r="B1906" s="1" t="s">
        <v>39</v>
      </c>
      <c r="C1906" s="1" t="s">
        <v>23</v>
      </c>
      <c r="D1906" s="1" t="s">
        <v>24</v>
      </c>
      <c r="E1906" s="1" t="s">
        <v>25</v>
      </c>
      <c r="F1906" s="1" t="s">
        <v>29</v>
      </c>
      <c r="G1906" s="1" t="s">
        <v>20</v>
      </c>
      <c r="H1906" t="s">
        <v>30</v>
      </c>
      <c r="I1906" s="1" t="s">
        <v>26</v>
      </c>
      <c r="J1906" s="2">
        <v>43533.545034722221</v>
      </c>
      <c r="K1906" s="2">
        <v>43535.545034722221</v>
      </c>
      <c r="L1906" s="2">
        <v>43538.545034722221</v>
      </c>
      <c r="M1906" s="1">
        <f>_xlfn.DAYS(Table1[[#This Row],[actual_delivery_date]],Table1[[#This Row],[dispatch_date]])</f>
        <v>2</v>
      </c>
      <c r="N1906">
        <v>39</v>
      </c>
      <c r="O1906">
        <f>Table1[[#This Row],[transit_storage_cost]] * (1-'What -if Analysis'!$D$26)</f>
        <v>39</v>
      </c>
      <c r="P1906">
        <v>121</v>
      </c>
      <c r="Q1906">
        <v>1771.5553262919061</v>
      </c>
    </row>
    <row r="1907" spans="1:17" x14ac:dyDescent="0.3">
      <c r="A1907">
        <v>91820</v>
      </c>
      <c r="B1907" s="1" t="s">
        <v>15</v>
      </c>
      <c r="C1907" s="1" t="s">
        <v>16</v>
      </c>
      <c r="D1907" s="1" t="s">
        <v>17</v>
      </c>
      <c r="E1907" s="1" t="s">
        <v>18</v>
      </c>
      <c r="F1907" s="1" t="s">
        <v>19</v>
      </c>
      <c r="G1907" s="1" t="s">
        <v>20</v>
      </c>
      <c r="H1907" t="s">
        <v>21</v>
      </c>
      <c r="I1907" s="1" t="s">
        <v>22</v>
      </c>
      <c r="J1907" s="2">
        <v>43529.557314814818</v>
      </c>
      <c r="K1907" s="2">
        <v>43535.557314814818</v>
      </c>
      <c r="L1907" s="2">
        <v>43533.557314814818</v>
      </c>
      <c r="M1907" s="1">
        <f>_xlfn.DAYS(Table1[[#This Row],[actual_delivery_date]],Table1[[#This Row],[dispatch_date]])</f>
        <v>6</v>
      </c>
      <c r="N1907">
        <v>41</v>
      </c>
      <c r="O1907">
        <f>Table1[[#This Row],[transit_storage_cost]] * (1-'What -if Analysis'!$D$26)</f>
        <v>41</v>
      </c>
      <c r="P1907">
        <v>107</v>
      </c>
      <c r="Q1907">
        <v>3333.1558797949551</v>
      </c>
    </row>
    <row r="1908" spans="1:17" x14ac:dyDescent="0.3">
      <c r="A1908">
        <v>363867</v>
      </c>
      <c r="B1908" s="1" t="s">
        <v>40</v>
      </c>
      <c r="C1908" s="1" t="s">
        <v>16</v>
      </c>
      <c r="D1908" s="1" t="s">
        <v>17</v>
      </c>
      <c r="E1908" s="1" t="s">
        <v>18</v>
      </c>
      <c r="F1908" s="1" t="s">
        <v>29</v>
      </c>
      <c r="G1908" s="1" t="s">
        <v>20</v>
      </c>
      <c r="H1908" t="s">
        <v>34</v>
      </c>
      <c r="I1908" s="1" t="s">
        <v>26</v>
      </c>
      <c r="J1908" s="2">
        <v>43527.558703703704</v>
      </c>
      <c r="K1908" s="2">
        <v>43535.558703703704</v>
      </c>
      <c r="L1908" s="2">
        <v>43534.558703703704</v>
      </c>
      <c r="M1908" s="1">
        <f>_xlfn.DAYS(Table1[[#This Row],[actual_delivery_date]],Table1[[#This Row],[dispatch_date]])</f>
        <v>8</v>
      </c>
      <c r="N1908">
        <v>48</v>
      </c>
      <c r="O1908">
        <f>Table1[[#This Row],[transit_storage_cost]] * (1-'What -if Analysis'!$D$26)</f>
        <v>48</v>
      </c>
      <c r="P1908">
        <v>109</v>
      </c>
      <c r="Q1908">
        <v>585.85</v>
      </c>
    </row>
    <row r="1909" spans="1:17" x14ac:dyDescent="0.3">
      <c r="A1909">
        <v>921714</v>
      </c>
      <c r="B1909" s="1" t="s">
        <v>37</v>
      </c>
      <c r="C1909" s="1" t="s">
        <v>16</v>
      </c>
      <c r="D1909" s="1" t="s">
        <v>17</v>
      </c>
      <c r="E1909" s="1" t="s">
        <v>18</v>
      </c>
      <c r="F1909" s="1" t="s">
        <v>31</v>
      </c>
      <c r="G1909" s="1" t="s">
        <v>20</v>
      </c>
      <c r="H1909" t="s">
        <v>21</v>
      </c>
      <c r="I1909" s="1" t="s">
        <v>26</v>
      </c>
      <c r="J1909" s="2">
        <v>43526.558981481481</v>
      </c>
      <c r="K1909" s="2">
        <v>43535.558981481481</v>
      </c>
      <c r="L1909" s="2">
        <v>43529.558981481481</v>
      </c>
      <c r="M1909" s="1">
        <f>_xlfn.DAYS(Table1[[#This Row],[actual_delivery_date]],Table1[[#This Row],[dispatch_date]])</f>
        <v>9</v>
      </c>
      <c r="N1909">
        <v>37</v>
      </c>
      <c r="O1909">
        <f>Table1[[#This Row],[transit_storage_cost]] * (1-'What -if Analysis'!$D$26)</f>
        <v>37</v>
      </c>
      <c r="P1909">
        <v>114</v>
      </c>
      <c r="Q1909">
        <v>3100.3</v>
      </c>
    </row>
    <row r="1910" spans="1:17" x14ac:dyDescent="0.3">
      <c r="A1910">
        <v>447305</v>
      </c>
      <c r="B1910" s="1" t="s">
        <v>39</v>
      </c>
      <c r="C1910" s="1" t="s">
        <v>16</v>
      </c>
      <c r="D1910" s="1" t="s">
        <v>16</v>
      </c>
      <c r="E1910" s="1" t="s">
        <v>27</v>
      </c>
      <c r="F1910" s="1" t="s">
        <v>19</v>
      </c>
      <c r="G1910" s="1" t="s">
        <v>20</v>
      </c>
      <c r="H1910" t="s">
        <v>30</v>
      </c>
      <c r="I1910" s="1" t="s">
        <v>22</v>
      </c>
      <c r="J1910" s="2">
        <v>43531.560798611114</v>
      </c>
      <c r="K1910" s="2">
        <v>43535.560798611114</v>
      </c>
      <c r="L1910" s="2">
        <v>43537.560798611114</v>
      </c>
      <c r="M1910" s="1">
        <f>_xlfn.DAYS(Table1[[#This Row],[actual_delivery_date]],Table1[[#This Row],[dispatch_date]])</f>
        <v>4</v>
      </c>
      <c r="N1910">
        <v>0</v>
      </c>
      <c r="O1910">
        <f>Table1[[#This Row],[transit_storage_cost]] * (1-'What -if Analysis'!$D$26)</f>
        <v>0</v>
      </c>
      <c r="P1910">
        <v>108</v>
      </c>
      <c r="Q1910">
        <v>424.12942129479688</v>
      </c>
    </row>
    <row r="1911" spans="1:17" x14ac:dyDescent="0.3">
      <c r="A1911">
        <v>572740</v>
      </c>
      <c r="B1911" s="1" t="s">
        <v>40</v>
      </c>
      <c r="C1911" s="1" t="s">
        <v>16</v>
      </c>
      <c r="D1911" s="1" t="s">
        <v>24</v>
      </c>
      <c r="E1911" s="1" t="s">
        <v>25</v>
      </c>
      <c r="F1911" s="1" t="s">
        <v>19</v>
      </c>
      <c r="G1911" s="1" t="s">
        <v>20</v>
      </c>
      <c r="H1911" t="s">
        <v>21</v>
      </c>
      <c r="I1911" s="1" t="s">
        <v>22</v>
      </c>
      <c r="J1911" s="2">
        <v>43530.564652777779</v>
      </c>
      <c r="K1911" s="2">
        <v>43535.564652777779</v>
      </c>
      <c r="L1911" s="2">
        <v>43535.564652777779</v>
      </c>
      <c r="M1911" s="1">
        <f>_xlfn.DAYS(Table1[[#This Row],[actual_delivery_date]],Table1[[#This Row],[dispatch_date]])</f>
        <v>5</v>
      </c>
      <c r="N1911">
        <v>30</v>
      </c>
      <c r="O1911">
        <f>Table1[[#This Row],[transit_storage_cost]] * (1-'What -if Analysis'!$D$26)</f>
        <v>30</v>
      </c>
      <c r="P1911">
        <v>125</v>
      </c>
      <c r="Q1911">
        <v>672.58550546665219</v>
      </c>
    </row>
    <row r="1912" spans="1:17" x14ac:dyDescent="0.3">
      <c r="A1912">
        <v>962105</v>
      </c>
      <c r="B1912" s="1" t="s">
        <v>40</v>
      </c>
      <c r="C1912" s="1" t="s">
        <v>16</v>
      </c>
      <c r="D1912" s="1" t="s">
        <v>23</v>
      </c>
      <c r="E1912" s="1" t="s">
        <v>28</v>
      </c>
      <c r="F1912" s="1" t="s">
        <v>19</v>
      </c>
      <c r="G1912" s="1" t="s">
        <v>20</v>
      </c>
      <c r="H1912" t="s">
        <v>30</v>
      </c>
      <c r="I1912" s="1" t="s">
        <v>22</v>
      </c>
      <c r="J1912" s="2">
        <v>43533.568437499998</v>
      </c>
      <c r="K1912" s="2">
        <v>43535.568437499998</v>
      </c>
      <c r="L1912" s="2">
        <v>43538.568437499998</v>
      </c>
      <c r="M1912" s="1">
        <f>_xlfn.DAYS(Table1[[#This Row],[actual_delivery_date]],Table1[[#This Row],[dispatch_date]])</f>
        <v>2</v>
      </c>
      <c r="N1912">
        <v>81</v>
      </c>
      <c r="O1912">
        <f>Table1[[#This Row],[transit_storage_cost]] * (1-'What -if Analysis'!$D$26)</f>
        <v>81</v>
      </c>
      <c r="P1912">
        <v>101</v>
      </c>
      <c r="Q1912">
        <v>2208.6202358549203</v>
      </c>
    </row>
    <row r="1913" spans="1:17" x14ac:dyDescent="0.3">
      <c r="A1913">
        <v>152986</v>
      </c>
      <c r="B1913" s="1" t="s">
        <v>39</v>
      </c>
      <c r="C1913" s="1" t="s">
        <v>23</v>
      </c>
      <c r="D1913" s="1" t="s">
        <v>23</v>
      </c>
      <c r="E1913" s="1" t="s">
        <v>28</v>
      </c>
      <c r="F1913" s="1" t="s">
        <v>31</v>
      </c>
      <c r="G1913" s="1" t="s">
        <v>20</v>
      </c>
      <c r="H1913" t="s">
        <v>21</v>
      </c>
      <c r="I1913" s="1" t="s">
        <v>22</v>
      </c>
      <c r="J1913" s="2">
        <v>43535.575752314813</v>
      </c>
      <c r="K1913" s="2">
        <v>43535.575752314813</v>
      </c>
      <c r="L1913" s="2">
        <v>43538.575752314813</v>
      </c>
      <c r="M1913" s="1">
        <f>_xlfn.DAYS(Table1[[#This Row],[actual_delivery_date]],Table1[[#This Row],[dispatch_date]])</f>
        <v>0</v>
      </c>
      <c r="N1913">
        <v>0</v>
      </c>
      <c r="O1913">
        <f>Table1[[#This Row],[transit_storage_cost]] * (1-'What -if Analysis'!$D$26)</f>
        <v>0</v>
      </c>
      <c r="P1913">
        <v>124</v>
      </c>
      <c r="Q1913">
        <v>2917.701830139546</v>
      </c>
    </row>
    <row r="1914" spans="1:17" x14ac:dyDescent="0.3">
      <c r="A1914">
        <v>79932</v>
      </c>
      <c r="B1914" s="1" t="s">
        <v>39</v>
      </c>
      <c r="C1914" s="1" t="s">
        <v>16</v>
      </c>
      <c r="D1914" s="1" t="s">
        <v>17</v>
      </c>
      <c r="E1914" s="1" t="s">
        <v>18</v>
      </c>
      <c r="F1914" s="1" t="s">
        <v>19</v>
      </c>
      <c r="G1914" s="1" t="s">
        <v>20</v>
      </c>
      <c r="H1914" t="s">
        <v>21</v>
      </c>
      <c r="I1914" s="1" t="s">
        <v>26</v>
      </c>
      <c r="J1914" s="2">
        <v>43529.578969907408</v>
      </c>
      <c r="K1914" s="2">
        <v>43535.578969907408</v>
      </c>
      <c r="L1914" s="2">
        <v>43536.578969907408</v>
      </c>
      <c r="M1914" s="1">
        <f>_xlfn.DAYS(Table1[[#This Row],[actual_delivery_date]],Table1[[#This Row],[dispatch_date]])</f>
        <v>6</v>
      </c>
      <c r="N1914">
        <v>37</v>
      </c>
      <c r="O1914">
        <f>Table1[[#This Row],[transit_storage_cost]] * (1-'What -if Analysis'!$D$26)</f>
        <v>37</v>
      </c>
      <c r="P1914">
        <v>115</v>
      </c>
      <c r="Q1914">
        <v>1899.89</v>
      </c>
    </row>
    <row r="1915" spans="1:17" x14ac:dyDescent="0.3">
      <c r="A1915">
        <v>194778</v>
      </c>
      <c r="B1915" s="1" t="s">
        <v>39</v>
      </c>
      <c r="C1915" s="1" t="s">
        <v>16</v>
      </c>
      <c r="D1915" s="1" t="s">
        <v>32</v>
      </c>
      <c r="E1915" s="1" t="s">
        <v>33</v>
      </c>
      <c r="F1915" s="1" t="s">
        <v>31</v>
      </c>
      <c r="G1915" s="1" t="s">
        <v>20</v>
      </c>
      <c r="H1915" t="s">
        <v>21</v>
      </c>
      <c r="I1915" s="1" t="s">
        <v>26</v>
      </c>
      <c r="J1915" s="2">
        <v>43530.579108796293</v>
      </c>
      <c r="K1915" s="2">
        <v>43535.579108796293</v>
      </c>
      <c r="L1915" s="2">
        <v>43533.579108796293</v>
      </c>
      <c r="M1915" s="1">
        <f>_xlfn.DAYS(Table1[[#This Row],[actual_delivery_date]],Table1[[#This Row],[dispatch_date]])</f>
        <v>5</v>
      </c>
      <c r="N1915">
        <v>26</v>
      </c>
      <c r="O1915">
        <f>Table1[[#This Row],[transit_storage_cost]] * (1-'What -if Analysis'!$D$26)</f>
        <v>26</v>
      </c>
      <c r="P1915">
        <v>115</v>
      </c>
      <c r="Q1915">
        <v>386.64313876506475</v>
      </c>
    </row>
    <row r="1916" spans="1:17" x14ac:dyDescent="0.3">
      <c r="A1916">
        <v>751709</v>
      </c>
      <c r="B1916" s="1" t="s">
        <v>38</v>
      </c>
      <c r="C1916" s="1" t="s">
        <v>23</v>
      </c>
      <c r="D1916" s="1" t="s">
        <v>17</v>
      </c>
      <c r="E1916" s="1" t="s">
        <v>18</v>
      </c>
      <c r="F1916" s="1" t="s">
        <v>29</v>
      </c>
      <c r="G1916" s="1" t="s">
        <v>20</v>
      </c>
      <c r="H1916" t="s">
        <v>34</v>
      </c>
      <c r="I1916" s="1" t="s">
        <v>22</v>
      </c>
      <c r="J1916" s="2">
        <v>43532.588194444441</v>
      </c>
      <c r="K1916" s="2">
        <v>43535.588194444441</v>
      </c>
      <c r="L1916" s="2">
        <v>43537.588194444441</v>
      </c>
      <c r="M1916" s="1">
        <f>_xlfn.DAYS(Table1[[#This Row],[actual_delivery_date]],Table1[[#This Row],[dispatch_date]])</f>
        <v>3</v>
      </c>
      <c r="N1916">
        <v>50</v>
      </c>
      <c r="O1916">
        <f>Table1[[#This Row],[transit_storage_cost]] * (1-'What -if Analysis'!$D$26)</f>
        <v>50</v>
      </c>
      <c r="P1916">
        <v>106</v>
      </c>
      <c r="Q1916">
        <v>426.77892339352718</v>
      </c>
    </row>
    <row r="1917" spans="1:17" x14ac:dyDescent="0.3">
      <c r="A1917">
        <v>396906</v>
      </c>
      <c r="B1917" s="1" t="s">
        <v>39</v>
      </c>
      <c r="C1917" s="1" t="s">
        <v>16</v>
      </c>
      <c r="D1917" s="1" t="s">
        <v>23</v>
      </c>
      <c r="E1917" s="1" t="s">
        <v>28</v>
      </c>
      <c r="F1917" s="1" t="s">
        <v>31</v>
      </c>
      <c r="G1917" s="1" t="s">
        <v>20</v>
      </c>
      <c r="H1917" t="s">
        <v>21</v>
      </c>
      <c r="I1917" s="1" t="s">
        <v>26</v>
      </c>
      <c r="J1917" s="2">
        <v>43526.597407407404</v>
      </c>
      <c r="K1917" s="2">
        <v>43535.597407407404</v>
      </c>
      <c r="L1917" s="2">
        <v>43531.597407407404</v>
      </c>
      <c r="M1917" s="1">
        <f>_xlfn.DAYS(Table1[[#This Row],[actual_delivery_date]],Table1[[#This Row],[dispatch_date]])</f>
        <v>9</v>
      </c>
      <c r="N1917">
        <v>50</v>
      </c>
      <c r="O1917">
        <f>Table1[[#This Row],[transit_storage_cost]] * (1-'What -if Analysis'!$D$26)</f>
        <v>50</v>
      </c>
      <c r="P1917">
        <v>123</v>
      </c>
      <c r="Q1917">
        <v>811.98</v>
      </c>
    </row>
    <row r="1918" spans="1:17" x14ac:dyDescent="0.3">
      <c r="A1918">
        <v>396777</v>
      </c>
      <c r="B1918" s="1" t="s">
        <v>39</v>
      </c>
      <c r="C1918" s="1" t="s">
        <v>16</v>
      </c>
      <c r="D1918" s="1" t="s">
        <v>16</v>
      </c>
      <c r="E1918" s="1" t="s">
        <v>27</v>
      </c>
      <c r="F1918" s="1" t="s">
        <v>29</v>
      </c>
      <c r="G1918" s="1" t="s">
        <v>20</v>
      </c>
      <c r="H1918" t="s">
        <v>30</v>
      </c>
      <c r="I1918" s="1" t="s">
        <v>26</v>
      </c>
      <c r="J1918" s="2">
        <v>43529.598946759259</v>
      </c>
      <c r="K1918" s="2">
        <v>43535.598946759259</v>
      </c>
      <c r="L1918" s="2">
        <v>43536.598946759259</v>
      </c>
      <c r="M1918" s="1">
        <f>_xlfn.DAYS(Table1[[#This Row],[actual_delivery_date]],Table1[[#This Row],[dispatch_date]])</f>
        <v>6</v>
      </c>
      <c r="N1918">
        <v>0</v>
      </c>
      <c r="O1918">
        <f>Table1[[#This Row],[transit_storage_cost]] * (1-'What -if Analysis'!$D$26)</f>
        <v>0</v>
      </c>
      <c r="P1918">
        <v>124</v>
      </c>
      <c r="Q1918">
        <v>2932.84</v>
      </c>
    </row>
    <row r="1919" spans="1:17" x14ac:dyDescent="0.3">
      <c r="A1919">
        <v>365857</v>
      </c>
      <c r="B1919" s="1" t="s">
        <v>38</v>
      </c>
      <c r="C1919" s="1" t="s">
        <v>16</v>
      </c>
      <c r="D1919" s="1" t="s">
        <v>23</v>
      </c>
      <c r="E1919" s="1" t="s">
        <v>28</v>
      </c>
      <c r="F1919" s="1" t="s">
        <v>29</v>
      </c>
      <c r="G1919" s="1" t="s">
        <v>20</v>
      </c>
      <c r="H1919" t="s">
        <v>30</v>
      </c>
      <c r="I1919" s="1" t="s">
        <v>22</v>
      </c>
      <c r="J1919" s="2">
        <v>43525.606550925928</v>
      </c>
      <c r="K1919" s="2">
        <v>43535.606550925928</v>
      </c>
      <c r="L1919" s="2">
        <v>43530.606550925928</v>
      </c>
      <c r="M1919" s="1">
        <f>_xlfn.DAYS(Table1[[#This Row],[actual_delivery_date]],Table1[[#This Row],[dispatch_date]])</f>
        <v>10</v>
      </c>
      <c r="N1919">
        <v>35</v>
      </c>
      <c r="O1919">
        <f>Table1[[#This Row],[transit_storage_cost]] * (1-'What -if Analysis'!$D$26)</f>
        <v>35</v>
      </c>
      <c r="P1919">
        <v>124</v>
      </c>
      <c r="Q1919">
        <v>3726.8285981350464</v>
      </c>
    </row>
    <row r="1920" spans="1:17" x14ac:dyDescent="0.3">
      <c r="A1920">
        <v>83186</v>
      </c>
      <c r="B1920" s="1" t="s">
        <v>15</v>
      </c>
      <c r="C1920" s="1" t="s">
        <v>16</v>
      </c>
      <c r="D1920" s="1" t="s">
        <v>17</v>
      </c>
      <c r="E1920" s="1" t="s">
        <v>18</v>
      </c>
      <c r="F1920" s="1" t="s">
        <v>31</v>
      </c>
      <c r="G1920" s="1" t="s">
        <v>20</v>
      </c>
      <c r="H1920" t="s">
        <v>21</v>
      </c>
      <c r="I1920" s="1" t="s">
        <v>22</v>
      </c>
      <c r="J1920" s="2">
        <v>43527.608124999999</v>
      </c>
      <c r="K1920" s="2">
        <v>43535.608124999999</v>
      </c>
      <c r="L1920" s="2">
        <v>43530.608124999999</v>
      </c>
      <c r="M1920" s="1">
        <f>_xlfn.DAYS(Table1[[#This Row],[actual_delivery_date]],Table1[[#This Row],[dispatch_date]])</f>
        <v>8</v>
      </c>
      <c r="N1920">
        <v>45</v>
      </c>
      <c r="O1920">
        <f>Table1[[#This Row],[transit_storage_cost]] * (1-'What -if Analysis'!$D$26)</f>
        <v>45</v>
      </c>
      <c r="P1920">
        <v>106</v>
      </c>
      <c r="Q1920">
        <v>3605.5118084379433</v>
      </c>
    </row>
    <row r="1921" spans="1:17" x14ac:dyDescent="0.3">
      <c r="A1921">
        <v>153647</v>
      </c>
      <c r="B1921" s="1" t="s">
        <v>40</v>
      </c>
      <c r="C1921" s="1" t="s">
        <v>16</v>
      </c>
      <c r="D1921" s="1" t="s">
        <v>16</v>
      </c>
      <c r="E1921" s="1" t="s">
        <v>27</v>
      </c>
      <c r="F1921" s="1" t="s">
        <v>29</v>
      </c>
      <c r="G1921" s="1" t="s">
        <v>20</v>
      </c>
      <c r="H1921" t="s">
        <v>30</v>
      </c>
      <c r="I1921" s="1" t="s">
        <v>22</v>
      </c>
      <c r="J1921" s="2">
        <v>43534.610358796293</v>
      </c>
      <c r="K1921" s="2">
        <v>43535.610358796293</v>
      </c>
      <c r="L1921" s="2">
        <v>43540.610358796293</v>
      </c>
      <c r="M1921" s="1">
        <f>_xlfn.DAYS(Table1[[#This Row],[actual_delivery_date]],Table1[[#This Row],[dispatch_date]])</f>
        <v>1</v>
      </c>
      <c r="N1921">
        <v>0</v>
      </c>
      <c r="O1921">
        <f>Table1[[#This Row],[transit_storage_cost]] * (1-'What -if Analysis'!$D$26)</f>
        <v>0</v>
      </c>
      <c r="P1921">
        <v>121</v>
      </c>
      <c r="Q1921">
        <v>2261.6571093782236</v>
      </c>
    </row>
    <row r="1922" spans="1:17" x14ac:dyDescent="0.3">
      <c r="A1922">
        <v>131150</v>
      </c>
      <c r="B1922" s="1" t="s">
        <v>15</v>
      </c>
      <c r="C1922" s="1" t="s">
        <v>23</v>
      </c>
      <c r="D1922" s="1" t="s">
        <v>24</v>
      </c>
      <c r="E1922" s="1" t="s">
        <v>25</v>
      </c>
      <c r="F1922" s="1" t="s">
        <v>31</v>
      </c>
      <c r="G1922" s="1" t="s">
        <v>36</v>
      </c>
      <c r="H1922" t="s">
        <v>21</v>
      </c>
      <c r="I1922" s="1" t="s">
        <v>22</v>
      </c>
      <c r="J1922" s="2">
        <v>43531.610486111109</v>
      </c>
      <c r="K1922" s="2">
        <v>43535.610486111109</v>
      </c>
      <c r="L1922" s="2">
        <v>43537.610486111109</v>
      </c>
      <c r="M1922" s="1">
        <f>_xlfn.DAYS(Table1[[#This Row],[actual_delivery_date]],Table1[[#This Row],[dispatch_date]])</f>
        <v>4</v>
      </c>
      <c r="N1922">
        <v>31</v>
      </c>
      <c r="O1922">
        <f>Table1[[#This Row],[transit_storage_cost]] * (1-'What -if Analysis'!$D$26)</f>
        <v>31</v>
      </c>
      <c r="P1922">
        <v>124</v>
      </c>
      <c r="Q1922">
        <v>3168.940062461691</v>
      </c>
    </row>
    <row r="1923" spans="1:17" x14ac:dyDescent="0.3">
      <c r="A1923">
        <v>264349</v>
      </c>
      <c r="B1923" s="1" t="s">
        <v>38</v>
      </c>
      <c r="C1923" s="1" t="s">
        <v>23</v>
      </c>
      <c r="D1923" s="1" t="s">
        <v>16</v>
      </c>
      <c r="E1923" s="1" t="s">
        <v>27</v>
      </c>
      <c r="F1923" s="1" t="s">
        <v>29</v>
      </c>
      <c r="G1923" s="1" t="s">
        <v>20</v>
      </c>
      <c r="H1923" t="s">
        <v>30</v>
      </c>
      <c r="I1923" s="1" t="s">
        <v>22</v>
      </c>
      <c r="J1923" s="2">
        <v>43532.610601851855</v>
      </c>
      <c r="K1923" s="2">
        <v>43535.610601851855</v>
      </c>
      <c r="L1923" s="2">
        <v>43538.610601851855</v>
      </c>
      <c r="M1923" s="1">
        <f>_xlfn.DAYS(Table1[[#This Row],[actual_delivery_date]],Table1[[#This Row],[dispatch_date]])</f>
        <v>3</v>
      </c>
      <c r="N1923">
        <v>44</v>
      </c>
      <c r="O1923">
        <f>Table1[[#This Row],[transit_storage_cost]] * (1-'What -if Analysis'!$D$26)</f>
        <v>44</v>
      </c>
      <c r="P1923">
        <v>121</v>
      </c>
      <c r="Q1923">
        <v>3043.2536541130467</v>
      </c>
    </row>
    <row r="1924" spans="1:17" x14ac:dyDescent="0.3">
      <c r="A1924">
        <v>171688</v>
      </c>
      <c r="B1924" s="1" t="s">
        <v>41</v>
      </c>
      <c r="C1924" s="1" t="s">
        <v>23</v>
      </c>
      <c r="D1924" s="1" t="s">
        <v>24</v>
      </c>
      <c r="E1924" s="1" t="s">
        <v>25</v>
      </c>
      <c r="F1924" s="1" t="s">
        <v>19</v>
      </c>
      <c r="G1924" s="1" t="s">
        <v>20</v>
      </c>
      <c r="H1924" t="s">
        <v>21</v>
      </c>
      <c r="I1924" s="1" t="s">
        <v>22</v>
      </c>
      <c r="J1924" s="2">
        <v>43529.610729166663</v>
      </c>
      <c r="K1924" s="2">
        <v>43535.610729166663</v>
      </c>
      <c r="L1924" s="2">
        <v>43534.610729166663</v>
      </c>
      <c r="M1924" s="1">
        <f>_xlfn.DAYS(Table1[[#This Row],[actual_delivery_date]],Table1[[#This Row],[dispatch_date]])</f>
        <v>6</v>
      </c>
      <c r="N1924">
        <v>48</v>
      </c>
      <c r="O1924">
        <f>Table1[[#This Row],[transit_storage_cost]] * (1-'What -if Analysis'!$D$26)</f>
        <v>48</v>
      </c>
      <c r="P1924">
        <v>127</v>
      </c>
      <c r="Q1924">
        <v>756.63874804354384</v>
      </c>
    </row>
    <row r="1925" spans="1:17" x14ac:dyDescent="0.3">
      <c r="A1925">
        <v>170422</v>
      </c>
      <c r="B1925" s="1" t="s">
        <v>37</v>
      </c>
      <c r="C1925" s="1" t="s">
        <v>23</v>
      </c>
      <c r="D1925" s="1" t="s">
        <v>16</v>
      </c>
      <c r="E1925" s="1" t="s">
        <v>27</v>
      </c>
      <c r="F1925" s="1" t="s">
        <v>31</v>
      </c>
      <c r="G1925" s="1" t="s">
        <v>20</v>
      </c>
      <c r="H1925" t="s">
        <v>21</v>
      </c>
      <c r="I1925" s="1" t="s">
        <v>22</v>
      </c>
      <c r="J1925" s="2">
        <v>43530.615752314814</v>
      </c>
      <c r="K1925" s="2">
        <v>43535.615752314814</v>
      </c>
      <c r="L1925" s="2">
        <v>43536.615752314814</v>
      </c>
      <c r="M1925" s="1">
        <f>_xlfn.DAYS(Table1[[#This Row],[actual_delivery_date]],Table1[[#This Row],[dispatch_date]])</f>
        <v>5</v>
      </c>
      <c r="N1925">
        <v>36</v>
      </c>
      <c r="O1925">
        <f>Table1[[#This Row],[transit_storage_cost]] * (1-'What -if Analysis'!$D$26)</f>
        <v>36</v>
      </c>
      <c r="P1925">
        <v>129</v>
      </c>
      <c r="Q1925">
        <v>2833.6294833903567</v>
      </c>
    </row>
    <row r="1926" spans="1:17" x14ac:dyDescent="0.3">
      <c r="A1926">
        <v>549037</v>
      </c>
      <c r="B1926" s="1" t="s">
        <v>40</v>
      </c>
      <c r="C1926" s="1" t="s">
        <v>23</v>
      </c>
      <c r="D1926" s="1" t="s">
        <v>16</v>
      </c>
      <c r="E1926" s="1" t="s">
        <v>27</v>
      </c>
      <c r="F1926" s="1" t="s">
        <v>29</v>
      </c>
      <c r="G1926" s="1" t="s">
        <v>20</v>
      </c>
      <c r="H1926" t="s">
        <v>30</v>
      </c>
      <c r="I1926" s="1" t="s">
        <v>22</v>
      </c>
      <c r="J1926" s="2">
        <v>43530.617291666669</v>
      </c>
      <c r="K1926" s="2">
        <v>43535.617291666669</v>
      </c>
      <c r="L1926" s="2">
        <v>43533.617291666669</v>
      </c>
      <c r="M1926" s="1">
        <f>_xlfn.DAYS(Table1[[#This Row],[actual_delivery_date]],Table1[[#This Row],[dispatch_date]])</f>
        <v>5</v>
      </c>
      <c r="N1926">
        <v>38</v>
      </c>
      <c r="O1926">
        <f>Table1[[#This Row],[transit_storage_cost]] * (1-'What -if Analysis'!$D$26)</f>
        <v>38</v>
      </c>
      <c r="P1926">
        <v>126</v>
      </c>
      <c r="Q1926">
        <v>1261.8494528047861</v>
      </c>
    </row>
    <row r="1927" spans="1:17" x14ac:dyDescent="0.3">
      <c r="A1927">
        <v>910825</v>
      </c>
      <c r="B1927" s="1" t="s">
        <v>38</v>
      </c>
      <c r="C1927" s="1" t="s">
        <v>16</v>
      </c>
      <c r="D1927" s="1" t="s">
        <v>17</v>
      </c>
      <c r="E1927" s="1" t="s">
        <v>18</v>
      </c>
      <c r="F1927" s="1" t="s">
        <v>29</v>
      </c>
      <c r="G1927" s="1" t="s">
        <v>20</v>
      </c>
      <c r="H1927" t="s">
        <v>30</v>
      </c>
      <c r="I1927" s="1" t="s">
        <v>22</v>
      </c>
      <c r="J1927" s="2">
        <v>43530.61787037037</v>
      </c>
      <c r="K1927" s="2">
        <v>43535.61787037037</v>
      </c>
      <c r="L1927" s="2">
        <v>43533.61787037037</v>
      </c>
      <c r="M1927" s="1">
        <f>_xlfn.DAYS(Table1[[#This Row],[actual_delivery_date]],Table1[[#This Row],[dispatch_date]])</f>
        <v>5</v>
      </c>
      <c r="N1927">
        <v>39</v>
      </c>
      <c r="O1927">
        <f>Table1[[#This Row],[transit_storage_cost]] * (1-'What -if Analysis'!$D$26)</f>
        <v>39</v>
      </c>
      <c r="P1927">
        <v>108</v>
      </c>
      <c r="Q1927">
        <v>1523</v>
      </c>
    </row>
    <row r="1928" spans="1:17" x14ac:dyDescent="0.3">
      <c r="A1928">
        <v>572037</v>
      </c>
      <c r="B1928" s="1" t="s">
        <v>37</v>
      </c>
      <c r="C1928" s="1" t="s">
        <v>23</v>
      </c>
      <c r="D1928" s="1" t="s">
        <v>17</v>
      </c>
      <c r="E1928" s="1" t="s">
        <v>18</v>
      </c>
      <c r="F1928" s="1" t="s">
        <v>29</v>
      </c>
      <c r="G1928" s="1" t="s">
        <v>20</v>
      </c>
      <c r="H1928" t="s">
        <v>30</v>
      </c>
      <c r="I1928" s="1" t="s">
        <v>26</v>
      </c>
      <c r="J1928" s="2">
        <v>43528.62190972222</v>
      </c>
      <c r="K1928" s="2">
        <v>43535.62190972222</v>
      </c>
      <c r="L1928" s="2">
        <v>43535.62190972222</v>
      </c>
      <c r="M1928" s="1">
        <f>_xlfn.DAYS(Table1[[#This Row],[actual_delivery_date]],Table1[[#This Row],[dispatch_date]])</f>
        <v>7</v>
      </c>
      <c r="N1928">
        <v>31</v>
      </c>
      <c r="O1928">
        <f>Table1[[#This Row],[transit_storage_cost]] * (1-'What -if Analysis'!$D$26)</f>
        <v>31</v>
      </c>
      <c r="P1928">
        <v>108</v>
      </c>
      <c r="Q1928">
        <v>565.35</v>
      </c>
    </row>
    <row r="1929" spans="1:17" x14ac:dyDescent="0.3">
      <c r="A1929">
        <v>478444</v>
      </c>
      <c r="B1929" s="1" t="s">
        <v>41</v>
      </c>
      <c r="C1929" s="1" t="s">
        <v>16</v>
      </c>
      <c r="D1929" s="1" t="s">
        <v>17</v>
      </c>
      <c r="E1929" s="1" t="s">
        <v>18</v>
      </c>
      <c r="F1929" s="1" t="s">
        <v>19</v>
      </c>
      <c r="G1929" s="1" t="s">
        <v>20</v>
      </c>
      <c r="H1929" t="s">
        <v>21</v>
      </c>
      <c r="I1929" s="1" t="s">
        <v>22</v>
      </c>
      <c r="J1929" s="2">
        <v>43529.633923611109</v>
      </c>
      <c r="K1929" s="2">
        <v>43535.633923611109</v>
      </c>
      <c r="L1929" s="2">
        <v>43535.633923611109</v>
      </c>
      <c r="M1929" s="1">
        <f>_xlfn.DAYS(Table1[[#This Row],[actual_delivery_date]],Table1[[#This Row],[dispatch_date]])</f>
        <v>6</v>
      </c>
      <c r="N1929">
        <v>42</v>
      </c>
      <c r="O1929">
        <f>Table1[[#This Row],[transit_storage_cost]] * (1-'What -if Analysis'!$D$26)</f>
        <v>42</v>
      </c>
      <c r="P1929">
        <v>106</v>
      </c>
      <c r="Q1929">
        <v>2822.681764066318</v>
      </c>
    </row>
    <row r="1930" spans="1:17" x14ac:dyDescent="0.3">
      <c r="A1930">
        <v>532595</v>
      </c>
      <c r="B1930" s="1" t="s">
        <v>37</v>
      </c>
      <c r="C1930" s="1" t="s">
        <v>16</v>
      </c>
      <c r="D1930" s="1" t="s">
        <v>23</v>
      </c>
      <c r="E1930" s="1" t="s">
        <v>28</v>
      </c>
      <c r="F1930" s="1" t="s">
        <v>29</v>
      </c>
      <c r="G1930" s="1" t="s">
        <v>20</v>
      </c>
      <c r="H1930" t="s">
        <v>34</v>
      </c>
      <c r="I1930" s="1" t="s">
        <v>22</v>
      </c>
      <c r="J1930" s="2">
        <v>43529.635879629626</v>
      </c>
      <c r="K1930" s="2">
        <v>43535.635879629626</v>
      </c>
      <c r="L1930" s="2">
        <v>43536.635879629626</v>
      </c>
      <c r="M1930" s="1">
        <f>_xlfn.DAYS(Table1[[#This Row],[actual_delivery_date]],Table1[[#This Row],[dispatch_date]])</f>
        <v>6</v>
      </c>
      <c r="N1930">
        <v>46</v>
      </c>
      <c r="O1930">
        <f>Table1[[#This Row],[transit_storage_cost]] * (1-'What -if Analysis'!$D$26)</f>
        <v>46</v>
      </c>
      <c r="P1930">
        <v>123</v>
      </c>
      <c r="Q1930">
        <v>1146.9307991713497</v>
      </c>
    </row>
    <row r="1931" spans="1:17" x14ac:dyDescent="0.3">
      <c r="A1931">
        <v>409217</v>
      </c>
      <c r="B1931" s="1" t="s">
        <v>38</v>
      </c>
      <c r="C1931" s="1" t="s">
        <v>16</v>
      </c>
      <c r="D1931" s="1" t="s">
        <v>23</v>
      </c>
      <c r="E1931" s="1" t="s">
        <v>28</v>
      </c>
      <c r="F1931" s="1" t="s">
        <v>29</v>
      </c>
      <c r="G1931" s="1" t="s">
        <v>20</v>
      </c>
      <c r="H1931" t="s">
        <v>30</v>
      </c>
      <c r="I1931" s="1" t="s">
        <v>22</v>
      </c>
      <c r="J1931" s="2">
        <v>43528.636030092595</v>
      </c>
      <c r="K1931" s="2">
        <v>43535.636030092595</v>
      </c>
      <c r="L1931" s="2">
        <v>43532.636030092595</v>
      </c>
      <c r="M1931" s="1">
        <f>_xlfn.DAYS(Table1[[#This Row],[actual_delivery_date]],Table1[[#This Row],[dispatch_date]])</f>
        <v>7</v>
      </c>
      <c r="N1931">
        <v>38</v>
      </c>
      <c r="O1931">
        <f>Table1[[#This Row],[transit_storage_cost]] * (1-'What -if Analysis'!$D$26)</f>
        <v>38</v>
      </c>
      <c r="P1931">
        <v>129</v>
      </c>
      <c r="Q1931">
        <v>811.91781335123937</v>
      </c>
    </row>
    <row r="1932" spans="1:17" x14ac:dyDescent="0.3">
      <c r="A1932">
        <v>987898</v>
      </c>
      <c r="B1932" s="1" t="s">
        <v>37</v>
      </c>
      <c r="C1932" s="1" t="s">
        <v>16</v>
      </c>
      <c r="D1932" s="1" t="s">
        <v>17</v>
      </c>
      <c r="E1932" s="1" t="s">
        <v>18</v>
      </c>
      <c r="F1932" s="1" t="s">
        <v>31</v>
      </c>
      <c r="G1932" s="1" t="s">
        <v>20</v>
      </c>
      <c r="H1932" t="s">
        <v>21</v>
      </c>
      <c r="I1932" s="1" t="s">
        <v>22</v>
      </c>
      <c r="J1932" s="2">
        <v>43530.63857638889</v>
      </c>
      <c r="K1932" s="2">
        <v>43535.63857638889</v>
      </c>
      <c r="L1932" s="2">
        <v>43535.63857638889</v>
      </c>
      <c r="M1932" s="1">
        <f>_xlfn.DAYS(Table1[[#This Row],[actual_delivery_date]],Table1[[#This Row],[dispatch_date]])</f>
        <v>5</v>
      </c>
      <c r="N1932">
        <v>45</v>
      </c>
      <c r="O1932">
        <f>Table1[[#This Row],[transit_storage_cost]] * (1-'What -if Analysis'!$D$26)</f>
        <v>45</v>
      </c>
      <c r="P1932">
        <v>107</v>
      </c>
      <c r="Q1932">
        <v>2197.8944157501855</v>
      </c>
    </row>
    <row r="1933" spans="1:17" x14ac:dyDescent="0.3">
      <c r="A1933">
        <v>469099</v>
      </c>
      <c r="B1933" s="1" t="s">
        <v>37</v>
      </c>
      <c r="C1933" s="1" t="s">
        <v>16</v>
      </c>
      <c r="D1933" s="1" t="s">
        <v>17</v>
      </c>
      <c r="E1933" s="1" t="s">
        <v>18</v>
      </c>
      <c r="F1933" s="1" t="s">
        <v>29</v>
      </c>
      <c r="G1933" s="1" t="s">
        <v>20</v>
      </c>
      <c r="H1933" t="s">
        <v>30</v>
      </c>
      <c r="I1933" s="1" t="s">
        <v>22</v>
      </c>
      <c r="J1933" s="2">
        <v>43532.646724537037</v>
      </c>
      <c r="K1933" s="2">
        <v>43535.646724537037</v>
      </c>
      <c r="L1933" s="2">
        <v>43536.646724537037</v>
      </c>
      <c r="M1933" s="1">
        <f>_xlfn.DAYS(Table1[[#This Row],[actual_delivery_date]],Table1[[#This Row],[dispatch_date]])</f>
        <v>3</v>
      </c>
      <c r="N1933">
        <v>27</v>
      </c>
      <c r="O1933">
        <f>Table1[[#This Row],[transit_storage_cost]] * (1-'What -if Analysis'!$D$26)</f>
        <v>27</v>
      </c>
      <c r="P1933">
        <v>111</v>
      </c>
      <c r="Q1933">
        <v>600</v>
      </c>
    </row>
    <row r="1934" spans="1:17" x14ac:dyDescent="0.3">
      <c r="A1934">
        <v>649891</v>
      </c>
      <c r="B1934" s="1" t="s">
        <v>40</v>
      </c>
      <c r="C1934" s="1" t="s">
        <v>16</v>
      </c>
      <c r="D1934" s="1" t="s">
        <v>23</v>
      </c>
      <c r="E1934" s="1" t="s">
        <v>28</v>
      </c>
      <c r="F1934" s="1" t="s">
        <v>19</v>
      </c>
      <c r="G1934" s="1" t="s">
        <v>20</v>
      </c>
      <c r="H1934" t="s">
        <v>30</v>
      </c>
      <c r="I1934" s="1" t="s">
        <v>22</v>
      </c>
      <c r="J1934" s="2">
        <v>43531.647106481483</v>
      </c>
      <c r="K1934" s="2">
        <v>43535.647106481483</v>
      </c>
      <c r="L1934" s="2">
        <v>43535.647106481483</v>
      </c>
      <c r="M1934" s="1">
        <f>_xlfn.DAYS(Table1[[#This Row],[actual_delivery_date]],Table1[[#This Row],[dispatch_date]])</f>
        <v>4</v>
      </c>
      <c r="N1934">
        <v>65</v>
      </c>
      <c r="O1934">
        <f>Table1[[#This Row],[transit_storage_cost]] * (1-'What -if Analysis'!$D$26)</f>
        <v>65</v>
      </c>
      <c r="P1934">
        <v>109</v>
      </c>
      <c r="Q1934">
        <v>3088.1096400377919</v>
      </c>
    </row>
    <row r="1935" spans="1:17" x14ac:dyDescent="0.3">
      <c r="A1935">
        <v>432372</v>
      </c>
      <c r="B1935" s="1" t="s">
        <v>37</v>
      </c>
      <c r="C1935" s="1" t="s">
        <v>23</v>
      </c>
      <c r="D1935" s="1" t="s">
        <v>23</v>
      </c>
      <c r="E1935" s="1" t="s">
        <v>28</v>
      </c>
      <c r="F1935" s="1" t="s">
        <v>19</v>
      </c>
      <c r="G1935" s="1" t="s">
        <v>20</v>
      </c>
      <c r="H1935" t="s">
        <v>21</v>
      </c>
      <c r="I1935" s="1" t="s">
        <v>26</v>
      </c>
      <c r="J1935" s="2">
        <v>43532.649259259262</v>
      </c>
      <c r="K1935" s="2">
        <v>43535.649259259262</v>
      </c>
      <c r="L1935" s="2">
        <v>43538.649259259262</v>
      </c>
      <c r="M1935" s="1">
        <f>_xlfn.DAYS(Table1[[#This Row],[actual_delivery_date]],Table1[[#This Row],[dispatch_date]])</f>
        <v>3</v>
      </c>
      <c r="N1935">
        <v>0</v>
      </c>
      <c r="O1935">
        <f>Table1[[#This Row],[transit_storage_cost]] * (1-'What -if Analysis'!$D$26)</f>
        <v>0</v>
      </c>
      <c r="P1935">
        <v>126</v>
      </c>
      <c r="Q1935">
        <v>1307.9267041740131</v>
      </c>
    </row>
    <row r="1936" spans="1:17" x14ac:dyDescent="0.3">
      <c r="A1936">
        <v>37994</v>
      </c>
      <c r="B1936" s="1" t="s">
        <v>15</v>
      </c>
      <c r="C1936" s="1" t="s">
        <v>23</v>
      </c>
      <c r="D1936" s="1" t="s">
        <v>24</v>
      </c>
      <c r="E1936" s="1" t="s">
        <v>25</v>
      </c>
      <c r="F1936" s="1" t="s">
        <v>31</v>
      </c>
      <c r="G1936" s="1" t="s">
        <v>20</v>
      </c>
      <c r="H1936" t="s">
        <v>21</v>
      </c>
      <c r="I1936" s="1" t="s">
        <v>22</v>
      </c>
      <c r="J1936" s="2">
        <v>43533.65934027778</v>
      </c>
      <c r="K1936" s="2">
        <v>43535.65934027778</v>
      </c>
      <c r="L1936" s="2">
        <v>43540.65934027778</v>
      </c>
      <c r="M1936" s="1">
        <f>_xlfn.DAYS(Table1[[#This Row],[actual_delivery_date]],Table1[[#This Row],[dispatch_date]])</f>
        <v>2</v>
      </c>
      <c r="N1936">
        <v>28</v>
      </c>
      <c r="O1936">
        <f>Table1[[#This Row],[transit_storage_cost]] * (1-'What -if Analysis'!$D$26)</f>
        <v>28</v>
      </c>
      <c r="P1936">
        <v>121</v>
      </c>
      <c r="Q1936">
        <v>834.19839696972349</v>
      </c>
    </row>
    <row r="1937" spans="1:17" x14ac:dyDescent="0.3">
      <c r="A1937">
        <v>514811</v>
      </c>
      <c r="B1937" s="1" t="s">
        <v>38</v>
      </c>
      <c r="C1937" s="1" t="s">
        <v>23</v>
      </c>
      <c r="D1937" s="1" t="s">
        <v>23</v>
      </c>
      <c r="E1937" s="1" t="s">
        <v>28</v>
      </c>
      <c r="F1937" s="1" t="s">
        <v>29</v>
      </c>
      <c r="G1937" s="1" t="s">
        <v>20</v>
      </c>
      <c r="H1937" t="s">
        <v>30</v>
      </c>
      <c r="I1937" s="1" t="s">
        <v>22</v>
      </c>
      <c r="J1937" s="2">
        <v>43531.659918981481</v>
      </c>
      <c r="K1937" s="2">
        <v>43535.659918981481</v>
      </c>
      <c r="L1937" s="2">
        <v>43538.659918981481</v>
      </c>
      <c r="M1937" s="1">
        <f>_xlfn.DAYS(Table1[[#This Row],[actual_delivery_date]],Table1[[#This Row],[dispatch_date]])</f>
        <v>4</v>
      </c>
      <c r="N1937">
        <v>0</v>
      </c>
      <c r="O1937">
        <f>Table1[[#This Row],[transit_storage_cost]] * (1-'What -if Analysis'!$D$26)</f>
        <v>0</v>
      </c>
      <c r="P1937">
        <v>127</v>
      </c>
      <c r="Q1937">
        <v>1014.434720717705</v>
      </c>
    </row>
    <row r="1938" spans="1:17" x14ac:dyDescent="0.3">
      <c r="A1938">
        <v>737489</v>
      </c>
      <c r="B1938" s="1" t="s">
        <v>38</v>
      </c>
      <c r="C1938" s="1" t="s">
        <v>16</v>
      </c>
      <c r="D1938" s="1" t="s">
        <v>24</v>
      </c>
      <c r="E1938" s="1" t="s">
        <v>25</v>
      </c>
      <c r="F1938" s="1" t="s">
        <v>29</v>
      </c>
      <c r="G1938" s="1" t="s">
        <v>20</v>
      </c>
      <c r="H1938" t="s">
        <v>30</v>
      </c>
      <c r="I1938" s="1" t="s">
        <v>22</v>
      </c>
      <c r="J1938" s="2">
        <v>43532.662164351852</v>
      </c>
      <c r="K1938" s="2">
        <v>43535.662164351852</v>
      </c>
      <c r="L1938" s="2">
        <v>43539.662164351852</v>
      </c>
      <c r="M1938" s="1">
        <f>_xlfn.DAYS(Table1[[#This Row],[actual_delivery_date]],Table1[[#This Row],[dispatch_date]])</f>
        <v>3</v>
      </c>
      <c r="N1938">
        <v>37</v>
      </c>
      <c r="O1938">
        <f>Table1[[#This Row],[transit_storage_cost]] * (1-'What -if Analysis'!$D$26)</f>
        <v>37</v>
      </c>
      <c r="P1938">
        <v>122</v>
      </c>
      <c r="Q1938">
        <v>1429.4514695173079</v>
      </c>
    </row>
    <row r="1939" spans="1:17" x14ac:dyDescent="0.3">
      <c r="A1939">
        <v>713974</v>
      </c>
      <c r="B1939" s="1" t="s">
        <v>38</v>
      </c>
      <c r="C1939" s="1" t="s">
        <v>23</v>
      </c>
      <c r="D1939" s="1" t="s">
        <v>24</v>
      </c>
      <c r="E1939" s="1" t="s">
        <v>25</v>
      </c>
      <c r="F1939" s="1" t="s">
        <v>19</v>
      </c>
      <c r="G1939" s="1" t="s">
        <v>20</v>
      </c>
      <c r="H1939" t="s">
        <v>21</v>
      </c>
      <c r="I1939" s="1" t="s">
        <v>22</v>
      </c>
      <c r="J1939" s="2">
        <v>43526.662430555552</v>
      </c>
      <c r="K1939" s="2">
        <v>43535.662430555552</v>
      </c>
      <c r="L1939" s="2">
        <v>43530.662430555552</v>
      </c>
      <c r="M1939" s="1">
        <f>_xlfn.DAYS(Table1[[#This Row],[actual_delivery_date]],Table1[[#This Row],[dispatch_date]])</f>
        <v>9</v>
      </c>
      <c r="N1939">
        <v>75</v>
      </c>
      <c r="O1939">
        <f>Table1[[#This Row],[transit_storage_cost]] * (1-'What -if Analysis'!$D$26)</f>
        <v>75</v>
      </c>
      <c r="P1939">
        <v>109</v>
      </c>
      <c r="Q1939">
        <v>1504.355128079844</v>
      </c>
    </row>
    <row r="1940" spans="1:17" x14ac:dyDescent="0.3">
      <c r="A1940">
        <v>147545</v>
      </c>
      <c r="B1940" s="1" t="s">
        <v>38</v>
      </c>
      <c r="C1940" s="1" t="s">
        <v>16</v>
      </c>
      <c r="D1940" s="1" t="s">
        <v>32</v>
      </c>
      <c r="E1940" s="1" t="s">
        <v>33</v>
      </c>
      <c r="F1940" s="1" t="s">
        <v>29</v>
      </c>
      <c r="G1940" s="1" t="s">
        <v>20</v>
      </c>
      <c r="H1940" t="s">
        <v>30</v>
      </c>
      <c r="I1940" s="1" t="s">
        <v>22</v>
      </c>
      <c r="J1940" s="2">
        <v>43533.666307870371</v>
      </c>
      <c r="K1940" s="2">
        <v>43535.666307870371</v>
      </c>
      <c r="L1940" s="2">
        <v>43537.666307870371</v>
      </c>
      <c r="M1940" s="1">
        <f>_xlfn.DAYS(Table1[[#This Row],[actual_delivery_date]],Table1[[#This Row],[dispatch_date]])</f>
        <v>2</v>
      </c>
      <c r="N1940">
        <v>33</v>
      </c>
      <c r="O1940">
        <f>Table1[[#This Row],[transit_storage_cost]] * (1-'What -if Analysis'!$D$26)</f>
        <v>33</v>
      </c>
      <c r="P1940">
        <v>112</v>
      </c>
      <c r="Q1940">
        <v>2706.8651392203283</v>
      </c>
    </row>
    <row r="1941" spans="1:17" x14ac:dyDescent="0.3">
      <c r="A1941">
        <v>507925</v>
      </c>
      <c r="B1941" s="1" t="s">
        <v>15</v>
      </c>
      <c r="C1941" s="1" t="s">
        <v>16</v>
      </c>
      <c r="D1941" s="1" t="s">
        <v>16</v>
      </c>
      <c r="E1941" s="1" t="s">
        <v>27</v>
      </c>
      <c r="F1941" s="1" t="s">
        <v>29</v>
      </c>
      <c r="G1941" s="1" t="s">
        <v>20</v>
      </c>
      <c r="H1941" t="s">
        <v>30</v>
      </c>
      <c r="I1941" s="1" t="s">
        <v>22</v>
      </c>
      <c r="J1941" s="2">
        <v>43530.670937499999</v>
      </c>
      <c r="K1941" s="2">
        <v>43535.670937499999</v>
      </c>
      <c r="L1941" s="2">
        <v>43536.670937499999</v>
      </c>
      <c r="M1941" s="1">
        <f>_xlfn.DAYS(Table1[[#This Row],[actual_delivery_date]],Table1[[#This Row],[dispatch_date]])</f>
        <v>5</v>
      </c>
      <c r="N1941">
        <v>0</v>
      </c>
      <c r="O1941">
        <f>Table1[[#This Row],[transit_storage_cost]] * (1-'What -if Analysis'!$D$26)</f>
        <v>0</v>
      </c>
      <c r="P1941">
        <v>126</v>
      </c>
      <c r="Q1941">
        <v>3446</v>
      </c>
    </row>
    <row r="1942" spans="1:17" x14ac:dyDescent="0.3">
      <c r="A1942">
        <v>6164</v>
      </c>
      <c r="B1942" s="1" t="s">
        <v>37</v>
      </c>
      <c r="C1942" s="1" t="s">
        <v>23</v>
      </c>
      <c r="D1942" s="1" t="s">
        <v>17</v>
      </c>
      <c r="E1942" s="1" t="s">
        <v>18</v>
      </c>
      <c r="F1942" s="1" t="s">
        <v>19</v>
      </c>
      <c r="G1942" s="1" t="s">
        <v>20</v>
      </c>
      <c r="H1942" t="s">
        <v>21</v>
      </c>
      <c r="I1942" s="1" t="s">
        <v>22</v>
      </c>
      <c r="J1942" s="2">
        <v>43531.682442129626</v>
      </c>
      <c r="K1942" s="2">
        <v>43535.682442129626</v>
      </c>
      <c r="L1942" s="2">
        <v>43536.682442129626</v>
      </c>
      <c r="M1942" s="1">
        <f>_xlfn.DAYS(Table1[[#This Row],[actual_delivery_date]],Table1[[#This Row],[dispatch_date]])</f>
        <v>4</v>
      </c>
      <c r="N1942">
        <v>40</v>
      </c>
      <c r="O1942">
        <f>Table1[[#This Row],[transit_storage_cost]] * (1-'What -if Analysis'!$D$26)</f>
        <v>40</v>
      </c>
      <c r="P1942">
        <v>109</v>
      </c>
      <c r="Q1942">
        <v>2609.037140246829</v>
      </c>
    </row>
    <row r="1943" spans="1:17" x14ac:dyDescent="0.3">
      <c r="A1943">
        <v>985671</v>
      </c>
      <c r="B1943" s="1" t="s">
        <v>15</v>
      </c>
      <c r="C1943" s="1" t="s">
        <v>23</v>
      </c>
      <c r="D1943" s="1" t="s">
        <v>17</v>
      </c>
      <c r="E1943" s="1" t="s">
        <v>18</v>
      </c>
      <c r="F1943" s="1" t="s">
        <v>29</v>
      </c>
      <c r="G1943" s="1" t="s">
        <v>20</v>
      </c>
      <c r="H1943" t="s">
        <v>30</v>
      </c>
      <c r="I1943" s="1" t="s">
        <v>26</v>
      </c>
      <c r="J1943" s="2">
        <v>43532.689421296294</v>
      </c>
      <c r="K1943" s="2">
        <v>43535.689421296294</v>
      </c>
      <c r="L1943" s="2">
        <v>43538.689421296294</v>
      </c>
      <c r="M1943" s="1">
        <f>_xlfn.DAYS(Table1[[#This Row],[actual_delivery_date]],Table1[[#This Row],[dispatch_date]])</f>
        <v>3</v>
      </c>
      <c r="N1943">
        <v>44</v>
      </c>
      <c r="O1943">
        <f>Table1[[#This Row],[transit_storage_cost]] * (1-'What -if Analysis'!$D$26)</f>
        <v>44</v>
      </c>
      <c r="P1943">
        <v>109</v>
      </c>
      <c r="Q1943">
        <v>1190</v>
      </c>
    </row>
    <row r="1944" spans="1:17" x14ac:dyDescent="0.3">
      <c r="A1944">
        <v>546941</v>
      </c>
      <c r="B1944" s="1" t="s">
        <v>37</v>
      </c>
      <c r="C1944" s="1" t="s">
        <v>23</v>
      </c>
      <c r="D1944" s="1" t="s">
        <v>17</v>
      </c>
      <c r="E1944" s="1" t="s">
        <v>18</v>
      </c>
      <c r="F1944" s="1" t="s">
        <v>19</v>
      </c>
      <c r="G1944" s="1" t="s">
        <v>20</v>
      </c>
      <c r="H1944" t="s">
        <v>30</v>
      </c>
      <c r="I1944" s="1" t="s">
        <v>22</v>
      </c>
      <c r="J1944" s="2">
        <v>43530.692685185182</v>
      </c>
      <c r="K1944" s="2">
        <v>43535.692685185182</v>
      </c>
      <c r="L1944" s="2">
        <v>43537.692685185182</v>
      </c>
      <c r="M1944" s="1">
        <f>_xlfn.DAYS(Table1[[#This Row],[actual_delivery_date]],Table1[[#This Row],[dispatch_date]])</f>
        <v>5</v>
      </c>
      <c r="N1944">
        <v>89</v>
      </c>
      <c r="O1944">
        <f>Table1[[#This Row],[transit_storage_cost]] * (1-'What -if Analysis'!$D$26)</f>
        <v>89</v>
      </c>
      <c r="P1944">
        <v>89</v>
      </c>
      <c r="Q1944">
        <v>3617.5833404919358</v>
      </c>
    </row>
    <row r="1945" spans="1:17" x14ac:dyDescent="0.3">
      <c r="A1945">
        <v>338573</v>
      </c>
      <c r="B1945" s="1" t="s">
        <v>39</v>
      </c>
      <c r="C1945" s="1" t="s">
        <v>16</v>
      </c>
      <c r="D1945" s="1" t="s">
        <v>32</v>
      </c>
      <c r="E1945" s="1" t="s">
        <v>33</v>
      </c>
      <c r="F1945" s="1" t="s">
        <v>29</v>
      </c>
      <c r="G1945" s="1" t="s">
        <v>20</v>
      </c>
      <c r="H1945" t="s">
        <v>30</v>
      </c>
      <c r="I1945" s="1" t="s">
        <v>22</v>
      </c>
      <c r="J1945" s="2">
        <v>43529.692858796298</v>
      </c>
      <c r="K1945" s="2">
        <v>43535.692858796298</v>
      </c>
      <c r="L1945" s="2">
        <v>43535.692858796298</v>
      </c>
      <c r="M1945" s="1">
        <f>_xlfn.DAYS(Table1[[#This Row],[actual_delivery_date]],Table1[[#This Row],[dispatch_date]])</f>
        <v>6</v>
      </c>
      <c r="N1945">
        <v>25</v>
      </c>
      <c r="O1945">
        <f>Table1[[#This Row],[transit_storage_cost]] * (1-'What -if Analysis'!$D$26)</f>
        <v>25</v>
      </c>
      <c r="P1945">
        <v>105</v>
      </c>
      <c r="Q1945">
        <v>1728.0271594765272</v>
      </c>
    </row>
    <row r="1946" spans="1:17" x14ac:dyDescent="0.3">
      <c r="A1946">
        <v>532522</v>
      </c>
      <c r="B1946" s="1" t="s">
        <v>15</v>
      </c>
      <c r="C1946" s="1" t="s">
        <v>23</v>
      </c>
      <c r="D1946" s="1" t="s">
        <v>16</v>
      </c>
      <c r="E1946" s="1" t="s">
        <v>27</v>
      </c>
      <c r="F1946" s="1" t="s">
        <v>31</v>
      </c>
      <c r="G1946" s="1" t="s">
        <v>20</v>
      </c>
      <c r="H1946" t="s">
        <v>21</v>
      </c>
      <c r="I1946" s="1" t="s">
        <v>22</v>
      </c>
      <c r="J1946" s="2">
        <v>43532.696030092593</v>
      </c>
      <c r="K1946" s="2">
        <v>43535.696030092593</v>
      </c>
      <c r="L1946" s="2">
        <v>43535.696030092593</v>
      </c>
      <c r="M1946" s="1">
        <f>_xlfn.DAYS(Table1[[#This Row],[actual_delivery_date]],Table1[[#This Row],[dispatch_date]])</f>
        <v>3</v>
      </c>
      <c r="N1946">
        <v>33</v>
      </c>
      <c r="O1946">
        <f>Table1[[#This Row],[transit_storage_cost]] * (1-'What -if Analysis'!$D$26)</f>
        <v>33</v>
      </c>
      <c r="P1946">
        <v>122</v>
      </c>
      <c r="Q1946">
        <v>2647.7734363811032</v>
      </c>
    </row>
    <row r="1947" spans="1:17" x14ac:dyDescent="0.3">
      <c r="A1947">
        <v>657780</v>
      </c>
      <c r="B1947" s="1" t="s">
        <v>39</v>
      </c>
      <c r="C1947" s="1" t="s">
        <v>16</v>
      </c>
      <c r="D1947" s="1" t="s">
        <v>16</v>
      </c>
      <c r="E1947" s="1" t="s">
        <v>27</v>
      </c>
      <c r="F1947" s="1" t="s">
        <v>19</v>
      </c>
      <c r="G1947" s="1" t="s">
        <v>20</v>
      </c>
      <c r="H1947" t="s">
        <v>21</v>
      </c>
      <c r="I1947" s="1" t="s">
        <v>26</v>
      </c>
      <c r="J1947" s="2">
        <v>43534.707407407404</v>
      </c>
      <c r="K1947" s="2">
        <v>43535.707407407404</v>
      </c>
      <c r="L1947" s="2">
        <v>43537.707407407404</v>
      </c>
      <c r="M1947" s="1">
        <f>_xlfn.DAYS(Table1[[#This Row],[actual_delivery_date]],Table1[[#This Row],[dispatch_date]])</f>
        <v>1</v>
      </c>
      <c r="N1947">
        <v>0</v>
      </c>
      <c r="O1947">
        <f>Table1[[#This Row],[transit_storage_cost]] * (1-'What -if Analysis'!$D$26)</f>
        <v>0</v>
      </c>
      <c r="P1947">
        <v>129</v>
      </c>
      <c r="Q1947">
        <v>3658.9175180456336</v>
      </c>
    </row>
    <row r="1948" spans="1:17" x14ac:dyDescent="0.3">
      <c r="A1948">
        <v>324494</v>
      </c>
      <c r="B1948" s="1" t="s">
        <v>37</v>
      </c>
      <c r="C1948" s="1" t="s">
        <v>16</v>
      </c>
      <c r="D1948" s="1" t="s">
        <v>23</v>
      </c>
      <c r="E1948" s="1" t="s">
        <v>28</v>
      </c>
      <c r="F1948" s="1" t="s">
        <v>19</v>
      </c>
      <c r="G1948" s="1" t="s">
        <v>20</v>
      </c>
      <c r="H1948" t="s">
        <v>21</v>
      </c>
      <c r="I1948" s="1" t="s">
        <v>22</v>
      </c>
      <c r="J1948" s="2">
        <v>43532.716145833336</v>
      </c>
      <c r="K1948" s="2">
        <v>43535.716145833336</v>
      </c>
      <c r="L1948" s="2">
        <v>43539.716145833336</v>
      </c>
      <c r="M1948" s="1">
        <f>_xlfn.DAYS(Table1[[#This Row],[actual_delivery_date]],Table1[[#This Row],[dispatch_date]])</f>
        <v>3</v>
      </c>
      <c r="N1948">
        <v>84</v>
      </c>
      <c r="O1948">
        <f>Table1[[#This Row],[transit_storage_cost]] * (1-'What -if Analysis'!$D$26)</f>
        <v>84</v>
      </c>
      <c r="P1948">
        <v>110</v>
      </c>
      <c r="Q1948">
        <v>420.13665395970798</v>
      </c>
    </row>
    <row r="1949" spans="1:17" x14ac:dyDescent="0.3">
      <c r="A1949">
        <v>565567</v>
      </c>
      <c r="B1949" s="1" t="s">
        <v>40</v>
      </c>
      <c r="C1949" s="1" t="s">
        <v>16</v>
      </c>
      <c r="D1949" s="1" t="s">
        <v>16</v>
      </c>
      <c r="E1949" s="1" t="s">
        <v>27</v>
      </c>
      <c r="F1949" s="1" t="s">
        <v>29</v>
      </c>
      <c r="G1949" s="1" t="s">
        <v>20</v>
      </c>
      <c r="H1949" t="s">
        <v>30</v>
      </c>
      <c r="I1949" s="1" t="s">
        <v>22</v>
      </c>
      <c r="J1949" s="2">
        <v>43534.71665509259</v>
      </c>
      <c r="K1949" s="2">
        <v>43535.71665509259</v>
      </c>
      <c r="L1949" s="2">
        <v>43538.71665509259</v>
      </c>
      <c r="M1949" s="1">
        <f>_xlfn.DAYS(Table1[[#This Row],[actual_delivery_date]],Table1[[#This Row],[dispatch_date]])</f>
        <v>1</v>
      </c>
      <c r="N1949">
        <v>0</v>
      </c>
      <c r="O1949">
        <f>Table1[[#This Row],[transit_storage_cost]] * (1-'What -if Analysis'!$D$26)</f>
        <v>0</v>
      </c>
      <c r="P1949">
        <v>124</v>
      </c>
      <c r="Q1949">
        <v>192</v>
      </c>
    </row>
    <row r="1950" spans="1:17" x14ac:dyDescent="0.3">
      <c r="A1950">
        <v>924103</v>
      </c>
      <c r="B1950" s="1" t="s">
        <v>15</v>
      </c>
      <c r="C1950" s="1" t="s">
        <v>23</v>
      </c>
      <c r="D1950" s="1" t="s">
        <v>17</v>
      </c>
      <c r="E1950" s="1" t="s">
        <v>18</v>
      </c>
      <c r="F1950" s="1" t="s">
        <v>29</v>
      </c>
      <c r="G1950" s="1" t="s">
        <v>20</v>
      </c>
      <c r="H1950" t="s">
        <v>30</v>
      </c>
      <c r="I1950" s="1" t="s">
        <v>22</v>
      </c>
      <c r="J1950" s="2">
        <v>43532.718182870369</v>
      </c>
      <c r="K1950" s="2">
        <v>43535.718182870369</v>
      </c>
      <c r="L1950" s="2">
        <v>43537.718182870369</v>
      </c>
      <c r="M1950" s="1">
        <f>_xlfn.DAYS(Table1[[#This Row],[actual_delivery_date]],Table1[[#This Row],[dispatch_date]])</f>
        <v>3</v>
      </c>
      <c r="N1950">
        <v>35</v>
      </c>
      <c r="O1950">
        <f>Table1[[#This Row],[transit_storage_cost]] * (1-'What -if Analysis'!$D$26)</f>
        <v>35</v>
      </c>
      <c r="P1950">
        <v>105</v>
      </c>
      <c r="Q1950">
        <v>1483.6498693254739</v>
      </c>
    </row>
    <row r="1951" spans="1:17" x14ac:dyDescent="0.3">
      <c r="A1951">
        <v>662303</v>
      </c>
      <c r="B1951" s="1" t="s">
        <v>40</v>
      </c>
      <c r="C1951" s="1" t="s">
        <v>23</v>
      </c>
      <c r="D1951" s="1" t="s">
        <v>24</v>
      </c>
      <c r="E1951" s="1" t="s">
        <v>25</v>
      </c>
      <c r="F1951" s="1" t="s">
        <v>29</v>
      </c>
      <c r="G1951" s="1" t="s">
        <v>20</v>
      </c>
      <c r="H1951" t="s">
        <v>30</v>
      </c>
      <c r="I1951" s="1" t="s">
        <v>22</v>
      </c>
      <c r="J1951" s="2">
        <v>43531.721319444441</v>
      </c>
      <c r="K1951" s="2">
        <v>43535.721319444441</v>
      </c>
      <c r="L1951" s="2">
        <v>43537.721319444441</v>
      </c>
      <c r="M1951" s="1">
        <f>_xlfn.DAYS(Table1[[#This Row],[actual_delivery_date]],Table1[[#This Row],[dispatch_date]])</f>
        <v>4</v>
      </c>
      <c r="N1951">
        <v>32</v>
      </c>
      <c r="O1951">
        <f>Table1[[#This Row],[transit_storage_cost]] * (1-'What -if Analysis'!$D$26)</f>
        <v>32</v>
      </c>
      <c r="P1951">
        <v>127</v>
      </c>
      <c r="Q1951">
        <v>1112.3122857155745</v>
      </c>
    </row>
    <row r="1952" spans="1:17" x14ac:dyDescent="0.3">
      <c r="A1952">
        <v>385764</v>
      </c>
      <c r="B1952" s="1" t="s">
        <v>37</v>
      </c>
      <c r="C1952" s="1" t="s">
        <v>23</v>
      </c>
      <c r="D1952" s="1" t="s">
        <v>17</v>
      </c>
      <c r="E1952" s="1" t="s">
        <v>18</v>
      </c>
      <c r="F1952" s="1" t="s">
        <v>19</v>
      </c>
      <c r="G1952" s="1" t="s">
        <v>20</v>
      </c>
      <c r="H1952" t="s">
        <v>21</v>
      </c>
      <c r="I1952" s="1" t="s">
        <v>26</v>
      </c>
      <c r="J1952" s="2">
        <v>43531.725185185183</v>
      </c>
      <c r="K1952" s="2">
        <v>43535.725185185183</v>
      </c>
      <c r="L1952" s="2">
        <v>43538.725185185183</v>
      </c>
      <c r="M1952" s="1">
        <f>_xlfn.DAYS(Table1[[#This Row],[actual_delivery_date]],Table1[[#This Row],[dispatch_date]])</f>
        <v>4</v>
      </c>
      <c r="N1952">
        <v>49</v>
      </c>
      <c r="O1952">
        <f>Table1[[#This Row],[transit_storage_cost]] * (1-'What -if Analysis'!$D$26)</f>
        <v>49</v>
      </c>
      <c r="P1952">
        <v>110</v>
      </c>
      <c r="Q1952">
        <v>371</v>
      </c>
    </row>
    <row r="1953" spans="1:17" x14ac:dyDescent="0.3">
      <c r="A1953">
        <v>771656</v>
      </c>
      <c r="B1953" s="1" t="s">
        <v>41</v>
      </c>
      <c r="C1953" s="1" t="s">
        <v>16</v>
      </c>
      <c r="D1953" s="1" t="s">
        <v>16</v>
      </c>
      <c r="E1953" s="1" t="s">
        <v>27</v>
      </c>
      <c r="F1953" s="1" t="s">
        <v>19</v>
      </c>
      <c r="G1953" s="1" t="s">
        <v>20</v>
      </c>
      <c r="H1953" t="s">
        <v>21</v>
      </c>
      <c r="I1953" s="1" t="s">
        <v>22</v>
      </c>
      <c r="J1953" s="2">
        <v>43533.728125000001</v>
      </c>
      <c r="K1953" s="2">
        <v>43535.728125000001</v>
      </c>
      <c r="L1953" s="2">
        <v>43540.728125000001</v>
      </c>
      <c r="M1953" s="1">
        <f>_xlfn.DAYS(Table1[[#This Row],[actual_delivery_date]],Table1[[#This Row],[dispatch_date]])</f>
        <v>2</v>
      </c>
      <c r="N1953">
        <v>0</v>
      </c>
      <c r="O1953">
        <f>Table1[[#This Row],[transit_storage_cost]] * (1-'What -if Analysis'!$D$26)</f>
        <v>0</v>
      </c>
      <c r="P1953">
        <v>128</v>
      </c>
      <c r="Q1953">
        <v>1290.7033771692672</v>
      </c>
    </row>
    <row r="1954" spans="1:17" x14ac:dyDescent="0.3">
      <c r="A1954">
        <v>18597</v>
      </c>
      <c r="B1954" s="1" t="s">
        <v>38</v>
      </c>
      <c r="C1954" s="1" t="s">
        <v>16</v>
      </c>
      <c r="D1954" s="1" t="s">
        <v>17</v>
      </c>
      <c r="E1954" s="1" t="s">
        <v>18</v>
      </c>
      <c r="F1954" s="1" t="s">
        <v>29</v>
      </c>
      <c r="G1954" s="1" t="s">
        <v>20</v>
      </c>
      <c r="H1954" t="s">
        <v>30</v>
      </c>
      <c r="I1954" s="1" t="s">
        <v>26</v>
      </c>
      <c r="J1954" s="2">
        <v>43529.728136574071</v>
      </c>
      <c r="K1954" s="2">
        <v>43535.728136574071</v>
      </c>
      <c r="L1954" s="2">
        <v>43534.728136574071</v>
      </c>
      <c r="M1954" s="1">
        <f>_xlfn.DAYS(Table1[[#This Row],[actual_delivery_date]],Table1[[#This Row],[dispatch_date]])</f>
        <v>6</v>
      </c>
      <c r="N1954">
        <v>46</v>
      </c>
      <c r="O1954">
        <f>Table1[[#This Row],[transit_storage_cost]] * (1-'What -if Analysis'!$D$26)</f>
        <v>46</v>
      </c>
      <c r="P1954">
        <v>113</v>
      </c>
      <c r="Q1954">
        <v>2095.4699999999998</v>
      </c>
    </row>
    <row r="1955" spans="1:17" x14ac:dyDescent="0.3">
      <c r="A1955">
        <v>604889</v>
      </c>
      <c r="B1955" s="1" t="s">
        <v>37</v>
      </c>
      <c r="C1955" s="1" t="s">
        <v>23</v>
      </c>
      <c r="D1955" s="1" t="s">
        <v>32</v>
      </c>
      <c r="E1955" s="1" t="s">
        <v>33</v>
      </c>
      <c r="F1955" s="1" t="s">
        <v>29</v>
      </c>
      <c r="G1955" s="1" t="s">
        <v>20</v>
      </c>
      <c r="H1955" t="s">
        <v>30</v>
      </c>
      <c r="I1955" s="1" t="s">
        <v>22</v>
      </c>
      <c r="J1955" s="2">
        <v>43531.728946759256</v>
      </c>
      <c r="K1955" s="2">
        <v>43535.728946759256</v>
      </c>
      <c r="L1955" s="2">
        <v>43535.728946759256</v>
      </c>
      <c r="M1955" s="1">
        <f>_xlfn.DAYS(Table1[[#This Row],[actual_delivery_date]],Table1[[#This Row],[dispatch_date]])</f>
        <v>4</v>
      </c>
      <c r="N1955">
        <v>35</v>
      </c>
      <c r="O1955">
        <f>Table1[[#This Row],[transit_storage_cost]] * (1-'What -if Analysis'!$D$26)</f>
        <v>35</v>
      </c>
      <c r="P1955">
        <v>105</v>
      </c>
      <c r="Q1955">
        <v>1989.0113221273557</v>
      </c>
    </row>
    <row r="1956" spans="1:17" x14ac:dyDescent="0.3">
      <c r="A1956">
        <v>912736</v>
      </c>
      <c r="B1956" s="1" t="s">
        <v>41</v>
      </c>
      <c r="C1956" s="1" t="s">
        <v>23</v>
      </c>
      <c r="D1956" s="1" t="s">
        <v>24</v>
      </c>
      <c r="E1956" s="1" t="s">
        <v>25</v>
      </c>
      <c r="F1956" s="1" t="s">
        <v>19</v>
      </c>
      <c r="G1956" s="1" t="s">
        <v>20</v>
      </c>
      <c r="H1956" t="s">
        <v>21</v>
      </c>
      <c r="I1956" s="1" t="s">
        <v>22</v>
      </c>
      <c r="J1956" s="2">
        <v>43526.731550925928</v>
      </c>
      <c r="K1956" s="2">
        <v>43535.731550925928</v>
      </c>
      <c r="L1956" s="2">
        <v>43533.731550925928</v>
      </c>
      <c r="M1956" s="1">
        <f>_xlfn.DAYS(Table1[[#This Row],[actual_delivery_date]],Table1[[#This Row],[dispatch_date]])</f>
        <v>9</v>
      </c>
      <c r="N1956">
        <v>29</v>
      </c>
      <c r="O1956">
        <f>Table1[[#This Row],[transit_storage_cost]] * (1-'What -if Analysis'!$D$26)</f>
        <v>29</v>
      </c>
      <c r="P1956">
        <v>125</v>
      </c>
      <c r="Q1956">
        <v>2253.756716288869</v>
      </c>
    </row>
    <row r="1957" spans="1:17" x14ac:dyDescent="0.3">
      <c r="A1957">
        <v>990693</v>
      </c>
      <c r="B1957" s="1" t="s">
        <v>38</v>
      </c>
      <c r="C1957" s="1" t="s">
        <v>23</v>
      </c>
      <c r="D1957" s="1" t="s">
        <v>16</v>
      </c>
      <c r="E1957" s="1" t="s">
        <v>27</v>
      </c>
      <c r="F1957" s="1" t="s">
        <v>29</v>
      </c>
      <c r="G1957" s="1" t="s">
        <v>20</v>
      </c>
      <c r="H1957" t="s">
        <v>30</v>
      </c>
      <c r="I1957" s="1" t="s">
        <v>26</v>
      </c>
      <c r="J1957" s="2">
        <v>43527.737129629626</v>
      </c>
      <c r="K1957" s="2">
        <v>43535.737129629626</v>
      </c>
      <c r="L1957" s="2">
        <v>43531.737129629626</v>
      </c>
      <c r="M1957" s="1">
        <f>_xlfn.DAYS(Table1[[#This Row],[actual_delivery_date]],Table1[[#This Row],[dispatch_date]])</f>
        <v>8</v>
      </c>
      <c r="N1957">
        <v>38</v>
      </c>
      <c r="O1957">
        <f>Table1[[#This Row],[transit_storage_cost]] * (1-'What -if Analysis'!$D$26)</f>
        <v>38</v>
      </c>
      <c r="P1957">
        <v>129</v>
      </c>
      <c r="Q1957">
        <v>2310.69</v>
      </c>
    </row>
    <row r="1958" spans="1:17" x14ac:dyDescent="0.3">
      <c r="A1958">
        <v>412654</v>
      </c>
      <c r="B1958" s="1" t="s">
        <v>39</v>
      </c>
      <c r="C1958" s="1" t="s">
        <v>16</v>
      </c>
      <c r="D1958" s="1" t="s">
        <v>16</v>
      </c>
      <c r="E1958" s="1" t="s">
        <v>27</v>
      </c>
      <c r="F1958" s="1" t="s">
        <v>31</v>
      </c>
      <c r="G1958" s="1" t="s">
        <v>20</v>
      </c>
      <c r="H1958" t="s">
        <v>21</v>
      </c>
      <c r="I1958" s="1" t="s">
        <v>22</v>
      </c>
      <c r="J1958" s="2">
        <v>43533.737986111111</v>
      </c>
      <c r="K1958" s="2">
        <v>43535.737986111111</v>
      </c>
      <c r="L1958" s="2">
        <v>43539.737986111111</v>
      </c>
      <c r="M1958" s="1">
        <f>_xlfn.DAYS(Table1[[#This Row],[actual_delivery_date]],Table1[[#This Row],[dispatch_date]])</f>
        <v>2</v>
      </c>
      <c r="N1958">
        <v>0</v>
      </c>
      <c r="O1958">
        <f>Table1[[#This Row],[transit_storage_cost]] * (1-'What -if Analysis'!$D$26)</f>
        <v>0</v>
      </c>
      <c r="P1958">
        <v>120</v>
      </c>
      <c r="Q1958">
        <v>932.64320827965503</v>
      </c>
    </row>
    <row r="1959" spans="1:17" x14ac:dyDescent="0.3">
      <c r="A1959">
        <v>412775</v>
      </c>
      <c r="B1959" s="1" t="s">
        <v>38</v>
      </c>
      <c r="C1959" s="1" t="s">
        <v>16</v>
      </c>
      <c r="D1959" s="1" t="s">
        <v>16</v>
      </c>
      <c r="E1959" s="1" t="s">
        <v>27</v>
      </c>
      <c r="F1959" s="1" t="s">
        <v>29</v>
      </c>
      <c r="G1959" s="1" t="s">
        <v>20</v>
      </c>
      <c r="H1959" t="s">
        <v>30</v>
      </c>
      <c r="I1959" s="1" t="s">
        <v>22</v>
      </c>
      <c r="J1959" s="2">
        <v>43529.746319444443</v>
      </c>
      <c r="K1959" s="2">
        <v>43535.746319444443</v>
      </c>
      <c r="L1959" s="2">
        <v>43536.746319444443</v>
      </c>
      <c r="M1959" s="1">
        <f>_xlfn.DAYS(Table1[[#This Row],[actual_delivery_date]],Table1[[#This Row],[dispatch_date]])</f>
        <v>6</v>
      </c>
      <c r="N1959">
        <v>0</v>
      </c>
      <c r="O1959">
        <f>Table1[[#This Row],[transit_storage_cost]] * (1-'What -if Analysis'!$D$26)</f>
        <v>0</v>
      </c>
      <c r="P1959">
        <v>122</v>
      </c>
      <c r="Q1959">
        <v>1504.0448818182304</v>
      </c>
    </row>
    <row r="1960" spans="1:17" x14ac:dyDescent="0.3">
      <c r="A1960">
        <v>679644</v>
      </c>
      <c r="B1960" s="1" t="s">
        <v>38</v>
      </c>
      <c r="C1960" s="1" t="s">
        <v>23</v>
      </c>
      <c r="D1960" s="1" t="s">
        <v>23</v>
      </c>
      <c r="E1960" s="1" t="s">
        <v>28</v>
      </c>
      <c r="F1960" s="1" t="s">
        <v>19</v>
      </c>
      <c r="G1960" s="1" t="s">
        <v>20</v>
      </c>
      <c r="H1960" t="s">
        <v>21</v>
      </c>
      <c r="I1960" s="1" t="s">
        <v>26</v>
      </c>
      <c r="J1960" s="2">
        <v>43535.746979166666</v>
      </c>
      <c r="K1960" s="2">
        <v>43535.746979166666</v>
      </c>
      <c r="L1960" s="2">
        <v>43541.746979166666</v>
      </c>
      <c r="M1960" s="1">
        <f>_xlfn.DAYS(Table1[[#This Row],[actual_delivery_date]],Table1[[#This Row],[dispatch_date]])</f>
        <v>0</v>
      </c>
      <c r="N1960">
        <v>0</v>
      </c>
      <c r="O1960">
        <f>Table1[[#This Row],[transit_storage_cost]] * (1-'What -if Analysis'!$D$26)</f>
        <v>0</v>
      </c>
      <c r="P1960">
        <v>124</v>
      </c>
      <c r="Q1960">
        <v>2027.0105724814223</v>
      </c>
    </row>
    <row r="1961" spans="1:17" x14ac:dyDescent="0.3">
      <c r="A1961">
        <v>195010</v>
      </c>
      <c r="B1961" s="1" t="s">
        <v>38</v>
      </c>
      <c r="C1961" s="1" t="s">
        <v>23</v>
      </c>
      <c r="D1961" s="1" t="s">
        <v>17</v>
      </c>
      <c r="E1961" s="1" t="s">
        <v>18</v>
      </c>
      <c r="F1961" s="1" t="s">
        <v>31</v>
      </c>
      <c r="G1961" s="1" t="s">
        <v>20</v>
      </c>
      <c r="H1961" t="s">
        <v>21</v>
      </c>
      <c r="I1961" s="1" t="s">
        <v>22</v>
      </c>
      <c r="J1961" s="2">
        <v>43532.749490740738</v>
      </c>
      <c r="K1961" s="2">
        <v>43535.749490740738</v>
      </c>
      <c r="L1961" s="2">
        <v>43537.749490740738</v>
      </c>
      <c r="M1961" s="1">
        <f>_xlfn.DAYS(Table1[[#This Row],[actual_delivery_date]],Table1[[#This Row],[dispatch_date]])</f>
        <v>3</v>
      </c>
      <c r="N1961">
        <v>30</v>
      </c>
      <c r="O1961">
        <f>Table1[[#This Row],[transit_storage_cost]] * (1-'What -if Analysis'!$D$26)</f>
        <v>30</v>
      </c>
      <c r="P1961">
        <v>112</v>
      </c>
      <c r="Q1961">
        <v>1950</v>
      </c>
    </row>
    <row r="1962" spans="1:17" x14ac:dyDescent="0.3">
      <c r="A1962">
        <v>697348</v>
      </c>
      <c r="B1962" s="1" t="s">
        <v>38</v>
      </c>
      <c r="C1962" s="1" t="s">
        <v>16</v>
      </c>
      <c r="D1962" s="1" t="s">
        <v>23</v>
      </c>
      <c r="E1962" s="1" t="s">
        <v>28</v>
      </c>
      <c r="F1962" s="1" t="s">
        <v>19</v>
      </c>
      <c r="G1962" s="1" t="s">
        <v>20</v>
      </c>
      <c r="H1962" t="s">
        <v>21</v>
      </c>
      <c r="I1962" s="1" t="s">
        <v>22</v>
      </c>
      <c r="J1962" s="2">
        <v>43530.751979166664</v>
      </c>
      <c r="K1962" s="2">
        <v>43535.751979166664</v>
      </c>
      <c r="L1962" s="2">
        <v>43536.751979166664</v>
      </c>
      <c r="M1962" s="1">
        <f>_xlfn.DAYS(Table1[[#This Row],[actual_delivery_date]],Table1[[#This Row],[dispatch_date]])</f>
        <v>5</v>
      </c>
      <c r="N1962">
        <v>30</v>
      </c>
      <c r="O1962">
        <f>Table1[[#This Row],[transit_storage_cost]] * (1-'What -if Analysis'!$D$26)</f>
        <v>30</v>
      </c>
      <c r="P1962">
        <v>129</v>
      </c>
      <c r="Q1962">
        <v>1740</v>
      </c>
    </row>
    <row r="1963" spans="1:17" x14ac:dyDescent="0.3">
      <c r="A1963">
        <v>400182</v>
      </c>
      <c r="B1963" s="1" t="s">
        <v>41</v>
      </c>
      <c r="C1963" s="1" t="s">
        <v>16</v>
      </c>
      <c r="D1963" s="1" t="s">
        <v>16</v>
      </c>
      <c r="E1963" s="1" t="s">
        <v>27</v>
      </c>
      <c r="F1963" s="1" t="s">
        <v>31</v>
      </c>
      <c r="G1963" s="1" t="s">
        <v>20</v>
      </c>
      <c r="H1963" t="s">
        <v>21</v>
      </c>
      <c r="I1963" s="1" t="s">
        <v>26</v>
      </c>
      <c r="J1963" s="2">
        <v>43531.770960648151</v>
      </c>
      <c r="K1963" s="2">
        <v>43535.770960648151</v>
      </c>
      <c r="L1963" s="2">
        <v>43538.770960648151</v>
      </c>
      <c r="M1963" s="1">
        <f>_xlfn.DAYS(Table1[[#This Row],[actual_delivery_date]],Table1[[#This Row],[dispatch_date]])</f>
        <v>4</v>
      </c>
      <c r="N1963">
        <v>0</v>
      </c>
      <c r="O1963">
        <f>Table1[[#This Row],[transit_storage_cost]] * (1-'What -if Analysis'!$D$26)</f>
        <v>0</v>
      </c>
      <c r="P1963">
        <v>126</v>
      </c>
      <c r="Q1963">
        <v>445.52865938439561</v>
      </c>
    </row>
    <row r="1964" spans="1:17" x14ac:dyDescent="0.3">
      <c r="A1964">
        <v>110850</v>
      </c>
      <c r="B1964" s="1" t="s">
        <v>39</v>
      </c>
      <c r="C1964" s="1" t="s">
        <v>16</v>
      </c>
      <c r="D1964" s="1" t="s">
        <v>16</v>
      </c>
      <c r="E1964" s="1" t="s">
        <v>27</v>
      </c>
      <c r="F1964" s="1" t="s">
        <v>19</v>
      </c>
      <c r="G1964" s="1" t="s">
        <v>20</v>
      </c>
      <c r="H1964" t="s">
        <v>21</v>
      </c>
      <c r="I1964" s="1" t="s">
        <v>26</v>
      </c>
      <c r="J1964" s="2">
        <v>43534.772418981483</v>
      </c>
      <c r="K1964" s="2">
        <v>43535.772418981483</v>
      </c>
      <c r="L1964" s="2">
        <v>43537.772418981483</v>
      </c>
      <c r="M1964" s="1">
        <f>_xlfn.DAYS(Table1[[#This Row],[actual_delivery_date]],Table1[[#This Row],[dispatch_date]])</f>
        <v>1</v>
      </c>
      <c r="N1964">
        <v>0</v>
      </c>
      <c r="O1964">
        <f>Table1[[#This Row],[transit_storage_cost]] * (1-'What -if Analysis'!$D$26)</f>
        <v>0</v>
      </c>
      <c r="P1964">
        <v>110</v>
      </c>
      <c r="Q1964">
        <v>1888</v>
      </c>
    </row>
    <row r="1965" spans="1:17" x14ac:dyDescent="0.3">
      <c r="A1965">
        <v>437687</v>
      </c>
      <c r="B1965" s="1" t="s">
        <v>15</v>
      </c>
      <c r="C1965" s="1" t="s">
        <v>23</v>
      </c>
      <c r="D1965" s="1" t="s">
        <v>16</v>
      </c>
      <c r="E1965" s="1" t="s">
        <v>27</v>
      </c>
      <c r="F1965" s="1" t="s">
        <v>29</v>
      </c>
      <c r="G1965" s="1" t="s">
        <v>20</v>
      </c>
      <c r="H1965" t="s">
        <v>30</v>
      </c>
      <c r="I1965" s="1" t="s">
        <v>22</v>
      </c>
      <c r="J1965" s="2">
        <v>43528.77721064815</v>
      </c>
      <c r="K1965" s="2">
        <v>43535.77721064815</v>
      </c>
      <c r="L1965" s="2">
        <v>43534.77721064815</v>
      </c>
      <c r="M1965" s="1">
        <f>_xlfn.DAYS(Table1[[#This Row],[actual_delivery_date]],Table1[[#This Row],[dispatch_date]])</f>
        <v>7</v>
      </c>
      <c r="N1965">
        <v>48</v>
      </c>
      <c r="O1965">
        <f>Table1[[#This Row],[transit_storage_cost]] * (1-'What -if Analysis'!$D$26)</f>
        <v>48</v>
      </c>
      <c r="P1965">
        <v>126</v>
      </c>
      <c r="Q1965">
        <v>2825.8198177320255</v>
      </c>
    </row>
    <row r="1966" spans="1:17" x14ac:dyDescent="0.3">
      <c r="A1966">
        <v>950883</v>
      </c>
      <c r="B1966" s="1" t="s">
        <v>39</v>
      </c>
      <c r="C1966" s="1" t="s">
        <v>16</v>
      </c>
      <c r="D1966" s="1" t="s">
        <v>16</v>
      </c>
      <c r="E1966" s="1" t="s">
        <v>27</v>
      </c>
      <c r="F1966" s="1" t="s">
        <v>29</v>
      </c>
      <c r="G1966" s="1" t="s">
        <v>20</v>
      </c>
      <c r="H1966" t="s">
        <v>30</v>
      </c>
      <c r="I1966" s="1" t="s">
        <v>26</v>
      </c>
      <c r="J1966" s="2">
        <v>43528.787372685183</v>
      </c>
      <c r="K1966" s="2">
        <v>43535.787372685183</v>
      </c>
      <c r="L1966" s="2">
        <v>43534.787372685183</v>
      </c>
      <c r="M1966" s="1">
        <f>_xlfn.DAYS(Table1[[#This Row],[actual_delivery_date]],Table1[[#This Row],[dispatch_date]])</f>
        <v>7</v>
      </c>
      <c r="N1966">
        <v>0</v>
      </c>
      <c r="O1966">
        <f>Table1[[#This Row],[transit_storage_cost]] * (1-'What -if Analysis'!$D$26)</f>
        <v>0</v>
      </c>
      <c r="P1966">
        <v>122</v>
      </c>
      <c r="Q1966">
        <v>2529.4299999999998</v>
      </c>
    </row>
    <row r="1967" spans="1:17" x14ac:dyDescent="0.3">
      <c r="A1967">
        <v>386454</v>
      </c>
      <c r="B1967" s="1" t="s">
        <v>37</v>
      </c>
      <c r="C1967" s="1" t="s">
        <v>16</v>
      </c>
      <c r="D1967" s="1" t="s">
        <v>23</v>
      </c>
      <c r="E1967" s="1" t="s">
        <v>28</v>
      </c>
      <c r="F1967" s="1" t="s">
        <v>31</v>
      </c>
      <c r="G1967" s="1" t="s">
        <v>20</v>
      </c>
      <c r="H1967" t="s">
        <v>21</v>
      </c>
      <c r="I1967" s="1" t="s">
        <v>26</v>
      </c>
      <c r="J1967" s="2">
        <v>43528.789340277777</v>
      </c>
      <c r="K1967" s="2">
        <v>43535.789340277777</v>
      </c>
      <c r="L1967" s="2">
        <v>43532.789340277777</v>
      </c>
      <c r="M1967" s="1">
        <f>_xlfn.DAYS(Table1[[#This Row],[actual_delivery_date]],Table1[[#This Row],[dispatch_date]])</f>
        <v>7</v>
      </c>
      <c r="N1967">
        <v>37</v>
      </c>
      <c r="O1967">
        <f>Table1[[#This Row],[transit_storage_cost]] * (1-'What -if Analysis'!$D$26)</f>
        <v>37</v>
      </c>
      <c r="P1967">
        <v>126</v>
      </c>
      <c r="Q1967">
        <v>2097.61</v>
      </c>
    </row>
    <row r="1968" spans="1:17" x14ac:dyDescent="0.3">
      <c r="A1968">
        <v>543116</v>
      </c>
      <c r="B1968" s="1" t="s">
        <v>37</v>
      </c>
      <c r="C1968" s="1" t="s">
        <v>16</v>
      </c>
      <c r="D1968" s="1" t="s">
        <v>24</v>
      </c>
      <c r="E1968" s="1" t="s">
        <v>25</v>
      </c>
      <c r="F1968" s="1" t="s">
        <v>19</v>
      </c>
      <c r="G1968" s="1" t="s">
        <v>20</v>
      </c>
      <c r="H1968" t="s">
        <v>21</v>
      </c>
      <c r="I1968" s="1" t="s">
        <v>22</v>
      </c>
      <c r="J1968" s="2">
        <v>43527.789618055554</v>
      </c>
      <c r="K1968" s="2">
        <v>43535.789618055554</v>
      </c>
      <c r="L1968" s="2">
        <v>43534.789618055554</v>
      </c>
      <c r="M1968" s="1">
        <f>_xlfn.DAYS(Table1[[#This Row],[actual_delivery_date]],Table1[[#This Row],[dispatch_date]])</f>
        <v>8</v>
      </c>
      <c r="N1968">
        <v>31</v>
      </c>
      <c r="O1968">
        <f>Table1[[#This Row],[transit_storage_cost]] * (1-'What -if Analysis'!$D$26)</f>
        <v>31</v>
      </c>
      <c r="P1968">
        <v>125</v>
      </c>
      <c r="Q1968">
        <v>1584.656814406585</v>
      </c>
    </row>
    <row r="1969" spans="1:17" x14ac:dyDescent="0.3">
      <c r="A1969">
        <v>289587</v>
      </c>
      <c r="B1969" s="1" t="s">
        <v>37</v>
      </c>
      <c r="C1969" s="1" t="s">
        <v>16</v>
      </c>
      <c r="D1969" s="1" t="s">
        <v>17</v>
      </c>
      <c r="E1969" s="1" t="s">
        <v>18</v>
      </c>
      <c r="F1969" s="1" t="s">
        <v>29</v>
      </c>
      <c r="G1969" s="1" t="s">
        <v>20</v>
      </c>
      <c r="H1969" t="s">
        <v>30</v>
      </c>
      <c r="I1969" s="1" t="s">
        <v>26</v>
      </c>
      <c r="J1969" s="2">
        <v>43532.790833333333</v>
      </c>
      <c r="K1969" s="2">
        <v>43535.790833333333</v>
      </c>
      <c r="L1969" s="2">
        <v>43539.790833333333</v>
      </c>
      <c r="M1969" s="1">
        <f>_xlfn.DAYS(Table1[[#This Row],[actual_delivery_date]],Table1[[#This Row],[dispatch_date]])</f>
        <v>3</v>
      </c>
      <c r="N1969">
        <v>38</v>
      </c>
      <c r="O1969">
        <f>Table1[[#This Row],[transit_storage_cost]] * (1-'What -if Analysis'!$D$26)</f>
        <v>38</v>
      </c>
      <c r="P1969">
        <v>108</v>
      </c>
      <c r="Q1969">
        <v>685</v>
      </c>
    </row>
    <row r="1970" spans="1:17" x14ac:dyDescent="0.3">
      <c r="A1970">
        <v>714472</v>
      </c>
      <c r="B1970" s="1" t="s">
        <v>39</v>
      </c>
      <c r="C1970" s="1" t="s">
        <v>23</v>
      </c>
      <c r="D1970" s="1" t="s">
        <v>17</v>
      </c>
      <c r="E1970" s="1" t="s">
        <v>18</v>
      </c>
      <c r="F1970" s="1" t="s">
        <v>19</v>
      </c>
      <c r="G1970" s="1" t="s">
        <v>20</v>
      </c>
      <c r="H1970" t="s">
        <v>21</v>
      </c>
      <c r="I1970" s="1" t="s">
        <v>22</v>
      </c>
      <c r="J1970" s="2">
        <v>43533.79859953704</v>
      </c>
      <c r="K1970" s="2">
        <v>43535.79859953704</v>
      </c>
      <c r="L1970" s="2">
        <v>43536.79859953704</v>
      </c>
      <c r="M1970" s="1">
        <f>_xlfn.DAYS(Table1[[#This Row],[actual_delivery_date]],Table1[[#This Row],[dispatch_date]])</f>
        <v>2</v>
      </c>
      <c r="N1970">
        <v>63</v>
      </c>
      <c r="O1970">
        <f>Table1[[#This Row],[transit_storage_cost]] * (1-'What -if Analysis'!$D$26)</f>
        <v>63</v>
      </c>
      <c r="P1970">
        <v>88</v>
      </c>
      <c r="Q1970">
        <v>437.68096706534766</v>
      </c>
    </row>
    <row r="1971" spans="1:17" x14ac:dyDescent="0.3">
      <c r="A1971">
        <v>188281</v>
      </c>
      <c r="B1971" s="1" t="s">
        <v>39</v>
      </c>
      <c r="C1971" s="1" t="s">
        <v>23</v>
      </c>
      <c r="D1971" s="1" t="s">
        <v>17</v>
      </c>
      <c r="E1971" s="1" t="s">
        <v>18</v>
      </c>
      <c r="F1971" s="1" t="s">
        <v>19</v>
      </c>
      <c r="G1971" s="1" t="s">
        <v>20</v>
      </c>
      <c r="H1971" t="s">
        <v>30</v>
      </c>
      <c r="I1971" s="1" t="s">
        <v>22</v>
      </c>
      <c r="J1971" s="2">
        <v>43531.800011574072</v>
      </c>
      <c r="K1971" s="2">
        <v>43535.800011574072</v>
      </c>
      <c r="L1971" s="2">
        <v>43538.800011574072</v>
      </c>
      <c r="M1971" s="1">
        <f>_xlfn.DAYS(Table1[[#This Row],[actual_delivery_date]],Table1[[#This Row],[dispatch_date]])</f>
        <v>4</v>
      </c>
      <c r="N1971">
        <v>77</v>
      </c>
      <c r="O1971">
        <f>Table1[[#This Row],[transit_storage_cost]] * (1-'What -if Analysis'!$D$26)</f>
        <v>77</v>
      </c>
      <c r="P1971">
        <v>94</v>
      </c>
      <c r="Q1971">
        <v>844.77529370773652</v>
      </c>
    </row>
    <row r="1972" spans="1:17" x14ac:dyDescent="0.3">
      <c r="A1972">
        <v>53125</v>
      </c>
      <c r="B1972" s="1" t="s">
        <v>38</v>
      </c>
      <c r="C1972" s="1" t="s">
        <v>23</v>
      </c>
      <c r="D1972" s="1" t="s">
        <v>16</v>
      </c>
      <c r="E1972" s="1" t="s">
        <v>27</v>
      </c>
      <c r="F1972" s="1" t="s">
        <v>19</v>
      </c>
      <c r="G1972" s="1" t="s">
        <v>20</v>
      </c>
      <c r="H1972" t="s">
        <v>30</v>
      </c>
      <c r="I1972" s="1" t="s">
        <v>22</v>
      </c>
      <c r="J1972" s="2">
        <v>43533.803981481484</v>
      </c>
      <c r="K1972" s="2">
        <v>43535.803981481484</v>
      </c>
      <c r="L1972" s="2">
        <v>43536.803981481484</v>
      </c>
      <c r="M1972" s="1">
        <f>_xlfn.DAYS(Table1[[#This Row],[actual_delivery_date]],Table1[[#This Row],[dispatch_date]])</f>
        <v>2</v>
      </c>
      <c r="N1972">
        <v>64</v>
      </c>
      <c r="O1972">
        <f>Table1[[#This Row],[transit_storage_cost]] * (1-'What -if Analysis'!$D$26)</f>
        <v>64</v>
      </c>
      <c r="P1972">
        <v>106</v>
      </c>
      <c r="Q1972">
        <v>1021.8746362524906</v>
      </c>
    </row>
    <row r="1973" spans="1:17" x14ac:dyDescent="0.3">
      <c r="A1973">
        <v>160896</v>
      </c>
      <c r="B1973" s="1" t="s">
        <v>40</v>
      </c>
      <c r="C1973" s="1" t="s">
        <v>23</v>
      </c>
      <c r="D1973" s="1" t="s">
        <v>16</v>
      </c>
      <c r="E1973" s="1" t="s">
        <v>27</v>
      </c>
      <c r="F1973" s="1" t="s">
        <v>19</v>
      </c>
      <c r="G1973" s="1" t="s">
        <v>20</v>
      </c>
      <c r="H1973" t="s">
        <v>21</v>
      </c>
      <c r="I1973" s="1" t="s">
        <v>26</v>
      </c>
      <c r="J1973" s="2">
        <v>43533.807430555556</v>
      </c>
      <c r="K1973" s="2">
        <v>43535.807430555556</v>
      </c>
      <c r="L1973" s="2">
        <v>43540.807430555556</v>
      </c>
      <c r="M1973" s="1">
        <f>_xlfn.DAYS(Table1[[#This Row],[actual_delivery_date]],Table1[[#This Row],[dispatch_date]])</f>
        <v>2</v>
      </c>
      <c r="N1973">
        <v>28</v>
      </c>
      <c r="O1973">
        <f>Table1[[#This Row],[transit_storage_cost]] * (1-'What -if Analysis'!$D$26)</f>
        <v>28</v>
      </c>
      <c r="P1973">
        <v>130</v>
      </c>
      <c r="Q1973">
        <v>2882.2174923567836</v>
      </c>
    </row>
    <row r="1974" spans="1:17" x14ac:dyDescent="0.3">
      <c r="A1974">
        <v>442270</v>
      </c>
      <c r="B1974" s="1" t="s">
        <v>38</v>
      </c>
      <c r="C1974" s="1" t="s">
        <v>23</v>
      </c>
      <c r="D1974" s="1" t="s">
        <v>17</v>
      </c>
      <c r="E1974" s="1" t="s">
        <v>18</v>
      </c>
      <c r="F1974" s="1" t="s">
        <v>31</v>
      </c>
      <c r="G1974" s="1" t="s">
        <v>20</v>
      </c>
      <c r="H1974" t="s">
        <v>21</v>
      </c>
      <c r="I1974" s="1" t="s">
        <v>22</v>
      </c>
      <c r="J1974" s="2">
        <v>43528.807800925926</v>
      </c>
      <c r="K1974" s="2">
        <v>43535.807800925926</v>
      </c>
      <c r="L1974" s="2">
        <v>43531.807800925926</v>
      </c>
      <c r="M1974" s="1">
        <f>_xlfn.DAYS(Table1[[#This Row],[actual_delivery_date]],Table1[[#This Row],[dispatch_date]])</f>
        <v>7</v>
      </c>
      <c r="N1974">
        <v>47</v>
      </c>
      <c r="O1974">
        <f>Table1[[#This Row],[transit_storage_cost]] * (1-'What -if Analysis'!$D$26)</f>
        <v>47</v>
      </c>
      <c r="P1974">
        <v>108</v>
      </c>
      <c r="Q1974">
        <v>1438.7562004294782</v>
      </c>
    </row>
    <row r="1975" spans="1:17" x14ac:dyDescent="0.3">
      <c r="A1975">
        <v>981674</v>
      </c>
      <c r="B1975" s="1" t="s">
        <v>37</v>
      </c>
      <c r="C1975" s="1" t="s">
        <v>16</v>
      </c>
      <c r="D1975" s="1" t="s">
        <v>17</v>
      </c>
      <c r="E1975" s="1" t="s">
        <v>18</v>
      </c>
      <c r="F1975" s="1" t="s">
        <v>31</v>
      </c>
      <c r="G1975" s="1" t="s">
        <v>20</v>
      </c>
      <c r="H1975" t="s">
        <v>21</v>
      </c>
      <c r="I1975" s="1" t="s">
        <v>22</v>
      </c>
      <c r="J1975" s="2">
        <v>43526.809224537035</v>
      </c>
      <c r="K1975" s="2">
        <v>43535.809224537035</v>
      </c>
      <c r="L1975" s="2">
        <v>43532.809224537035</v>
      </c>
      <c r="M1975" s="1">
        <f>_xlfn.DAYS(Table1[[#This Row],[actual_delivery_date]],Table1[[#This Row],[dispatch_date]])</f>
        <v>9</v>
      </c>
      <c r="N1975">
        <v>42</v>
      </c>
      <c r="O1975">
        <f>Table1[[#This Row],[transit_storage_cost]] * (1-'What -if Analysis'!$D$26)</f>
        <v>42</v>
      </c>
      <c r="P1975">
        <v>107</v>
      </c>
      <c r="Q1975">
        <v>516.98717916359647</v>
      </c>
    </row>
    <row r="1976" spans="1:17" x14ac:dyDescent="0.3">
      <c r="A1976">
        <v>984162</v>
      </c>
      <c r="B1976" s="1" t="s">
        <v>39</v>
      </c>
      <c r="C1976" s="1" t="s">
        <v>16</v>
      </c>
      <c r="D1976" s="1" t="s">
        <v>23</v>
      </c>
      <c r="E1976" s="1" t="s">
        <v>28</v>
      </c>
      <c r="F1976" s="1" t="s">
        <v>19</v>
      </c>
      <c r="G1976" s="1" t="s">
        <v>20</v>
      </c>
      <c r="H1976" t="s">
        <v>21</v>
      </c>
      <c r="I1976" s="1" t="s">
        <v>26</v>
      </c>
      <c r="J1976" s="2">
        <v>43530.818784722222</v>
      </c>
      <c r="K1976" s="2">
        <v>43535.818784722222</v>
      </c>
      <c r="L1976" s="2">
        <v>43534.818784722222</v>
      </c>
      <c r="M1976" s="1">
        <f>_xlfn.DAYS(Table1[[#This Row],[actual_delivery_date]],Table1[[#This Row],[dispatch_date]])</f>
        <v>5</v>
      </c>
      <c r="N1976">
        <v>66</v>
      </c>
      <c r="O1976">
        <f>Table1[[#This Row],[transit_storage_cost]] * (1-'What -if Analysis'!$D$26)</f>
        <v>66</v>
      </c>
      <c r="P1976">
        <v>106</v>
      </c>
      <c r="Q1976">
        <v>1539.9331461870952</v>
      </c>
    </row>
    <row r="1977" spans="1:17" x14ac:dyDescent="0.3">
      <c r="A1977">
        <v>107661</v>
      </c>
      <c r="B1977" s="1" t="s">
        <v>37</v>
      </c>
      <c r="C1977" s="1" t="s">
        <v>23</v>
      </c>
      <c r="D1977" s="1" t="s">
        <v>16</v>
      </c>
      <c r="E1977" s="1" t="s">
        <v>27</v>
      </c>
      <c r="F1977" s="1" t="s">
        <v>29</v>
      </c>
      <c r="G1977" s="1" t="s">
        <v>20</v>
      </c>
      <c r="H1977" t="s">
        <v>30</v>
      </c>
      <c r="I1977" s="1" t="s">
        <v>26</v>
      </c>
      <c r="J1977" s="2">
        <v>43530.820833333331</v>
      </c>
      <c r="K1977" s="2">
        <v>43535.820833333331</v>
      </c>
      <c r="L1977" s="2">
        <v>43537.820833333331</v>
      </c>
      <c r="M1977" s="1">
        <f>_xlfn.DAYS(Table1[[#This Row],[actual_delivery_date]],Table1[[#This Row],[dispatch_date]])</f>
        <v>5</v>
      </c>
      <c r="N1977">
        <v>43</v>
      </c>
      <c r="O1977">
        <f>Table1[[#This Row],[transit_storage_cost]] * (1-'What -if Analysis'!$D$26)</f>
        <v>43</v>
      </c>
      <c r="P1977">
        <v>121</v>
      </c>
      <c r="Q1977">
        <v>1040.3827345038144</v>
      </c>
    </row>
    <row r="1978" spans="1:17" x14ac:dyDescent="0.3">
      <c r="A1978">
        <v>167923</v>
      </c>
      <c r="B1978" s="1" t="s">
        <v>37</v>
      </c>
      <c r="C1978" s="1" t="s">
        <v>16</v>
      </c>
      <c r="D1978" s="1" t="s">
        <v>17</v>
      </c>
      <c r="E1978" s="1" t="s">
        <v>18</v>
      </c>
      <c r="F1978" s="1" t="s">
        <v>19</v>
      </c>
      <c r="G1978" s="1" t="s">
        <v>20</v>
      </c>
      <c r="H1978" t="s">
        <v>34</v>
      </c>
      <c r="I1978" s="1" t="s">
        <v>22</v>
      </c>
      <c r="J1978" s="2">
        <v>43530.821909722225</v>
      </c>
      <c r="K1978" s="2">
        <v>43535.821909722225</v>
      </c>
      <c r="L1978" s="2">
        <v>43536.821909722225</v>
      </c>
      <c r="M1978" s="1">
        <f>_xlfn.DAYS(Table1[[#This Row],[actual_delivery_date]],Table1[[#This Row],[dispatch_date]])</f>
        <v>5</v>
      </c>
      <c r="N1978">
        <v>60</v>
      </c>
      <c r="O1978">
        <f>Table1[[#This Row],[transit_storage_cost]] * (1-'What -if Analysis'!$D$26)</f>
        <v>60</v>
      </c>
      <c r="P1978">
        <v>91</v>
      </c>
      <c r="Q1978">
        <v>475.05983643670697</v>
      </c>
    </row>
    <row r="1979" spans="1:17" x14ac:dyDescent="0.3">
      <c r="A1979">
        <v>540794</v>
      </c>
      <c r="B1979" s="1" t="s">
        <v>15</v>
      </c>
      <c r="C1979" s="1" t="s">
        <v>16</v>
      </c>
      <c r="D1979" s="1" t="s">
        <v>17</v>
      </c>
      <c r="E1979" s="1" t="s">
        <v>18</v>
      </c>
      <c r="F1979" s="1" t="s">
        <v>31</v>
      </c>
      <c r="G1979" s="1" t="s">
        <v>20</v>
      </c>
      <c r="H1979" t="s">
        <v>21</v>
      </c>
      <c r="I1979" s="1" t="s">
        <v>22</v>
      </c>
      <c r="J1979" s="2">
        <v>43529.830648148149</v>
      </c>
      <c r="K1979" s="2">
        <v>43535.830648148149</v>
      </c>
      <c r="L1979" s="2">
        <v>43536.830648148149</v>
      </c>
      <c r="M1979" s="1">
        <f>_xlfn.DAYS(Table1[[#This Row],[actual_delivery_date]],Table1[[#This Row],[dispatch_date]])</f>
        <v>6</v>
      </c>
      <c r="N1979">
        <v>43</v>
      </c>
      <c r="O1979">
        <f>Table1[[#This Row],[transit_storage_cost]] * (1-'What -if Analysis'!$D$26)</f>
        <v>43</v>
      </c>
      <c r="P1979">
        <v>109</v>
      </c>
      <c r="Q1979">
        <v>3002.7186454848484</v>
      </c>
    </row>
    <row r="1980" spans="1:17" x14ac:dyDescent="0.3">
      <c r="A1980">
        <v>54803</v>
      </c>
      <c r="B1980" s="1" t="s">
        <v>40</v>
      </c>
      <c r="C1980" s="1" t="s">
        <v>16</v>
      </c>
      <c r="D1980" s="1" t="s">
        <v>17</v>
      </c>
      <c r="E1980" s="1" t="s">
        <v>18</v>
      </c>
      <c r="F1980" s="1" t="s">
        <v>19</v>
      </c>
      <c r="G1980" s="1" t="s">
        <v>20</v>
      </c>
      <c r="H1980" t="s">
        <v>34</v>
      </c>
      <c r="I1980" s="1" t="s">
        <v>22</v>
      </c>
      <c r="J1980" s="2">
        <v>43530.83284722222</v>
      </c>
      <c r="K1980" s="2">
        <v>43535.83284722222</v>
      </c>
      <c r="L1980" s="2">
        <v>43534.83284722222</v>
      </c>
      <c r="M1980" s="1">
        <f>_xlfn.DAYS(Table1[[#This Row],[actual_delivery_date]],Table1[[#This Row],[dispatch_date]])</f>
        <v>5</v>
      </c>
      <c r="N1980">
        <v>84</v>
      </c>
      <c r="O1980">
        <f>Table1[[#This Row],[transit_storage_cost]] * (1-'What -if Analysis'!$D$26)</f>
        <v>84</v>
      </c>
      <c r="P1980">
        <v>89</v>
      </c>
      <c r="Q1980">
        <v>1131.0682950052358</v>
      </c>
    </row>
    <row r="1981" spans="1:17" x14ac:dyDescent="0.3">
      <c r="A1981">
        <v>465117</v>
      </c>
      <c r="B1981" s="1" t="s">
        <v>37</v>
      </c>
      <c r="C1981" s="1" t="s">
        <v>23</v>
      </c>
      <c r="D1981" s="1" t="s">
        <v>16</v>
      </c>
      <c r="E1981" s="1" t="s">
        <v>27</v>
      </c>
      <c r="F1981" s="1" t="s">
        <v>29</v>
      </c>
      <c r="G1981" s="1" t="s">
        <v>20</v>
      </c>
      <c r="H1981" t="s">
        <v>30</v>
      </c>
      <c r="I1981" s="1" t="s">
        <v>26</v>
      </c>
      <c r="J1981" s="2">
        <v>43529.833472222221</v>
      </c>
      <c r="K1981" s="2">
        <v>43535.833472222221</v>
      </c>
      <c r="L1981" s="2">
        <v>43533.833472222221</v>
      </c>
      <c r="M1981" s="1">
        <f>_xlfn.DAYS(Table1[[#This Row],[actual_delivery_date]],Table1[[#This Row],[dispatch_date]])</f>
        <v>6</v>
      </c>
      <c r="N1981">
        <v>47</v>
      </c>
      <c r="O1981">
        <f>Table1[[#This Row],[transit_storage_cost]] * (1-'What -if Analysis'!$D$26)</f>
        <v>47</v>
      </c>
      <c r="P1981">
        <v>126</v>
      </c>
      <c r="Q1981">
        <v>3160.8</v>
      </c>
    </row>
    <row r="1982" spans="1:17" x14ac:dyDescent="0.3">
      <c r="A1982">
        <v>845860</v>
      </c>
      <c r="B1982" s="1" t="s">
        <v>38</v>
      </c>
      <c r="C1982" s="1" t="s">
        <v>23</v>
      </c>
      <c r="D1982" s="1" t="s">
        <v>17</v>
      </c>
      <c r="E1982" s="1" t="s">
        <v>18</v>
      </c>
      <c r="F1982" s="1" t="s">
        <v>19</v>
      </c>
      <c r="G1982" s="1" t="s">
        <v>20</v>
      </c>
      <c r="H1982" t="s">
        <v>21</v>
      </c>
      <c r="I1982" s="1" t="s">
        <v>22</v>
      </c>
      <c r="J1982" s="2">
        <v>43530.835925925923</v>
      </c>
      <c r="K1982" s="2">
        <v>43535.835925925923</v>
      </c>
      <c r="L1982" s="2">
        <v>43533.835925925923</v>
      </c>
      <c r="M1982" s="1">
        <f>_xlfn.DAYS(Table1[[#This Row],[actual_delivery_date]],Table1[[#This Row],[dispatch_date]])</f>
        <v>5</v>
      </c>
      <c r="N1982">
        <v>41</v>
      </c>
      <c r="O1982">
        <f>Table1[[#This Row],[transit_storage_cost]] * (1-'What -if Analysis'!$D$26)</f>
        <v>41</v>
      </c>
      <c r="P1982">
        <v>110</v>
      </c>
      <c r="Q1982">
        <v>2507.703032657505</v>
      </c>
    </row>
    <row r="1983" spans="1:17" x14ac:dyDescent="0.3">
      <c r="A1983">
        <v>560044</v>
      </c>
      <c r="B1983" s="1" t="s">
        <v>37</v>
      </c>
      <c r="C1983" s="1" t="s">
        <v>23</v>
      </c>
      <c r="D1983" s="1" t="s">
        <v>32</v>
      </c>
      <c r="E1983" s="1" t="s">
        <v>33</v>
      </c>
      <c r="F1983" s="1" t="s">
        <v>19</v>
      </c>
      <c r="G1983" s="1" t="s">
        <v>20</v>
      </c>
      <c r="H1983" t="s">
        <v>21</v>
      </c>
      <c r="I1983" s="1" t="s">
        <v>22</v>
      </c>
      <c r="J1983" s="2">
        <v>43526.838518518518</v>
      </c>
      <c r="K1983" s="2">
        <v>43535.838518518518</v>
      </c>
      <c r="L1983" s="2">
        <v>43530.838518518518</v>
      </c>
      <c r="M1983" s="1">
        <f>_xlfn.DAYS(Table1[[#This Row],[actual_delivery_date]],Table1[[#This Row],[dispatch_date]])</f>
        <v>9</v>
      </c>
      <c r="N1983">
        <v>37</v>
      </c>
      <c r="O1983">
        <f>Table1[[#This Row],[transit_storage_cost]] * (1-'What -if Analysis'!$D$26)</f>
        <v>37</v>
      </c>
      <c r="P1983">
        <v>109</v>
      </c>
      <c r="Q1983">
        <v>2506.6548304487615</v>
      </c>
    </row>
    <row r="1984" spans="1:17" x14ac:dyDescent="0.3">
      <c r="A1984">
        <v>681299</v>
      </c>
      <c r="B1984" s="1" t="s">
        <v>37</v>
      </c>
      <c r="C1984" s="1" t="s">
        <v>16</v>
      </c>
      <c r="D1984" s="1" t="s">
        <v>32</v>
      </c>
      <c r="E1984" s="1" t="s">
        <v>33</v>
      </c>
      <c r="F1984" s="1" t="s">
        <v>19</v>
      </c>
      <c r="G1984" s="1" t="s">
        <v>20</v>
      </c>
      <c r="H1984" t="s">
        <v>30</v>
      </c>
      <c r="I1984" s="1" t="s">
        <v>22</v>
      </c>
      <c r="J1984" s="2">
        <v>43529.842835648145</v>
      </c>
      <c r="K1984" s="2">
        <v>43535.842835648145</v>
      </c>
      <c r="L1984" s="2">
        <v>43534.842835648145</v>
      </c>
      <c r="M1984" s="1">
        <f>_xlfn.DAYS(Table1[[#This Row],[actual_delivery_date]],Table1[[#This Row],[dispatch_date]])</f>
        <v>6</v>
      </c>
      <c r="N1984">
        <v>78</v>
      </c>
      <c r="O1984">
        <f>Table1[[#This Row],[transit_storage_cost]] * (1-'What -if Analysis'!$D$26)</f>
        <v>78</v>
      </c>
      <c r="P1984">
        <v>94</v>
      </c>
      <c r="Q1984">
        <v>636.56568847531378</v>
      </c>
    </row>
    <row r="1985" spans="1:17" x14ac:dyDescent="0.3">
      <c r="A1985">
        <v>586734</v>
      </c>
      <c r="B1985" s="1" t="s">
        <v>40</v>
      </c>
      <c r="C1985" s="1" t="s">
        <v>23</v>
      </c>
      <c r="D1985" s="1" t="s">
        <v>16</v>
      </c>
      <c r="E1985" s="1" t="s">
        <v>27</v>
      </c>
      <c r="F1985" s="1" t="s">
        <v>31</v>
      </c>
      <c r="G1985" s="1" t="s">
        <v>20</v>
      </c>
      <c r="H1985" t="s">
        <v>21</v>
      </c>
      <c r="I1985" s="1" t="s">
        <v>26</v>
      </c>
      <c r="J1985" s="2">
        <v>43530.844189814816</v>
      </c>
      <c r="K1985" s="2">
        <v>43535.844189814816</v>
      </c>
      <c r="L1985" s="2">
        <v>43534.844189814816</v>
      </c>
      <c r="M1985" s="1">
        <f>_xlfn.DAYS(Table1[[#This Row],[actual_delivery_date]],Table1[[#This Row],[dispatch_date]])</f>
        <v>5</v>
      </c>
      <c r="N1985">
        <v>27</v>
      </c>
      <c r="O1985">
        <f>Table1[[#This Row],[transit_storage_cost]] * (1-'What -if Analysis'!$D$26)</f>
        <v>27</v>
      </c>
      <c r="P1985">
        <v>123</v>
      </c>
      <c r="Q1985">
        <v>767.29531041500309</v>
      </c>
    </row>
    <row r="1986" spans="1:17" x14ac:dyDescent="0.3">
      <c r="A1986">
        <v>430125</v>
      </c>
      <c r="B1986" s="1" t="s">
        <v>40</v>
      </c>
      <c r="C1986" s="1" t="s">
        <v>16</v>
      </c>
      <c r="D1986" s="1" t="s">
        <v>17</v>
      </c>
      <c r="E1986" s="1" t="s">
        <v>18</v>
      </c>
      <c r="F1986" s="1" t="s">
        <v>29</v>
      </c>
      <c r="G1986" s="1" t="s">
        <v>20</v>
      </c>
      <c r="H1986" t="s">
        <v>30</v>
      </c>
      <c r="I1986" s="1" t="s">
        <v>26</v>
      </c>
      <c r="J1986" s="2">
        <v>43531.845729166664</v>
      </c>
      <c r="K1986" s="2">
        <v>43535.845729166664</v>
      </c>
      <c r="L1986" s="2">
        <v>43535.845729166664</v>
      </c>
      <c r="M1986" s="1">
        <f>_xlfn.DAYS(Table1[[#This Row],[actual_delivery_date]],Table1[[#This Row],[dispatch_date]])</f>
        <v>4</v>
      </c>
      <c r="N1986">
        <v>41</v>
      </c>
      <c r="O1986">
        <f>Table1[[#This Row],[transit_storage_cost]] * (1-'What -if Analysis'!$D$26)</f>
        <v>41</v>
      </c>
      <c r="P1986">
        <v>110</v>
      </c>
      <c r="Q1986">
        <v>1829.4704962185333</v>
      </c>
    </row>
    <row r="1987" spans="1:17" x14ac:dyDescent="0.3">
      <c r="A1987">
        <v>744042</v>
      </c>
      <c r="B1987" s="1" t="s">
        <v>41</v>
      </c>
      <c r="C1987" s="1" t="s">
        <v>16</v>
      </c>
      <c r="D1987" s="1" t="s">
        <v>32</v>
      </c>
      <c r="E1987" s="1" t="s">
        <v>33</v>
      </c>
      <c r="F1987" s="1" t="s">
        <v>31</v>
      </c>
      <c r="G1987" s="1" t="s">
        <v>20</v>
      </c>
      <c r="H1987" t="s">
        <v>21</v>
      </c>
      <c r="I1987" s="1" t="s">
        <v>26</v>
      </c>
      <c r="J1987" s="2">
        <v>43533.848333333335</v>
      </c>
      <c r="K1987" s="2">
        <v>43535.848333333335</v>
      </c>
      <c r="L1987" s="2">
        <v>43539.848333333335</v>
      </c>
      <c r="M1987" s="1">
        <f>_xlfn.DAYS(Table1[[#This Row],[actual_delivery_date]],Table1[[#This Row],[dispatch_date]])</f>
        <v>2</v>
      </c>
      <c r="N1987">
        <v>30</v>
      </c>
      <c r="O1987">
        <f>Table1[[#This Row],[transit_storage_cost]] * (1-'What -if Analysis'!$D$26)</f>
        <v>30</v>
      </c>
      <c r="P1987">
        <v>108</v>
      </c>
      <c r="Q1987">
        <v>2304</v>
      </c>
    </row>
    <row r="1988" spans="1:17" x14ac:dyDescent="0.3">
      <c r="A1988">
        <v>152532</v>
      </c>
      <c r="B1988" s="1" t="s">
        <v>40</v>
      </c>
      <c r="C1988" s="1" t="s">
        <v>23</v>
      </c>
      <c r="D1988" s="1" t="s">
        <v>24</v>
      </c>
      <c r="E1988" s="1" t="s">
        <v>25</v>
      </c>
      <c r="F1988" s="1" t="s">
        <v>19</v>
      </c>
      <c r="G1988" s="1" t="s">
        <v>20</v>
      </c>
      <c r="H1988" t="s">
        <v>21</v>
      </c>
      <c r="I1988" s="1" t="s">
        <v>26</v>
      </c>
      <c r="J1988" s="2">
        <v>43528.849745370368</v>
      </c>
      <c r="K1988" s="2">
        <v>43535.849745370368</v>
      </c>
      <c r="L1988" s="2">
        <v>43534.849745370368</v>
      </c>
      <c r="M1988" s="1">
        <f>_xlfn.DAYS(Table1[[#This Row],[actual_delivery_date]],Table1[[#This Row],[dispatch_date]])</f>
        <v>7</v>
      </c>
      <c r="N1988">
        <v>77</v>
      </c>
      <c r="O1988">
        <f>Table1[[#This Row],[transit_storage_cost]] * (1-'What -if Analysis'!$D$26)</f>
        <v>77</v>
      </c>
      <c r="P1988">
        <v>102</v>
      </c>
      <c r="Q1988">
        <v>2518.09</v>
      </c>
    </row>
    <row r="1989" spans="1:17" x14ac:dyDescent="0.3">
      <c r="A1989">
        <v>133490</v>
      </c>
      <c r="B1989" s="1" t="s">
        <v>38</v>
      </c>
      <c r="C1989" s="1" t="s">
        <v>16</v>
      </c>
      <c r="D1989" s="1" t="s">
        <v>23</v>
      </c>
      <c r="E1989" s="1" t="s">
        <v>28</v>
      </c>
      <c r="F1989" s="1" t="s">
        <v>19</v>
      </c>
      <c r="G1989" s="1" t="s">
        <v>20</v>
      </c>
      <c r="H1989" t="s">
        <v>21</v>
      </c>
      <c r="I1989" s="1" t="s">
        <v>22</v>
      </c>
      <c r="J1989" s="2">
        <v>43531.851747685185</v>
      </c>
      <c r="K1989" s="2">
        <v>43535.851747685185</v>
      </c>
      <c r="L1989" s="2">
        <v>43536.851747685185</v>
      </c>
      <c r="M1989" s="1">
        <f>_xlfn.DAYS(Table1[[#This Row],[actual_delivery_date]],Table1[[#This Row],[dispatch_date]])</f>
        <v>4</v>
      </c>
      <c r="N1989">
        <v>84</v>
      </c>
      <c r="O1989">
        <f>Table1[[#This Row],[transit_storage_cost]] * (1-'What -if Analysis'!$D$26)</f>
        <v>84</v>
      </c>
      <c r="P1989">
        <v>108</v>
      </c>
      <c r="Q1989">
        <v>506</v>
      </c>
    </row>
    <row r="1990" spans="1:17" x14ac:dyDescent="0.3">
      <c r="A1990">
        <v>506583</v>
      </c>
      <c r="B1990" s="1" t="s">
        <v>40</v>
      </c>
      <c r="C1990" s="1" t="s">
        <v>23</v>
      </c>
      <c r="D1990" s="1" t="s">
        <v>17</v>
      </c>
      <c r="E1990" s="1" t="s">
        <v>18</v>
      </c>
      <c r="F1990" s="1" t="s">
        <v>19</v>
      </c>
      <c r="G1990" s="1" t="s">
        <v>20</v>
      </c>
      <c r="H1990" t="s">
        <v>34</v>
      </c>
      <c r="I1990" s="1" t="s">
        <v>26</v>
      </c>
      <c r="J1990" s="2">
        <v>43532.853541666664</v>
      </c>
      <c r="K1990" s="2">
        <v>43535.853541666664</v>
      </c>
      <c r="L1990" s="2">
        <v>43536.853541666664</v>
      </c>
      <c r="M1990" s="1">
        <f>_xlfn.DAYS(Table1[[#This Row],[actual_delivery_date]],Table1[[#This Row],[dispatch_date]])</f>
        <v>3</v>
      </c>
      <c r="N1990">
        <v>9999</v>
      </c>
      <c r="O1990">
        <f>Table1[[#This Row],[transit_storage_cost]] * (1-'What -if Analysis'!$D$26)</f>
        <v>9999</v>
      </c>
      <c r="P1990">
        <v>91</v>
      </c>
      <c r="Q1990">
        <v>671.34591820316973</v>
      </c>
    </row>
    <row r="1991" spans="1:17" x14ac:dyDescent="0.3">
      <c r="A1991">
        <v>943956</v>
      </c>
      <c r="B1991" s="1" t="s">
        <v>15</v>
      </c>
      <c r="C1991" s="1" t="s">
        <v>16</v>
      </c>
      <c r="D1991" s="1" t="s">
        <v>32</v>
      </c>
      <c r="E1991" s="1" t="s">
        <v>33</v>
      </c>
      <c r="F1991" s="1" t="s">
        <v>19</v>
      </c>
      <c r="G1991" s="1" t="s">
        <v>20</v>
      </c>
      <c r="H1991" t="s">
        <v>21</v>
      </c>
      <c r="I1991" s="1" t="s">
        <v>26</v>
      </c>
      <c r="J1991" s="2">
        <v>43531.853958333333</v>
      </c>
      <c r="K1991" s="2">
        <v>43535.853958333333</v>
      </c>
      <c r="L1991" s="2">
        <v>43535.853958333333</v>
      </c>
      <c r="M1991" s="1">
        <f>_xlfn.DAYS(Table1[[#This Row],[actual_delivery_date]],Table1[[#This Row],[dispatch_date]])</f>
        <v>4</v>
      </c>
      <c r="N1991">
        <v>33</v>
      </c>
      <c r="O1991">
        <f>Table1[[#This Row],[transit_storage_cost]] * (1-'What -if Analysis'!$D$26)</f>
        <v>33</v>
      </c>
      <c r="P1991">
        <v>111</v>
      </c>
      <c r="Q1991">
        <v>853.52101650354223</v>
      </c>
    </row>
    <row r="1992" spans="1:17" x14ac:dyDescent="0.3">
      <c r="A1992">
        <v>225035</v>
      </c>
      <c r="B1992" s="1" t="s">
        <v>39</v>
      </c>
      <c r="C1992" s="1" t="s">
        <v>16</v>
      </c>
      <c r="D1992" s="1" t="s">
        <v>23</v>
      </c>
      <c r="E1992" s="1" t="s">
        <v>28</v>
      </c>
      <c r="F1992" s="1" t="s">
        <v>29</v>
      </c>
      <c r="G1992" s="1" t="s">
        <v>20</v>
      </c>
      <c r="H1992" t="s">
        <v>30</v>
      </c>
      <c r="I1992" s="1" t="s">
        <v>22</v>
      </c>
      <c r="J1992" s="2">
        <v>43525.856828703705</v>
      </c>
      <c r="K1992" s="2">
        <v>43535.856828703705</v>
      </c>
      <c r="L1992" s="2">
        <v>43531.856828703705</v>
      </c>
      <c r="M1992" s="1">
        <f>_xlfn.DAYS(Table1[[#This Row],[actual_delivery_date]],Table1[[#This Row],[dispatch_date]])</f>
        <v>10</v>
      </c>
      <c r="N1992">
        <v>47</v>
      </c>
      <c r="O1992">
        <f>Table1[[#This Row],[transit_storage_cost]] * (1-'What -if Analysis'!$D$26)</f>
        <v>47</v>
      </c>
      <c r="P1992">
        <v>126</v>
      </c>
      <c r="Q1992">
        <v>2911.8216778632568</v>
      </c>
    </row>
    <row r="1993" spans="1:17" x14ac:dyDescent="0.3">
      <c r="A1993">
        <v>86146</v>
      </c>
      <c r="B1993" s="1" t="s">
        <v>37</v>
      </c>
      <c r="C1993" s="1" t="s">
        <v>16</v>
      </c>
      <c r="D1993" s="1" t="s">
        <v>16</v>
      </c>
      <c r="E1993" s="1" t="s">
        <v>27</v>
      </c>
      <c r="F1993" s="1" t="s">
        <v>19</v>
      </c>
      <c r="G1993" s="1" t="s">
        <v>20</v>
      </c>
      <c r="H1993" t="s">
        <v>21</v>
      </c>
      <c r="I1993" s="1" t="s">
        <v>22</v>
      </c>
      <c r="J1993" s="2">
        <v>43533.857592592591</v>
      </c>
      <c r="K1993" s="2">
        <v>43535.857592592591</v>
      </c>
      <c r="L1993" s="2">
        <v>43536.857592592591</v>
      </c>
      <c r="M1993" s="1">
        <f>_xlfn.DAYS(Table1[[#This Row],[actual_delivery_date]],Table1[[#This Row],[dispatch_date]])</f>
        <v>2</v>
      </c>
      <c r="N1993">
        <v>0</v>
      </c>
      <c r="O1993">
        <f>Table1[[#This Row],[transit_storage_cost]] * (1-'What -if Analysis'!$D$26)</f>
        <v>0</v>
      </c>
      <c r="P1993">
        <v>100</v>
      </c>
      <c r="Q1993">
        <v>1320.2346141435439</v>
      </c>
    </row>
    <row r="1994" spans="1:17" x14ac:dyDescent="0.3">
      <c r="A1994">
        <v>315560</v>
      </c>
      <c r="B1994" s="1" t="s">
        <v>39</v>
      </c>
      <c r="C1994" s="1" t="s">
        <v>23</v>
      </c>
      <c r="D1994" s="1" t="s">
        <v>17</v>
      </c>
      <c r="E1994" s="1" t="s">
        <v>18</v>
      </c>
      <c r="F1994" s="1" t="s">
        <v>19</v>
      </c>
      <c r="G1994" s="1" t="s">
        <v>20</v>
      </c>
      <c r="H1994" t="s">
        <v>21</v>
      </c>
      <c r="I1994" s="1" t="s">
        <v>22</v>
      </c>
      <c r="J1994" s="2">
        <v>43531.859618055554</v>
      </c>
      <c r="K1994" s="2">
        <v>43535.859618055554</v>
      </c>
      <c r="L1994" s="2">
        <v>43534.859618055554</v>
      </c>
      <c r="M1994" s="1">
        <f>_xlfn.DAYS(Table1[[#This Row],[actual_delivery_date]],Table1[[#This Row],[dispatch_date]])</f>
        <v>4</v>
      </c>
      <c r="N1994">
        <v>34</v>
      </c>
      <c r="O1994">
        <f>Table1[[#This Row],[transit_storage_cost]] * (1-'What -if Analysis'!$D$26)</f>
        <v>34</v>
      </c>
      <c r="P1994">
        <v>113</v>
      </c>
      <c r="Q1994">
        <v>1602.763129694765</v>
      </c>
    </row>
    <row r="1995" spans="1:17" x14ac:dyDescent="0.3">
      <c r="A1995">
        <v>454834</v>
      </c>
      <c r="B1995" s="1" t="s">
        <v>41</v>
      </c>
      <c r="C1995" s="1" t="s">
        <v>23</v>
      </c>
      <c r="D1995" s="1" t="s">
        <v>32</v>
      </c>
      <c r="E1995" s="1" t="s">
        <v>33</v>
      </c>
      <c r="F1995" s="1" t="s">
        <v>31</v>
      </c>
      <c r="G1995" s="1" t="s">
        <v>20</v>
      </c>
      <c r="H1995" t="s">
        <v>21</v>
      </c>
      <c r="I1995" s="1" t="s">
        <v>22</v>
      </c>
      <c r="J1995" s="2">
        <v>43528.859965277778</v>
      </c>
      <c r="K1995" s="2">
        <v>43535.859965277778</v>
      </c>
      <c r="L1995" s="2">
        <v>43531.859965277778</v>
      </c>
      <c r="M1995" s="1">
        <f>_xlfn.DAYS(Table1[[#This Row],[actual_delivery_date]],Table1[[#This Row],[dispatch_date]])</f>
        <v>7</v>
      </c>
      <c r="N1995">
        <v>37</v>
      </c>
      <c r="O1995">
        <f>Table1[[#This Row],[transit_storage_cost]] * (1-'What -if Analysis'!$D$26)</f>
        <v>37</v>
      </c>
      <c r="P1995">
        <v>114</v>
      </c>
      <c r="Q1995">
        <v>3640.4159080113159</v>
      </c>
    </row>
    <row r="1996" spans="1:17" x14ac:dyDescent="0.3">
      <c r="A1996">
        <v>828305</v>
      </c>
      <c r="B1996" s="1" t="s">
        <v>40</v>
      </c>
      <c r="C1996" s="1" t="s">
        <v>16</v>
      </c>
      <c r="D1996" s="1" t="s">
        <v>16</v>
      </c>
      <c r="E1996" s="1" t="s">
        <v>27</v>
      </c>
      <c r="F1996" s="1" t="s">
        <v>29</v>
      </c>
      <c r="G1996" s="1" t="s">
        <v>20</v>
      </c>
      <c r="H1996" t="s">
        <v>30</v>
      </c>
      <c r="I1996" s="1" t="s">
        <v>22</v>
      </c>
      <c r="J1996" s="2">
        <v>43531.863356481481</v>
      </c>
      <c r="K1996" s="2">
        <v>43535.863356481481</v>
      </c>
      <c r="L1996" s="2">
        <v>43537.863356481481</v>
      </c>
      <c r="M1996" s="1">
        <f>_xlfn.DAYS(Table1[[#This Row],[actual_delivery_date]],Table1[[#This Row],[dispatch_date]])</f>
        <v>4</v>
      </c>
      <c r="N1996">
        <v>0</v>
      </c>
      <c r="O1996">
        <f>Table1[[#This Row],[transit_storage_cost]] * (1-'What -if Analysis'!$D$26)</f>
        <v>0</v>
      </c>
      <c r="P1996">
        <v>125</v>
      </c>
      <c r="Q1996">
        <v>318.3631095244175</v>
      </c>
    </row>
    <row r="1997" spans="1:17" x14ac:dyDescent="0.3">
      <c r="A1997">
        <v>545810</v>
      </c>
      <c r="B1997" s="1" t="s">
        <v>39</v>
      </c>
      <c r="C1997" s="1" t="s">
        <v>16</v>
      </c>
      <c r="D1997" s="1" t="s">
        <v>17</v>
      </c>
      <c r="E1997" s="1" t="s">
        <v>18</v>
      </c>
      <c r="F1997" s="1" t="s">
        <v>31</v>
      </c>
      <c r="G1997" s="1" t="s">
        <v>20</v>
      </c>
      <c r="H1997" t="s">
        <v>21</v>
      </c>
      <c r="I1997" s="1" t="s">
        <v>22</v>
      </c>
      <c r="J1997" s="2">
        <v>43530.864062499997</v>
      </c>
      <c r="K1997" s="2">
        <v>43535.864062499997</v>
      </c>
      <c r="L1997" s="2">
        <v>43533.864062499997</v>
      </c>
      <c r="M1997" s="1">
        <f>_xlfn.DAYS(Table1[[#This Row],[actual_delivery_date]],Table1[[#This Row],[dispatch_date]])</f>
        <v>5</v>
      </c>
      <c r="N1997">
        <v>44</v>
      </c>
      <c r="O1997">
        <f>Table1[[#This Row],[transit_storage_cost]] * (1-'What -if Analysis'!$D$26)</f>
        <v>44</v>
      </c>
      <c r="P1997">
        <v>108</v>
      </c>
      <c r="Q1997">
        <v>1846</v>
      </c>
    </row>
    <row r="1998" spans="1:17" x14ac:dyDescent="0.3">
      <c r="A1998">
        <v>81154</v>
      </c>
      <c r="B1998" s="1" t="s">
        <v>37</v>
      </c>
      <c r="C1998" s="1" t="s">
        <v>16</v>
      </c>
      <c r="D1998" s="1" t="s">
        <v>24</v>
      </c>
      <c r="E1998" s="1" t="s">
        <v>25</v>
      </c>
      <c r="F1998" s="1" t="s">
        <v>31</v>
      </c>
      <c r="G1998" s="1" t="s">
        <v>20</v>
      </c>
      <c r="H1998" t="s">
        <v>21</v>
      </c>
      <c r="I1998" s="1" t="s">
        <v>22</v>
      </c>
      <c r="J1998" s="2">
        <v>43533.869409722225</v>
      </c>
      <c r="K1998" s="2">
        <v>43535.869409722225</v>
      </c>
      <c r="L1998" s="2">
        <v>43538.869409722225</v>
      </c>
      <c r="M1998" s="1">
        <f>_xlfn.DAYS(Table1[[#This Row],[actual_delivery_date]],Table1[[#This Row],[dispatch_date]])</f>
        <v>2</v>
      </c>
      <c r="N1998">
        <v>25</v>
      </c>
      <c r="O1998">
        <f>Table1[[#This Row],[transit_storage_cost]] * (1-'What -if Analysis'!$D$26)</f>
        <v>25</v>
      </c>
      <c r="P1998">
        <v>128</v>
      </c>
      <c r="Q1998">
        <v>2102.8536381688691</v>
      </c>
    </row>
    <row r="1999" spans="1:17" x14ac:dyDescent="0.3">
      <c r="A1999">
        <v>599593</v>
      </c>
      <c r="B1999" s="1" t="s">
        <v>39</v>
      </c>
      <c r="C1999" s="1" t="s">
        <v>23</v>
      </c>
      <c r="D1999" s="1" t="s">
        <v>16</v>
      </c>
      <c r="E1999" s="1" t="s">
        <v>27</v>
      </c>
      <c r="F1999" s="1" t="s">
        <v>29</v>
      </c>
      <c r="G1999" s="1" t="s">
        <v>20</v>
      </c>
      <c r="H1999" t="s">
        <v>30</v>
      </c>
      <c r="I1999" s="1" t="s">
        <v>22</v>
      </c>
      <c r="J1999" s="2">
        <v>43528.869687500002</v>
      </c>
      <c r="K1999" s="2">
        <v>43535.869687500002</v>
      </c>
      <c r="L1999" s="2">
        <v>43531.869687500002</v>
      </c>
      <c r="M1999" s="1">
        <f>_xlfn.DAYS(Table1[[#This Row],[actual_delivery_date]],Table1[[#This Row],[dispatch_date]])</f>
        <v>7</v>
      </c>
      <c r="N1999">
        <v>41</v>
      </c>
      <c r="O1999">
        <f>Table1[[#This Row],[transit_storage_cost]] * (1-'What -if Analysis'!$D$26)</f>
        <v>41</v>
      </c>
      <c r="P1999">
        <v>128</v>
      </c>
      <c r="Q1999">
        <v>866.67608686840549</v>
      </c>
    </row>
    <row r="2000" spans="1:17" x14ac:dyDescent="0.3">
      <c r="A2000">
        <v>880822</v>
      </c>
      <c r="B2000" s="1" t="s">
        <v>15</v>
      </c>
      <c r="C2000" s="1" t="s">
        <v>23</v>
      </c>
      <c r="D2000" s="1" t="s">
        <v>17</v>
      </c>
      <c r="E2000" s="1" t="s">
        <v>18</v>
      </c>
      <c r="F2000" s="1" t="s">
        <v>31</v>
      </c>
      <c r="G2000" s="1" t="s">
        <v>20</v>
      </c>
      <c r="H2000" t="s">
        <v>21</v>
      </c>
      <c r="I2000" s="1" t="s">
        <v>22</v>
      </c>
      <c r="J2000" s="2">
        <v>43529.872037037036</v>
      </c>
      <c r="K2000" s="2">
        <v>43535.872037037036</v>
      </c>
      <c r="L2000" s="2">
        <v>43536.872037037036</v>
      </c>
      <c r="M2000" s="1">
        <f>_xlfn.DAYS(Table1[[#This Row],[actual_delivery_date]],Table1[[#This Row],[dispatch_date]])</f>
        <v>6</v>
      </c>
      <c r="N2000">
        <v>25</v>
      </c>
      <c r="O2000">
        <f>Table1[[#This Row],[transit_storage_cost]] * (1-'What -if Analysis'!$D$26)</f>
        <v>25</v>
      </c>
      <c r="P2000">
        <v>106</v>
      </c>
      <c r="Q2000">
        <v>3241.7658192190429</v>
      </c>
    </row>
    <row r="2001" spans="1:17" x14ac:dyDescent="0.3">
      <c r="A2001">
        <v>105591</v>
      </c>
      <c r="B2001" s="1" t="s">
        <v>41</v>
      </c>
      <c r="C2001" s="1" t="s">
        <v>23</v>
      </c>
      <c r="D2001" s="1" t="s">
        <v>23</v>
      </c>
      <c r="E2001" s="1" t="s">
        <v>28</v>
      </c>
      <c r="F2001" s="1" t="s">
        <v>29</v>
      </c>
      <c r="G2001" s="1" t="s">
        <v>20</v>
      </c>
      <c r="H2001" t="s">
        <v>30</v>
      </c>
      <c r="I2001" s="1" t="s">
        <v>26</v>
      </c>
      <c r="J2001" s="2">
        <v>43534.872210648151</v>
      </c>
      <c r="K2001" s="2">
        <v>43535.872210648151</v>
      </c>
      <c r="L2001" s="2">
        <v>43538.872210648151</v>
      </c>
      <c r="M2001" s="1">
        <f>_xlfn.DAYS(Table1[[#This Row],[actual_delivery_date]],Table1[[#This Row],[dispatch_date]])</f>
        <v>1</v>
      </c>
      <c r="N2001">
        <v>0</v>
      </c>
      <c r="O2001">
        <f>Table1[[#This Row],[transit_storage_cost]] * (1-'What -if Analysis'!$D$26)</f>
        <v>0</v>
      </c>
      <c r="P2001">
        <v>129</v>
      </c>
      <c r="Q2001">
        <v>3040.7442149058261</v>
      </c>
    </row>
    <row r="2002" spans="1:17" x14ac:dyDescent="0.3">
      <c r="A2002">
        <v>820631</v>
      </c>
      <c r="B2002" s="1" t="s">
        <v>40</v>
      </c>
      <c r="C2002" s="1" t="s">
        <v>16</v>
      </c>
      <c r="D2002" s="1" t="s">
        <v>16</v>
      </c>
      <c r="E2002" s="1" t="s">
        <v>27</v>
      </c>
      <c r="F2002" s="1" t="s">
        <v>29</v>
      </c>
      <c r="G2002" s="1" t="s">
        <v>20</v>
      </c>
      <c r="H2002" t="s">
        <v>34</v>
      </c>
      <c r="I2002" s="1" t="s">
        <v>22</v>
      </c>
      <c r="J2002" s="2">
        <v>43528.876400462963</v>
      </c>
      <c r="K2002" s="2">
        <v>43535.876400462963</v>
      </c>
      <c r="L2002" s="2">
        <v>43535.876400462963</v>
      </c>
      <c r="M2002" s="1">
        <f>_xlfn.DAYS(Table1[[#This Row],[actual_delivery_date]],Table1[[#This Row],[dispatch_date]])</f>
        <v>7</v>
      </c>
      <c r="N2002">
        <v>0</v>
      </c>
      <c r="O2002">
        <f>Table1[[#This Row],[transit_storage_cost]] * (1-'What -if Analysis'!$D$26)</f>
        <v>0</v>
      </c>
      <c r="P2002">
        <v>122</v>
      </c>
      <c r="Q2002">
        <v>2631.0032964586771</v>
      </c>
    </row>
    <row r="2003" spans="1:17" x14ac:dyDescent="0.3">
      <c r="A2003">
        <v>913630</v>
      </c>
      <c r="B2003" s="1" t="s">
        <v>39</v>
      </c>
      <c r="C2003" s="1" t="s">
        <v>16</v>
      </c>
      <c r="D2003" s="1" t="s">
        <v>16</v>
      </c>
      <c r="E2003" s="1" t="s">
        <v>27</v>
      </c>
      <c r="F2003" s="1" t="s">
        <v>31</v>
      </c>
      <c r="G2003" s="1" t="s">
        <v>20</v>
      </c>
      <c r="H2003" t="s">
        <v>21</v>
      </c>
      <c r="I2003" s="1" t="s">
        <v>22</v>
      </c>
      <c r="J2003" s="2">
        <v>43533.878101851849</v>
      </c>
      <c r="K2003" s="2">
        <v>43535.878101851849</v>
      </c>
      <c r="L2003" s="2">
        <v>43539.878101851849</v>
      </c>
      <c r="M2003" s="1">
        <f>_xlfn.DAYS(Table1[[#This Row],[actual_delivery_date]],Table1[[#This Row],[dispatch_date]])</f>
        <v>2</v>
      </c>
      <c r="N2003">
        <v>0</v>
      </c>
      <c r="O2003">
        <f>Table1[[#This Row],[transit_storage_cost]] * (1-'What -if Analysis'!$D$26)</f>
        <v>0</v>
      </c>
      <c r="P2003">
        <v>122</v>
      </c>
      <c r="Q2003">
        <v>1515.5064545552575</v>
      </c>
    </row>
    <row r="2004" spans="1:17" x14ac:dyDescent="0.3">
      <c r="A2004">
        <v>386122</v>
      </c>
      <c r="B2004" s="1" t="s">
        <v>37</v>
      </c>
      <c r="C2004" s="1" t="s">
        <v>16</v>
      </c>
      <c r="D2004" s="1" t="s">
        <v>23</v>
      </c>
      <c r="E2004" s="1" t="s">
        <v>28</v>
      </c>
      <c r="F2004" s="1" t="s">
        <v>31</v>
      </c>
      <c r="G2004" s="1" t="s">
        <v>20</v>
      </c>
      <c r="H2004" t="s">
        <v>21</v>
      </c>
      <c r="I2004" s="1" t="s">
        <v>22</v>
      </c>
      <c r="J2004" s="2">
        <v>43526.879201388889</v>
      </c>
      <c r="K2004" s="2">
        <v>43535.879201388889</v>
      </c>
      <c r="L2004" s="2">
        <v>43531.879201388889</v>
      </c>
      <c r="M2004" s="1">
        <f>_xlfn.DAYS(Table1[[#This Row],[actual_delivery_date]],Table1[[#This Row],[dispatch_date]])</f>
        <v>9</v>
      </c>
      <c r="N2004">
        <v>35</v>
      </c>
      <c r="O2004">
        <f>Table1[[#This Row],[transit_storage_cost]] * (1-'What -if Analysis'!$D$26)</f>
        <v>35</v>
      </c>
      <c r="P2004">
        <v>122</v>
      </c>
      <c r="Q2004">
        <v>1669.1128775171601</v>
      </c>
    </row>
    <row r="2005" spans="1:17" x14ac:dyDescent="0.3">
      <c r="A2005">
        <v>760796</v>
      </c>
      <c r="B2005" s="1" t="s">
        <v>39</v>
      </c>
      <c r="C2005" s="1" t="s">
        <v>23</v>
      </c>
      <c r="D2005" s="1" t="s">
        <v>17</v>
      </c>
      <c r="E2005" s="1" t="s">
        <v>18</v>
      </c>
      <c r="F2005" s="1" t="s">
        <v>19</v>
      </c>
      <c r="G2005" s="1" t="s">
        <v>20</v>
      </c>
      <c r="H2005" t="s">
        <v>21</v>
      </c>
      <c r="I2005" s="1" t="s">
        <v>22</v>
      </c>
      <c r="J2005" s="2">
        <v>43530.883194444446</v>
      </c>
      <c r="K2005" s="2">
        <v>43535.883194444446</v>
      </c>
      <c r="L2005" s="2">
        <v>43537.883194444446</v>
      </c>
      <c r="M2005" s="1">
        <f>_xlfn.DAYS(Table1[[#This Row],[actual_delivery_date]],Table1[[#This Row],[dispatch_date]])</f>
        <v>5</v>
      </c>
      <c r="N2005">
        <v>49</v>
      </c>
      <c r="O2005">
        <f>Table1[[#This Row],[transit_storage_cost]] * (1-'What -if Analysis'!$D$26)</f>
        <v>49</v>
      </c>
      <c r="P2005">
        <v>110</v>
      </c>
      <c r="Q2005">
        <v>3204.7472417403819</v>
      </c>
    </row>
    <row r="2006" spans="1:17" x14ac:dyDescent="0.3">
      <c r="A2006">
        <v>141934</v>
      </c>
      <c r="B2006" s="1" t="s">
        <v>38</v>
      </c>
      <c r="C2006" s="1" t="s">
        <v>16</v>
      </c>
      <c r="D2006" s="1" t="s">
        <v>24</v>
      </c>
      <c r="E2006" s="1" t="s">
        <v>25</v>
      </c>
      <c r="F2006" s="1" t="s">
        <v>31</v>
      </c>
      <c r="G2006" s="1" t="s">
        <v>20</v>
      </c>
      <c r="H2006" t="s">
        <v>21</v>
      </c>
      <c r="I2006" s="1" t="s">
        <v>22</v>
      </c>
      <c r="J2006" s="2">
        <v>43529.894467592596</v>
      </c>
      <c r="K2006" s="2">
        <v>43535.894467592596</v>
      </c>
      <c r="L2006" s="2">
        <v>43533.894467592596</v>
      </c>
      <c r="M2006" s="1">
        <f>_xlfn.DAYS(Table1[[#This Row],[actual_delivery_date]],Table1[[#This Row],[dispatch_date]])</f>
        <v>6</v>
      </c>
      <c r="N2006">
        <v>28</v>
      </c>
      <c r="O2006">
        <f>Table1[[#This Row],[transit_storage_cost]] * (1-'What -if Analysis'!$D$26)</f>
        <v>28</v>
      </c>
      <c r="P2006">
        <v>126</v>
      </c>
      <c r="Q2006">
        <v>3374.4014164486725</v>
      </c>
    </row>
    <row r="2007" spans="1:17" x14ac:dyDescent="0.3">
      <c r="A2007">
        <v>453508</v>
      </c>
      <c r="B2007" s="1" t="s">
        <v>41</v>
      </c>
      <c r="C2007" s="1" t="s">
        <v>23</v>
      </c>
      <c r="D2007" s="1" t="s">
        <v>32</v>
      </c>
      <c r="E2007" s="1" t="s">
        <v>33</v>
      </c>
      <c r="F2007" s="1" t="s">
        <v>19</v>
      </c>
      <c r="G2007" s="1" t="s">
        <v>20</v>
      </c>
      <c r="H2007" t="s">
        <v>21</v>
      </c>
      <c r="I2007" s="1" t="s">
        <v>22</v>
      </c>
      <c r="J2007" s="2">
        <v>43527.908495370371</v>
      </c>
      <c r="K2007" s="2">
        <v>43535.908495370371</v>
      </c>
      <c r="L2007" s="2">
        <v>43531.908495370371</v>
      </c>
      <c r="M2007" s="1">
        <f>_xlfn.DAYS(Table1[[#This Row],[actual_delivery_date]],Table1[[#This Row],[dispatch_date]])</f>
        <v>8</v>
      </c>
      <c r="N2007">
        <v>32</v>
      </c>
      <c r="O2007">
        <f>Table1[[#This Row],[transit_storage_cost]] * (1-'What -if Analysis'!$D$26)</f>
        <v>32</v>
      </c>
      <c r="P2007">
        <v>113</v>
      </c>
      <c r="Q2007">
        <v>2050.3019612860653</v>
      </c>
    </row>
    <row r="2008" spans="1:17" x14ac:dyDescent="0.3">
      <c r="A2008">
        <v>43227</v>
      </c>
      <c r="B2008" s="1" t="s">
        <v>37</v>
      </c>
      <c r="C2008" s="1" t="s">
        <v>23</v>
      </c>
      <c r="D2008" s="1" t="s">
        <v>17</v>
      </c>
      <c r="E2008" s="1" t="s">
        <v>18</v>
      </c>
      <c r="F2008" s="1" t="s">
        <v>29</v>
      </c>
      <c r="G2008" s="1" t="s">
        <v>20</v>
      </c>
      <c r="H2008" t="s">
        <v>30</v>
      </c>
      <c r="I2008" s="1" t="s">
        <v>26</v>
      </c>
      <c r="J2008" s="2">
        <v>43530.91574074074</v>
      </c>
      <c r="K2008" s="2">
        <v>43535.91574074074</v>
      </c>
      <c r="L2008" s="2">
        <v>43534.91574074074</v>
      </c>
      <c r="M2008" s="1">
        <f>_xlfn.DAYS(Table1[[#This Row],[actual_delivery_date]],Table1[[#This Row],[dispatch_date]])</f>
        <v>5</v>
      </c>
      <c r="N2008">
        <v>39</v>
      </c>
      <c r="O2008">
        <f>Table1[[#This Row],[transit_storage_cost]] * (1-'What -if Analysis'!$D$26)</f>
        <v>39</v>
      </c>
      <c r="P2008">
        <v>112</v>
      </c>
      <c r="Q2008">
        <v>1617</v>
      </c>
    </row>
    <row r="2009" spans="1:17" x14ac:dyDescent="0.3">
      <c r="A2009">
        <v>805979</v>
      </c>
      <c r="B2009" s="1" t="s">
        <v>38</v>
      </c>
      <c r="C2009" s="1" t="s">
        <v>16</v>
      </c>
      <c r="D2009" s="1" t="s">
        <v>23</v>
      </c>
      <c r="E2009" s="1" t="s">
        <v>28</v>
      </c>
      <c r="F2009" s="1" t="s">
        <v>29</v>
      </c>
      <c r="G2009" s="1" t="s">
        <v>20</v>
      </c>
      <c r="H2009" t="s">
        <v>30</v>
      </c>
      <c r="I2009" s="1" t="s">
        <v>22</v>
      </c>
      <c r="J2009" s="2">
        <v>43525.916006944448</v>
      </c>
      <c r="K2009" s="2">
        <v>43535.916006944448</v>
      </c>
      <c r="L2009" s="2">
        <v>43531.916006944448</v>
      </c>
      <c r="M2009" s="1">
        <f>_xlfn.DAYS(Table1[[#This Row],[actual_delivery_date]],Table1[[#This Row],[dispatch_date]])</f>
        <v>10</v>
      </c>
      <c r="N2009">
        <v>31</v>
      </c>
      <c r="O2009">
        <f>Table1[[#This Row],[transit_storage_cost]] * (1-'What -if Analysis'!$D$26)</f>
        <v>31</v>
      </c>
      <c r="P2009">
        <v>128</v>
      </c>
      <c r="Q2009">
        <v>1248.304392535978</v>
      </c>
    </row>
    <row r="2010" spans="1:17" x14ac:dyDescent="0.3">
      <c r="A2010">
        <v>86846</v>
      </c>
      <c r="B2010" s="1" t="s">
        <v>15</v>
      </c>
      <c r="C2010" s="1" t="s">
        <v>23</v>
      </c>
      <c r="D2010" s="1" t="s">
        <v>17</v>
      </c>
      <c r="E2010" s="1" t="s">
        <v>18</v>
      </c>
      <c r="F2010" s="1" t="s">
        <v>31</v>
      </c>
      <c r="G2010" s="1" t="s">
        <v>20</v>
      </c>
      <c r="H2010" t="s">
        <v>21</v>
      </c>
      <c r="I2010" s="1" t="s">
        <v>22</v>
      </c>
      <c r="J2010" s="2">
        <v>43527.917928240742</v>
      </c>
      <c r="K2010" s="2">
        <v>43535.917928240742</v>
      </c>
      <c r="L2010" s="2">
        <v>43531.917928240742</v>
      </c>
      <c r="M2010" s="1">
        <f>_xlfn.DAYS(Table1[[#This Row],[actual_delivery_date]],Table1[[#This Row],[dispatch_date]])</f>
        <v>8</v>
      </c>
      <c r="N2010">
        <v>33</v>
      </c>
      <c r="O2010">
        <f>Table1[[#This Row],[transit_storage_cost]] * (1-'What -if Analysis'!$D$26)</f>
        <v>33</v>
      </c>
      <c r="P2010">
        <v>114</v>
      </c>
      <c r="Q2010">
        <v>1852.2572404067871</v>
      </c>
    </row>
    <row r="2011" spans="1:17" x14ac:dyDescent="0.3">
      <c r="A2011">
        <v>945032</v>
      </c>
      <c r="B2011" s="1" t="s">
        <v>38</v>
      </c>
      <c r="C2011" s="1" t="s">
        <v>16</v>
      </c>
      <c r="D2011" s="1" t="s">
        <v>17</v>
      </c>
      <c r="E2011" s="1" t="s">
        <v>18</v>
      </c>
      <c r="F2011" s="1" t="s">
        <v>19</v>
      </c>
      <c r="G2011" s="1" t="s">
        <v>20</v>
      </c>
      <c r="H2011" t="s">
        <v>21</v>
      </c>
      <c r="I2011" s="1" t="s">
        <v>22</v>
      </c>
      <c r="J2011" s="2">
        <v>43529.918194444443</v>
      </c>
      <c r="K2011" s="2">
        <v>43535.918194444443</v>
      </c>
      <c r="L2011" s="2">
        <v>43532.918194444443</v>
      </c>
      <c r="M2011" s="1">
        <f>_xlfn.DAYS(Table1[[#This Row],[actual_delivery_date]],Table1[[#This Row],[dispatch_date]])</f>
        <v>6</v>
      </c>
      <c r="N2011">
        <v>36</v>
      </c>
      <c r="O2011">
        <f>Table1[[#This Row],[transit_storage_cost]] * (1-'What -if Analysis'!$D$26)</f>
        <v>36</v>
      </c>
      <c r="P2011">
        <v>107</v>
      </c>
      <c r="Q2011">
        <v>2516.5241120553819</v>
      </c>
    </row>
    <row r="2012" spans="1:17" x14ac:dyDescent="0.3">
      <c r="A2012">
        <v>966764</v>
      </c>
      <c r="B2012" s="1" t="s">
        <v>40</v>
      </c>
      <c r="C2012" s="1" t="s">
        <v>16</v>
      </c>
      <c r="D2012" s="1" t="s">
        <v>23</v>
      </c>
      <c r="E2012" s="1" t="s">
        <v>28</v>
      </c>
      <c r="F2012" s="1" t="s">
        <v>19</v>
      </c>
      <c r="G2012" s="1" t="s">
        <v>20</v>
      </c>
      <c r="H2012" t="s">
        <v>21</v>
      </c>
      <c r="I2012" s="1" t="s">
        <v>22</v>
      </c>
      <c r="J2012" s="2">
        <v>43530.918923611112</v>
      </c>
      <c r="K2012" s="2">
        <v>43535.918923611112</v>
      </c>
      <c r="L2012" s="2">
        <v>43533.918923611112</v>
      </c>
      <c r="M2012" s="1">
        <f>_xlfn.DAYS(Table1[[#This Row],[actual_delivery_date]],Table1[[#This Row],[dispatch_date]])</f>
        <v>5</v>
      </c>
      <c r="N2012">
        <v>62</v>
      </c>
      <c r="O2012">
        <f>Table1[[#This Row],[transit_storage_cost]] * (1-'What -if Analysis'!$D$26)</f>
        <v>62</v>
      </c>
      <c r="P2012">
        <v>102</v>
      </c>
      <c r="Q2012">
        <v>2211.1487585810141</v>
      </c>
    </row>
    <row r="2013" spans="1:17" x14ac:dyDescent="0.3">
      <c r="A2013">
        <v>122520</v>
      </c>
      <c r="B2013" s="1" t="s">
        <v>15</v>
      </c>
      <c r="C2013" s="1" t="s">
        <v>23</v>
      </c>
      <c r="D2013" s="1" t="s">
        <v>32</v>
      </c>
      <c r="E2013" s="1" t="s">
        <v>33</v>
      </c>
      <c r="F2013" s="1" t="s">
        <v>19</v>
      </c>
      <c r="G2013" s="1" t="s">
        <v>20</v>
      </c>
      <c r="H2013" t="s">
        <v>21</v>
      </c>
      <c r="I2013" s="1" t="s">
        <v>26</v>
      </c>
      <c r="J2013" s="2">
        <v>43528.920567129629</v>
      </c>
      <c r="K2013" s="2">
        <v>43535.920567129629</v>
      </c>
      <c r="L2013" s="2">
        <v>43532.920567129629</v>
      </c>
      <c r="M2013" s="1">
        <f>_xlfn.DAYS(Table1[[#This Row],[actual_delivery_date]],Table1[[#This Row],[dispatch_date]])</f>
        <v>7</v>
      </c>
      <c r="N2013">
        <v>74</v>
      </c>
      <c r="O2013">
        <f>Table1[[#This Row],[transit_storage_cost]] * (1-'What -if Analysis'!$D$26)</f>
        <v>74</v>
      </c>
      <c r="P2013">
        <v>87</v>
      </c>
      <c r="Q2013">
        <v>676.49</v>
      </c>
    </row>
    <row r="2014" spans="1:17" x14ac:dyDescent="0.3">
      <c r="A2014">
        <v>129416</v>
      </c>
      <c r="B2014" s="1" t="s">
        <v>41</v>
      </c>
      <c r="C2014" s="1" t="s">
        <v>16</v>
      </c>
      <c r="D2014" s="1" t="s">
        <v>17</v>
      </c>
      <c r="E2014" s="1" t="s">
        <v>18</v>
      </c>
      <c r="F2014" s="1" t="s">
        <v>19</v>
      </c>
      <c r="G2014" s="1" t="s">
        <v>20</v>
      </c>
      <c r="H2014" t="s">
        <v>21</v>
      </c>
      <c r="I2014" s="1" t="s">
        <v>22</v>
      </c>
      <c r="J2014" s="2">
        <v>43530.928576388891</v>
      </c>
      <c r="K2014" s="2">
        <v>43535.928576388891</v>
      </c>
      <c r="L2014" s="2">
        <v>43537.928576388891</v>
      </c>
      <c r="M2014" s="1">
        <f>_xlfn.DAYS(Table1[[#This Row],[actual_delivery_date]],Table1[[#This Row],[dispatch_date]])</f>
        <v>5</v>
      </c>
      <c r="N2014">
        <v>26</v>
      </c>
      <c r="O2014">
        <f>Table1[[#This Row],[transit_storage_cost]] * (1-'What -if Analysis'!$D$26)</f>
        <v>26</v>
      </c>
      <c r="P2014">
        <v>114</v>
      </c>
      <c r="Q2014">
        <v>1684.1480676907356</v>
      </c>
    </row>
    <row r="2015" spans="1:17" x14ac:dyDescent="0.3">
      <c r="A2015">
        <v>452597</v>
      </c>
      <c r="B2015" s="1" t="s">
        <v>39</v>
      </c>
      <c r="C2015" s="1" t="s">
        <v>16</v>
      </c>
      <c r="D2015" s="1" t="s">
        <v>32</v>
      </c>
      <c r="E2015" s="1" t="s">
        <v>33</v>
      </c>
      <c r="F2015" s="1" t="s">
        <v>19</v>
      </c>
      <c r="G2015" s="1" t="s">
        <v>20</v>
      </c>
      <c r="H2015" t="s">
        <v>30</v>
      </c>
      <c r="I2015" s="1" t="s">
        <v>22</v>
      </c>
      <c r="J2015" s="2">
        <v>43528.929097222222</v>
      </c>
      <c r="K2015" s="2">
        <v>43535.929097222222</v>
      </c>
      <c r="L2015" s="2">
        <v>43531.929097222222</v>
      </c>
      <c r="M2015" s="1">
        <f>_xlfn.DAYS(Table1[[#This Row],[actual_delivery_date]],Table1[[#This Row],[dispatch_date]])</f>
        <v>7</v>
      </c>
      <c r="N2015">
        <v>78</v>
      </c>
      <c r="O2015">
        <f>Table1[[#This Row],[transit_storage_cost]] * (1-'What -if Analysis'!$D$26)</f>
        <v>78</v>
      </c>
      <c r="P2015">
        <v>89</v>
      </c>
      <c r="Q2015">
        <v>719.54286541406339</v>
      </c>
    </row>
    <row r="2016" spans="1:17" x14ac:dyDescent="0.3">
      <c r="A2016">
        <v>793086</v>
      </c>
      <c r="B2016" s="1" t="s">
        <v>39</v>
      </c>
      <c r="C2016" s="1" t="s">
        <v>16</v>
      </c>
      <c r="D2016" s="1" t="s">
        <v>17</v>
      </c>
      <c r="E2016" s="1" t="s">
        <v>18</v>
      </c>
      <c r="F2016" s="1" t="s">
        <v>31</v>
      </c>
      <c r="G2016" s="1" t="s">
        <v>36</v>
      </c>
      <c r="H2016" t="s">
        <v>21</v>
      </c>
      <c r="I2016" s="1" t="s">
        <v>26</v>
      </c>
      <c r="J2016" s="2">
        <v>43532.945821759262</v>
      </c>
      <c r="K2016" s="2">
        <v>43535.945821759262</v>
      </c>
      <c r="L2016" s="2">
        <v>43535.945821759262</v>
      </c>
      <c r="M2016" s="1">
        <f>_xlfn.DAYS(Table1[[#This Row],[actual_delivery_date]],Table1[[#This Row],[dispatch_date]])</f>
        <v>3</v>
      </c>
      <c r="N2016">
        <v>30</v>
      </c>
      <c r="O2016">
        <f>Table1[[#This Row],[transit_storage_cost]] * (1-'What -if Analysis'!$D$26)</f>
        <v>30</v>
      </c>
      <c r="P2016">
        <v>106</v>
      </c>
      <c r="Q2016">
        <v>794.36615792650628</v>
      </c>
    </row>
    <row r="2017" spans="1:17" x14ac:dyDescent="0.3">
      <c r="A2017">
        <v>172749</v>
      </c>
      <c r="B2017" s="1" t="s">
        <v>38</v>
      </c>
      <c r="C2017" s="1" t="s">
        <v>16</v>
      </c>
      <c r="D2017" s="1" t="s">
        <v>23</v>
      </c>
      <c r="E2017" s="1" t="s">
        <v>28</v>
      </c>
      <c r="F2017" s="1" t="s">
        <v>19</v>
      </c>
      <c r="G2017" s="1" t="s">
        <v>20</v>
      </c>
      <c r="H2017" t="s">
        <v>30</v>
      </c>
      <c r="I2017" s="1" t="s">
        <v>26</v>
      </c>
      <c r="J2017" s="2">
        <v>43530.945844907408</v>
      </c>
      <c r="K2017" s="2">
        <v>43535.945844907408</v>
      </c>
      <c r="L2017" s="2">
        <v>43535.945844907408</v>
      </c>
      <c r="M2017" s="1">
        <f>_xlfn.DAYS(Table1[[#This Row],[actual_delivery_date]],Table1[[#This Row],[dispatch_date]])</f>
        <v>5</v>
      </c>
      <c r="N2017">
        <v>65</v>
      </c>
      <c r="O2017">
        <f>Table1[[#This Row],[transit_storage_cost]] * (1-'What -if Analysis'!$D$26)</f>
        <v>65</v>
      </c>
      <c r="P2017">
        <v>104</v>
      </c>
      <c r="Q2017">
        <v>3382.1169148277072</v>
      </c>
    </row>
    <row r="2018" spans="1:17" x14ac:dyDescent="0.3">
      <c r="A2018">
        <v>759490</v>
      </c>
      <c r="B2018" s="1" t="s">
        <v>39</v>
      </c>
      <c r="C2018" s="1" t="s">
        <v>23</v>
      </c>
      <c r="D2018" s="1" t="s">
        <v>23</v>
      </c>
      <c r="E2018" s="1" t="s">
        <v>28</v>
      </c>
      <c r="F2018" s="1" t="s">
        <v>19</v>
      </c>
      <c r="G2018" s="1" t="s">
        <v>20</v>
      </c>
      <c r="H2018" t="s">
        <v>21</v>
      </c>
      <c r="I2018" s="1" t="s">
        <v>22</v>
      </c>
      <c r="J2018" s="2">
        <v>43532.946331018517</v>
      </c>
      <c r="K2018" s="2">
        <v>43535.946331018517</v>
      </c>
      <c r="L2018" s="2">
        <v>43535.946331018517</v>
      </c>
      <c r="M2018" s="1">
        <f>_xlfn.DAYS(Table1[[#This Row],[actual_delivery_date]],Table1[[#This Row],[dispatch_date]])</f>
        <v>3</v>
      </c>
      <c r="N2018">
        <v>0</v>
      </c>
      <c r="O2018">
        <f>Table1[[#This Row],[transit_storage_cost]] * (1-'What -if Analysis'!$D$26)</f>
        <v>0</v>
      </c>
      <c r="P2018">
        <v>105</v>
      </c>
      <c r="Q2018">
        <v>1381.5371662891444</v>
      </c>
    </row>
    <row r="2019" spans="1:17" x14ac:dyDescent="0.3">
      <c r="A2019">
        <v>877483</v>
      </c>
      <c r="B2019" s="1" t="s">
        <v>38</v>
      </c>
      <c r="C2019" s="1" t="s">
        <v>16</v>
      </c>
      <c r="D2019" s="1" t="s">
        <v>17</v>
      </c>
      <c r="E2019" s="1" t="s">
        <v>18</v>
      </c>
      <c r="F2019" s="1" t="s">
        <v>19</v>
      </c>
      <c r="G2019" s="1" t="s">
        <v>20</v>
      </c>
      <c r="H2019" t="s">
        <v>30</v>
      </c>
      <c r="I2019" s="1" t="s">
        <v>22</v>
      </c>
      <c r="J2019" s="2">
        <v>43533.948229166665</v>
      </c>
      <c r="K2019" s="2">
        <v>43535.948229166665</v>
      </c>
      <c r="L2019" s="2">
        <v>43540.948229166665</v>
      </c>
      <c r="M2019" s="1">
        <f>_xlfn.DAYS(Table1[[#This Row],[actual_delivery_date]],Table1[[#This Row],[dispatch_date]])</f>
        <v>2</v>
      </c>
      <c r="N2019">
        <v>79</v>
      </c>
      <c r="O2019">
        <f>Table1[[#This Row],[transit_storage_cost]] * (1-'What -if Analysis'!$D$26)</f>
        <v>79</v>
      </c>
      <c r="P2019">
        <v>88</v>
      </c>
      <c r="Q2019">
        <v>1965.3043316879696</v>
      </c>
    </row>
    <row r="2020" spans="1:17" x14ac:dyDescent="0.3">
      <c r="A2020">
        <v>980268</v>
      </c>
      <c r="B2020" s="1" t="s">
        <v>38</v>
      </c>
      <c r="C2020" s="1" t="s">
        <v>23</v>
      </c>
      <c r="D2020" s="1" t="s">
        <v>24</v>
      </c>
      <c r="E2020" s="1" t="s">
        <v>25</v>
      </c>
      <c r="F2020" s="1" t="s">
        <v>19</v>
      </c>
      <c r="G2020" s="1" t="s">
        <v>20</v>
      </c>
      <c r="H2020" t="s">
        <v>21</v>
      </c>
      <c r="I2020" s="1" t="s">
        <v>26</v>
      </c>
      <c r="J2020" s="2">
        <v>43528.951157407406</v>
      </c>
      <c r="K2020" s="2">
        <v>43535.951157407406</v>
      </c>
      <c r="L2020" s="2">
        <v>43532.951157407406</v>
      </c>
      <c r="M2020" s="1">
        <f>_xlfn.DAYS(Table1[[#This Row],[actual_delivery_date]],Table1[[#This Row],[dispatch_date]])</f>
        <v>7</v>
      </c>
      <c r="N2020">
        <v>29</v>
      </c>
      <c r="O2020">
        <f>Table1[[#This Row],[transit_storage_cost]] * (1-'What -if Analysis'!$D$26)</f>
        <v>29</v>
      </c>
      <c r="P2020">
        <v>126</v>
      </c>
      <c r="Q2020">
        <v>2652.02</v>
      </c>
    </row>
    <row r="2021" spans="1:17" x14ac:dyDescent="0.3">
      <c r="A2021">
        <v>125351</v>
      </c>
      <c r="B2021" s="1" t="s">
        <v>37</v>
      </c>
      <c r="C2021" s="1" t="s">
        <v>16</v>
      </c>
      <c r="D2021" s="1" t="s">
        <v>16</v>
      </c>
      <c r="E2021" s="1" t="s">
        <v>27</v>
      </c>
      <c r="F2021" s="1" t="s">
        <v>19</v>
      </c>
      <c r="G2021" s="1" t="s">
        <v>20</v>
      </c>
      <c r="H2021" t="s">
        <v>30</v>
      </c>
      <c r="I2021" s="1" t="s">
        <v>22</v>
      </c>
      <c r="J2021" s="2">
        <v>43532.953472222223</v>
      </c>
      <c r="K2021" s="2">
        <v>43535.953472222223</v>
      </c>
      <c r="L2021" s="2">
        <v>43536.953472222223</v>
      </c>
      <c r="M2021" s="1">
        <f>_xlfn.DAYS(Table1[[#This Row],[actual_delivery_date]],Table1[[#This Row],[dispatch_date]])</f>
        <v>3</v>
      </c>
      <c r="N2021">
        <v>0</v>
      </c>
      <c r="O2021">
        <f>Table1[[#This Row],[transit_storage_cost]] * (1-'What -if Analysis'!$D$26)</f>
        <v>0</v>
      </c>
      <c r="P2021">
        <v>103</v>
      </c>
      <c r="Q2021">
        <v>1849</v>
      </c>
    </row>
    <row r="2022" spans="1:17" x14ac:dyDescent="0.3">
      <c r="A2022">
        <v>897238</v>
      </c>
      <c r="B2022" s="1" t="s">
        <v>40</v>
      </c>
      <c r="C2022" s="1" t="s">
        <v>23</v>
      </c>
      <c r="D2022" s="1" t="s">
        <v>32</v>
      </c>
      <c r="E2022" s="1" t="s">
        <v>33</v>
      </c>
      <c r="F2022" s="1" t="s">
        <v>31</v>
      </c>
      <c r="G2022" s="1" t="s">
        <v>20</v>
      </c>
      <c r="H2022" t="s">
        <v>21</v>
      </c>
      <c r="I2022" s="1" t="s">
        <v>22</v>
      </c>
      <c r="J2022" s="2">
        <v>43530.956087962964</v>
      </c>
      <c r="K2022" s="2">
        <v>43535.956087962964</v>
      </c>
      <c r="L2022" s="2">
        <v>43535.956087962964</v>
      </c>
      <c r="M2022" s="1">
        <f>_xlfn.DAYS(Table1[[#This Row],[actual_delivery_date]],Table1[[#This Row],[dispatch_date]])</f>
        <v>5</v>
      </c>
      <c r="N2022">
        <v>43</v>
      </c>
      <c r="O2022">
        <f>Table1[[#This Row],[transit_storage_cost]] * (1-'What -if Analysis'!$D$26)</f>
        <v>43</v>
      </c>
      <c r="P2022">
        <v>114</v>
      </c>
      <c r="Q2022">
        <v>3494.2169132043332</v>
      </c>
    </row>
    <row r="2023" spans="1:17" x14ac:dyDescent="0.3">
      <c r="A2023">
        <v>251467</v>
      </c>
      <c r="B2023" s="1" t="s">
        <v>38</v>
      </c>
      <c r="C2023" s="1" t="s">
        <v>23</v>
      </c>
      <c r="D2023" s="1" t="s">
        <v>16</v>
      </c>
      <c r="E2023" s="1" t="s">
        <v>27</v>
      </c>
      <c r="F2023" s="1" t="s">
        <v>29</v>
      </c>
      <c r="G2023" s="1" t="s">
        <v>20</v>
      </c>
      <c r="H2023" t="s">
        <v>30</v>
      </c>
      <c r="I2023" s="1" t="s">
        <v>22</v>
      </c>
      <c r="J2023" s="2">
        <v>43526.958483796298</v>
      </c>
      <c r="K2023" s="2">
        <v>43535.958483796298</v>
      </c>
      <c r="L2023" s="2">
        <v>43533.958483796298</v>
      </c>
      <c r="M2023" s="1">
        <f>_xlfn.DAYS(Table1[[#This Row],[actual_delivery_date]],Table1[[#This Row],[dispatch_date]])</f>
        <v>9</v>
      </c>
      <c r="N2023">
        <v>49</v>
      </c>
      <c r="O2023">
        <f>Table1[[#This Row],[transit_storage_cost]] * (1-'What -if Analysis'!$D$26)</f>
        <v>49</v>
      </c>
      <c r="P2023">
        <v>125</v>
      </c>
      <c r="Q2023">
        <v>2005.1354879250041</v>
      </c>
    </row>
    <row r="2024" spans="1:17" x14ac:dyDescent="0.3">
      <c r="A2024">
        <v>114513</v>
      </c>
      <c r="B2024" s="1" t="s">
        <v>37</v>
      </c>
      <c r="C2024" s="1" t="s">
        <v>23</v>
      </c>
      <c r="D2024" s="1" t="s">
        <v>24</v>
      </c>
      <c r="E2024" s="1" t="s">
        <v>25</v>
      </c>
      <c r="F2024" s="1" t="s">
        <v>29</v>
      </c>
      <c r="G2024" s="1" t="s">
        <v>20</v>
      </c>
      <c r="H2024" t="s">
        <v>34</v>
      </c>
      <c r="I2024" s="1" t="s">
        <v>26</v>
      </c>
      <c r="J2024" s="2">
        <v>43532.960057870368</v>
      </c>
      <c r="K2024" s="2">
        <v>43535.960057870368</v>
      </c>
      <c r="L2024" s="2">
        <v>43536.960057870368</v>
      </c>
      <c r="M2024" s="1">
        <f>_xlfn.DAYS(Table1[[#This Row],[actual_delivery_date]],Table1[[#This Row],[dispatch_date]])</f>
        <v>3</v>
      </c>
      <c r="N2024">
        <v>46</v>
      </c>
      <c r="O2024">
        <f>Table1[[#This Row],[transit_storage_cost]] * (1-'What -if Analysis'!$D$26)</f>
        <v>46</v>
      </c>
      <c r="P2024">
        <v>126</v>
      </c>
      <c r="Q2024">
        <v>2405.1982763952792</v>
      </c>
    </row>
    <row r="2025" spans="1:17" x14ac:dyDescent="0.3">
      <c r="A2025">
        <v>842049</v>
      </c>
      <c r="B2025" s="1" t="s">
        <v>15</v>
      </c>
      <c r="C2025" s="1" t="s">
        <v>16</v>
      </c>
      <c r="D2025" s="1" t="s">
        <v>16</v>
      </c>
      <c r="E2025" s="1" t="s">
        <v>27</v>
      </c>
      <c r="F2025" s="1" t="s">
        <v>29</v>
      </c>
      <c r="G2025" s="1" t="s">
        <v>20</v>
      </c>
      <c r="H2025" t="s">
        <v>30</v>
      </c>
      <c r="I2025" s="1" t="s">
        <v>26</v>
      </c>
      <c r="J2025" s="2">
        <v>43530.961840277778</v>
      </c>
      <c r="K2025" s="2">
        <v>43535.961840277778</v>
      </c>
      <c r="L2025" s="2">
        <v>43533.961840277778</v>
      </c>
      <c r="M2025" s="1">
        <f>_xlfn.DAYS(Table1[[#This Row],[actual_delivery_date]],Table1[[#This Row],[dispatch_date]])</f>
        <v>5</v>
      </c>
      <c r="N2025">
        <v>0</v>
      </c>
      <c r="O2025">
        <f>Table1[[#This Row],[transit_storage_cost]] * (1-'What -if Analysis'!$D$26)</f>
        <v>0</v>
      </c>
      <c r="P2025">
        <v>122</v>
      </c>
      <c r="Q2025">
        <v>2249.4483743048313</v>
      </c>
    </row>
    <row r="2026" spans="1:17" x14ac:dyDescent="0.3">
      <c r="A2026">
        <v>132017</v>
      </c>
      <c r="B2026" s="1" t="s">
        <v>37</v>
      </c>
      <c r="C2026" s="1" t="s">
        <v>16</v>
      </c>
      <c r="D2026" s="1" t="s">
        <v>16</v>
      </c>
      <c r="E2026" s="1" t="s">
        <v>27</v>
      </c>
      <c r="F2026" s="1" t="s">
        <v>19</v>
      </c>
      <c r="G2026" s="1" t="s">
        <v>20</v>
      </c>
      <c r="H2026" t="s">
        <v>30</v>
      </c>
      <c r="I2026" s="1" t="s">
        <v>22</v>
      </c>
      <c r="J2026" s="2">
        <v>43534.962465277778</v>
      </c>
      <c r="K2026" s="2">
        <v>43535.962465277778</v>
      </c>
      <c r="L2026" s="2">
        <v>43539.962465277778</v>
      </c>
      <c r="M2026" s="1">
        <f>_xlfn.DAYS(Table1[[#This Row],[actual_delivery_date]],Table1[[#This Row],[dispatch_date]])</f>
        <v>1</v>
      </c>
      <c r="N2026">
        <v>0</v>
      </c>
      <c r="O2026">
        <f>Table1[[#This Row],[transit_storage_cost]] * (1-'What -if Analysis'!$D$26)</f>
        <v>0</v>
      </c>
      <c r="P2026">
        <v>100</v>
      </c>
      <c r="Q2026">
        <v>601.13501289636361</v>
      </c>
    </row>
    <row r="2027" spans="1:17" x14ac:dyDescent="0.3">
      <c r="A2027">
        <v>985787</v>
      </c>
      <c r="B2027" s="1" t="s">
        <v>15</v>
      </c>
      <c r="C2027" s="1" t="s">
        <v>23</v>
      </c>
      <c r="D2027" s="1" t="s">
        <v>32</v>
      </c>
      <c r="E2027" s="1" t="s">
        <v>33</v>
      </c>
      <c r="F2027" s="1" t="s">
        <v>29</v>
      </c>
      <c r="G2027" s="1" t="s">
        <v>20</v>
      </c>
      <c r="H2027" t="s">
        <v>30</v>
      </c>
      <c r="I2027" s="1" t="s">
        <v>22</v>
      </c>
      <c r="J2027" s="2">
        <v>43530.971238425926</v>
      </c>
      <c r="K2027" s="2">
        <v>43535.971238425926</v>
      </c>
      <c r="L2027" s="2">
        <v>43537.971238425926</v>
      </c>
      <c r="M2027" s="1">
        <f>_xlfn.DAYS(Table1[[#This Row],[actual_delivery_date]],Table1[[#This Row],[dispatch_date]])</f>
        <v>5</v>
      </c>
      <c r="N2027">
        <v>37</v>
      </c>
      <c r="O2027">
        <f>Table1[[#This Row],[transit_storage_cost]] * (1-'What -if Analysis'!$D$26)</f>
        <v>37</v>
      </c>
      <c r="P2027">
        <v>109</v>
      </c>
      <c r="Q2027">
        <v>1400.5880722273237</v>
      </c>
    </row>
    <row r="2028" spans="1:17" x14ac:dyDescent="0.3">
      <c r="A2028">
        <v>561925</v>
      </c>
      <c r="B2028" s="1" t="s">
        <v>40</v>
      </c>
      <c r="C2028" s="1" t="s">
        <v>23</v>
      </c>
      <c r="D2028" s="1" t="s">
        <v>23</v>
      </c>
      <c r="E2028" s="1" t="s">
        <v>28</v>
      </c>
      <c r="F2028" s="1" t="s">
        <v>29</v>
      </c>
      <c r="G2028" s="1" t="s">
        <v>20</v>
      </c>
      <c r="H2028" t="s">
        <v>34</v>
      </c>
      <c r="I2028" s="1" t="s">
        <v>22</v>
      </c>
      <c r="J2028" s="2">
        <v>43530.972453703704</v>
      </c>
      <c r="K2028" s="2">
        <v>43535.972453703704</v>
      </c>
      <c r="L2028" s="2">
        <v>43533.972453703704</v>
      </c>
      <c r="M2028" s="1">
        <f>_xlfn.DAYS(Table1[[#This Row],[actual_delivery_date]],Table1[[#This Row],[dispatch_date]])</f>
        <v>5</v>
      </c>
      <c r="N2028">
        <v>0</v>
      </c>
      <c r="O2028">
        <f>Table1[[#This Row],[transit_storage_cost]] * (1-'What -if Analysis'!$D$26)</f>
        <v>0</v>
      </c>
      <c r="P2028">
        <v>123</v>
      </c>
      <c r="Q2028">
        <v>1642</v>
      </c>
    </row>
    <row r="2029" spans="1:17" x14ac:dyDescent="0.3">
      <c r="A2029">
        <v>749382</v>
      </c>
      <c r="B2029" s="1" t="s">
        <v>15</v>
      </c>
      <c r="C2029" s="1" t="s">
        <v>16</v>
      </c>
      <c r="D2029" s="1" t="s">
        <v>16</v>
      </c>
      <c r="E2029" s="1" t="s">
        <v>27</v>
      </c>
      <c r="F2029" s="1" t="s">
        <v>31</v>
      </c>
      <c r="G2029" s="1" t="s">
        <v>20</v>
      </c>
      <c r="H2029" t="s">
        <v>21</v>
      </c>
      <c r="I2029" s="1" t="s">
        <v>26</v>
      </c>
      <c r="J2029" s="2">
        <v>43529.973981481482</v>
      </c>
      <c r="K2029" s="2">
        <v>43535.973981481482</v>
      </c>
      <c r="L2029" s="2">
        <v>43533.973981481482</v>
      </c>
      <c r="M2029" s="1">
        <f>_xlfn.DAYS(Table1[[#This Row],[actual_delivery_date]],Table1[[#This Row],[dispatch_date]])</f>
        <v>6</v>
      </c>
      <c r="N2029">
        <v>0</v>
      </c>
      <c r="O2029">
        <f>Table1[[#This Row],[transit_storage_cost]] * (1-'What -if Analysis'!$D$26)</f>
        <v>0</v>
      </c>
      <c r="P2029">
        <v>125</v>
      </c>
      <c r="Q2029">
        <v>2521.0300000000002</v>
      </c>
    </row>
    <row r="2030" spans="1:17" x14ac:dyDescent="0.3">
      <c r="A2030">
        <v>997494</v>
      </c>
      <c r="B2030" s="1" t="s">
        <v>41</v>
      </c>
      <c r="C2030" s="1" t="s">
        <v>16</v>
      </c>
      <c r="D2030" s="1" t="s">
        <v>23</v>
      </c>
      <c r="E2030" s="1" t="s">
        <v>28</v>
      </c>
      <c r="F2030" s="1" t="s">
        <v>31</v>
      </c>
      <c r="G2030" s="1" t="s">
        <v>20</v>
      </c>
      <c r="H2030" t="s">
        <v>21</v>
      </c>
      <c r="I2030" s="1" t="s">
        <v>26</v>
      </c>
      <c r="J2030" s="2">
        <v>43526.977326388886</v>
      </c>
      <c r="K2030" s="2">
        <v>43535.977326388886</v>
      </c>
      <c r="L2030" s="2">
        <v>43532.977326388886</v>
      </c>
      <c r="M2030" s="1">
        <f>_xlfn.DAYS(Table1[[#This Row],[actual_delivery_date]],Table1[[#This Row],[dispatch_date]])</f>
        <v>9</v>
      </c>
      <c r="N2030">
        <v>26</v>
      </c>
      <c r="O2030">
        <f>Table1[[#This Row],[transit_storage_cost]] * (1-'What -if Analysis'!$D$26)</f>
        <v>26</v>
      </c>
      <c r="P2030">
        <v>126</v>
      </c>
      <c r="Q2030">
        <v>3036.39</v>
      </c>
    </row>
    <row r="2031" spans="1:17" x14ac:dyDescent="0.3">
      <c r="A2031">
        <v>18933</v>
      </c>
      <c r="B2031" s="1" t="s">
        <v>38</v>
      </c>
      <c r="C2031" s="1" t="s">
        <v>16</v>
      </c>
      <c r="D2031" s="1" t="s">
        <v>32</v>
      </c>
      <c r="E2031" s="1" t="s">
        <v>33</v>
      </c>
      <c r="F2031" s="1" t="s">
        <v>19</v>
      </c>
      <c r="G2031" s="1" t="s">
        <v>20</v>
      </c>
      <c r="H2031" t="s">
        <v>30</v>
      </c>
      <c r="I2031" s="1" t="s">
        <v>26</v>
      </c>
      <c r="J2031" s="2">
        <v>43530.979814814818</v>
      </c>
      <c r="K2031" s="2">
        <v>43535.979814814818</v>
      </c>
      <c r="L2031" s="2">
        <v>43533.979814814818</v>
      </c>
      <c r="M2031" s="1">
        <f>_xlfn.DAYS(Table1[[#This Row],[actual_delivery_date]],Table1[[#This Row],[dispatch_date]])</f>
        <v>5</v>
      </c>
      <c r="N2031">
        <v>74</v>
      </c>
      <c r="O2031">
        <f>Table1[[#This Row],[transit_storage_cost]] * (1-'What -if Analysis'!$D$26)</f>
        <v>74</v>
      </c>
      <c r="P2031">
        <v>91</v>
      </c>
      <c r="Q2031">
        <v>2570.1417745163212</v>
      </c>
    </row>
    <row r="2032" spans="1:17" x14ac:dyDescent="0.3">
      <c r="A2032">
        <v>391570</v>
      </c>
      <c r="B2032" s="1" t="s">
        <v>40</v>
      </c>
      <c r="C2032" s="1" t="s">
        <v>16</v>
      </c>
      <c r="D2032" s="1" t="s">
        <v>32</v>
      </c>
      <c r="E2032" s="1" t="s">
        <v>33</v>
      </c>
      <c r="F2032" s="1" t="s">
        <v>19</v>
      </c>
      <c r="G2032" s="1" t="s">
        <v>20</v>
      </c>
      <c r="H2032" t="s">
        <v>21</v>
      </c>
      <c r="I2032" s="1" t="s">
        <v>22</v>
      </c>
      <c r="J2032" s="2">
        <v>43528.98033564815</v>
      </c>
      <c r="K2032" s="2">
        <v>43535.98033564815</v>
      </c>
      <c r="L2032" s="2">
        <v>43532.98033564815</v>
      </c>
      <c r="M2032" s="1">
        <f>_xlfn.DAYS(Table1[[#This Row],[actual_delivery_date]],Table1[[#This Row],[dispatch_date]])</f>
        <v>7</v>
      </c>
      <c r="N2032">
        <v>65</v>
      </c>
      <c r="O2032">
        <f>Table1[[#This Row],[transit_storage_cost]] * (1-'What -if Analysis'!$D$26)</f>
        <v>65</v>
      </c>
      <c r="P2032">
        <v>94</v>
      </c>
      <c r="Q2032">
        <v>295.75243850642335</v>
      </c>
    </row>
    <row r="2033" spans="1:17" x14ac:dyDescent="0.3">
      <c r="A2033">
        <v>519564</v>
      </c>
      <c r="B2033" s="1" t="s">
        <v>41</v>
      </c>
      <c r="C2033" s="1" t="s">
        <v>16</v>
      </c>
      <c r="D2033" s="1" t="s">
        <v>24</v>
      </c>
      <c r="E2033" s="1" t="s">
        <v>25</v>
      </c>
      <c r="F2033" s="1" t="s">
        <v>19</v>
      </c>
      <c r="G2033" s="1" t="s">
        <v>20</v>
      </c>
      <c r="H2033" t="s">
        <v>21</v>
      </c>
      <c r="I2033" s="1" t="s">
        <v>26</v>
      </c>
      <c r="J2033" s="2">
        <v>43529.983506944445</v>
      </c>
      <c r="K2033" s="2">
        <v>43535.983506944445</v>
      </c>
      <c r="L2033" s="2">
        <v>43536.983506944445</v>
      </c>
      <c r="M2033" s="1">
        <f>_xlfn.DAYS(Table1[[#This Row],[actual_delivery_date]],Table1[[#This Row],[dispatch_date]])</f>
        <v>6</v>
      </c>
      <c r="N2033">
        <v>29</v>
      </c>
      <c r="O2033">
        <f>Table1[[#This Row],[transit_storage_cost]] * (1-'What -if Analysis'!$D$26)</f>
        <v>29</v>
      </c>
      <c r="P2033">
        <v>126</v>
      </c>
      <c r="Q2033">
        <v>2675.63</v>
      </c>
    </row>
    <row r="2034" spans="1:17" x14ac:dyDescent="0.3">
      <c r="A2034">
        <v>700636</v>
      </c>
      <c r="B2034" s="1" t="s">
        <v>37</v>
      </c>
      <c r="C2034" s="1" t="s">
        <v>23</v>
      </c>
      <c r="D2034" s="1" t="s">
        <v>16</v>
      </c>
      <c r="E2034" s="1" t="s">
        <v>27</v>
      </c>
      <c r="F2034" s="1" t="s">
        <v>19</v>
      </c>
      <c r="G2034" s="1" t="s">
        <v>20</v>
      </c>
      <c r="H2034" t="s">
        <v>21</v>
      </c>
      <c r="I2034" s="1" t="s">
        <v>22</v>
      </c>
      <c r="J2034" s="2">
        <v>43533.984270833331</v>
      </c>
      <c r="K2034" s="2">
        <v>43535.984270833331</v>
      </c>
      <c r="L2034" s="2">
        <v>43537.984270833331</v>
      </c>
      <c r="M2034" s="1">
        <f>_xlfn.DAYS(Table1[[#This Row],[actual_delivery_date]],Table1[[#This Row],[dispatch_date]])</f>
        <v>2</v>
      </c>
      <c r="N2034">
        <v>76</v>
      </c>
      <c r="O2034">
        <f>Table1[[#This Row],[transit_storage_cost]] * (1-'What -if Analysis'!$D$26)</f>
        <v>76</v>
      </c>
      <c r="P2034">
        <v>101</v>
      </c>
      <c r="Q2034">
        <v>3147.9639062208244</v>
      </c>
    </row>
    <row r="2035" spans="1:17" x14ac:dyDescent="0.3">
      <c r="A2035">
        <v>246601</v>
      </c>
      <c r="B2035" s="1" t="s">
        <v>38</v>
      </c>
      <c r="C2035" s="1" t="s">
        <v>16</v>
      </c>
      <c r="D2035" s="1" t="s">
        <v>17</v>
      </c>
      <c r="E2035" s="1" t="s">
        <v>18</v>
      </c>
      <c r="F2035" s="1" t="s">
        <v>19</v>
      </c>
      <c r="G2035" s="1" t="s">
        <v>20</v>
      </c>
      <c r="H2035" t="s">
        <v>30</v>
      </c>
      <c r="I2035" s="1" t="s">
        <v>22</v>
      </c>
      <c r="J2035" s="2">
        <v>43533.985127314816</v>
      </c>
      <c r="K2035" s="2">
        <v>43535.985127314816</v>
      </c>
      <c r="L2035" s="2">
        <v>43538.985127314816</v>
      </c>
      <c r="M2035" s="1">
        <f>_xlfn.DAYS(Table1[[#This Row],[actual_delivery_date]],Table1[[#This Row],[dispatch_date]])</f>
        <v>2</v>
      </c>
      <c r="N2035">
        <v>87</v>
      </c>
      <c r="O2035">
        <f>Table1[[#This Row],[transit_storage_cost]] * (1-'What -if Analysis'!$D$26)</f>
        <v>87</v>
      </c>
      <c r="P2035">
        <v>91</v>
      </c>
      <c r="Q2035">
        <v>2364.7610368984961</v>
      </c>
    </row>
    <row r="2036" spans="1:17" x14ac:dyDescent="0.3">
      <c r="A2036">
        <v>172327</v>
      </c>
      <c r="B2036" s="1" t="s">
        <v>15</v>
      </c>
      <c r="C2036" s="1" t="s">
        <v>16</v>
      </c>
      <c r="D2036" s="1" t="s">
        <v>17</v>
      </c>
      <c r="E2036" s="1" t="s">
        <v>18</v>
      </c>
      <c r="F2036" s="1" t="s">
        <v>19</v>
      </c>
      <c r="G2036" s="1" t="s">
        <v>20</v>
      </c>
      <c r="H2036" t="s">
        <v>30</v>
      </c>
      <c r="I2036" s="1" t="s">
        <v>22</v>
      </c>
      <c r="J2036" s="2">
        <v>43533.986238425925</v>
      </c>
      <c r="K2036" s="2">
        <v>43535.986238425925</v>
      </c>
      <c r="L2036" s="2">
        <v>43536.986238425925</v>
      </c>
      <c r="M2036" s="1">
        <f>_xlfn.DAYS(Table1[[#This Row],[actual_delivery_date]],Table1[[#This Row],[dispatch_date]])</f>
        <v>2</v>
      </c>
      <c r="N2036">
        <v>71</v>
      </c>
      <c r="O2036">
        <f>Table1[[#This Row],[transit_storage_cost]] * (1-'What -if Analysis'!$D$26)</f>
        <v>71</v>
      </c>
      <c r="P2036">
        <v>91</v>
      </c>
      <c r="Q2036">
        <v>1241.1539535831917</v>
      </c>
    </row>
    <row r="2037" spans="1:17" x14ac:dyDescent="0.3">
      <c r="A2037">
        <v>672039</v>
      </c>
      <c r="B2037" s="1" t="s">
        <v>38</v>
      </c>
      <c r="C2037" s="1" t="s">
        <v>16</v>
      </c>
      <c r="D2037" s="1" t="s">
        <v>16</v>
      </c>
      <c r="E2037" s="1" t="s">
        <v>27</v>
      </c>
      <c r="F2037" s="1" t="s">
        <v>29</v>
      </c>
      <c r="G2037" s="1" t="s">
        <v>20</v>
      </c>
      <c r="H2037" t="s">
        <v>30</v>
      </c>
      <c r="I2037" s="1" t="s">
        <v>26</v>
      </c>
      <c r="J2037" s="2">
        <v>43528.998136574075</v>
      </c>
      <c r="K2037" s="2">
        <v>43535.998136574075</v>
      </c>
      <c r="L2037" s="2">
        <v>43535.998136574075</v>
      </c>
      <c r="M2037" s="1">
        <f>_xlfn.DAYS(Table1[[#This Row],[actual_delivery_date]],Table1[[#This Row],[dispatch_date]])</f>
        <v>7</v>
      </c>
      <c r="N2037">
        <v>0</v>
      </c>
      <c r="O2037">
        <f>Table1[[#This Row],[transit_storage_cost]] * (1-'What -if Analysis'!$D$26)</f>
        <v>0</v>
      </c>
      <c r="P2037">
        <v>126</v>
      </c>
      <c r="Q2037">
        <v>1091.19</v>
      </c>
    </row>
    <row r="2038" spans="1:17" x14ac:dyDescent="0.3">
      <c r="A2038">
        <v>363603</v>
      </c>
      <c r="B2038" s="1" t="s">
        <v>37</v>
      </c>
      <c r="C2038" s="1" t="s">
        <v>16</v>
      </c>
      <c r="D2038" s="1" t="s">
        <v>32</v>
      </c>
      <c r="E2038" s="1" t="s">
        <v>33</v>
      </c>
      <c r="F2038" s="1" t="s">
        <v>29</v>
      </c>
      <c r="G2038" s="1" t="s">
        <v>20</v>
      </c>
      <c r="H2038" t="s">
        <v>30</v>
      </c>
      <c r="I2038" s="1" t="s">
        <v>26</v>
      </c>
      <c r="J2038" s="2">
        <v>43534.001875000002</v>
      </c>
      <c r="K2038" s="2">
        <v>43536.001875000002</v>
      </c>
      <c r="L2038" s="2">
        <v>43538.001875000002</v>
      </c>
      <c r="M2038" s="1">
        <f>_xlfn.DAYS(Table1[[#This Row],[actual_delivery_date]],Table1[[#This Row],[dispatch_date]])</f>
        <v>2</v>
      </c>
      <c r="N2038">
        <v>50</v>
      </c>
      <c r="O2038">
        <f>Table1[[#This Row],[transit_storage_cost]] * (1-'What -if Analysis'!$D$26)</f>
        <v>50</v>
      </c>
      <c r="P2038">
        <v>107</v>
      </c>
      <c r="Q2038">
        <v>2534.2933054211826</v>
      </c>
    </row>
    <row r="2039" spans="1:17" x14ac:dyDescent="0.3">
      <c r="A2039">
        <v>799424</v>
      </c>
      <c r="B2039" s="1" t="s">
        <v>40</v>
      </c>
      <c r="C2039" s="1" t="s">
        <v>23</v>
      </c>
      <c r="D2039" s="1" t="s">
        <v>17</v>
      </c>
      <c r="E2039" s="1" t="s">
        <v>18</v>
      </c>
      <c r="F2039" s="1" t="s">
        <v>19</v>
      </c>
      <c r="G2039" s="1" t="s">
        <v>20</v>
      </c>
      <c r="H2039" t="s">
        <v>21</v>
      </c>
      <c r="I2039" s="1" t="s">
        <v>22</v>
      </c>
      <c r="J2039" s="2">
        <v>43534.005011574074</v>
      </c>
      <c r="K2039" s="2">
        <v>43536.005011574074</v>
      </c>
      <c r="L2039" s="2">
        <v>43537.005011574074</v>
      </c>
      <c r="M2039" s="1">
        <f>_xlfn.DAYS(Table1[[#This Row],[actual_delivery_date]],Table1[[#This Row],[dispatch_date]])</f>
        <v>2</v>
      </c>
      <c r="N2039">
        <v>28</v>
      </c>
      <c r="O2039">
        <f>Table1[[#This Row],[transit_storage_cost]] * (1-'What -if Analysis'!$D$26)</f>
        <v>28</v>
      </c>
      <c r="P2039">
        <v>112</v>
      </c>
      <c r="Q2039">
        <v>1519.2339768283759</v>
      </c>
    </row>
    <row r="2040" spans="1:17" x14ac:dyDescent="0.3">
      <c r="A2040">
        <v>318562</v>
      </c>
      <c r="B2040" s="1" t="s">
        <v>38</v>
      </c>
      <c r="C2040" s="1" t="s">
        <v>16</v>
      </c>
      <c r="D2040" s="1" t="s">
        <v>16</v>
      </c>
      <c r="E2040" s="1" t="s">
        <v>27</v>
      </c>
      <c r="F2040" s="1" t="s">
        <v>31</v>
      </c>
      <c r="G2040" s="1" t="s">
        <v>20</v>
      </c>
      <c r="H2040" t="s">
        <v>21</v>
      </c>
      <c r="I2040" s="1" t="s">
        <v>22</v>
      </c>
      <c r="J2040" s="2">
        <v>43534.0077662037</v>
      </c>
      <c r="K2040" s="2">
        <v>43536.0077662037</v>
      </c>
      <c r="L2040" s="2">
        <v>43538.0077662037</v>
      </c>
      <c r="M2040" s="1">
        <f>_xlfn.DAYS(Table1[[#This Row],[actual_delivery_date]],Table1[[#This Row],[dispatch_date]])</f>
        <v>2</v>
      </c>
      <c r="N2040">
        <v>0</v>
      </c>
      <c r="O2040">
        <f>Table1[[#This Row],[transit_storage_cost]] * (1-'What -if Analysis'!$D$26)</f>
        <v>0</v>
      </c>
      <c r="P2040">
        <v>120</v>
      </c>
      <c r="Q2040">
        <v>1288.9632007997809</v>
      </c>
    </row>
    <row r="2041" spans="1:17" x14ac:dyDescent="0.3">
      <c r="A2041">
        <v>688935</v>
      </c>
      <c r="B2041" s="1" t="s">
        <v>38</v>
      </c>
      <c r="C2041" s="1" t="s">
        <v>16</v>
      </c>
      <c r="D2041" s="1" t="s">
        <v>16</v>
      </c>
      <c r="E2041" s="1" t="s">
        <v>27</v>
      </c>
      <c r="F2041" s="1" t="s">
        <v>29</v>
      </c>
      <c r="G2041" s="1" t="s">
        <v>20</v>
      </c>
      <c r="H2041" t="s">
        <v>30</v>
      </c>
      <c r="I2041" s="1" t="s">
        <v>26</v>
      </c>
      <c r="J2041" s="2">
        <v>43535.011747685188</v>
      </c>
      <c r="K2041" s="2">
        <v>43536.011747685188</v>
      </c>
      <c r="L2041" s="2">
        <v>43538.011747685188</v>
      </c>
      <c r="M2041" s="1">
        <f>_xlfn.DAYS(Table1[[#This Row],[actual_delivery_date]],Table1[[#This Row],[dispatch_date]])</f>
        <v>1</v>
      </c>
      <c r="N2041">
        <v>0</v>
      </c>
      <c r="O2041">
        <f>Table1[[#This Row],[transit_storage_cost]] * (1-'What -if Analysis'!$D$26)</f>
        <v>0</v>
      </c>
      <c r="P2041">
        <v>122</v>
      </c>
      <c r="Q2041">
        <v>2583.560605297117</v>
      </c>
    </row>
    <row r="2042" spans="1:17" x14ac:dyDescent="0.3">
      <c r="A2042">
        <v>375808</v>
      </c>
      <c r="B2042" s="1" t="s">
        <v>40</v>
      </c>
      <c r="C2042" s="1" t="s">
        <v>23</v>
      </c>
      <c r="D2042" s="1" t="s">
        <v>17</v>
      </c>
      <c r="E2042" s="1" t="s">
        <v>18</v>
      </c>
      <c r="F2042" s="1" t="s">
        <v>19</v>
      </c>
      <c r="G2042" s="1" t="s">
        <v>20</v>
      </c>
      <c r="H2042" t="s">
        <v>21</v>
      </c>
      <c r="I2042" s="1" t="s">
        <v>22</v>
      </c>
      <c r="J2042" s="2">
        <v>43534.013460648152</v>
      </c>
      <c r="K2042" s="2">
        <v>43536.013460648152</v>
      </c>
      <c r="L2042" s="2">
        <v>43540.013460648152</v>
      </c>
      <c r="M2042" s="1">
        <f>_xlfn.DAYS(Table1[[#This Row],[actual_delivery_date]],Table1[[#This Row],[dispatch_date]])</f>
        <v>2</v>
      </c>
      <c r="N2042">
        <v>46</v>
      </c>
      <c r="O2042">
        <f>Table1[[#This Row],[transit_storage_cost]] * (1-'What -if Analysis'!$D$26)</f>
        <v>46</v>
      </c>
      <c r="P2042">
        <v>111</v>
      </c>
      <c r="Q2042">
        <v>1814.7621613181568</v>
      </c>
    </row>
    <row r="2043" spans="1:17" x14ac:dyDescent="0.3">
      <c r="A2043">
        <v>542119</v>
      </c>
      <c r="B2043" s="1" t="s">
        <v>37</v>
      </c>
      <c r="C2043" s="1" t="s">
        <v>23</v>
      </c>
      <c r="D2043" s="1" t="s">
        <v>16</v>
      </c>
      <c r="E2043" s="1" t="s">
        <v>27</v>
      </c>
      <c r="F2043" s="1" t="s">
        <v>19</v>
      </c>
      <c r="G2043" s="1" t="s">
        <v>36</v>
      </c>
      <c r="H2043" t="s">
        <v>30</v>
      </c>
      <c r="I2043" s="1" t="s">
        <v>22</v>
      </c>
      <c r="J2043" s="2">
        <v>43530.01866898148</v>
      </c>
      <c r="K2043" s="2">
        <v>43536.01866898148</v>
      </c>
      <c r="L2043" s="2">
        <v>43537.01866898148</v>
      </c>
      <c r="M2043" s="1">
        <f>_xlfn.DAYS(Table1[[#This Row],[actual_delivery_date]],Table1[[#This Row],[dispatch_date]])</f>
        <v>6</v>
      </c>
      <c r="N2043">
        <v>84</v>
      </c>
      <c r="O2043">
        <f>Table1[[#This Row],[transit_storage_cost]] * (1-'What -if Analysis'!$D$26)</f>
        <v>84</v>
      </c>
      <c r="P2043">
        <v>106</v>
      </c>
      <c r="Q2043">
        <v>2160.9730803910979</v>
      </c>
    </row>
    <row r="2044" spans="1:17" x14ac:dyDescent="0.3">
      <c r="A2044">
        <v>146368</v>
      </c>
      <c r="B2044" s="1" t="s">
        <v>37</v>
      </c>
      <c r="C2044" s="1" t="s">
        <v>16</v>
      </c>
      <c r="D2044" s="1" t="s">
        <v>24</v>
      </c>
      <c r="E2044" s="1" t="s">
        <v>25</v>
      </c>
      <c r="F2044" s="1" t="s">
        <v>19</v>
      </c>
      <c r="G2044" s="1" t="s">
        <v>20</v>
      </c>
      <c r="H2044" t="s">
        <v>21</v>
      </c>
      <c r="I2044" s="1" t="s">
        <v>22</v>
      </c>
      <c r="J2044" s="2">
        <v>43526.019363425927</v>
      </c>
      <c r="K2044" s="2">
        <v>43536.019363425927</v>
      </c>
      <c r="L2044" s="2">
        <v>43533.019363425927</v>
      </c>
      <c r="M2044" s="1">
        <f>_xlfn.DAYS(Table1[[#This Row],[actual_delivery_date]],Table1[[#This Row],[dispatch_date]])</f>
        <v>10</v>
      </c>
      <c r="N2044">
        <v>29</v>
      </c>
      <c r="O2044">
        <f>Table1[[#This Row],[transit_storage_cost]] * (1-'What -if Analysis'!$D$26)</f>
        <v>29</v>
      </c>
      <c r="P2044">
        <v>129</v>
      </c>
      <c r="Q2044">
        <v>1089.964642191961</v>
      </c>
    </row>
    <row r="2045" spans="1:17" x14ac:dyDescent="0.3">
      <c r="A2045">
        <v>104809</v>
      </c>
      <c r="B2045" s="1" t="s">
        <v>40</v>
      </c>
      <c r="C2045" s="1" t="s">
        <v>16</v>
      </c>
      <c r="D2045" s="1" t="s">
        <v>32</v>
      </c>
      <c r="E2045" s="1" t="s">
        <v>33</v>
      </c>
      <c r="F2045" s="1" t="s">
        <v>29</v>
      </c>
      <c r="G2045" s="1" t="s">
        <v>20</v>
      </c>
      <c r="H2045" t="s">
        <v>30</v>
      </c>
      <c r="I2045" s="1" t="s">
        <v>22</v>
      </c>
      <c r="J2045" s="2">
        <v>43534.024108796293</v>
      </c>
      <c r="K2045" s="2">
        <v>43536.024108796293</v>
      </c>
      <c r="L2045" s="2">
        <v>43541.024108796293</v>
      </c>
      <c r="M2045" s="1">
        <f>_xlfn.DAYS(Table1[[#This Row],[actual_delivery_date]],Table1[[#This Row],[dispatch_date]])</f>
        <v>2</v>
      </c>
      <c r="N2045">
        <v>49</v>
      </c>
      <c r="O2045">
        <f>Table1[[#This Row],[transit_storage_cost]] * (1-'What -if Analysis'!$D$26)</f>
        <v>49</v>
      </c>
      <c r="P2045">
        <v>106</v>
      </c>
      <c r="Q2045">
        <v>2231</v>
      </c>
    </row>
    <row r="2046" spans="1:17" x14ac:dyDescent="0.3">
      <c r="A2046">
        <v>558440</v>
      </c>
      <c r="B2046" s="1" t="s">
        <v>37</v>
      </c>
      <c r="C2046" s="1" t="s">
        <v>23</v>
      </c>
      <c r="D2046" s="1" t="s">
        <v>24</v>
      </c>
      <c r="E2046" s="1" t="s">
        <v>25</v>
      </c>
      <c r="F2046" s="1" t="s">
        <v>19</v>
      </c>
      <c r="G2046" s="1" t="s">
        <v>20</v>
      </c>
      <c r="H2046" t="s">
        <v>21</v>
      </c>
      <c r="I2046" s="1" t="s">
        <v>22</v>
      </c>
      <c r="J2046" s="2">
        <v>43528.024375000001</v>
      </c>
      <c r="K2046" s="2">
        <v>43536.024375000001</v>
      </c>
      <c r="L2046" s="2">
        <v>43533.024375000001</v>
      </c>
      <c r="M2046" s="1">
        <f>_xlfn.DAYS(Table1[[#This Row],[actual_delivery_date]],Table1[[#This Row],[dispatch_date]])</f>
        <v>8</v>
      </c>
      <c r="N2046">
        <v>73</v>
      </c>
      <c r="O2046">
        <f>Table1[[#This Row],[transit_storage_cost]] * (1-'What -if Analysis'!$D$26)</f>
        <v>73</v>
      </c>
      <c r="P2046">
        <v>107</v>
      </c>
      <c r="Q2046">
        <v>900.28623506039025</v>
      </c>
    </row>
    <row r="2047" spans="1:17" x14ac:dyDescent="0.3">
      <c r="A2047">
        <v>277637</v>
      </c>
      <c r="B2047" s="1" t="s">
        <v>38</v>
      </c>
      <c r="C2047" s="1" t="s">
        <v>16</v>
      </c>
      <c r="D2047" s="1" t="s">
        <v>16</v>
      </c>
      <c r="E2047" s="1" t="s">
        <v>27</v>
      </c>
      <c r="F2047" s="1" t="s">
        <v>29</v>
      </c>
      <c r="G2047" s="1" t="s">
        <v>20</v>
      </c>
      <c r="H2047" t="s">
        <v>30</v>
      </c>
      <c r="I2047" s="1" t="s">
        <v>22</v>
      </c>
      <c r="J2047" s="2">
        <v>43530.026053240741</v>
      </c>
      <c r="K2047" s="2">
        <v>43536.026053240741</v>
      </c>
      <c r="L2047" s="2">
        <v>43536.026053240741</v>
      </c>
      <c r="M2047" s="1">
        <f>_xlfn.DAYS(Table1[[#This Row],[actual_delivery_date]],Table1[[#This Row],[dispatch_date]])</f>
        <v>6</v>
      </c>
      <c r="N2047">
        <v>0</v>
      </c>
      <c r="O2047">
        <f>Table1[[#This Row],[transit_storage_cost]] * (1-'What -if Analysis'!$D$26)</f>
        <v>0</v>
      </c>
      <c r="P2047">
        <v>121</v>
      </c>
      <c r="Q2047">
        <v>2477.3437409476778</v>
      </c>
    </row>
    <row r="2048" spans="1:17" x14ac:dyDescent="0.3">
      <c r="A2048">
        <v>902946</v>
      </c>
      <c r="B2048" s="1" t="s">
        <v>40</v>
      </c>
      <c r="C2048" s="1" t="s">
        <v>23</v>
      </c>
      <c r="D2048" s="1" t="s">
        <v>17</v>
      </c>
      <c r="E2048" s="1" t="s">
        <v>18</v>
      </c>
      <c r="F2048" s="1" t="s">
        <v>31</v>
      </c>
      <c r="G2048" s="1" t="s">
        <v>20</v>
      </c>
      <c r="H2048" t="s">
        <v>21</v>
      </c>
      <c r="I2048" s="1" t="s">
        <v>26</v>
      </c>
      <c r="J2048" s="2">
        <v>43532.029374999998</v>
      </c>
      <c r="K2048" s="2">
        <v>43536.029374999998</v>
      </c>
      <c r="L2048" s="2">
        <v>43537.029374999998</v>
      </c>
      <c r="M2048" s="1">
        <f>_xlfn.DAYS(Table1[[#This Row],[actual_delivery_date]],Table1[[#This Row],[dispatch_date]])</f>
        <v>4</v>
      </c>
      <c r="N2048">
        <v>40</v>
      </c>
      <c r="O2048">
        <f>Table1[[#This Row],[transit_storage_cost]] * (1-'What -if Analysis'!$D$26)</f>
        <v>40</v>
      </c>
      <c r="P2048">
        <v>112</v>
      </c>
      <c r="Q2048">
        <v>2921.5945695483715</v>
      </c>
    </row>
    <row r="2049" spans="1:17" x14ac:dyDescent="0.3">
      <c r="A2049">
        <v>588089</v>
      </c>
      <c r="B2049" s="1" t="s">
        <v>15</v>
      </c>
      <c r="C2049" s="1" t="s">
        <v>23</v>
      </c>
      <c r="D2049" s="1" t="s">
        <v>23</v>
      </c>
      <c r="E2049" s="1" t="s">
        <v>28</v>
      </c>
      <c r="F2049" s="1" t="s">
        <v>29</v>
      </c>
      <c r="G2049" s="1" t="s">
        <v>20</v>
      </c>
      <c r="H2049" t="s">
        <v>30</v>
      </c>
      <c r="I2049" s="1" t="s">
        <v>22</v>
      </c>
      <c r="J2049" s="2">
        <v>43536.030497685184</v>
      </c>
      <c r="K2049" s="2">
        <v>43536.030497685184</v>
      </c>
      <c r="L2049" s="2">
        <v>43540.030497685184</v>
      </c>
      <c r="M2049" s="1">
        <f>_xlfn.DAYS(Table1[[#This Row],[actual_delivery_date]],Table1[[#This Row],[dispatch_date]])</f>
        <v>0</v>
      </c>
      <c r="N2049">
        <v>0</v>
      </c>
      <c r="O2049">
        <f>Table1[[#This Row],[transit_storage_cost]] * (1-'What -if Analysis'!$D$26)</f>
        <v>0</v>
      </c>
      <c r="P2049">
        <v>127</v>
      </c>
      <c r="Q2049">
        <v>1155.891298114537</v>
      </c>
    </row>
    <row r="2050" spans="1:17" x14ac:dyDescent="0.3">
      <c r="A2050">
        <v>438826</v>
      </c>
      <c r="B2050" s="1" t="s">
        <v>38</v>
      </c>
      <c r="C2050" s="1" t="s">
        <v>16</v>
      </c>
      <c r="D2050" s="1" t="s">
        <v>23</v>
      </c>
      <c r="E2050" s="1" t="s">
        <v>28</v>
      </c>
      <c r="F2050" s="1" t="s">
        <v>35</v>
      </c>
      <c r="G2050" s="1" t="s">
        <v>36</v>
      </c>
      <c r="H2050" t="s">
        <v>21</v>
      </c>
      <c r="I2050" s="1" t="s">
        <v>22</v>
      </c>
      <c r="J2050" s="2">
        <v>43534.031493055554</v>
      </c>
      <c r="K2050" s="2">
        <v>43536.031493055554</v>
      </c>
      <c r="L2050" s="2">
        <v>43537.031493055554</v>
      </c>
      <c r="M2050" s="1">
        <f>_xlfn.DAYS(Table1[[#This Row],[actual_delivery_date]],Table1[[#This Row],[dispatch_date]])</f>
        <v>2</v>
      </c>
      <c r="N2050">
        <v>45</v>
      </c>
      <c r="O2050">
        <f>Table1[[#This Row],[transit_storage_cost]] * (1-'What -if Analysis'!$D$26)</f>
        <v>45</v>
      </c>
      <c r="P2050">
        <v>125</v>
      </c>
      <c r="Q2050">
        <v>634</v>
      </c>
    </row>
    <row r="2051" spans="1:17" x14ac:dyDescent="0.3">
      <c r="A2051">
        <v>415262</v>
      </c>
      <c r="B2051" s="1" t="s">
        <v>37</v>
      </c>
      <c r="C2051" s="1" t="s">
        <v>16</v>
      </c>
      <c r="D2051" s="1" t="s">
        <v>17</v>
      </c>
      <c r="E2051" s="1" t="s">
        <v>18</v>
      </c>
      <c r="F2051" s="1" t="s">
        <v>31</v>
      </c>
      <c r="G2051" s="1" t="s">
        <v>20</v>
      </c>
      <c r="H2051" t="s">
        <v>21</v>
      </c>
      <c r="I2051" s="1" t="s">
        <v>22</v>
      </c>
      <c r="J2051" s="2">
        <v>43529.03628472222</v>
      </c>
      <c r="K2051" s="2">
        <v>43536.03628472222</v>
      </c>
      <c r="L2051" s="2">
        <v>43532.03628472222</v>
      </c>
      <c r="M2051" s="1">
        <f>_xlfn.DAYS(Table1[[#This Row],[actual_delivery_date]],Table1[[#This Row],[dispatch_date]])</f>
        <v>7</v>
      </c>
      <c r="N2051">
        <v>36</v>
      </c>
      <c r="O2051">
        <f>Table1[[#This Row],[transit_storage_cost]] * (1-'What -if Analysis'!$D$26)</f>
        <v>36</v>
      </c>
      <c r="P2051">
        <v>115</v>
      </c>
      <c r="Q2051">
        <v>2859.1734468156196</v>
      </c>
    </row>
    <row r="2052" spans="1:17" x14ac:dyDescent="0.3">
      <c r="A2052">
        <v>65086</v>
      </c>
      <c r="B2052" s="1" t="s">
        <v>39</v>
      </c>
      <c r="C2052" s="1" t="s">
        <v>23</v>
      </c>
      <c r="D2052" s="1" t="s">
        <v>23</v>
      </c>
      <c r="E2052" s="1" t="s">
        <v>28</v>
      </c>
      <c r="F2052" s="1" t="s">
        <v>31</v>
      </c>
      <c r="G2052" s="1" t="s">
        <v>20</v>
      </c>
      <c r="H2052" t="s">
        <v>21</v>
      </c>
      <c r="I2052" s="1" t="s">
        <v>22</v>
      </c>
      <c r="J2052" s="2">
        <v>43533.04478009259</v>
      </c>
      <c r="K2052" s="2">
        <v>43536.04478009259</v>
      </c>
      <c r="L2052" s="2">
        <v>43536.04478009259</v>
      </c>
      <c r="M2052" s="1">
        <f>_xlfn.DAYS(Table1[[#This Row],[actual_delivery_date]],Table1[[#This Row],[dispatch_date]])</f>
        <v>3</v>
      </c>
      <c r="N2052">
        <v>0</v>
      </c>
      <c r="O2052">
        <f>Table1[[#This Row],[transit_storage_cost]] * (1-'What -if Analysis'!$D$26)</f>
        <v>0</v>
      </c>
      <c r="P2052">
        <v>122</v>
      </c>
      <c r="Q2052">
        <v>2792</v>
      </c>
    </row>
    <row r="2053" spans="1:17" x14ac:dyDescent="0.3">
      <c r="A2053">
        <v>26807</v>
      </c>
      <c r="B2053" s="1" t="s">
        <v>15</v>
      </c>
      <c r="C2053" s="1" t="s">
        <v>16</v>
      </c>
      <c r="D2053" s="1" t="s">
        <v>17</v>
      </c>
      <c r="E2053" s="1" t="s">
        <v>18</v>
      </c>
      <c r="F2053" s="1" t="s">
        <v>29</v>
      </c>
      <c r="G2053" s="1" t="s">
        <v>20</v>
      </c>
      <c r="H2053" t="s">
        <v>30</v>
      </c>
      <c r="I2053" s="1" t="s">
        <v>22</v>
      </c>
      <c r="J2053" s="2">
        <v>43533.046273148146</v>
      </c>
      <c r="K2053" s="2">
        <v>43536.046273148146</v>
      </c>
      <c r="L2053" s="2">
        <v>43540.046273148146</v>
      </c>
      <c r="M2053" s="1">
        <f>_xlfn.DAYS(Table1[[#This Row],[actual_delivery_date]],Table1[[#This Row],[dispatch_date]])</f>
        <v>3</v>
      </c>
      <c r="N2053">
        <v>28</v>
      </c>
      <c r="O2053">
        <f>Table1[[#This Row],[transit_storage_cost]] * (1-'What -if Analysis'!$D$26)</f>
        <v>28</v>
      </c>
      <c r="P2053">
        <v>111</v>
      </c>
      <c r="Q2053">
        <v>1164.9944622407047</v>
      </c>
    </row>
    <row r="2054" spans="1:17" x14ac:dyDescent="0.3">
      <c r="A2054">
        <v>843368</v>
      </c>
      <c r="B2054" s="1" t="s">
        <v>39</v>
      </c>
      <c r="C2054" s="1" t="s">
        <v>16</v>
      </c>
      <c r="D2054" s="1" t="s">
        <v>16</v>
      </c>
      <c r="E2054" s="1" t="s">
        <v>27</v>
      </c>
      <c r="F2054" s="1" t="s">
        <v>19</v>
      </c>
      <c r="G2054" s="1" t="s">
        <v>20</v>
      </c>
      <c r="H2054" t="s">
        <v>21</v>
      </c>
      <c r="I2054" s="1" t="s">
        <v>22</v>
      </c>
      <c r="J2054" s="2">
        <v>43536.050393518519</v>
      </c>
      <c r="K2054" s="2">
        <v>43536.050393518519</v>
      </c>
      <c r="L2054" s="2">
        <v>43541.050393518519</v>
      </c>
      <c r="M2054" s="1">
        <f>_xlfn.DAYS(Table1[[#This Row],[actual_delivery_date]],Table1[[#This Row],[dispatch_date]])</f>
        <v>0</v>
      </c>
      <c r="N2054">
        <v>0</v>
      </c>
      <c r="O2054">
        <f>Table1[[#This Row],[transit_storage_cost]] * (1-'What -if Analysis'!$D$26)</f>
        <v>0</v>
      </c>
      <c r="P2054">
        <v>130</v>
      </c>
      <c r="Q2054">
        <v>3305.2820854059719</v>
      </c>
    </row>
    <row r="2055" spans="1:17" x14ac:dyDescent="0.3">
      <c r="A2055">
        <v>309074</v>
      </c>
      <c r="B2055" s="1" t="s">
        <v>38</v>
      </c>
      <c r="C2055" s="1" t="s">
        <v>16</v>
      </c>
      <c r="D2055" s="1" t="s">
        <v>32</v>
      </c>
      <c r="E2055" s="1" t="s">
        <v>33</v>
      </c>
      <c r="F2055" s="1" t="s">
        <v>31</v>
      </c>
      <c r="G2055" s="1" t="s">
        <v>20</v>
      </c>
      <c r="H2055" t="s">
        <v>21</v>
      </c>
      <c r="I2055" s="1" t="s">
        <v>22</v>
      </c>
      <c r="J2055" s="2">
        <v>43531.05269675926</v>
      </c>
      <c r="K2055" s="2">
        <v>43536.05269675926</v>
      </c>
      <c r="L2055" s="2">
        <v>43536.05269675926</v>
      </c>
      <c r="M2055" s="1">
        <f>_xlfn.DAYS(Table1[[#This Row],[actual_delivery_date]],Table1[[#This Row],[dispatch_date]])</f>
        <v>5</v>
      </c>
      <c r="N2055">
        <v>32</v>
      </c>
      <c r="O2055">
        <f>Table1[[#This Row],[transit_storage_cost]] * (1-'What -if Analysis'!$D$26)</f>
        <v>32</v>
      </c>
      <c r="P2055">
        <v>111</v>
      </c>
      <c r="Q2055">
        <v>1174.3675560565484</v>
      </c>
    </row>
    <row r="2056" spans="1:17" x14ac:dyDescent="0.3">
      <c r="A2056">
        <v>843607</v>
      </c>
      <c r="B2056" s="1" t="s">
        <v>38</v>
      </c>
      <c r="C2056" s="1" t="s">
        <v>23</v>
      </c>
      <c r="D2056" s="1" t="s">
        <v>17</v>
      </c>
      <c r="E2056" s="1" t="s">
        <v>18</v>
      </c>
      <c r="F2056" s="1" t="s">
        <v>29</v>
      </c>
      <c r="G2056" s="1" t="s">
        <v>20</v>
      </c>
      <c r="H2056" t="s">
        <v>30</v>
      </c>
      <c r="I2056" s="1" t="s">
        <v>22</v>
      </c>
      <c r="J2056" s="2">
        <v>43529.052939814814</v>
      </c>
      <c r="K2056" s="2">
        <v>43536.052939814814</v>
      </c>
      <c r="L2056" s="2">
        <v>43536.052939814814</v>
      </c>
      <c r="M2056" s="1">
        <f>_xlfn.DAYS(Table1[[#This Row],[actual_delivery_date]],Table1[[#This Row],[dispatch_date]])</f>
        <v>7</v>
      </c>
      <c r="N2056">
        <v>27</v>
      </c>
      <c r="O2056">
        <f>Table1[[#This Row],[transit_storage_cost]] * (1-'What -if Analysis'!$D$26)</f>
        <v>27</v>
      </c>
      <c r="P2056">
        <v>106</v>
      </c>
      <c r="Q2056">
        <v>2034.2609788369091</v>
      </c>
    </row>
    <row r="2057" spans="1:17" x14ac:dyDescent="0.3">
      <c r="A2057">
        <v>775117</v>
      </c>
      <c r="B2057" s="1" t="s">
        <v>38</v>
      </c>
      <c r="C2057" s="1" t="s">
        <v>16</v>
      </c>
      <c r="D2057" s="1" t="s">
        <v>16</v>
      </c>
      <c r="E2057" s="1" t="s">
        <v>27</v>
      </c>
      <c r="F2057" s="1" t="s">
        <v>19</v>
      </c>
      <c r="G2057" s="1" t="s">
        <v>20</v>
      </c>
      <c r="H2057" t="s">
        <v>34</v>
      </c>
      <c r="I2057" s="1" t="s">
        <v>22</v>
      </c>
      <c r="J2057" s="2">
        <v>43534.05741898148</v>
      </c>
      <c r="K2057" s="2">
        <v>43536.05741898148</v>
      </c>
      <c r="L2057" s="2">
        <v>43537.05741898148</v>
      </c>
      <c r="M2057" s="1">
        <f>_xlfn.DAYS(Table1[[#This Row],[actual_delivery_date]],Table1[[#This Row],[dispatch_date]])</f>
        <v>2</v>
      </c>
      <c r="N2057">
        <v>0</v>
      </c>
      <c r="O2057">
        <f>Table1[[#This Row],[transit_storage_cost]] * (1-'What -if Analysis'!$D$26)</f>
        <v>0</v>
      </c>
      <c r="P2057">
        <v>104</v>
      </c>
      <c r="Q2057">
        <v>1100.4247005590553</v>
      </c>
    </row>
    <row r="2058" spans="1:17" x14ac:dyDescent="0.3">
      <c r="A2058">
        <v>213166</v>
      </c>
      <c r="B2058" s="1" t="s">
        <v>41</v>
      </c>
      <c r="C2058" s="1" t="s">
        <v>16</v>
      </c>
      <c r="D2058" s="1" t="s">
        <v>16</v>
      </c>
      <c r="E2058" s="1" t="s">
        <v>27</v>
      </c>
      <c r="F2058" s="1" t="s">
        <v>19</v>
      </c>
      <c r="G2058" s="1" t="s">
        <v>20</v>
      </c>
      <c r="H2058" t="s">
        <v>21</v>
      </c>
      <c r="I2058" s="1" t="s">
        <v>22</v>
      </c>
      <c r="J2058" s="2">
        <v>43534.057997685188</v>
      </c>
      <c r="K2058" s="2">
        <v>43536.057997685188</v>
      </c>
      <c r="L2058" s="2">
        <v>43539.057997685188</v>
      </c>
      <c r="M2058" s="1">
        <f>_xlfn.DAYS(Table1[[#This Row],[actual_delivery_date]],Table1[[#This Row],[dispatch_date]])</f>
        <v>2</v>
      </c>
      <c r="N2058">
        <v>0</v>
      </c>
      <c r="O2058">
        <f>Table1[[#This Row],[transit_storage_cost]] * (1-'What -if Analysis'!$D$26)</f>
        <v>0</v>
      </c>
      <c r="P2058">
        <v>103</v>
      </c>
      <c r="Q2058">
        <v>831.40003997546398</v>
      </c>
    </row>
    <row r="2059" spans="1:17" x14ac:dyDescent="0.3">
      <c r="A2059">
        <v>736333</v>
      </c>
      <c r="B2059" s="1" t="s">
        <v>39</v>
      </c>
      <c r="C2059" s="1" t="s">
        <v>16</v>
      </c>
      <c r="D2059" s="1" t="s">
        <v>23</v>
      </c>
      <c r="E2059" s="1" t="s">
        <v>28</v>
      </c>
      <c r="F2059" s="1" t="s">
        <v>19</v>
      </c>
      <c r="G2059" s="1" t="s">
        <v>20</v>
      </c>
      <c r="H2059" t="s">
        <v>30</v>
      </c>
      <c r="I2059" s="1" t="s">
        <v>22</v>
      </c>
      <c r="J2059" s="2">
        <v>43533.06077546296</v>
      </c>
      <c r="K2059" s="2">
        <v>43536.06077546296</v>
      </c>
      <c r="L2059" s="2">
        <v>43537.06077546296</v>
      </c>
      <c r="M2059" s="1">
        <f>_xlfn.DAYS(Table1[[#This Row],[actual_delivery_date]],Table1[[#This Row],[dispatch_date]])</f>
        <v>3</v>
      </c>
      <c r="N2059">
        <v>70</v>
      </c>
      <c r="O2059">
        <f>Table1[[#This Row],[transit_storage_cost]] * (1-'What -if Analysis'!$D$26)</f>
        <v>70</v>
      </c>
      <c r="P2059">
        <v>103</v>
      </c>
      <c r="Q2059">
        <v>1532</v>
      </c>
    </row>
    <row r="2060" spans="1:17" x14ac:dyDescent="0.3">
      <c r="A2060">
        <v>381738</v>
      </c>
      <c r="B2060" s="1" t="s">
        <v>41</v>
      </c>
      <c r="C2060" s="1" t="s">
        <v>16</v>
      </c>
      <c r="D2060" s="1" t="s">
        <v>24</v>
      </c>
      <c r="E2060" s="1" t="s">
        <v>25</v>
      </c>
      <c r="F2060" s="1" t="s">
        <v>31</v>
      </c>
      <c r="G2060" s="1" t="s">
        <v>20</v>
      </c>
      <c r="H2060" t="s">
        <v>21</v>
      </c>
      <c r="I2060" s="1" t="s">
        <v>26</v>
      </c>
      <c r="J2060" s="2">
        <v>43530.06181712963</v>
      </c>
      <c r="K2060" s="2">
        <v>43536.06181712963</v>
      </c>
      <c r="L2060" s="2">
        <v>43535.06181712963</v>
      </c>
      <c r="M2060" s="1">
        <f>_xlfn.DAYS(Table1[[#This Row],[actual_delivery_date]],Table1[[#This Row],[dispatch_date]])</f>
        <v>6</v>
      </c>
      <c r="N2060">
        <v>38</v>
      </c>
      <c r="O2060">
        <f>Table1[[#This Row],[transit_storage_cost]] * (1-'What -if Analysis'!$D$26)</f>
        <v>38</v>
      </c>
      <c r="P2060">
        <v>128</v>
      </c>
      <c r="Q2060">
        <v>209.58</v>
      </c>
    </row>
    <row r="2061" spans="1:17" x14ac:dyDescent="0.3">
      <c r="A2061">
        <v>44314</v>
      </c>
      <c r="B2061" s="1" t="s">
        <v>41</v>
      </c>
      <c r="C2061" s="1" t="s">
        <v>16</v>
      </c>
      <c r="D2061" s="1" t="s">
        <v>16</v>
      </c>
      <c r="E2061" s="1" t="s">
        <v>27</v>
      </c>
      <c r="F2061" s="1" t="s">
        <v>31</v>
      </c>
      <c r="G2061" s="1" t="s">
        <v>20</v>
      </c>
      <c r="H2061" t="s">
        <v>21</v>
      </c>
      <c r="I2061" s="1" t="s">
        <v>22</v>
      </c>
      <c r="J2061" s="2">
        <v>43531.062534722223</v>
      </c>
      <c r="K2061" s="2">
        <v>43536.062534722223</v>
      </c>
      <c r="L2061" s="2">
        <v>43536.062534722223</v>
      </c>
      <c r="M2061" s="1">
        <f>_xlfn.DAYS(Table1[[#This Row],[actual_delivery_date]],Table1[[#This Row],[dispatch_date]])</f>
        <v>5</v>
      </c>
      <c r="N2061">
        <v>0</v>
      </c>
      <c r="O2061">
        <f>Table1[[#This Row],[transit_storage_cost]] * (1-'What -if Analysis'!$D$26)</f>
        <v>0</v>
      </c>
      <c r="P2061">
        <v>120</v>
      </c>
      <c r="Q2061">
        <v>368</v>
      </c>
    </row>
    <row r="2062" spans="1:17" x14ac:dyDescent="0.3">
      <c r="A2062">
        <v>307015</v>
      </c>
      <c r="B2062" s="1" t="s">
        <v>37</v>
      </c>
      <c r="C2062" s="1" t="s">
        <v>23</v>
      </c>
      <c r="D2062" s="1" t="s">
        <v>17</v>
      </c>
      <c r="E2062" s="1" t="s">
        <v>18</v>
      </c>
      <c r="F2062" s="1" t="s">
        <v>19</v>
      </c>
      <c r="G2062" s="1" t="s">
        <v>20</v>
      </c>
      <c r="H2062" t="s">
        <v>30</v>
      </c>
      <c r="I2062" s="1" t="s">
        <v>22</v>
      </c>
      <c r="J2062" s="2">
        <v>43534.067870370367</v>
      </c>
      <c r="K2062" s="2">
        <v>43536.067870370367</v>
      </c>
      <c r="L2062" s="2">
        <v>43541.067870370367</v>
      </c>
      <c r="M2062" s="1">
        <f>_xlfn.DAYS(Table1[[#This Row],[actual_delivery_date]],Table1[[#This Row],[dispatch_date]])</f>
        <v>2</v>
      </c>
      <c r="N2062">
        <v>78</v>
      </c>
      <c r="O2062">
        <f>Table1[[#This Row],[transit_storage_cost]] * (1-'What -if Analysis'!$D$26)</f>
        <v>78</v>
      </c>
      <c r="P2062">
        <v>85</v>
      </c>
      <c r="Q2062">
        <v>2024.7111885958973</v>
      </c>
    </row>
    <row r="2063" spans="1:17" x14ac:dyDescent="0.3">
      <c r="A2063">
        <v>698614</v>
      </c>
      <c r="B2063" s="1" t="s">
        <v>38</v>
      </c>
      <c r="C2063" s="1" t="s">
        <v>23</v>
      </c>
      <c r="D2063" s="1" t="s">
        <v>23</v>
      </c>
      <c r="E2063" s="1" t="s">
        <v>28</v>
      </c>
      <c r="F2063" s="1" t="s">
        <v>31</v>
      </c>
      <c r="G2063" s="1" t="s">
        <v>20</v>
      </c>
      <c r="H2063" t="s">
        <v>21</v>
      </c>
      <c r="I2063" s="1" t="s">
        <v>22</v>
      </c>
      <c r="J2063" s="2">
        <v>43535.070381944446</v>
      </c>
      <c r="K2063" s="2">
        <v>43536.070381944446</v>
      </c>
      <c r="L2063" s="2">
        <v>43539.070381944446</v>
      </c>
      <c r="M2063" s="1">
        <f>_xlfn.DAYS(Table1[[#This Row],[actual_delivery_date]],Table1[[#This Row],[dispatch_date]])</f>
        <v>1</v>
      </c>
      <c r="N2063">
        <v>0</v>
      </c>
      <c r="O2063">
        <f>Table1[[#This Row],[transit_storage_cost]] * (1-'What -if Analysis'!$D$26)</f>
        <v>0</v>
      </c>
      <c r="P2063">
        <v>121</v>
      </c>
      <c r="Q2063">
        <v>437.29011332487318</v>
      </c>
    </row>
    <row r="2064" spans="1:17" x14ac:dyDescent="0.3">
      <c r="A2064">
        <v>209507</v>
      </c>
      <c r="B2064" s="1" t="s">
        <v>39</v>
      </c>
      <c r="C2064" s="1" t="s">
        <v>16</v>
      </c>
      <c r="D2064" s="1" t="s">
        <v>16</v>
      </c>
      <c r="E2064" s="1" t="s">
        <v>27</v>
      </c>
      <c r="F2064" s="1" t="s">
        <v>29</v>
      </c>
      <c r="G2064" s="1" t="s">
        <v>20</v>
      </c>
      <c r="H2064" t="s">
        <v>30</v>
      </c>
      <c r="I2064" s="1" t="s">
        <v>22</v>
      </c>
      <c r="J2064" s="2">
        <v>43533.075833333336</v>
      </c>
      <c r="K2064" s="2">
        <v>43536.075833333336</v>
      </c>
      <c r="L2064" s="2">
        <v>43539.075833333336</v>
      </c>
      <c r="M2064" s="1">
        <f>_xlfn.DAYS(Table1[[#This Row],[actual_delivery_date]],Table1[[#This Row],[dispatch_date]])</f>
        <v>3</v>
      </c>
      <c r="N2064">
        <v>0</v>
      </c>
      <c r="O2064">
        <f>Table1[[#This Row],[transit_storage_cost]] * (1-'What -if Analysis'!$D$26)</f>
        <v>0</v>
      </c>
      <c r="P2064">
        <v>129</v>
      </c>
      <c r="Q2064">
        <v>1604.5346033115411</v>
      </c>
    </row>
    <row r="2065" spans="1:17" x14ac:dyDescent="0.3">
      <c r="A2065">
        <v>888203</v>
      </c>
      <c r="B2065" s="1" t="s">
        <v>39</v>
      </c>
      <c r="C2065" s="1" t="s">
        <v>16</v>
      </c>
      <c r="D2065" s="1" t="s">
        <v>32</v>
      </c>
      <c r="E2065" s="1" t="s">
        <v>33</v>
      </c>
      <c r="F2065" s="1" t="s">
        <v>29</v>
      </c>
      <c r="G2065" s="1" t="s">
        <v>20</v>
      </c>
      <c r="H2065" t="s">
        <v>30</v>
      </c>
      <c r="I2065" s="1" t="s">
        <v>22</v>
      </c>
      <c r="J2065" s="2">
        <v>43529.078125</v>
      </c>
      <c r="K2065" s="2">
        <v>43536.078125</v>
      </c>
      <c r="L2065" s="2">
        <v>43532.078125</v>
      </c>
      <c r="M2065" s="1">
        <f>_xlfn.DAYS(Table1[[#This Row],[actual_delivery_date]],Table1[[#This Row],[dispatch_date]])</f>
        <v>7</v>
      </c>
      <c r="N2065">
        <v>38</v>
      </c>
      <c r="O2065">
        <f>Table1[[#This Row],[transit_storage_cost]] * (1-'What -if Analysis'!$D$26)</f>
        <v>38</v>
      </c>
      <c r="P2065">
        <v>109</v>
      </c>
      <c r="Q2065">
        <v>3669.2802833860378</v>
      </c>
    </row>
    <row r="2066" spans="1:17" x14ac:dyDescent="0.3">
      <c r="A2066">
        <v>215711</v>
      </c>
      <c r="B2066" s="1" t="s">
        <v>38</v>
      </c>
      <c r="C2066" s="1" t="s">
        <v>16</v>
      </c>
      <c r="D2066" s="1" t="s">
        <v>23</v>
      </c>
      <c r="E2066" s="1" t="s">
        <v>28</v>
      </c>
      <c r="F2066" s="1" t="s">
        <v>19</v>
      </c>
      <c r="G2066" s="1" t="s">
        <v>20</v>
      </c>
      <c r="H2066" t="s">
        <v>30</v>
      </c>
      <c r="I2066" s="1" t="s">
        <v>22</v>
      </c>
      <c r="J2066" s="2">
        <v>43534.078819444447</v>
      </c>
      <c r="K2066" s="2">
        <v>43536.078819444447</v>
      </c>
      <c r="L2066" s="2">
        <v>43539.078819444447</v>
      </c>
      <c r="M2066" s="1">
        <f>_xlfn.DAYS(Table1[[#This Row],[actual_delivery_date]],Table1[[#This Row],[dispatch_date]])</f>
        <v>2</v>
      </c>
      <c r="N2066">
        <v>71</v>
      </c>
      <c r="O2066">
        <f>Table1[[#This Row],[transit_storage_cost]] * (1-'What -if Analysis'!$D$26)</f>
        <v>71</v>
      </c>
      <c r="P2066">
        <v>102</v>
      </c>
      <c r="Q2066">
        <v>3716.6286565855353</v>
      </c>
    </row>
    <row r="2067" spans="1:17" x14ac:dyDescent="0.3">
      <c r="A2067">
        <v>962682</v>
      </c>
      <c r="B2067" s="1" t="s">
        <v>37</v>
      </c>
      <c r="C2067" s="1" t="s">
        <v>16</v>
      </c>
      <c r="D2067" s="1" t="s">
        <v>23</v>
      </c>
      <c r="E2067" s="1" t="s">
        <v>28</v>
      </c>
      <c r="F2067" s="1" t="s">
        <v>31</v>
      </c>
      <c r="G2067" s="1" t="s">
        <v>20</v>
      </c>
      <c r="H2067" t="s">
        <v>21</v>
      </c>
      <c r="I2067" s="1" t="s">
        <v>26</v>
      </c>
      <c r="J2067" s="2">
        <v>43526.080034722225</v>
      </c>
      <c r="K2067" s="2">
        <v>43536.080034722225</v>
      </c>
      <c r="L2067" s="2">
        <v>43530.080034722225</v>
      </c>
      <c r="M2067" s="1">
        <f>_xlfn.DAYS(Table1[[#This Row],[actual_delivery_date]],Table1[[#This Row],[dispatch_date]])</f>
        <v>10</v>
      </c>
      <c r="N2067">
        <v>49</v>
      </c>
      <c r="O2067">
        <f>Table1[[#This Row],[transit_storage_cost]] * (1-'What -if Analysis'!$D$26)</f>
        <v>49</v>
      </c>
      <c r="P2067">
        <v>129</v>
      </c>
      <c r="Q2067">
        <v>3161.15</v>
      </c>
    </row>
    <row r="2068" spans="1:17" x14ac:dyDescent="0.3">
      <c r="A2068">
        <v>313163</v>
      </c>
      <c r="B2068" s="1" t="s">
        <v>38</v>
      </c>
      <c r="C2068" s="1" t="s">
        <v>23</v>
      </c>
      <c r="D2068" s="1" t="s">
        <v>23</v>
      </c>
      <c r="E2068" s="1" t="s">
        <v>28</v>
      </c>
      <c r="F2068" s="1" t="s">
        <v>29</v>
      </c>
      <c r="G2068" s="1" t="s">
        <v>20</v>
      </c>
      <c r="H2068" t="s">
        <v>30</v>
      </c>
      <c r="I2068" s="1" t="s">
        <v>22</v>
      </c>
      <c r="J2068" s="2">
        <v>43535.084664351853</v>
      </c>
      <c r="K2068" s="2">
        <v>43536.084664351853</v>
      </c>
      <c r="L2068" s="2">
        <v>43539.084664351853</v>
      </c>
      <c r="M2068" s="1">
        <f>_xlfn.DAYS(Table1[[#This Row],[actual_delivery_date]],Table1[[#This Row],[dispatch_date]])</f>
        <v>1</v>
      </c>
      <c r="N2068">
        <v>0</v>
      </c>
      <c r="O2068">
        <f>Table1[[#This Row],[transit_storage_cost]] * (1-'What -if Analysis'!$D$26)</f>
        <v>0</v>
      </c>
      <c r="P2068">
        <v>121</v>
      </c>
      <c r="Q2068">
        <v>1498.7359930323832</v>
      </c>
    </row>
    <row r="2069" spans="1:17" x14ac:dyDescent="0.3">
      <c r="A2069">
        <v>906813</v>
      </c>
      <c r="B2069" s="1" t="s">
        <v>38</v>
      </c>
      <c r="C2069" s="1" t="s">
        <v>23</v>
      </c>
      <c r="D2069" s="1" t="s">
        <v>17</v>
      </c>
      <c r="E2069" s="1" t="s">
        <v>18</v>
      </c>
      <c r="F2069" s="1" t="s">
        <v>19</v>
      </c>
      <c r="G2069" s="1" t="s">
        <v>20</v>
      </c>
      <c r="H2069" t="s">
        <v>30</v>
      </c>
      <c r="I2069" s="1" t="s">
        <v>26</v>
      </c>
      <c r="J2069" s="2">
        <v>43534.088113425925</v>
      </c>
      <c r="K2069" s="2">
        <v>43536.088113425925</v>
      </c>
      <c r="L2069" s="2">
        <v>43541.088113425925</v>
      </c>
      <c r="M2069" s="1">
        <f>_xlfn.DAYS(Table1[[#This Row],[actual_delivery_date]],Table1[[#This Row],[dispatch_date]])</f>
        <v>2</v>
      </c>
      <c r="N2069">
        <v>85</v>
      </c>
      <c r="O2069">
        <f>Table1[[#This Row],[transit_storage_cost]] * (1-'What -if Analysis'!$D$26)</f>
        <v>85</v>
      </c>
      <c r="P2069">
        <v>86</v>
      </c>
      <c r="Q2069">
        <v>1417.344739423522</v>
      </c>
    </row>
    <row r="2070" spans="1:17" x14ac:dyDescent="0.3">
      <c r="A2070">
        <v>795106</v>
      </c>
      <c r="B2070" s="1" t="s">
        <v>41</v>
      </c>
      <c r="C2070" s="1" t="s">
        <v>16</v>
      </c>
      <c r="D2070" s="1" t="s">
        <v>24</v>
      </c>
      <c r="E2070" s="1" t="s">
        <v>25</v>
      </c>
      <c r="F2070" s="1" t="s">
        <v>31</v>
      </c>
      <c r="G2070" s="1" t="s">
        <v>20</v>
      </c>
      <c r="H2070" t="s">
        <v>21</v>
      </c>
      <c r="I2070" s="1" t="s">
        <v>22</v>
      </c>
      <c r="J2070" s="2">
        <v>43530.097361111111</v>
      </c>
      <c r="K2070" s="2">
        <v>43536.097361111111</v>
      </c>
      <c r="L2070" s="2">
        <v>43536.097361111111</v>
      </c>
      <c r="M2070" s="1">
        <f>_xlfn.DAYS(Table1[[#This Row],[actual_delivery_date]],Table1[[#This Row],[dispatch_date]])</f>
        <v>6</v>
      </c>
      <c r="N2070">
        <v>35</v>
      </c>
      <c r="O2070">
        <f>Table1[[#This Row],[transit_storage_cost]] * (1-'What -if Analysis'!$D$26)</f>
        <v>35</v>
      </c>
      <c r="P2070">
        <v>129</v>
      </c>
      <c r="Q2070">
        <v>607.64674060238724</v>
      </c>
    </row>
    <row r="2071" spans="1:17" x14ac:dyDescent="0.3">
      <c r="A2071">
        <v>470126</v>
      </c>
      <c r="B2071" s="1" t="s">
        <v>37</v>
      </c>
      <c r="C2071" s="1" t="s">
        <v>16</v>
      </c>
      <c r="D2071" s="1" t="s">
        <v>16</v>
      </c>
      <c r="E2071" s="1" t="s">
        <v>27</v>
      </c>
      <c r="F2071" s="1" t="s">
        <v>31</v>
      </c>
      <c r="G2071" s="1" t="s">
        <v>20</v>
      </c>
      <c r="H2071" t="s">
        <v>21</v>
      </c>
      <c r="I2071" s="1" t="s">
        <v>22</v>
      </c>
      <c r="J2071" s="2">
        <v>43534.100810185184</v>
      </c>
      <c r="K2071" s="2">
        <v>43536.100810185184</v>
      </c>
      <c r="L2071" s="2">
        <v>43540.100810185184</v>
      </c>
      <c r="M2071" s="1">
        <f>_xlfn.DAYS(Table1[[#This Row],[actual_delivery_date]],Table1[[#This Row],[dispatch_date]])</f>
        <v>2</v>
      </c>
      <c r="N2071">
        <v>0</v>
      </c>
      <c r="O2071">
        <f>Table1[[#This Row],[transit_storage_cost]] * (1-'What -if Analysis'!$D$26)</f>
        <v>0</v>
      </c>
      <c r="P2071">
        <v>127</v>
      </c>
      <c r="Q2071">
        <v>943</v>
      </c>
    </row>
    <row r="2072" spans="1:17" x14ac:dyDescent="0.3">
      <c r="A2072">
        <v>907502</v>
      </c>
      <c r="B2072" s="1" t="s">
        <v>41</v>
      </c>
      <c r="C2072" s="1" t="s">
        <v>16</v>
      </c>
      <c r="D2072" s="1" t="s">
        <v>16</v>
      </c>
      <c r="E2072" s="1" t="s">
        <v>27</v>
      </c>
      <c r="F2072" s="1" t="s">
        <v>19</v>
      </c>
      <c r="G2072" s="1" t="s">
        <v>20</v>
      </c>
      <c r="H2072" t="s">
        <v>21</v>
      </c>
      <c r="I2072" s="1" t="s">
        <v>22</v>
      </c>
      <c r="J2072" s="2">
        <v>43532.102025462962</v>
      </c>
      <c r="K2072" s="2">
        <v>43536.102025462962</v>
      </c>
      <c r="L2072" s="2">
        <v>43538.102025462962</v>
      </c>
      <c r="M2072" s="1">
        <f>_xlfn.DAYS(Table1[[#This Row],[actual_delivery_date]],Table1[[#This Row],[dispatch_date]])</f>
        <v>4</v>
      </c>
      <c r="N2072">
        <v>0</v>
      </c>
      <c r="O2072">
        <f>Table1[[#This Row],[transit_storage_cost]] * (1-'What -if Analysis'!$D$26)</f>
        <v>0</v>
      </c>
      <c r="P2072">
        <v>108</v>
      </c>
      <c r="Q2072">
        <v>2865.719811492093</v>
      </c>
    </row>
    <row r="2073" spans="1:17" x14ac:dyDescent="0.3">
      <c r="A2073">
        <v>766105</v>
      </c>
      <c r="B2073" s="1" t="s">
        <v>40</v>
      </c>
      <c r="C2073" s="1" t="s">
        <v>23</v>
      </c>
      <c r="D2073" s="1" t="s">
        <v>32</v>
      </c>
      <c r="E2073" s="1" t="s">
        <v>33</v>
      </c>
      <c r="F2073" s="1" t="s">
        <v>29</v>
      </c>
      <c r="G2073" s="1" t="s">
        <v>20</v>
      </c>
      <c r="H2073" t="s">
        <v>30</v>
      </c>
      <c r="I2073" s="1" t="s">
        <v>22</v>
      </c>
      <c r="J2073" s="2">
        <v>43534.107407407406</v>
      </c>
      <c r="K2073" s="2">
        <v>43536.107407407406</v>
      </c>
      <c r="L2073" s="2">
        <v>43538.107407407406</v>
      </c>
      <c r="M2073" s="1">
        <f>_xlfn.DAYS(Table1[[#This Row],[actual_delivery_date]],Table1[[#This Row],[dispatch_date]])</f>
        <v>2</v>
      </c>
      <c r="N2073">
        <v>29</v>
      </c>
      <c r="O2073">
        <f>Table1[[#This Row],[transit_storage_cost]] * (1-'What -if Analysis'!$D$26)</f>
        <v>29</v>
      </c>
      <c r="P2073">
        <v>108</v>
      </c>
      <c r="Q2073">
        <v>2480.4893515017793</v>
      </c>
    </row>
    <row r="2074" spans="1:17" x14ac:dyDescent="0.3">
      <c r="A2074">
        <v>914027</v>
      </c>
      <c r="B2074" s="1" t="s">
        <v>15</v>
      </c>
      <c r="C2074" s="1" t="s">
        <v>23</v>
      </c>
      <c r="D2074" s="1" t="s">
        <v>23</v>
      </c>
      <c r="E2074" s="1" t="s">
        <v>28</v>
      </c>
      <c r="F2074" s="1" t="s">
        <v>29</v>
      </c>
      <c r="G2074" s="1" t="s">
        <v>20</v>
      </c>
      <c r="H2074" t="s">
        <v>30</v>
      </c>
      <c r="I2074" s="1" t="s">
        <v>22</v>
      </c>
      <c r="J2074" s="2">
        <v>43535.10833333333</v>
      </c>
      <c r="K2074" s="2">
        <v>43536.10833333333</v>
      </c>
      <c r="L2074" s="2">
        <v>43541.10833333333</v>
      </c>
      <c r="M2074" s="1">
        <f>_xlfn.DAYS(Table1[[#This Row],[actual_delivery_date]],Table1[[#This Row],[dispatch_date]])</f>
        <v>1</v>
      </c>
      <c r="N2074">
        <v>0</v>
      </c>
      <c r="O2074">
        <f>Table1[[#This Row],[transit_storage_cost]] * (1-'What -if Analysis'!$D$26)</f>
        <v>0</v>
      </c>
      <c r="P2074">
        <v>122</v>
      </c>
      <c r="Q2074">
        <v>1362.3773836364237</v>
      </c>
    </row>
    <row r="2075" spans="1:17" x14ac:dyDescent="0.3">
      <c r="A2075">
        <v>101321</v>
      </c>
      <c r="B2075" s="1" t="s">
        <v>38</v>
      </c>
      <c r="C2075" s="1" t="s">
        <v>16</v>
      </c>
      <c r="D2075" s="1" t="s">
        <v>23</v>
      </c>
      <c r="E2075" s="1" t="s">
        <v>28</v>
      </c>
      <c r="F2075" s="1" t="s">
        <v>29</v>
      </c>
      <c r="G2075" s="1" t="s">
        <v>20</v>
      </c>
      <c r="H2075" t="s">
        <v>30</v>
      </c>
      <c r="I2075" s="1" t="s">
        <v>22</v>
      </c>
      <c r="J2075" s="2">
        <v>43527.108368055553</v>
      </c>
      <c r="K2075" s="2">
        <v>43536.108368055553</v>
      </c>
      <c r="L2075" s="2">
        <v>43530.108368055553</v>
      </c>
      <c r="M2075" s="1">
        <f>_xlfn.DAYS(Table1[[#This Row],[actual_delivery_date]],Table1[[#This Row],[dispatch_date]])</f>
        <v>9</v>
      </c>
      <c r="N2075">
        <v>36</v>
      </c>
      <c r="O2075">
        <f>Table1[[#This Row],[transit_storage_cost]] * (1-'What -if Analysis'!$D$26)</f>
        <v>36</v>
      </c>
      <c r="P2075">
        <v>125</v>
      </c>
      <c r="Q2075">
        <v>2283.5556896981711</v>
      </c>
    </row>
    <row r="2076" spans="1:17" x14ac:dyDescent="0.3">
      <c r="A2076">
        <v>66742</v>
      </c>
      <c r="B2076" s="1" t="s">
        <v>39</v>
      </c>
      <c r="C2076" s="1" t="s">
        <v>16</v>
      </c>
      <c r="D2076" s="1" t="s">
        <v>17</v>
      </c>
      <c r="E2076" s="1" t="s">
        <v>18</v>
      </c>
      <c r="F2076" s="1" t="s">
        <v>31</v>
      </c>
      <c r="G2076" s="1" t="s">
        <v>20</v>
      </c>
      <c r="H2076" t="s">
        <v>21</v>
      </c>
      <c r="I2076" s="1" t="s">
        <v>22</v>
      </c>
      <c r="J2076" s="2">
        <v>43529.110856481479</v>
      </c>
      <c r="K2076" s="2">
        <v>43536.110856481479</v>
      </c>
      <c r="L2076" s="2">
        <v>43533.110856481479</v>
      </c>
      <c r="M2076" s="1">
        <f>_xlfn.DAYS(Table1[[#This Row],[actual_delivery_date]],Table1[[#This Row],[dispatch_date]])</f>
        <v>7</v>
      </c>
      <c r="N2076">
        <v>25</v>
      </c>
      <c r="O2076">
        <f>Table1[[#This Row],[transit_storage_cost]] * (1-'What -if Analysis'!$D$26)</f>
        <v>25</v>
      </c>
      <c r="P2076">
        <v>113</v>
      </c>
      <c r="Q2076">
        <v>1593.0788812098724</v>
      </c>
    </row>
    <row r="2077" spans="1:17" x14ac:dyDescent="0.3">
      <c r="A2077">
        <v>222299</v>
      </c>
      <c r="B2077" s="1" t="s">
        <v>39</v>
      </c>
      <c r="C2077" s="1" t="s">
        <v>16</v>
      </c>
      <c r="D2077" s="1" t="s">
        <v>23</v>
      </c>
      <c r="E2077" s="1" t="s">
        <v>28</v>
      </c>
      <c r="F2077" s="1" t="s">
        <v>19</v>
      </c>
      <c r="G2077" s="1" t="s">
        <v>20</v>
      </c>
      <c r="H2077" t="s">
        <v>34</v>
      </c>
      <c r="I2077" s="1" t="s">
        <v>22</v>
      </c>
      <c r="J2077" s="2">
        <v>43530.114502314813</v>
      </c>
      <c r="K2077" s="2">
        <v>43536.114502314813</v>
      </c>
      <c r="L2077" s="2">
        <v>43534.114502314813</v>
      </c>
      <c r="M2077" s="1">
        <f>_xlfn.DAYS(Table1[[#This Row],[actual_delivery_date]],Table1[[#This Row],[dispatch_date]])</f>
        <v>6</v>
      </c>
      <c r="N2077">
        <v>85</v>
      </c>
      <c r="O2077">
        <f>Table1[[#This Row],[transit_storage_cost]] * (1-'What -if Analysis'!$D$26)</f>
        <v>85</v>
      </c>
      <c r="P2077">
        <v>101</v>
      </c>
      <c r="Q2077">
        <v>544.47441346186224</v>
      </c>
    </row>
    <row r="2078" spans="1:17" x14ac:dyDescent="0.3">
      <c r="A2078">
        <v>256427</v>
      </c>
      <c r="B2078" s="1" t="s">
        <v>39</v>
      </c>
      <c r="C2078" s="1" t="s">
        <v>16</v>
      </c>
      <c r="D2078" s="1" t="s">
        <v>23</v>
      </c>
      <c r="E2078" s="1" t="s">
        <v>28</v>
      </c>
      <c r="F2078" s="1" t="s">
        <v>19</v>
      </c>
      <c r="G2078" s="1" t="s">
        <v>20</v>
      </c>
      <c r="H2078" t="s">
        <v>30</v>
      </c>
      <c r="I2078" s="1" t="s">
        <v>22</v>
      </c>
      <c r="J2078" s="2">
        <v>43532.115474537037</v>
      </c>
      <c r="K2078" s="2">
        <v>43536.115474537037</v>
      </c>
      <c r="L2078" s="2">
        <v>43539.115474537037</v>
      </c>
      <c r="M2078" s="1">
        <f>_xlfn.DAYS(Table1[[#This Row],[actual_delivery_date]],Table1[[#This Row],[dispatch_date]])</f>
        <v>4</v>
      </c>
      <c r="N2078">
        <v>63</v>
      </c>
      <c r="O2078">
        <f>Table1[[#This Row],[transit_storage_cost]] * (1-'What -if Analysis'!$D$26)</f>
        <v>63</v>
      </c>
      <c r="P2078">
        <v>103</v>
      </c>
      <c r="Q2078">
        <v>1768</v>
      </c>
    </row>
    <row r="2079" spans="1:17" x14ac:dyDescent="0.3">
      <c r="A2079">
        <v>808856</v>
      </c>
      <c r="B2079" s="1" t="s">
        <v>39</v>
      </c>
      <c r="C2079" s="1" t="s">
        <v>23</v>
      </c>
      <c r="D2079" s="1" t="s">
        <v>32</v>
      </c>
      <c r="E2079" s="1" t="s">
        <v>33</v>
      </c>
      <c r="F2079" s="1" t="s">
        <v>19</v>
      </c>
      <c r="G2079" s="1" t="s">
        <v>20</v>
      </c>
      <c r="H2079" t="s">
        <v>21</v>
      </c>
      <c r="I2079" s="1" t="s">
        <v>22</v>
      </c>
      <c r="J2079" s="2">
        <v>43531.116655092592</v>
      </c>
      <c r="K2079" s="2">
        <v>43536.116655092592</v>
      </c>
      <c r="L2079" s="2">
        <v>43537.116655092592</v>
      </c>
      <c r="M2079" s="1">
        <f>_xlfn.DAYS(Table1[[#This Row],[actual_delivery_date]],Table1[[#This Row],[dispatch_date]])</f>
        <v>5</v>
      </c>
      <c r="N2079">
        <v>32</v>
      </c>
      <c r="O2079">
        <f>Table1[[#This Row],[transit_storage_cost]] * (1-'What -if Analysis'!$D$26)</f>
        <v>32</v>
      </c>
      <c r="P2079">
        <v>107</v>
      </c>
      <c r="Q2079">
        <v>2853.8790362597838</v>
      </c>
    </row>
    <row r="2080" spans="1:17" x14ac:dyDescent="0.3">
      <c r="A2080">
        <v>393354</v>
      </c>
      <c r="B2080" s="1" t="s">
        <v>39</v>
      </c>
      <c r="C2080" s="1" t="s">
        <v>16</v>
      </c>
      <c r="D2080" s="1" t="s">
        <v>16</v>
      </c>
      <c r="E2080" s="1" t="s">
        <v>27</v>
      </c>
      <c r="F2080" s="1" t="s">
        <v>31</v>
      </c>
      <c r="G2080" s="1" t="s">
        <v>20</v>
      </c>
      <c r="H2080" t="s">
        <v>21</v>
      </c>
      <c r="I2080" s="1" t="s">
        <v>26</v>
      </c>
      <c r="J2080" s="2">
        <v>43533.116666666669</v>
      </c>
      <c r="K2080" s="2">
        <v>43536.116666666669</v>
      </c>
      <c r="L2080" s="2">
        <v>43537.116666666669</v>
      </c>
      <c r="M2080" s="1">
        <f>_xlfn.DAYS(Table1[[#This Row],[actual_delivery_date]],Table1[[#This Row],[dispatch_date]])</f>
        <v>3</v>
      </c>
      <c r="N2080">
        <v>0</v>
      </c>
      <c r="O2080">
        <f>Table1[[#This Row],[transit_storage_cost]] * (1-'What -if Analysis'!$D$26)</f>
        <v>0</v>
      </c>
      <c r="P2080">
        <v>126</v>
      </c>
      <c r="Q2080">
        <v>2854.6932315956724</v>
      </c>
    </row>
    <row r="2081" spans="1:17" x14ac:dyDescent="0.3">
      <c r="A2081">
        <v>724261</v>
      </c>
      <c r="B2081" s="1" t="s">
        <v>38</v>
      </c>
      <c r="C2081" s="1" t="s">
        <v>16</v>
      </c>
      <c r="D2081" s="1" t="s">
        <v>17</v>
      </c>
      <c r="E2081" s="1" t="s">
        <v>18</v>
      </c>
      <c r="F2081" s="1" t="s">
        <v>29</v>
      </c>
      <c r="G2081" s="1" t="s">
        <v>20</v>
      </c>
      <c r="H2081" t="s">
        <v>30</v>
      </c>
      <c r="I2081" s="1" t="s">
        <v>22</v>
      </c>
      <c r="J2081" s="2">
        <v>43531.117083333331</v>
      </c>
      <c r="K2081" s="2">
        <v>43536.117083333331</v>
      </c>
      <c r="L2081" s="2">
        <v>43534.117083333331</v>
      </c>
      <c r="M2081" s="1">
        <f>_xlfn.DAYS(Table1[[#This Row],[actual_delivery_date]],Table1[[#This Row],[dispatch_date]])</f>
        <v>5</v>
      </c>
      <c r="N2081">
        <v>27</v>
      </c>
      <c r="O2081">
        <f>Table1[[#This Row],[transit_storage_cost]] * (1-'What -if Analysis'!$D$26)</f>
        <v>27</v>
      </c>
      <c r="P2081">
        <v>107</v>
      </c>
      <c r="Q2081">
        <v>3367</v>
      </c>
    </row>
    <row r="2082" spans="1:17" x14ac:dyDescent="0.3">
      <c r="A2082">
        <v>123215</v>
      </c>
      <c r="B2082" s="1" t="s">
        <v>41</v>
      </c>
      <c r="C2082" s="1" t="s">
        <v>23</v>
      </c>
      <c r="D2082" s="1" t="s">
        <v>16</v>
      </c>
      <c r="E2082" s="1" t="s">
        <v>27</v>
      </c>
      <c r="F2082" s="1" t="s">
        <v>29</v>
      </c>
      <c r="G2082" s="1" t="s">
        <v>20</v>
      </c>
      <c r="H2082" t="s">
        <v>30</v>
      </c>
      <c r="I2082" s="1" t="s">
        <v>22</v>
      </c>
      <c r="J2082" s="2">
        <v>43527.118437500001</v>
      </c>
      <c r="K2082" s="2">
        <v>43536.118437500001</v>
      </c>
      <c r="L2082" s="2">
        <v>43531.118437500001</v>
      </c>
      <c r="M2082" s="1">
        <f>_xlfn.DAYS(Table1[[#This Row],[actual_delivery_date]],Table1[[#This Row],[dispatch_date]])</f>
        <v>9</v>
      </c>
      <c r="N2082">
        <v>32</v>
      </c>
      <c r="O2082">
        <f>Table1[[#This Row],[transit_storage_cost]] * (1-'What -if Analysis'!$D$26)</f>
        <v>32</v>
      </c>
      <c r="P2082">
        <v>124</v>
      </c>
      <c r="Q2082">
        <v>2838.3771051987028</v>
      </c>
    </row>
    <row r="2083" spans="1:17" x14ac:dyDescent="0.3">
      <c r="A2083">
        <v>225317</v>
      </c>
      <c r="B2083" s="1" t="s">
        <v>39</v>
      </c>
      <c r="C2083" s="1" t="s">
        <v>23</v>
      </c>
      <c r="D2083" s="1" t="s">
        <v>16</v>
      </c>
      <c r="E2083" s="1" t="s">
        <v>27</v>
      </c>
      <c r="F2083" s="1" t="s">
        <v>19</v>
      </c>
      <c r="G2083" s="1" t="s">
        <v>36</v>
      </c>
      <c r="H2083" t="s">
        <v>30</v>
      </c>
      <c r="I2083" s="1" t="s">
        <v>22</v>
      </c>
      <c r="J2083" s="2">
        <v>43534.119398148148</v>
      </c>
      <c r="K2083" s="2">
        <v>43536.119398148148</v>
      </c>
      <c r="L2083" s="2">
        <v>43538.119398148148</v>
      </c>
      <c r="M2083" s="1">
        <f>_xlfn.DAYS(Table1[[#This Row],[actual_delivery_date]],Table1[[#This Row],[dispatch_date]])</f>
        <v>2</v>
      </c>
      <c r="N2083">
        <v>70</v>
      </c>
      <c r="O2083">
        <f>Table1[[#This Row],[transit_storage_cost]] * (1-'What -if Analysis'!$D$26)</f>
        <v>70</v>
      </c>
      <c r="P2083">
        <v>102</v>
      </c>
      <c r="Q2083">
        <v>2784.963473298189</v>
      </c>
    </row>
    <row r="2084" spans="1:17" x14ac:dyDescent="0.3">
      <c r="A2084">
        <v>655002</v>
      </c>
      <c r="B2084" s="1" t="s">
        <v>40</v>
      </c>
      <c r="C2084" s="1" t="s">
        <v>16</v>
      </c>
      <c r="D2084" s="1" t="s">
        <v>23</v>
      </c>
      <c r="E2084" s="1" t="s">
        <v>28</v>
      </c>
      <c r="F2084" s="1" t="s">
        <v>31</v>
      </c>
      <c r="G2084" s="1" t="s">
        <v>20</v>
      </c>
      <c r="H2084" t="s">
        <v>21</v>
      </c>
      <c r="I2084" s="1" t="s">
        <v>26</v>
      </c>
      <c r="J2084" s="2">
        <v>43532.121770833335</v>
      </c>
      <c r="K2084" s="2">
        <v>43536.121770833335</v>
      </c>
      <c r="L2084" s="2">
        <v>43539.121770833335</v>
      </c>
      <c r="M2084" s="1">
        <f>_xlfn.DAYS(Table1[[#This Row],[actual_delivery_date]],Table1[[#This Row],[dispatch_date]])</f>
        <v>4</v>
      </c>
      <c r="N2084">
        <v>40</v>
      </c>
      <c r="O2084">
        <f>Table1[[#This Row],[transit_storage_cost]] * (1-'What -if Analysis'!$D$26)</f>
        <v>40</v>
      </c>
      <c r="P2084">
        <v>120</v>
      </c>
      <c r="Q2084">
        <v>1487.4805650641506</v>
      </c>
    </row>
    <row r="2085" spans="1:17" x14ac:dyDescent="0.3">
      <c r="A2085">
        <v>361621</v>
      </c>
      <c r="B2085" s="1" t="s">
        <v>38</v>
      </c>
      <c r="C2085" s="1" t="s">
        <v>16</v>
      </c>
      <c r="D2085" s="1" t="s">
        <v>24</v>
      </c>
      <c r="E2085" s="1" t="s">
        <v>25</v>
      </c>
      <c r="F2085" s="1" t="s">
        <v>19</v>
      </c>
      <c r="G2085" s="1" t="s">
        <v>20</v>
      </c>
      <c r="H2085" t="s">
        <v>30</v>
      </c>
      <c r="I2085" s="1" t="s">
        <v>22</v>
      </c>
      <c r="J2085" s="2">
        <v>43531.123495370368</v>
      </c>
      <c r="K2085" s="2">
        <v>43536.123495370368</v>
      </c>
      <c r="L2085" s="2">
        <v>43534.123495370368</v>
      </c>
      <c r="M2085" s="1">
        <f>_xlfn.DAYS(Table1[[#This Row],[actual_delivery_date]],Table1[[#This Row],[dispatch_date]])</f>
        <v>5</v>
      </c>
      <c r="N2085">
        <v>69</v>
      </c>
      <c r="O2085">
        <f>Table1[[#This Row],[transit_storage_cost]] * (1-'What -if Analysis'!$D$26)</f>
        <v>69</v>
      </c>
      <c r="P2085">
        <v>110</v>
      </c>
      <c r="Q2085">
        <v>1668</v>
      </c>
    </row>
    <row r="2086" spans="1:17" x14ac:dyDescent="0.3">
      <c r="A2086">
        <v>390018</v>
      </c>
      <c r="B2086" s="1" t="s">
        <v>40</v>
      </c>
      <c r="C2086" s="1" t="s">
        <v>23</v>
      </c>
      <c r="D2086" s="1" t="s">
        <v>17</v>
      </c>
      <c r="E2086" s="1" t="s">
        <v>18</v>
      </c>
      <c r="F2086" s="1" t="s">
        <v>31</v>
      </c>
      <c r="G2086" s="1" t="s">
        <v>20</v>
      </c>
      <c r="H2086" t="s">
        <v>21</v>
      </c>
      <c r="I2086" s="1" t="s">
        <v>26</v>
      </c>
      <c r="J2086" s="2">
        <v>43532.12462962963</v>
      </c>
      <c r="K2086" s="2">
        <v>43536.12462962963</v>
      </c>
      <c r="L2086" s="2">
        <v>43535.12462962963</v>
      </c>
      <c r="M2086" s="1">
        <f>_xlfn.DAYS(Table1[[#This Row],[actual_delivery_date]],Table1[[#This Row],[dispatch_date]])</f>
        <v>4</v>
      </c>
      <c r="N2086">
        <v>25</v>
      </c>
      <c r="O2086">
        <f>Table1[[#This Row],[transit_storage_cost]] * (1-'What -if Analysis'!$D$26)</f>
        <v>25</v>
      </c>
      <c r="P2086">
        <v>114</v>
      </c>
      <c r="Q2086">
        <v>777</v>
      </c>
    </row>
    <row r="2087" spans="1:17" x14ac:dyDescent="0.3">
      <c r="A2087">
        <v>191658</v>
      </c>
      <c r="B2087" s="1" t="s">
        <v>40</v>
      </c>
      <c r="C2087" s="1" t="s">
        <v>23</v>
      </c>
      <c r="D2087" s="1" t="s">
        <v>16</v>
      </c>
      <c r="E2087" s="1" t="s">
        <v>27</v>
      </c>
      <c r="F2087" s="1" t="s">
        <v>31</v>
      </c>
      <c r="G2087" s="1" t="s">
        <v>20</v>
      </c>
      <c r="H2087" t="s">
        <v>21</v>
      </c>
      <c r="I2087" s="1" t="s">
        <v>26</v>
      </c>
      <c r="J2087" s="2">
        <v>43528.129942129628</v>
      </c>
      <c r="K2087" s="2">
        <v>43536.129942129628</v>
      </c>
      <c r="L2087" s="2">
        <v>43531.129942129628</v>
      </c>
      <c r="M2087" s="1">
        <f>_xlfn.DAYS(Table1[[#This Row],[actual_delivery_date]],Table1[[#This Row],[dispatch_date]])</f>
        <v>8</v>
      </c>
      <c r="N2087">
        <v>44</v>
      </c>
      <c r="O2087">
        <f>Table1[[#This Row],[transit_storage_cost]] * (1-'What -if Analysis'!$D$26)</f>
        <v>44</v>
      </c>
      <c r="P2087">
        <v>128</v>
      </c>
      <c r="Q2087">
        <v>3350.66</v>
      </c>
    </row>
    <row r="2088" spans="1:17" x14ac:dyDescent="0.3">
      <c r="A2088">
        <v>677504</v>
      </c>
      <c r="B2088" s="1" t="s">
        <v>39</v>
      </c>
      <c r="C2088" s="1" t="s">
        <v>23</v>
      </c>
      <c r="D2088" s="1" t="s">
        <v>16</v>
      </c>
      <c r="E2088" s="1" t="s">
        <v>27</v>
      </c>
      <c r="F2088" s="1" t="s">
        <v>19</v>
      </c>
      <c r="G2088" s="1" t="s">
        <v>20</v>
      </c>
      <c r="H2088" t="s">
        <v>21</v>
      </c>
      <c r="I2088" s="1" t="s">
        <v>22</v>
      </c>
      <c r="J2088" s="2">
        <v>43534.133796296293</v>
      </c>
      <c r="K2088" s="2">
        <v>43536.133796296293</v>
      </c>
      <c r="L2088" s="2">
        <v>43540.133796296293</v>
      </c>
      <c r="M2088" s="1">
        <f>_xlfn.DAYS(Table1[[#This Row],[actual_delivery_date]],Table1[[#This Row],[dispatch_date]])</f>
        <v>2</v>
      </c>
      <c r="N2088">
        <v>40</v>
      </c>
      <c r="O2088">
        <f>Table1[[#This Row],[transit_storage_cost]] * (1-'What -if Analysis'!$D$26)</f>
        <v>40</v>
      </c>
      <c r="P2088">
        <v>125</v>
      </c>
      <c r="Q2088">
        <v>1937</v>
      </c>
    </row>
    <row r="2089" spans="1:17" x14ac:dyDescent="0.3">
      <c r="A2089">
        <v>280561</v>
      </c>
      <c r="B2089" s="1" t="s">
        <v>37</v>
      </c>
      <c r="C2089" s="1" t="s">
        <v>16</v>
      </c>
      <c r="D2089" s="1" t="s">
        <v>16</v>
      </c>
      <c r="E2089" s="1" t="s">
        <v>27</v>
      </c>
      <c r="F2089" s="1" t="s">
        <v>29</v>
      </c>
      <c r="G2089" s="1" t="s">
        <v>20</v>
      </c>
      <c r="H2089" t="s">
        <v>30</v>
      </c>
      <c r="I2089" s="1" t="s">
        <v>22</v>
      </c>
      <c r="J2089" s="2">
        <v>43532.138252314813</v>
      </c>
      <c r="K2089" s="2">
        <v>43536.138252314813</v>
      </c>
      <c r="L2089" s="2">
        <v>43538.138252314813</v>
      </c>
      <c r="M2089" s="1">
        <f>_xlfn.DAYS(Table1[[#This Row],[actual_delivery_date]],Table1[[#This Row],[dispatch_date]])</f>
        <v>4</v>
      </c>
      <c r="N2089">
        <v>0</v>
      </c>
      <c r="O2089">
        <f>Table1[[#This Row],[transit_storage_cost]] * (1-'What -if Analysis'!$D$26)</f>
        <v>0</v>
      </c>
      <c r="P2089">
        <v>127</v>
      </c>
      <c r="Q2089">
        <v>2767.7855831204229</v>
      </c>
    </row>
    <row r="2090" spans="1:17" x14ac:dyDescent="0.3">
      <c r="A2090">
        <v>918778</v>
      </c>
      <c r="B2090" s="1" t="s">
        <v>38</v>
      </c>
      <c r="C2090" s="1" t="s">
        <v>16</v>
      </c>
      <c r="D2090" s="1" t="s">
        <v>17</v>
      </c>
      <c r="E2090" s="1" t="s">
        <v>18</v>
      </c>
      <c r="F2090" s="1" t="s">
        <v>31</v>
      </c>
      <c r="G2090" s="1" t="s">
        <v>20</v>
      </c>
      <c r="H2090" t="s">
        <v>21</v>
      </c>
      <c r="I2090" s="1" t="s">
        <v>22</v>
      </c>
      <c r="J2090" s="2">
        <v>43528.139386574076</v>
      </c>
      <c r="K2090" s="2">
        <v>43536.139386574076</v>
      </c>
      <c r="L2090" s="2">
        <v>43532.139386574076</v>
      </c>
      <c r="M2090" s="1">
        <f>_xlfn.DAYS(Table1[[#This Row],[actual_delivery_date]],Table1[[#This Row],[dispatch_date]])</f>
        <v>8</v>
      </c>
      <c r="N2090">
        <v>50</v>
      </c>
      <c r="O2090">
        <f>Table1[[#This Row],[transit_storage_cost]] * (1-'What -if Analysis'!$D$26)</f>
        <v>50</v>
      </c>
      <c r="P2090">
        <v>113</v>
      </c>
      <c r="Q2090">
        <v>2135.6981776403813</v>
      </c>
    </row>
    <row r="2091" spans="1:17" x14ac:dyDescent="0.3">
      <c r="A2091">
        <v>736388</v>
      </c>
      <c r="B2091" s="1" t="s">
        <v>37</v>
      </c>
      <c r="C2091" s="1" t="s">
        <v>16</v>
      </c>
      <c r="D2091" s="1" t="s">
        <v>23</v>
      </c>
      <c r="E2091" s="1" t="s">
        <v>28</v>
      </c>
      <c r="F2091" s="1" t="s">
        <v>19</v>
      </c>
      <c r="G2091" s="1" t="s">
        <v>20</v>
      </c>
      <c r="H2091" t="s">
        <v>21</v>
      </c>
      <c r="I2091" s="1" t="s">
        <v>22</v>
      </c>
      <c r="J2091" s="2">
        <v>43532.141180555554</v>
      </c>
      <c r="K2091" s="2">
        <v>43536.141180555554</v>
      </c>
      <c r="L2091" s="2">
        <v>43538.141180555554</v>
      </c>
      <c r="M2091" s="1">
        <f>_xlfn.DAYS(Table1[[#This Row],[actual_delivery_date]],Table1[[#This Row],[dispatch_date]])</f>
        <v>4</v>
      </c>
      <c r="N2091">
        <v>45</v>
      </c>
      <c r="O2091">
        <f>Table1[[#This Row],[transit_storage_cost]] * (1-'What -if Analysis'!$D$26)</f>
        <v>45</v>
      </c>
      <c r="P2091">
        <v>121</v>
      </c>
      <c r="Q2091">
        <v>1791.5167143468695</v>
      </c>
    </row>
    <row r="2092" spans="1:17" x14ac:dyDescent="0.3">
      <c r="A2092">
        <v>757590</v>
      </c>
      <c r="B2092" s="1" t="s">
        <v>41</v>
      </c>
      <c r="C2092" s="1" t="s">
        <v>23</v>
      </c>
      <c r="D2092" s="1" t="s">
        <v>16</v>
      </c>
      <c r="E2092" s="1" t="s">
        <v>27</v>
      </c>
      <c r="F2092" s="1" t="s">
        <v>19</v>
      </c>
      <c r="G2092" s="1" t="s">
        <v>20</v>
      </c>
      <c r="H2092" t="s">
        <v>21</v>
      </c>
      <c r="I2092" s="1" t="s">
        <v>26</v>
      </c>
      <c r="J2092" s="2">
        <v>43534.142442129632</v>
      </c>
      <c r="K2092" s="2">
        <v>43536.142442129632</v>
      </c>
      <c r="L2092" s="2">
        <v>43537.142442129632</v>
      </c>
      <c r="M2092" s="1">
        <f>_xlfn.DAYS(Table1[[#This Row],[actual_delivery_date]],Table1[[#This Row],[dispatch_date]])</f>
        <v>2</v>
      </c>
      <c r="N2092">
        <v>70</v>
      </c>
      <c r="O2092">
        <f>Table1[[#This Row],[transit_storage_cost]] * (1-'What -if Analysis'!$D$26)</f>
        <v>70</v>
      </c>
      <c r="P2092">
        <v>100</v>
      </c>
      <c r="Q2092">
        <v>1524</v>
      </c>
    </row>
    <row r="2093" spans="1:17" x14ac:dyDescent="0.3">
      <c r="A2093">
        <v>864612</v>
      </c>
      <c r="B2093" s="1" t="s">
        <v>37</v>
      </c>
      <c r="C2093" s="1" t="s">
        <v>16</v>
      </c>
      <c r="D2093" s="1" t="s">
        <v>24</v>
      </c>
      <c r="E2093" s="1" t="s">
        <v>25</v>
      </c>
      <c r="F2093" s="1" t="s">
        <v>19</v>
      </c>
      <c r="G2093" s="1" t="s">
        <v>20</v>
      </c>
      <c r="H2093" t="s">
        <v>21</v>
      </c>
      <c r="I2093" s="1" t="s">
        <v>26</v>
      </c>
      <c r="J2093" s="2">
        <v>43525.143263888887</v>
      </c>
      <c r="K2093" s="2">
        <v>43536.143263888887</v>
      </c>
      <c r="L2093" s="2">
        <v>43530.143263888887</v>
      </c>
      <c r="M2093" s="1">
        <f>_xlfn.DAYS(Table1[[#This Row],[actual_delivery_date]],Table1[[#This Row],[dispatch_date]])</f>
        <v>11</v>
      </c>
      <c r="N2093">
        <v>37</v>
      </c>
      <c r="O2093">
        <f>Table1[[#This Row],[transit_storage_cost]] * (1-'What -if Analysis'!$D$26)</f>
        <v>37</v>
      </c>
      <c r="P2093">
        <v>122</v>
      </c>
      <c r="Q2093">
        <v>1922.38</v>
      </c>
    </row>
    <row r="2094" spans="1:17" x14ac:dyDescent="0.3">
      <c r="A2094">
        <v>579112</v>
      </c>
      <c r="B2094" s="1" t="s">
        <v>38</v>
      </c>
      <c r="C2094" s="1" t="s">
        <v>16</v>
      </c>
      <c r="D2094" s="1" t="s">
        <v>16</v>
      </c>
      <c r="E2094" s="1" t="s">
        <v>27</v>
      </c>
      <c r="F2094" s="1" t="s">
        <v>19</v>
      </c>
      <c r="G2094" s="1" t="s">
        <v>20</v>
      </c>
      <c r="H2094" t="s">
        <v>21</v>
      </c>
      <c r="I2094" s="1" t="s">
        <v>22</v>
      </c>
      <c r="J2094" s="2">
        <v>43534.147638888891</v>
      </c>
      <c r="K2094" s="2">
        <v>43536.147638888891</v>
      </c>
      <c r="L2094" s="2">
        <v>43538.147638888891</v>
      </c>
      <c r="M2094" s="1">
        <f>_xlfn.DAYS(Table1[[#This Row],[actual_delivery_date]],Table1[[#This Row],[dispatch_date]])</f>
        <v>2</v>
      </c>
      <c r="N2094">
        <v>0</v>
      </c>
      <c r="O2094">
        <f>Table1[[#This Row],[transit_storage_cost]] * (1-'What -if Analysis'!$D$26)</f>
        <v>0</v>
      </c>
      <c r="P2094">
        <v>102</v>
      </c>
      <c r="Q2094">
        <v>887</v>
      </c>
    </row>
    <row r="2095" spans="1:17" x14ac:dyDescent="0.3">
      <c r="A2095">
        <v>524822</v>
      </c>
      <c r="B2095" s="1" t="s">
        <v>37</v>
      </c>
      <c r="C2095" s="1" t="s">
        <v>23</v>
      </c>
      <c r="D2095" s="1" t="s">
        <v>17</v>
      </c>
      <c r="E2095" s="1" t="s">
        <v>18</v>
      </c>
      <c r="F2095" s="1" t="s">
        <v>19</v>
      </c>
      <c r="G2095" s="1" t="s">
        <v>20</v>
      </c>
      <c r="H2095" t="s">
        <v>21</v>
      </c>
      <c r="I2095" s="1" t="s">
        <v>22</v>
      </c>
      <c r="J2095" s="2">
        <v>43531.149791666663</v>
      </c>
      <c r="K2095" s="2">
        <v>43536.149791666663</v>
      </c>
      <c r="L2095" s="2">
        <v>43536.149791666663</v>
      </c>
      <c r="M2095" s="1">
        <f>_xlfn.DAYS(Table1[[#This Row],[actual_delivery_date]],Table1[[#This Row],[dispatch_date]])</f>
        <v>5</v>
      </c>
      <c r="N2095">
        <v>75</v>
      </c>
      <c r="O2095">
        <f>Table1[[#This Row],[transit_storage_cost]] * (1-'What -if Analysis'!$D$26)</f>
        <v>75</v>
      </c>
      <c r="P2095">
        <v>89</v>
      </c>
      <c r="Q2095">
        <v>2047.7074312124264</v>
      </c>
    </row>
    <row r="2096" spans="1:17" x14ac:dyDescent="0.3">
      <c r="A2096">
        <v>283955</v>
      </c>
      <c r="B2096" s="1" t="s">
        <v>38</v>
      </c>
      <c r="C2096" s="1" t="s">
        <v>16</v>
      </c>
      <c r="D2096" s="1" t="s">
        <v>24</v>
      </c>
      <c r="E2096" s="1" t="s">
        <v>25</v>
      </c>
      <c r="F2096" s="1" t="s">
        <v>29</v>
      </c>
      <c r="G2096" s="1" t="s">
        <v>20</v>
      </c>
      <c r="H2096" t="s">
        <v>34</v>
      </c>
      <c r="I2096" s="1" t="s">
        <v>22</v>
      </c>
      <c r="J2096" s="2">
        <v>43529.150370370371</v>
      </c>
      <c r="K2096" s="2">
        <v>43536.150370370371</v>
      </c>
      <c r="L2096" s="2">
        <v>43535.150370370371</v>
      </c>
      <c r="M2096" s="1">
        <f>_xlfn.DAYS(Table1[[#This Row],[actual_delivery_date]],Table1[[#This Row],[dispatch_date]])</f>
        <v>7</v>
      </c>
      <c r="N2096">
        <v>28</v>
      </c>
      <c r="O2096">
        <f>Table1[[#This Row],[transit_storage_cost]] * (1-'What -if Analysis'!$D$26)</f>
        <v>28</v>
      </c>
      <c r="P2096">
        <v>128</v>
      </c>
      <c r="Q2096">
        <v>1647.2780847972097</v>
      </c>
    </row>
    <row r="2097" spans="1:17" x14ac:dyDescent="0.3">
      <c r="A2097">
        <v>78131</v>
      </c>
      <c r="B2097" s="1" t="s">
        <v>39</v>
      </c>
      <c r="C2097" s="1" t="s">
        <v>23</v>
      </c>
      <c r="D2097" s="1" t="s">
        <v>17</v>
      </c>
      <c r="E2097" s="1" t="s">
        <v>18</v>
      </c>
      <c r="F2097" s="1" t="s">
        <v>29</v>
      </c>
      <c r="G2097" s="1" t="s">
        <v>20</v>
      </c>
      <c r="H2097" t="s">
        <v>30</v>
      </c>
      <c r="I2097" s="1" t="s">
        <v>22</v>
      </c>
      <c r="J2097" s="2">
        <v>43532.150787037041</v>
      </c>
      <c r="K2097" s="2">
        <v>43536.150787037041</v>
      </c>
      <c r="L2097" s="2">
        <v>43536.150787037041</v>
      </c>
      <c r="M2097" s="1">
        <f>_xlfn.DAYS(Table1[[#This Row],[actual_delivery_date]],Table1[[#This Row],[dispatch_date]])</f>
        <v>4</v>
      </c>
      <c r="N2097">
        <v>40</v>
      </c>
      <c r="O2097">
        <f>Table1[[#This Row],[transit_storage_cost]] * (1-'What -if Analysis'!$D$26)</f>
        <v>40</v>
      </c>
      <c r="P2097">
        <v>110</v>
      </c>
      <c r="Q2097">
        <v>1538</v>
      </c>
    </row>
    <row r="2098" spans="1:17" x14ac:dyDescent="0.3">
      <c r="A2098">
        <v>216177</v>
      </c>
      <c r="B2098" s="1" t="s">
        <v>38</v>
      </c>
      <c r="C2098" s="1" t="s">
        <v>16</v>
      </c>
      <c r="D2098" s="1" t="s">
        <v>17</v>
      </c>
      <c r="E2098" s="1" t="s">
        <v>18</v>
      </c>
      <c r="F2098" s="1" t="s">
        <v>29</v>
      </c>
      <c r="G2098" s="1" t="s">
        <v>20</v>
      </c>
      <c r="H2098" t="s">
        <v>30</v>
      </c>
      <c r="I2098" s="1" t="s">
        <v>26</v>
      </c>
      <c r="J2098" s="2">
        <v>43530.154560185183</v>
      </c>
      <c r="K2098" s="2">
        <v>43536.154560185183</v>
      </c>
      <c r="L2098" s="2">
        <v>43535.154560185183</v>
      </c>
      <c r="M2098" s="1">
        <f>_xlfn.DAYS(Table1[[#This Row],[actual_delivery_date]],Table1[[#This Row],[dispatch_date]])</f>
        <v>6</v>
      </c>
      <c r="N2098">
        <v>46</v>
      </c>
      <c r="O2098">
        <f>Table1[[#This Row],[transit_storage_cost]] * (1-'What -if Analysis'!$D$26)</f>
        <v>46</v>
      </c>
      <c r="P2098">
        <v>109</v>
      </c>
      <c r="Q2098">
        <v>368.7</v>
      </c>
    </row>
    <row r="2099" spans="1:17" x14ac:dyDescent="0.3">
      <c r="A2099">
        <v>847528</v>
      </c>
      <c r="B2099" s="1" t="s">
        <v>39</v>
      </c>
      <c r="C2099" s="1" t="s">
        <v>16</v>
      </c>
      <c r="D2099" s="1" t="s">
        <v>23</v>
      </c>
      <c r="E2099" s="1" t="s">
        <v>28</v>
      </c>
      <c r="F2099" s="1" t="s">
        <v>19</v>
      </c>
      <c r="G2099" s="1" t="s">
        <v>20</v>
      </c>
      <c r="H2099" t="s">
        <v>21</v>
      </c>
      <c r="I2099" s="1" t="s">
        <v>22</v>
      </c>
      <c r="J2099" s="2">
        <v>43532.157939814817</v>
      </c>
      <c r="K2099" s="2">
        <v>43536.157939814817</v>
      </c>
      <c r="L2099" s="2">
        <v>43535.157939814817</v>
      </c>
      <c r="M2099" s="1">
        <f>_xlfn.DAYS(Table1[[#This Row],[actual_delivery_date]],Table1[[#This Row],[dispatch_date]])</f>
        <v>4</v>
      </c>
      <c r="N2099">
        <v>59</v>
      </c>
      <c r="O2099">
        <f>Table1[[#This Row],[transit_storage_cost]] * (1-'What -if Analysis'!$D$26)</f>
        <v>59</v>
      </c>
      <c r="P2099">
        <v>108</v>
      </c>
      <c r="Q2099">
        <v>1132.5579951264756</v>
      </c>
    </row>
    <row r="2100" spans="1:17" x14ac:dyDescent="0.3">
      <c r="A2100">
        <v>701905</v>
      </c>
      <c r="B2100" s="1" t="s">
        <v>39</v>
      </c>
      <c r="C2100" s="1" t="s">
        <v>23</v>
      </c>
      <c r="D2100" s="1" t="s">
        <v>32</v>
      </c>
      <c r="E2100" s="1" t="s">
        <v>33</v>
      </c>
      <c r="F2100" s="1" t="s">
        <v>19</v>
      </c>
      <c r="G2100" s="1" t="s">
        <v>20</v>
      </c>
      <c r="H2100" t="s">
        <v>30</v>
      </c>
      <c r="I2100" s="1" t="s">
        <v>22</v>
      </c>
      <c r="J2100" s="2">
        <v>43533.161064814813</v>
      </c>
      <c r="K2100" s="2">
        <v>43536.161064814813</v>
      </c>
      <c r="L2100" s="2">
        <v>43540.161064814813</v>
      </c>
      <c r="M2100" s="1">
        <f>_xlfn.DAYS(Table1[[#This Row],[actual_delivery_date]],Table1[[#This Row],[dispatch_date]])</f>
        <v>3</v>
      </c>
      <c r="N2100">
        <v>83</v>
      </c>
      <c r="O2100">
        <f>Table1[[#This Row],[transit_storage_cost]] * (1-'What -if Analysis'!$D$26)</f>
        <v>83</v>
      </c>
      <c r="P2100">
        <v>91</v>
      </c>
      <c r="Q2100">
        <v>2425.615368988731</v>
      </c>
    </row>
    <row r="2101" spans="1:17" x14ac:dyDescent="0.3">
      <c r="A2101">
        <v>624306</v>
      </c>
      <c r="B2101" s="1" t="s">
        <v>37</v>
      </c>
      <c r="C2101" s="1" t="s">
        <v>23</v>
      </c>
      <c r="D2101" s="1" t="s">
        <v>24</v>
      </c>
      <c r="E2101" s="1" t="s">
        <v>25</v>
      </c>
      <c r="F2101" s="1" t="s">
        <v>19</v>
      </c>
      <c r="G2101" s="1" t="s">
        <v>20</v>
      </c>
      <c r="H2101" t="s">
        <v>21</v>
      </c>
      <c r="I2101" s="1" t="s">
        <v>26</v>
      </c>
      <c r="J2101" s="2">
        <v>43532.162442129629</v>
      </c>
      <c r="K2101" s="2">
        <v>43536.162442129629</v>
      </c>
      <c r="L2101" s="2">
        <v>43539.162442129629</v>
      </c>
      <c r="M2101" s="1">
        <f>_xlfn.DAYS(Table1[[#This Row],[actual_delivery_date]],Table1[[#This Row],[dispatch_date]])</f>
        <v>4</v>
      </c>
      <c r="N2101">
        <v>0</v>
      </c>
      <c r="O2101">
        <f>Table1[[#This Row],[transit_storage_cost]] * (1-'What -if Analysis'!$D$26)</f>
        <v>0</v>
      </c>
      <c r="P2101">
        <v>105</v>
      </c>
      <c r="Q2101">
        <v>3243</v>
      </c>
    </row>
    <row r="2102" spans="1:17" x14ac:dyDescent="0.3">
      <c r="A2102">
        <v>196391</v>
      </c>
      <c r="B2102" s="1" t="s">
        <v>40</v>
      </c>
      <c r="C2102" s="1" t="s">
        <v>23</v>
      </c>
      <c r="D2102" s="1" t="s">
        <v>23</v>
      </c>
      <c r="E2102" s="1" t="s">
        <v>28</v>
      </c>
      <c r="F2102" s="1" t="s">
        <v>29</v>
      </c>
      <c r="G2102" s="1" t="s">
        <v>20</v>
      </c>
      <c r="H2102" t="s">
        <v>30</v>
      </c>
      <c r="I2102" s="1" t="s">
        <v>22</v>
      </c>
      <c r="J2102" s="2">
        <v>43535.169189814813</v>
      </c>
      <c r="K2102" s="2">
        <v>43536.169189814813</v>
      </c>
      <c r="L2102" s="2">
        <v>43541.169189814813</v>
      </c>
      <c r="M2102" s="1">
        <f>_xlfn.DAYS(Table1[[#This Row],[actual_delivery_date]],Table1[[#This Row],[dispatch_date]])</f>
        <v>1</v>
      </c>
      <c r="N2102">
        <v>0</v>
      </c>
      <c r="O2102">
        <f>Table1[[#This Row],[transit_storage_cost]] * (1-'What -if Analysis'!$D$26)</f>
        <v>0</v>
      </c>
      <c r="P2102">
        <v>125</v>
      </c>
      <c r="Q2102">
        <v>1399.3301279705802</v>
      </c>
    </row>
    <row r="2103" spans="1:17" x14ac:dyDescent="0.3">
      <c r="A2103">
        <v>622518</v>
      </c>
      <c r="B2103" s="1" t="s">
        <v>37</v>
      </c>
      <c r="C2103" s="1" t="s">
        <v>23</v>
      </c>
      <c r="D2103" s="1" t="s">
        <v>23</v>
      </c>
      <c r="E2103" s="1" t="s">
        <v>28</v>
      </c>
      <c r="F2103" s="1" t="s">
        <v>31</v>
      </c>
      <c r="G2103" s="1" t="s">
        <v>20</v>
      </c>
      <c r="H2103" t="s">
        <v>21</v>
      </c>
      <c r="I2103" s="1" t="s">
        <v>26</v>
      </c>
      <c r="J2103" s="2">
        <v>43532.170289351852</v>
      </c>
      <c r="K2103" s="2">
        <v>43536.170289351852</v>
      </c>
      <c r="L2103" s="2">
        <v>43537.170289351852</v>
      </c>
      <c r="M2103" s="1">
        <f>_xlfn.DAYS(Table1[[#This Row],[actual_delivery_date]],Table1[[#This Row],[dispatch_date]])</f>
        <v>4</v>
      </c>
      <c r="N2103">
        <v>0</v>
      </c>
      <c r="O2103">
        <f>Table1[[#This Row],[transit_storage_cost]] * (1-'What -if Analysis'!$D$26)</f>
        <v>0</v>
      </c>
      <c r="P2103">
        <v>124</v>
      </c>
      <c r="Q2103">
        <v>755</v>
      </c>
    </row>
    <row r="2104" spans="1:17" x14ac:dyDescent="0.3">
      <c r="A2104">
        <v>459252</v>
      </c>
      <c r="B2104" s="1" t="s">
        <v>39</v>
      </c>
      <c r="C2104" s="1" t="s">
        <v>16</v>
      </c>
      <c r="D2104" s="1" t="s">
        <v>16</v>
      </c>
      <c r="E2104" s="1" t="s">
        <v>27</v>
      </c>
      <c r="F2104" s="1" t="s">
        <v>19</v>
      </c>
      <c r="G2104" s="1" t="s">
        <v>20</v>
      </c>
      <c r="H2104" t="s">
        <v>21</v>
      </c>
      <c r="I2104" s="1" t="s">
        <v>26</v>
      </c>
      <c r="J2104" s="2">
        <v>43532.172395833331</v>
      </c>
      <c r="K2104" s="2">
        <v>43536.172395833331</v>
      </c>
      <c r="L2104" s="2">
        <v>43538.172395833331</v>
      </c>
      <c r="M2104" s="1">
        <f>_xlfn.DAYS(Table1[[#This Row],[actual_delivery_date]],Table1[[#This Row],[dispatch_date]])</f>
        <v>4</v>
      </c>
      <c r="N2104">
        <v>0</v>
      </c>
      <c r="O2104">
        <f>Table1[[#This Row],[transit_storage_cost]] * (1-'What -if Analysis'!$D$26)</f>
        <v>0</v>
      </c>
      <c r="P2104">
        <v>100</v>
      </c>
      <c r="Q2104">
        <v>1566.4687483522666</v>
      </c>
    </row>
    <row r="2105" spans="1:17" x14ac:dyDescent="0.3">
      <c r="A2105">
        <v>279552</v>
      </c>
      <c r="B2105" s="1" t="s">
        <v>39</v>
      </c>
      <c r="C2105" s="1" t="s">
        <v>23</v>
      </c>
      <c r="D2105" s="1" t="s">
        <v>17</v>
      </c>
      <c r="E2105" s="1" t="s">
        <v>18</v>
      </c>
      <c r="F2105" s="1" t="s">
        <v>19</v>
      </c>
      <c r="G2105" s="1" t="s">
        <v>20</v>
      </c>
      <c r="H2105" t="s">
        <v>21</v>
      </c>
      <c r="I2105" s="1" t="s">
        <v>26</v>
      </c>
      <c r="J2105" s="2">
        <v>43532.173668981479</v>
      </c>
      <c r="K2105" s="2">
        <v>43536.173668981479</v>
      </c>
      <c r="L2105" s="2">
        <v>43536.173668981479</v>
      </c>
      <c r="M2105" s="1">
        <f>_xlfn.DAYS(Table1[[#This Row],[actual_delivery_date]],Table1[[#This Row],[dispatch_date]])</f>
        <v>4</v>
      </c>
      <c r="N2105">
        <v>75</v>
      </c>
      <c r="O2105">
        <f>Table1[[#This Row],[transit_storage_cost]] * (1-'What -if Analysis'!$D$26)</f>
        <v>75</v>
      </c>
      <c r="P2105">
        <v>91</v>
      </c>
      <c r="Q2105">
        <v>2328.4363394044308</v>
      </c>
    </row>
    <row r="2106" spans="1:17" x14ac:dyDescent="0.3">
      <c r="A2106">
        <v>886684</v>
      </c>
      <c r="B2106" s="1" t="s">
        <v>39</v>
      </c>
      <c r="C2106" s="1" t="s">
        <v>23</v>
      </c>
      <c r="D2106" s="1" t="s">
        <v>16</v>
      </c>
      <c r="E2106" s="1" t="s">
        <v>27</v>
      </c>
      <c r="F2106" s="1" t="s">
        <v>19</v>
      </c>
      <c r="G2106" s="1" t="s">
        <v>20</v>
      </c>
      <c r="H2106" t="s">
        <v>21</v>
      </c>
      <c r="I2106" s="1" t="s">
        <v>22</v>
      </c>
      <c r="J2106" s="2">
        <v>43534.176701388889</v>
      </c>
      <c r="K2106" s="2">
        <v>43536.176701388889</v>
      </c>
      <c r="L2106" s="2">
        <v>43541.176701388889</v>
      </c>
      <c r="M2106" s="1">
        <f>_xlfn.DAYS(Table1[[#This Row],[actual_delivery_date]],Table1[[#This Row],[dispatch_date]])</f>
        <v>2</v>
      </c>
      <c r="N2106">
        <v>34</v>
      </c>
      <c r="O2106">
        <f>Table1[[#This Row],[transit_storage_cost]] * (1-'What -if Analysis'!$D$26)</f>
        <v>34</v>
      </c>
      <c r="P2106">
        <v>129</v>
      </c>
      <c r="Q2106">
        <v>2675.0149594772429</v>
      </c>
    </row>
    <row r="2107" spans="1:17" x14ac:dyDescent="0.3">
      <c r="A2107">
        <v>525958</v>
      </c>
      <c r="B2107" s="1" t="s">
        <v>38</v>
      </c>
      <c r="C2107" s="1" t="s">
        <v>16</v>
      </c>
      <c r="D2107" s="1" t="s">
        <v>17</v>
      </c>
      <c r="E2107" s="1" t="s">
        <v>18</v>
      </c>
      <c r="F2107" s="1" t="s">
        <v>31</v>
      </c>
      <c r="G2107" s="1" t="s">
        <v>20</v>
      </c>
      <c r="H2107" t="s">
        <v>21</v>
      </c>
      <c r="I2107" s="1" t="s">
        <v>22</v>
      </c>
      <c r="J2107" s="2">
        <v>43532.178726851853</v>
      </c>
      <c r="K2107" s="2">
        <v>43536.178726851853</v>
      </c>
      <c r="L2107" s="2">
        <v>43536.178726851853</v>
      </c>
      <c r="M2107" s="1">
        <f>_xlfn.DAYS(Table1[[#This Row],[actual_delivery_date]],Table1[[#This Row],[dispatch_date]])</f>
        <v>4</v>
      </c>
      <c r="N2107">
        <v>25</v>
      </c>
      <c r="O2107">
        <f>Table1[[#This Row],[transit_storage_cost]] * (1-'What -if Analysis'!$D$26)</f>
        <v>25</v>
      </c>
      <c r="P2107">
        <v>109</v>
      </c>
      <c r="Q2107">
        <v>1214</v>
      </c>
    </row>
    <row r="2108" spans="1:17" x14ac:dyDescent="0.3">
      <c r="A2108">
        <v>629855</v>
      </c>
      <c r="B2108" s="1" t="s">
        <v>38</v>
      </c>
      <c r="C2108" s="1" t="s">
        <v>23</v>
      </c>
      <c r="D2108" s="1" t="s">
        <v>16</v>
      </c>
      <c r="E2108" s="1" t="s">
        <v>27</v>
      </c>
      <c r="F2108" s="1" t="s">
        <v>29</v>
      </c>
      <c r="G2108" s="1" t="s">
        <v>20</v>
      </c>
      <c r="H2108" t="s">
        <v>30</v>
      </c>
      <c r="I2108" s="1" t="s">
        <v>22</v>
      </c>
      <c r="J2108" s="2">
        <v>43530.185972222222</v>
      </c>
      <c r="K2108" s="2">
        <v>43536.185972222222</v>
      </c>
      <c r="L2108" s="2">
        <v>43533.185972222222</v>
      </c>
      <c r="M2108" s="1">
        <f>_xlfn.DAYS(Table1[[#This Row],[actual_delivery_date]],Table1[[#This Row],[dispatch_date]])</f>
        <v>6</v>
      </c>
      <c r="N2108">
        <v>32</v>
      </c>
      <c r="O2108">
        <f>Table1[[#This Row],[transit_storage_cost]] * (1-'What -if Analysis'!$D$26)</f>
        <v>32</v>
      </c>
      <c r="P2108">
        <v>124</v>
      </c>
      <c r="Q2108">
        <v>1543.8555279387576</v>
      </c>
    </row>
    <row r="2109" spans="1:17" x14ac:dyDescent="0.3">
      <c r="A2109">
        <v>443751</v>
      </c>
      <c r="B2109" s="1" t="s">
        <v>41</v>
      </c>
      <c r="C2109" s="1" t="s">
        <v>16</v>
      </c>
      <c r="D2109" s="1" t="s">
        <v>17</v>
      </c>
      <c r="E2109" s="1" t="s">
        <v>18</v>
      </c>
      <c r="F2109" s="1" t="s">
        <v>29</v>
      </c>
      <c r="G2109" s="1" t="s">
        <v>20</v>
      </c>
      <c r="H2109" t="s">
        <v>34</v>
      </c>
      <c r="I2109" s="1" t="s">
        <v>26</v>
      </c>
      <c r="J2109" s="2">
        <v>43527.1874537037</v>
      </c>
      <c r="K2109" s="2">
        <v>43536.1874537037</v>
      </c>
      <c r="L2109" s="2">
        <v>43534.1874537037</v>
      </c>
      <c r="M2109" s="1">
        <f>_xlfn.DAYS(Table1[[#This Row],[actual_delivery_date]],Table1[[#This Row],[dispatch_date]])</f>
        <v>9</v>
      </c>
      <c r="N2109">
        <v>34</v>
      </c>
      <c r="O2109">
        <f>Table1[[#This Row],[transit_storage_cost]] * (1-'What -if Analysis'!$D$26)</f>
        <v>34</v>
      </c>
      <c r="P2109">
        <v>109</v>
      </c>
      <c r="Q2109">
        <v>258.85000000000002</v>
      </c>
    </row>
    <row r="2110" spans="1:17" x14ac:dyDescent="0.3">
      <c r="A2110">
        <v>799280</v>
      </c>
      <c r="B2110" s="1" t="s">
        <v>38</v>
      </c>
      <c r="C2110" s="1" t="s">
        <v>23</v>
      </c>
      <c r="D2110" s="1" t="s">
        <v>24</v>
      </c>
      <c r="E2110" s="1" t="s">
        <v>25</v>
      </c>
      <c r="F2110" s="1" t="s">
        <v>19</v>
      </c>
      <c r="G2110" s="1" t="s">
        <v>20</v>
      </c>
      <c r="H2110" t="s">
        <v>21</v>
      </c>
      <c r="I2110" s="1" t="s">
        <v>22</v>
      </c>
      <c r="J2110" s="2">
        <v>43526.188518518517</v>
      </c>
      <c r="K2110" s="2">
        <v>43536.188518518517</v>
      </c>
      <c r="L2110" s="2">
        <v>43531.188518518517</v>
      </c>
      <c r="M2110" s="1">
        <f>_xlfn.DAYS(Table1[[#This Row],[actual_delivery_date]],Table1[[#This Row],[dispatch_date]])</f>
        <v>10</v>
      </c>
      <c r="N2110">
        <v>31</v>
      </c>
      <c r="O2110">
        <f>Table1[[#This Row],[transit_storage_cost]] * (1-'What -if Analysis'!$D$26)</f>
        <v>31</v>
      </c>
      <c r="P2110">
        <v>125</v>
      </c>
      <c r="Q2110">
        <v>2573.6383707269742</v>
      </c>
    </row>
    <row r="2111" spans="1:17" x14ac:dyDescent="0.3">
      <c r="A2111">
        <v>781468</v>
      </c>
      <c r="B2111" s="1" t="s">
        <v>40</v>
      </c>
      <c r="C2111" s="1" t="s">
        <v>16</v>
      </c>
      <c r="D2111" s="1" t="s">
        <v>17</v>
      </c>
      <c r="E2111" s="1" t="s">
        <v>18</v>
      </c>
      <c r="F2111" s="1" t="s">
        <v>19</v>
      </c>
      <c r="G2111" s="1" t="s">
        <v>20</v>
      </c>
      <c r="H2111" t="s">
        <v>21</v>
      </c>
      <c r="I2111" s="1" t="s">
        <v>22</v>
      </c>
      <c r="J2111" s="2">
        <v>43531.193449074075</v>
      </c>
      <c r="K2111" s="2">
        <v>43536.193449074075</v>
      </c>
      <c r="L2111" s="2">
        <v>43538.193449074075</v>
      </c>
      <c r="M2111" s="1">
        <f>_xlfn.DAYS(Table1[[#This Row],[actual_delivery_date]],Table1[[#This Row],[dispatch_date]])</f>
        <v>5</v>
      </c>
      <c r="N2111">
        <v>36</v>
      </c>
      <c r="O2111">
        <f>Table1[[#This Row],[transit_storage_cost]] * (1-'What -if Analysis'!$D$26)</f>
        <v>36</v>
      </c>
      <c r="P2111">
        <v>112</v>
      </c>
      <c r="Q2111">
        <v>874</v>
      </c>
    </row>
    <row r="2112" spans="1:17" x14ac:dyDescent="0.3">
      <c r="A2112">
        <v>880455</v>
      </c>
      <c r="B2112" s="1" t="s">
        <v>39</v>
      </c>
      <c r="C2112" s="1" t="s">
        <v>23</v>
      </c>
      <c r="D2112" s="1" t="s">
        <v>16</v>
      </c>
      <c r="E2112" s="1" t="s">
        <v>27</v>
      </c>
      <c r="F2112" s="1" t="s">
        <v>29</v>
      </c>
      <c r="G2112" s="1" t="s">
        <v>20</v>
      </c>
      <c r="H2112" t="s">
        <v>30</v>
      </c>
      <c r="I2112" s="1" t="s">
        <v>26</v>
      </c>
      <c r="J2112" s="2">
        <v>43530.194710648146</v>
      </c>
      <c r="K2112" s="2">
        <v>43536.194710648146</v>
      </c>
      <c r="L2112" s="2">
        <v>43534.194710648146</v>
      </c>
      <c r="M2112" s="1">
        <f>_xlfn.DAYS(Table1[[#This Row],[actual_delivery_date]],Table1[[#This Row],[dispatch_date]])</f>
        <v>6</v>
      </c>
      <c r="N2112">
        <v>32</v>
      </c>
      <c r="O2112">
        <f>Table1[[#This Row],[transit_storage_cost]] * (1-'What -if Analysis'!$D$26)</f>
        <v>32</v>
      </c>
      <c r="P2112">
        <v>120</v>
      </c>
      <c r="Q2112">
        <v>2002</v>
      </c>
    </row>
    <row r="2113" spans="1:17" x14ac:dyDescent="0.3">
      <c r="A2113">
        <v>387940</v>
      </c>
      <c r="B2113" s="1" t="s">
        <v>38</v>
      </c>
      <c r="C2113" s="1" t="s">
        <v>23</v>
      </c>
      <c r="D2113" s="1" t="s">
        <v>32</v>
      </c>
      <c r="E2113" s="1" t="s">
        <v>33</v>
      </c>
      <c r="F2113" s="1" t="s">
        <v>19</v>
      </c>
      <c r="G2113" s="1" t="s">
        <v>20</v>
      </c>
      <c r="H2113" t="s">
        <v>21</v>
      </c>
      <c r="I2113" s="1" t="s">
        <v>22</v>
      </c>
      <c r="J2113" s="2">
        <v>43532.206134259257</v>
      </c>
      <c r="K2113" s="2">
        <v>43536.206134259257</v>
      </c>
      <c r="L2113" s="2">
        <v>43539.206134259257</v>
      </c>
      <c r="M2113" s="1">
        <f>_xlfn.DAYS(Table1[[#This Row],[actual_delivery_date]],Table1[[#This Row],[dispatch_date]])</f>
        <v>4</v>
      </c>
      <c r="N2113">
        <v>37</v>
      </c>
      <c r="O2113">
        <f>Table1[[#This Row],[transit_storage_cost]] * (1-'What -if Analysis'!$D$26)</f>
        <v>37</v>
      </c>
      <c r="P2113">
        <v>106</v>
      </c>
      <c r="Q2113">
        <v>1967.1161890587696</v>
      </c>
    </row>
    <row r="2114" spans="1:17" x14ac:dyDescent="0.3">
      <c r="A2114">
        <v>365173</v>
      </c>
      <c r="B2114" s="1" t="s">
        <v>37</v>
      </c>
      <c r="C2114" s="1" t="s">
        <v>16</v>
      </c>
      <c r="D2114" s="1" t="s">
        <v>16</v>
      </c>
      <c r="E2114" s="1" t="s">
        <v>27</v>
      </c>
      <c r="F2114" s="1" t="s">
        <v>29</v>
      </c>
      <c r="G2114" s="1" t="s">
        <v>20</v>
      </c>
      <c r="H2114" t="s">
        <v>30</v>
      </c>
      <c r="I2114" s="1" t="s">
        <v>22</v>
      </c>
      <c r="J2114" s="2">
        <v>43533.207418981481</v>
      </c>
      <c r="K2114" s="2">
        <v>43536.207418981481</v>
      </c>
      <c r="L2114" s="2">
        <v>43537.207418981481</v>
      </c>
      <c r="M2114" s="1">
        <f>_xlfn.DAYS(Table1[[#This Row],[actual_delivery_date]],Table1[[#This Row],[dispatch_date]])</f>
        <v>3</v>
      </c>
      <c r="N2114">
        <v>0</v>
      </c>
      <c r="O2114">
        <f>Table1[[#This Row],[transit_storage_cost]] * (1-'What -if Analysis'!$D$26)</f>
        <v>0</v>
      </c>
      <c r="P2114">
        <v>127</v>
      </c>
      <c r="Q2114">
        <v>739.33335597154644</v>
      </c>
    </row>
    <row r="2115" spans="1:17" x14ac:dyDescent="0.3">
      <c r="A2115">
        <v>45159</v>
      </c>
      <c r="B2115" s="1" t="s">
        <v>41</v>
      </c>
      <c r="C2115" s="1" t="s">
        <v>16</v>
      </c>
      <c r="D2115" s="1" t="s">
        <v>24</v>
      </c>
      <c r="E2115" s="1" t="s">
        <v>25</v>
      </c>
      <c r="F2115" s="1" t="s">
        <v>19</v>
      </c>
      <c r="G2115" s="1" t="s">
        <v>20</v>
      </c>
      <c r="H2115" t="s">
        <v>30</v>
      </c>
      <c r="I2115" s="1" t="s">
        <v>26</v>
      </c>
      <c r="J2115" s="2">
        <v>43526.208993055552</v>
      </c>
      <c r="K2115" s="2">
        <v>43536.208993055552</v>
      </c>
      <c r="L2115" s="2">
        <v>43530.208993055552</v>
      </c>
      <c r="M2115" s="1">
        <f>_xlfn.DAYS(Table1[[#This Row],[actual_delivery_date]],Table1[[#This Row],[dispatch_date]])</f>
        <v>10</v>
      </c>
      <c r="N2115">
        <v>74</v>
      </c>
      <c r="O2115">
        <f>Table1[[#This Row],[transit_storage_cost]] * (1-'What -if Analysis'!$D$26)</f>
        <v>74</v>
      </c>
      <c r="P2115">
        <v>101</v>
      </c>
      <c r="Q2115">
        <v>668.29</v>
      </c>
    </row>
    <row r="2116" spans="1:17" x14ac:dyDescent="0.3">
      <c r="A2116">
        <v>111</v>
      </c>
      <c r="B2116" s="1" t="s">
        <v>41</v>
      </c>
      <c r="C2116" s="1" t="s">
        <v>23</v>
      </c>
      <c r="D2116" s="1" t="s">
        <v>16</v>
      </c>
      <c r="E2116" s="1" t="s">
        <v>27</v>
      </c>
      <c r="F2116" s="1" t="s">
        <v>29</v>
      </c>
      <c r="G2116" s="1" t="s">
        <v>20</v>
      </c>
      <c r="H2116" t="s">
        <v>30</v>
      </c>
      <c r="I2116" s="1" t="s">
        <v>26</v>
      </c>
      <c r="J2116" s="2">
        <v>43527.212037037039</v>
      </c>
      <c r="K2116" s="2">
        <v>43536.212037037039</v>
      </c>
      <c r="L2116" s="2">
        <v>43533.212037037039</v>
      </c>
      <c r="M2116" s="1">
        <f>_xlfn.DAYS(Table1[[#This Row],[actual_delivery_date]],Table1[[#This Row],[dispatch_date]])</f>
        <v>9</v>
      </c>
      <c r="N2116">
        <v>34</v>
      </c>
      <c r="O2116">
        <f>Table1[[#This Row],[transit_storage_cost]] * (1-'What -if Analysis'!$D$26)</f>
        <v>34</v>
      </c>
      <c r="P2116">
        <v>123</v>
      </c>
      <c r="Q2116">
        <v>2707.43</v>
      </c>
    </row>
    <row r="2117" spans="1:17" x14ac:dyDescent="0.3">
      <c r="A2117">
        <v>327912</v>
      </c>
      <c r="B2117" s="1" t="s">
        <v>39</v>
      </c>
      <c r="C2117" s="1" t="s">
        <v>16</v>
      </c>
      <c r="D2117" s="1" t="s">
        <v>23</v>
      </c>
      <c r="E2117" s="1" t="s">
        <v>28</v>
      </c>
      <c r="F2117" s="1" t="s">
        <v>19</v>
      </c>
      <c r="G2117" s="1" t="s">
        <v>20</v>
      </c>
      <c r="H2117" t="s">
        <v>21</v>
      </c>
      <c r="I2117" s="1" t="s">
        <v>26</v>
      </c>
      <c r="J2117" s="2">
        <v>43531.213483796295</v>
      </c>
      <c r="K2117" s="2">
        <v>43536.213483796295</v>
      </c>
      <c r="L2117" s="2">
        <v>43537.213483796295</v>
      </c>
      <c r="M2117" s="1">
        <f>_xlfn.DAYS(Table1[[#This Row],[actual_delivery_date]],Table1[[#This Row],[dispatch_date]])</f>
        <v>5</v>
      </c>
      <c r="N2117">
        <v>25</v>
      </c>
      <c r="O2117">
        <f>Table1[[#This Row],[transit_storage_cost]] * (1-'What -if Analysis'!$D$26)</f>
        <v>25</v>
      </c>
      <c r="P2117">
        <v>124</v>
      </c>
      <c r="Q2117">
        <v>510</v>
      </c>
    </row>
    <row r="2118" spans="1:17" x14ac:dyDescent="0.3">
      <c r="A2118">
        <v>277932</v>
      </c>
      <c r="B2118" s="1" t="s">
        <v>37</v>
      </c>
      <c r="C2118" s="1" t="s">
        <v>16</v>
      </c>
      <c r="D2118" s="1" t="s">
        <v>32</v>
      </c>
      <c r="E2118" s="1" t="s">
        <v>33</v>
      </c>
      <c r="F2118" s="1" t="s">
        <v>19</v>
      </c>
      <c r="G2118" s="1" t="s">
        <v>20</v>
      </c>
      <c r="H2118" t="s">
        <v>21</v>
      </c>
      <c r="I2118" s="1" t="s">
        <v>26</v>
      </c>
      <c r="J2118" s="2">
        <v>43533.215277777781</v>
      </c>
      <c r="K2118" s="2">
        <v>43536.215277777781</v>
      </c>
      <c r="L2118" s="2">
        <v>43539.215277777781</v>
      </c>
      <c r="M2118" s="1">
        <f>_xlfn.DAYS(Table1[[#This Row],[actual_delivery_date]],Table1[[#This Row],[dispatch_date]])</f>
        <v>3</v>
      </c>
      <c r="N2118">
        <v>39</v>
      </c>
      <c r="O2118">
        <f>Table1[[#This Row],[transit_storage_cost]] * (1-'What -if Analysis'!$D$26)</f>
        <v>39</v>
      </c>
      <c r="P2118">
        <v>105</v>
      </c>
      <c r="Q2118">
        <v>1288.1100594791478</v>
      </c>
    </row>
    <row r="2119" spans="1:17" x14ac:dyDescent="0.3">
      <c r="A2119">
        <v>808971</v>
      </c>
      <c r="B2119" s="1" t="s">
        <v>38</v>
      </c>
      <c r="C2119" s="1" t="s">
        <v>23</v>
      </c>
      <c r="D2119" s="1" t="s">
        <v>24</v>
      </c>
      <c r="E2119" s="1" t="s">
        <v>25</v>
      </c>
      <c r="F2119" s="1" t="s">
        <v>29</v>
      </c>
      <c r="G2119" s="1" t="s">
        <v>36</v>
      </c>
      <c r="H2119" t="s">
        <v>30</v>
      </c>
      <c r="I2119" s="1" t="s">
        <v>26</v>
      </c>
      <c r="J2119" s="2">
        <v>43534.215451388889</v>
      </c>
      <c r="K2119" s="2">
        <v>43536.215451388889</v>
      </c>
      <c r="L2119" s="2">
        <v>43540.215451388889</v>
      </c>
      <c r="M2119" s="1">
        <f>_xlfn.DAYS(Table1[[#This Row],[actual_delivery_date]],Table1[[#This Row],[dispatch_date]])</f>
        <v>2</v>
      </c>
      <c r="N2119">
        <v>40</v>
      </c>
      <c r="O2119">
        <f>Table1[[#This Row],[transit_storage_cost]] * (1-'What -if Analysis'!$D$26)</f>
        <v>40</v>
      </c>
      <c r="P2119">
        <v>123</v>
      </c>
      <c r="Q2119">
        <v>1362.3751313156702</v>
      </c>
    </row>
    <row r="2120" spans="1:17" x14ac:dyDescent="0.3">
      <c r="A2120">
        <v>964458</v>
      </c>
      <c r="B2120" s="1" t="s">
        <v>38</v>
      </c>
      <c r="C2120" s="1" t="s">
        <v>16</v>
      </c>
      <c r="D2120" s="1" t="s">
        <v>23</v>
      </c>
      <c r="E2120" s="1" t="s">
        <v>28</v>
      </c>
      <c r="F2120" s="1" t="s">
        <v>31</v>
      </c>
      <c r="G2120" s="1" t="s">
        <v>20</v>
      </c>
      <c r="H2120" t="s">
        <v>21</v>
      </c>
      <c r="I2120" s="1" t="s">
        <v>26</v>
      </c>
      <c r="J2120" s="2">
        <v>43529.216261574074</v>
      </c>
      <c r="K2120" s="2">
        <v>43536.216261574074</v>
      </c>
      <c r="L2120" s="2">
        <v>43532.216261574074</v>
      </c>
      <c r="M2120" s="1">
        <f>_xlfn.DAYS(Table1[[#This Row],[actual_delivery_date]],Table1[[#This Row],[dispatch_date]])</f>
        <v>7</v>
      </c>
      <c r="N2120">
        <v>37</v>
      </c>
      <c r="O2120">
        <f>Table1[[#This Row],[transit_storage_cost]] * (1-'What -if Analysis'!$D$26)</f>
        <v>37</v>
      </c>
      <c r="P2120">
        <v>121</v>
      </c>
      <c r="Q2120">
        <v>1204.78</v>
      </c>
    </row>
    <row r="2121" spans="1:17" x14ac:dyDescent="0.3">
      <c r="A2121">
        <v>556802</v>
      </c>
      <c r="B2121" s="1" t="s">
        <v>40</v>
      </c>
      <c r="C2121" s="1" t="s">
        <v>16</v>
      </c>
      <c r="D2121" s="1" t="s">
        <v>23</v>
      </c>
      <c r="E2121" s="1" t="s">
        <v>28</v>
      </c>
      <c r="F2121" s="1" t="s">
        <v>31</v>
      </c>
      <c r="G2121" s="1" t="s">
        <v>20</v>
      </c>
      <c r="H2121" t="s">
        <v>21</v>
      </c>
      <c r="I2121" s="1" t="s">
        <v>22</v>
      </c>
      <c r="J2121" s="2">
        <v>43532.217268518521</v>
      </c>
      <c r="K2121" s="2">
        <v>43536.217268518521</v>
      </c>
      <c r="L2121" s="2">
        <v>43539.217268518521</v>
      </c>
      <c r="M2121" s="1">
        <f>_xlfn.DAYS(Table1[[#This Row],[actual_delivery_date]],Table1[[#This Row],[dispatch_date]])</f>
        <v>4</v>
      </c>
      <c r="N2121">
        <v>48</v>
      </c>
      <c r="O2121">
        <f>Table1[[#This Row],[transit_storage_cost]] * (1-'What -if Analysis'!$D$26)</f>
        <v>48</v>
      </c>
      <c r="P2121">
        <v>126</v>
      </c>
      <c r="Q2121">
        <v>3399.8522586275326</v>
      </c>
    </row>
    <row r="2122" spans="1:17" x14ac:dyDescent="0.3">
      <c r="A2122">
        <v>979991</v>
      </c>
      <c r="B2122" s="1" t="s">
        <v>37</v>
      </c>
      <c r="C2122" s="1" t="s">
        <v>16</v>
      </c>
      <c r="D2122" s="1" t="s">
        <v>16</v>
      </c>
      <c r="E2122" s="1" t="s">
        <v>27</v>
      </c>
      <c r="F2122" s="1" t="s">
        <v>29</v>
      </c>
      <c r="G2122" s="1" t="s">
        <v>20</v>
      </c>
      <c r="H2122" t="s">
        <v>30</v>
      </c>
      <c r="I2122" s="1" t="s">
        <v>22</v>
      </c>
      <c r="J2122" s="2">
        <v>43535.217442129629</v>
      </c>
      <c r="K2122" s="2">
        <v>43536.217442129629</v>
      </c>
      <c r="L2122" s="2">
        <v>43540.217442129629</v>
      </c>
      <c r="M2122" s="1">
        <f>_xlfn.DAYS(Table1[[#This Row],[actual_delivery_date]],Table1[[#This Row],[dispatch_date]])</f>
        <v>1</v>
      </c>
      <c r="N2122">
        <v>0</v>
      </c>
      <c r="O2122">
        <f>Table1[[#This Row],[transit_storage_cost]] * (1-'What -if Analysis'!$D$26)</f>
        <v>0</v>
      </c>
      <c r="P2122">
        <v>128</v>
      </c>
      <c r="Q2122">
        <v>2976.5354587695588</v>
      </c>
    </row>
    <row r="2123" spans="1:17" x14ac:dyDescent="0.3">
      <c r="A2123">
        <v>55658</v>
      </c>
      <c r="B2123" s="1" t="s">
        <v>40</v>
      </c>
      <c r="C2123" s="1" t="s">
        <v>23</v>
      </c>
      <c r="D2123" s="1" t="s">
        <v>16</v>
      </c>
      <c r="E2123" s="1" t="s">
        <v>27</v>
      </c>
      <c r="F2123" s="1" t="s">
        <v>19</v>
      </c>
      <c r="G2123" s="1" t="s">
        <v>20</v>
      </c>
      <c r="H2123" t="s">
        <v>21</v>
      </c>
      <c r="I2123" s="1" t="s">
        <v>22</v>
      </c>
      <c r="J2123" s="2">
        <v>43531.228564814817</v>
      </c>
      <c r="K2123" s="2">
        <v>43536.228564814817</v>
      </c>
      <c r="L2123" s="2">
        <v>43535.228564814817</v>
      </c>
      <c r="M2123" s="1">
        <f>_xlfn.DAYS(Table1[[#This Row],[actual_delivery_date]],Table1[[#This Row],[dispatch_date]])</f>
        <v>5</v>
      </c>
      <c r="N2123">
        <v>61</v>
      </c>
      <c r="O2123">
        <f>Table1[[#This Row],[transit_storage_cost]] * (1-'What -if Analysis'!$D$26)</f>
        <v>61</v>
      </c>
      <c r="P2123">
        <v>106</v>
      </c>
      <c r="Q2123">
        <v>3453.7415639897331</v>
      </c>
    </row>
    <row r="2124" spans="1:17" x14ac:dyDescent="0.3">
      <c r="A2124">
        <v>230357</v>
      </c>
      <c r="B2124" s="1" t="s">
        <v>38</v>
      </c>
      <c r="C2124" s="1" t="s">
        <v>16</v>
      </c>
      <c r="D2124" s="1" t="s">
        <v>24</v>
      </c>
      <c r="E2124" s="1" t="s">
        <v>25</v>
      </c>
      <c r="F2124" s="1" t="s">
        <v>29</v>
      </c>
      <c r="G2124" s="1" t="s">
        <v>20</v>
      </c>
      <c r="H2124" t="s">
        <v>30</v>
      </c>
      <c r="I2124" s="1" t="s">
        <v>22</v>
      </c>
      <c r="J2124" s="2">
        <v>43529.233263888891</v>
      </c>
      <c r="K2124" s="2">
        <v>43536.233263888891</v>
      </c>
      <c r="L2124" s="2">
        <v>43532.233263888891</v>
      </c>
      <c r="M2124" s="1">
        <f>_xlfn.DAYS(Table1[[#This Row],[actual_delivery_date]],Table1[[#This Row],[dispatch_date]])</f>
        <v>7</v>
      </c>
      <c r="N2124">
        <v>38</v>
      </c>
      <c r="O2124">
        <f>Table1[[#This Row],[transit_storage_cost]] * (1-'What -if Analysis'!$D$26)</f>
        <v>38</v>
      </c>
      <c r="P2124">
        <v>123</v>
      </c>
      <c r="Q2124">
        <v>1966.1286996385293</v>
      </c>
    </row>
    <row r="2125" spans="1:17" x14ac:dyDescent="0.3">
      <c r="A2125">
        <v>631135</v>
      </c>
      <c r="B2125" s="1" t="s">
        <v>40</v>
      </c>
      <c r="C2125" s="1" t="s">
        <v>16</v>
      </c>
      <c r="D2125" s="1" t="s">
        <v>24</v>
      </c>
      <c r="E2125" s="1" t="s">
        <v>25</v>
      </c>
      <c r="F2125" s="1" t="s">
        <v>19</v>
      </c>
      <c r="G2125" s="1" t="s">
        <v>20</v>
      </c>
      <c r="H2125" t="s">
        <v>30</v>
      </c>
      <c r="I2125" s="1" t="s">
        <v>22</v>
      </c>
      <c r="J2125" s="2">
        <v>43528.234953703701</v>
      </c>
      <c r="K2125" s="2">
        <v>43536.234953703701</v>
      </c>
      <c r="L2125" s="2">
        <v>43532.234953703701</v>
      </c>
      <c r="M2125" s="1">
        <f>_xlfn.DAYS(Table1[[#This Row],[actual_delivery_date]],Table1[[#This Row],[dispatch_date]])</f>
        <v>8</v>
      </c>
      <c r="N2125">
        <v>79</v>
      </c>
      <c r="O2125">
        <f>Table1[[#This Row],[transit_storage_cost]] * (1-'What -if Analysis'!$D$26)</f>
        <v>79</v>
      </c>
      <c r="P2125">
        <v>107</v>
      </c>
      <c r="Q2125">
        <v>646.38589662314064</v>
      </c>
    </row>
    <row r="2126" spans="1:17" x14ac:dyDescent="0.3">
      <c r="A2126">
        <v>854089</v>
      </c>
      <c r="B2126" s="1" t="s">
        <v>38</v>
      </c>
      <c r="C2126" s="1" t="s">
        <v>23</v>
      </c>
      <c r="D2126" s="1" t="s">
        <v>16</v>
      </c>
      <c r="E2126" s="1" t="s">
        <v>27</v>
      </c>
      <c r="F2126" s="1" t="s">
        <v>29</v>
      </c>
      <c r="G2126" s="1" t="s">
        <v>20</v>
      </c>
      <c r="H2126" t="s">
        <v>30</v>
      </c>
      <c r="I2126" s="1" t="s">
        <v>22</v>
      </c>
      <c r="J2126" s="2">
        <v>43529.238182870373</v>
      </c>
      <c r="K2126" s="2">
        <v>43536.238182870373</v>
      </c>
      <c r="L2126" s="2">
        <v>43532.238182870373</v>
      </c>
      <c r="M2126" s="1">
        <f>_xlfn.DAYS(Table1[[#This Row],[actual_delivery_date]],Table1[[#This Row],[dispatch_date]])</f>
        <v>7</v>
      </c>
      <c r="N2126">
        <v>49</v>
      </c>
      <c r="O2126">
        <f>Table1[[#This Row],[transit_storage_cost]] * (1-'What -if Analysis'!$D$26)</f>
        <v>49</v>
      </c>
      <c r="P2126">
        <v>125</v>
      </c>
      <c r="Q2126">
        <v>3258.0275921670855</v>
      </c>
    </row>
    <row r="2127" spans="1:17" x14ac:dyDescent="0.3">
      <c r="A2127">
        <v>544627</v>
      </c>
      <c r="B2127" s="1" t="s">
        <v>38</v>
      </c>
      <c r="C2127" s="1" t="s">
        <v>23</v>
      </c>
      <c r="D2127" s="1" t="s">
        <v>16</v>
      </c>
      <c r="E2127" s="1" t="s">
        <v>27</v>
      </c>
      <c r="F2127" s="1" t="s">
        <v>19</v>
      </c>
      <c r="G2127" s="1" t="s">
        <v>20</v>
      </c>
      <c r="H2127" t="s">
        <v>30</v>
      </c>
      <c r="I2127" s="1" t="s">
        <v>22</v>
      </c>
      <c r="J2127" s="2">
        <v>43534.250810185185</v>
      </c>
      <c r="K2127" s="2">
        <v>43536.250810185185</v>
      </c>
      <c r="L2127" s="2">
        <v>43539.250810185185</v>
      </c>
      <c r="M2127" s="1">
        <f>_xlfn.DAYS(Table1[[#This Row],[actual_delivery_date]],Table1[[#This Row],[dispatch_date]])</f>
        <v>2</v>
      </c>
      <c r="N2127">
        <v>75</v>
      </c>
      <c r="O2127">
        <f>Table1[[#This Row],[transit_storage_cost]] * (1-'What -if Analysis'!$D$26)</f>
        <v>75</v>
      </c>
      <c r="P2127">
        <v>102</v>
      </c>
      <c r="Q2127">
        <v>3037.4534907933621</v>
      </c>
    </row>
    <row r="2128" spans="1:17" x14ac:dyDescent="0.3">
      <c r="A2128">
        <v>641104</v>
      </c>
      <c r="B2128" s="1" t="s">
        <v>38</v>
      </c>
      <c r="C2128" s="1" t="s">
        <v>16</v>
      </c>
      <c r="D2128" s="1" t="s">
        <v>32</v>
      </c>
      <c r="E2128" s="1" t="s">
        <v>33</v>
      </c>
      <c r="F2128" s="1" t="s">
        <v>19</v>
      </c>
      <c r="G2128" s="1" t="s">
        <v>20</v>
      </c>
      <c r="H2128" t="s">
        <v>21</v>
      </c>
      <c r="I2128" s="1" t="s">
        <v>22</v>
      </c>
      <c r="J2128" s="2">
        <v>43527.251851851855</v>
      </c>
      <c r="K2128" s="2">
        <v>43536.251851851855</v>
      </c>
      <c r="L2128" s="2">
        <v>43533.251851851855</v>
      </c>
      <c r="M2128" s="1">
        <f>_xlfn.DAYS(Table1[[#This Row],[actual_delivery_date]],Table1[[#This Row],[dispatch_date]])</f>
        <v>9</v>
      </c>
      <c r="N2128">
        <v>33</v>
      </c>
      <c r="O2128">
        <f>Table1[[#This Row],[transit_storage_cost]] * (1-'What -if Analysis'!$D$26)</f>
        <v>33</v>
      </c>
      <c r="P2128">
        <v>106</v>
      </c>
      <c r="Q2128">
        <v>3003.0729341120168</v>
      </c>
    </row>
    <row r="2129" spans="1:17" x14ac:dyDescent="0.3">
      <c r="A2129">
        <v>989654</v>
      </c>
      <c r="B2129" s="1" t="s">
        <v>37</v>
      </c>
      <c r="C2129" s="1" t="s">
        <v>23</v>
      </c>
      <c r="D2129" s="1" t="s">
        <v>32</v>
      </c>
      <c r="E2129" s="1" t="s">
        <v>33</v>
      </c>
      <c r="F2129" s="1" t="s">
        <v>19</v>
      </c>
      <c r="G2129" s="1" t="s">
        <v>20</v>
      </c>
      <c r="H2129" t="s">
        <v>21</v>
      </c>
      <c r="I2129" s="1" t="s">
        <v>22</v>
      </c>
      <c r="J2129" s="2">
        <v>43531.260243055556</v>
      </c>
      <c r="K2129" s="2">
        <v>43536.260243055556</v>
      </c>
      <c r="L2129" s="2">
        <v>43537.260243055556</v>
      </c>
      <c r="M2129" s="1">
        <f>_xlfn.DAYS(Table1[[#This Row],[actual_delivery_date]],Table1[[#This Row],[dispatch_date]])</f>
        <v>5</v>
      </c>
      <c r="N2129">
        <v>69</v>
      </c>
      <c r="O2129">
        <f>Table1[[#This Row],[transit_storage_cost]] * (1-'What -if Analysis'!$D$26)</f>
        <v>69</v>
      </c>
      <c r="P2129">
        <v>93</v>
      </c>
      <c r="Q2129">
        <v>1922</v>
      </c>
    </row>
    <row r="2130" spans="1:17" x14ac:dyDescent="0.3">
      <c r="A2130">
        <v>415252</v>
      </c>
      <c r="B2130" s="1" t="s">
        <v>38</v>
      </c>
      <c r="C2130" s="1" t="s">
        <v>23</v>
      </c>
      <c r="D2130" s="1" t="s">
        <v>23</v>
      </c>
      <c r="E2130" s="1" t="s">
        <v>28</v>
      </c>
      <c r="F2130" s="1" t="s">
        <v>19</v>
      </c>
      <c r="G2130" s="1" t="s">
        <v>20</v>
      </c>
      <c r="H2130" t="s">
        <v>21</v>
      </c>
      <c r="I2130" s="1" t="s">
        <v>22</v>
      </c>
      <c r="J2130" s="2">
        <v>43531.262719907405</v>
      </c>
      <c r="K2130" s="2">
        <v>43536.262719907405</v>
      </c>
      <c r="L2130" s="2">
        <v>43537.262719907405</v>
      </c>
      <c r="M2130" s="1">
        <f>_xlfn.DAYS(Table1[[#This Row],[actual_delivery_date]],Table1[[#This Row],[dispatch_date]])</f>
        <v>5</v>
      </c>
      <c r="N2130">
        <v>0</v>
      </c>
      <c r="O2130">
        <f>Table1[[#This Row],[transit_storage_cost]] * (1-'What -if Analysis'!$D$26)</f>
        <v>0</v>
      </c>
      <c r="P2130">
        <v>123</v>
      </c>
      <c r="Q2130">
        <v>2144</v>
      </c>
    </row>
    <row r="2131" spans="1:17" x14ac:dyDescent="0.3">
      <c r="A2131">
        <v>909047</v>
      </c>
      <c r="B2131" s="1" t="s">
        <v>37</v>
      </c>
      <c r="C2131" s="1" t="s">
        <v>16</v>
      </c>
      <c r="D2131" s="1" t="s">
        <v>16</v>
      </c>
      <c r="E2131" s="1" t="s">
        <v>27</v>
      </c>
      <c r="F2131" s="1" t="s">
        <v>29</v>
      </c>
      <c r="G2131" s="1" t="s">
        <v>20</v>
      </c>
      <c r="H2131" t="s">
        <v>30</v>
      </c>
      <c r="I2131" s="1" t="s">
        <v>22</v>
      </c>
      <c r="J2131" s="2">
        <v>43530.263414351852</v>
      </c>
      <c r="K2131" s="2">
        <v>43536.263414351852</v>
      </c>
      <c r="L2131" s="2">
        <v>43537.263414351852</v>
      </c>
      <c r="M2131" s="1">
        <f>_xlfn.DAYS(Table1[[#This Row],[actual_delivery_date]],Table1[[#This Row],[dispatch_date]])</f>
        <v>6</v>
      </c>
      <c r="N2131">
        <v>0</v>
      </c>
      <c r="O2131">
        <f>Table1[[#This Row],[transit_storage_cost]] * (1-'What -if Analysis'!$D$26)</f>
        <v>0</v>
      </c>
      <c r="P2131">
        <v>128</v>
      </c>
      <c r="Q2131">
        <v>2272</v>
      </c>
    </row>
    <row r="2132" spans="1:17" x14ac:dyDescent="0.3">
      <c r="A2132">
        <v>961567</v>
      </c>
      <c r="B2132" s="1" t="s">
        <v>38</v>
      </c>
      <c r="C2132" s="1" t="s">
        <v>23</v>
      </c>
      <c r="D2132" s="1" t="s">
        <v>16</v>
      </c>
      <c r="E2132" s="1" t="s">
        <v>27</v>
      </c>
      <c r="F2132" s="1" t="s">
        <v>19</v>
      </c>
      <c r="G2132" s="1" t="s">
        <v>20</v>
      </c>
      <c r="H2132" t="s">
        <v>30</v>
      </c>
      <c r="I2132" s="1" t="s">
        <v>22</v>
      </c>
      <c r="J2132" s="2">
        <v>43530.266157407408</v>
      </c>
      <c r="K2132" s="2">
        <v>43536.266157407408</v>
      </c>
      <c r="L2132" s="2">
        <v>43533.266157407408</v>
      </c>
      <c r="M2132" s="1">
        <f>_xlfn.DAYS(Table1[[#This Row],[actual_delivery_date]],Table1[[#This Row],[dispatch_date]])</f>
        <v>6</v>
      </c>
      <c r="N2132">
        <v>78</v>
      </c>
      <c r="O2132">
        <f>Table1[[#This Row],[transit_storage_cost]] * (1-'What -if Analysis'!$D$26)</f>
        <v>78</v>
      </c>
      <c r="P2132">
        <v>103</v>
      </c>
      <c r="Q2132">
        <v>1838.3024730464113</v>
      </c>
    </row>
    <row r="2133" spans="1:17" x14ac:dyDescent="0.3">
      <c r="A2133">
        <v>923003</v>
      </c>
      <c r="B2133" s="1" t="s">
        <v>15</v>
      </c>
      <c r="C2133" s="1" t="s">
        <v>23</v>
      </c>
      <c r="D2133" s="1" t="s">
        <v>32</v>
      </c>
      <c r="E2133" s="1" t="s">
        <v>33</v>
      </c>
      <c r="F2133" s="1" t="s">
        <v>29</v>
      </c>
      <c r="G2133" s="1" t="s">
        <v>20</v>
      </c>
      <c r="H2133" t="s">
        <v>30</v>
      </c>
      <c r="I2133" s="1" t="s">
        <v>22</v>
      </c>
      <c r="J2133" s="2">
        <v>43534.266793981478</v>
      </c>
      <c r="K2133" s="2">
        <v>43536.266793981478</v>
      </c>
      <c r="L2133" s="2">
        <v>43540.266793981478</v>
      </c>
      <c r="M2133" s="1">
        <f>_xlfn.DAYS(Table1[[#This Row],[actual_delivery_date]],Table1[[#This Row],[dispatch_date]])</f>
        <v>2</v>
      </c>
      <c r="N2133">
        <v>42</v>
      </c>
      <c r="O2133">
        <f>Table1[[#This Row],[transit_storage_cost]] * (1-'What -if Analysis'!$D$26)</f>
        <v>42</v>
      </c>
      <c r="P2133">
        <v>108</v>
      </c>
      <c r="Q2133">
        <v>3204</v>
      </c>
    </row>
    <row r="2134" spans="1:17" x14ac:dyDescent="0.3">
      <c r="A2134">
        <v>81040</v>
      </c>
      <c r="B2134" s="1" t="s">
        <v>37</v>
      </c>
      <c r="C2134" s="1" t="s">
        <v>23</v>
      </c>
      <c r="D2134" s="1" t="s">
        <v>16</v>
      </c>
      <c r="E2134" s="1" t="s">
        <v>27</v>
      </c>
      <c r="F2134" s="1" t="s">
        <v>19</v>
      </c>
      <c r="G2134" s="1" t="s">
        <v>20</v>
      </c>
      <c r="H2134" t="s">
        <v>21</v>
      </c>
      <c r="I2134" s="1" t="s">
        <v>22</v>
      </c>
      <c r="J2134" s="2">
        <v>43533.267581018517</v>
      </c>
      <c r="K2134" s="2">
        <v>43536.267581018517</v>
      </c>
      <c r="L2134" s="2">
        <v>43540.267581018517</v>
      </c>
      <c r="M2134" s="1">
        <f>_xlfn.DAYS(Table1[[#This Row],[actual_delivery_date]],Table1[[#This Row],[dispatch_date]])</f>
        <v>3</v>
      </c>
      <c r="N2134">
        <v>67</v>
      </c>
      <c r="O2134">
        <f>Table1[[#This Row],[transit_storage_cost]] * (1-'What -if Analysis'!$D$26)</f>
        <v>67</v>
      </c>
      <c r="P2134">
        <v>105</v>
      </c>
      <c r="Q2134">
        <v>2996</v>
      </c>
    </row>
    <row r="2135" spans="1:17" x14ac:dyDescent="0.3">
      <c r="A2135">
        <v>589857</v>
      </c>
      <c r="B2135" s="1" t="s">
        <v>41</v>
      </c>
      <c r="C2135" s="1" t="s">
        <v>16</v>
      </c>
      <c r="D2135" s="1" t="s">
        <v>17</v>
      </c>
      <c r="E2135" s="1" t="s">
        <v>18</v>
      </c>
      <c r="F2135" s="1" t="s">
        <v>19</v>
      </c>
      <c r="G2135" s="1" t="s">
        <v>20</v>
      </c>
      <c r="H2135" t="s">
        <v>30</v>
      </c>
      <c r="I2135" s="1" t="s">
        <v>26</v>
      </c>
      <c r="J2135" s="2">
        <v>43533.268553240741</v>
      </c>
      <c r="K2135" s="2">
        <v>43536.268553240741</v>
      </c>
      <c r="L2135" s="2">
        <v>43538.268553240741</v>
      </c>
      <c r="M2135" s="1">
        <f>_xlfn.DAYS(Table1[[#This Row],[actual_delivery_date]],Table1[[#This Row],[dispatch_date]])</f>
        <v>3</v>
      </c>
      <c r="N2135">
        <v>83</v>
      </c>
      <c r="O2135">
        <f>Table1[[#This Row],[transit_storage_cost]] * (1-'What -if Analysis'!$D$26)</f>
        <v>83</v>
      </c>
      <c r="P2135">
        <v>86</v>
      </c>
      <c r="Q2135">
        <v>406.38151964988606</v>
      </c>
    </row>
    <row r="2136" spans="1:17" x14ac:dyDescent="0.3">
      <c r="A2136">
        <v>148202</v>
      </c>
      <c r="B2136" s="1" t="s">
        <v>37</v>
      </c>
      <c r="C2136" s="1" t="s">
        <v>23</v>
      </c>
      <c r="D2136" s="1" t="s">
        <v>32</v>
      </c>
      <c r="E2136" s="1" t="s">
        <v>33</v>
      </c>
      <c r="F2136" s="1" t="s">
        <v>31</v>
      </c>
      <c r="G2136" s="1" t="s">
        <v>20</v>
      </c>
      <c r="H2136" t="s">
        <v>21</v>
      </c>
      <c r="I2136" s="1" t="s">
        <v>22</v>
      </c>
      <c r="J2136" s="2">
        <v>43529.280439814815</v>
      </c>
      <c r="K2136" s="2">
        <v>43536.280439814815</v>
      </c>
      <c r="L2136" s="2">
        <v>43536.280439814815</v>
      </c>
      <c r="M2136" s="1">
        <f>_xlfn.DAYS(Table1[[#This Row],[actual_delivery_date]],Table1[[#This Row],[dispatch_date]])</f>
        <v>7</v>
      </c>
      <c r="N2136">
        <v>35</v>
      </c>
      <c r="O2136">
        <f>Table1[[#This Row],[transit_storage_cost]] * (1-'What -if Analysis'!$D$26)</f>
        <v>35</v>
      </c>
      <c r="P2136">
        <v>111</v>
      </c>
      <c r="Q2136">
        <v>403.98276143418138</v>
      </c>
    </row>
    <row r="2137" spans="1:17" x14ac:dyDescent="0.3">
      <c r="A2137">
        <v>98085</v>
      </c>
      <c r="B2137" s="1" t="s">
        <v>39</v>
      </c>
      <c r="C2137" s="1" t="s">
        <v>23</v>
      </c>
      <c r="D2137" s="1" t="s">
        <v>16</v>
      </c>
      <c r="E2137" s="1" t="s">
        <v>27</v>
      </c>
      <c r="F2137" s="1" t="s">
        <v>19</v>
      </c>
      <c r="G2137" s="1" t="s">
        <v>20</v>
      </c>
      <c r="H2137" t="s">
        <v>30</v>
      </c>
      <c r="I2137" s="1" t="s">
        <v>26</v>
      </c>
      <c r="J2137" s="2">
        <v>43534.290983796294</v>
      </c>
      <c r="K2137" s="2">
        <v>43536.290983796294</v>
      </c>
      <c r="L2137" s="2">
        <v>43537.290983796294</v>
      </c>
      <c r="M2137" s="1">
        <f>_xlfn.DAYS(Table1[[#This Row],[actual_delivery_date]],Table1[[#This Row],[dispatch_date]])</f>
        <v>2</v>
      </c>
      <c r="N2137">
        <v>81</v>
      </c>
      <c r="O2137">
        <f>Table1[[#This Row],[transit_storage_cost]] * (1-'What -if Analysis'!$D$26)</f>
        <v>81</v>
      </c>
      <c r="P2137">
        <v>109</v>
      </c>
      <c r="Q2137">
        <v>2719.9205575223409</v>
      </c>
    </row>
    <row r="2138" spans="1:17" x14ac:dyDescent="0.3">
      <c r="A2138">
        <v>731339</v>
      </c>
      <c r="B2138" s="1" t="s">
        <v>37</v>
      </c>
      <c r="C2138" s="1" t="s">
        <v>23</v>
      </c>
      <c r="D2138" s="1" t="s">
        <v>17</v>
      </c>
      <c r="E2138" s="1" t="s">
        <v>18</v>
      </c>
      <c r="F2138" s="1" t="s">
        <v>29</v>
      </c>
      <c r="G2138" s="1" t="s">
        <v>20</v>
      </c>
      <c r="H2138" t="s">
        <v>34</v>
      </c>
      <c r="I2138" s="1" t="s">
        <v>22</v>
      </c>
      <c r="J2138" s="2">
        <v>43527.301041666666</v>
      </c>
      <c r="K2138" s="2">
        <v>43536.301041666666</v>
      </c>
      <c r="L2138" s="2">
        <v>43530.301041666666</v>
      </c>
      <c r="M2138" s="1">
        <f>_xlfn.DAYS(Table1[[#This Row],[actual_delivery_date]],Table1[[#This Row],[dispatch_date]])</f>
        <v>9</v>
      </c>
      <c r="N2138">
        <v>28</v>
      </c>
      <c r="O2138">
        <f>Table1[[#This Row],[transit_storage_cost]] * (1-'What -if Analysis'!$D$26)</f>
        <v>28</v>
      </c>
      <c r="P2138">
        <v>113</v>
      </c>
      <c r="Q2138">
        <v>514.34442447024617</v>
      </c>
    </row>
    <row r="2139" spans="1:17" x14ac:dyDescent="0.3">
      <c r="A2139">
        <v>2790</v>
      </c>
      <c r="B2139" s="1" t="s">
        <v>41</v>
      </c>
      <c r="C2139" s="1" t="s">
        <v>16</v>
      </c>
      <c r="D2139" s="1" t="s">
        <v>16</v>
      </c>
      <c r="E2139" s="1" t="s">
        <v>27</v>
      </c>
      <c r="F2139" s="1" t="s">
        <v>31</v>
      </c>
      <c r="G2139" s="1" t="s">
        <v>20</v>
      </c>
      <c r="H2139" t="s">
        <v>21</v>
      </c>
      <c r="I2139" s="1" t="s">
        <v>26</v>
      </c>
      <c r="J2139" s="2">
        <v>43534.301550925928</v>
      </c>
      <c r="K2139" s="2">
        <v>43536.301550925928</v>
      </c>
      <c r="L2139" s="2">
        <v>43537.301550925928</v>
      </c>
      <c r="M2139" s="1">
        <f>_xlfn.DAYS(Table1[[#This Row],[actual_delivery_date]],Table1[[#This Row],[dispatch_date]])</f>
        <v>2</v>
      </c>
      <c r="N2139">
        <v>0</v>
      </c>
      <c r="O2139">
        <f>Table1[[#This Row],[transit_storage_cost]] * (1-'What -if Analysis'!$D$26)</f>
        <v>0</v>
      </c>
      <c r="P2139">
        <v>122</v>
      </c>
      <c r="Q2139">
        <v>911</v>
      </c>
    </row>
    <row r="2140" spans="1:17" x14ac:dyDescent="0.3">
      <c r="A2140">
        <v>917373</v>
      </c>
      <c r="B2140" s="1" t="s">
        <v>40</v>
      </c>
      <c r="C2140" s="1" t="s">
        <v>16</v>
      </c>
      <c r="D2140" s="1" t="s">
        <v>17</v>
      </c>
      <c r="E2140" s="1" t="s">
        <v>18</v>
      </c>
      <c r="F2140" s="1" t="s">
        <v>29</v>
      </c>
      <c r="G2140" s="1" t="s">
        <v>20</v>
      </c>
      <c r="H2140" t="s">
        <v>30</v>
      </c>
      <c r="I2140" s="1" t="s">
        <v>26</v>
      </c>
      <c r="J2140" s="2">
        <v>43530.306481481479</v>
      </c>
      <c r="K2140" s="2">
        <v>43536.306481481479</v>
      </c>
      <c r="L2140" s="2">
        <v>43533.306481481479</v>
      </c>
      <c r="M2140" s="1">
        <f>_xlfn.DAYS(Table1[[#This Row],[actual_delivery_date]],Table1[[#This Row],[dispatch_date]])</f>
        <v>6</v>
      </c>
      <c r="N2140">
        <v>40</v>
      </c>
      <c r="O2140">
        <f>Table1[[#This Row],[transit_storage_cost]] * (1-'What -if Analysis'!$D$26)</f>
        <v>40</v>
      </c>
      <c r="P2140">
        <v>107</v>
      </c>
      <c r="Q2140">
        <v>1983.412758682507</v>
      </c>
    </row>
    <row r="2141" spans="1:17" x14ac:dyDescent="0.3">
      <c r="A2141">
        <v>986147</v>
      </c>
      <c r="B2141" s="1" t="s">
        <v>38</v>
      </c>
      <c r="C2141" s="1" t="s">
        <v>23</v>
      </c>
      <c r="D2141" s="1" t="s">
        <v>16</v>
      </c>
      <c r="E2141" s="1" t="s">
        <v>27</v>
      </c>
      <c r="F2141" s="1" t="s">
        <v>19</v>
      </c>
      <c r="G2141" s="1" t="s">
        <v>20</v>
      </c>
      <c r="H2141" t="s">
        <v>30</v>
      </c>
      <c r="I2141" s="1" t="s">
        <v>22</v>
      </c>
      <c r="J2141" s="2">
        <v>43530.317442129628</v>
      </c>
      <c r="K2141" s="2">
        <v>43536.317442129628</v>
      </c>
      <c r="L2141" s="2">
        <v>43533.317442129628</v>
      </c>
      <c r="M2141" s="1">
        <f>_xlfn.DAYS(Table1[[#This Row],[actual_delivery_date]],Table1[[#This Row],[dispatch_date]])</f>
        <v>6</v>
      </c>
      <c r="N2141">
        <v>61</v>
      </c>
      <c r="O2141">
        <f>Table1[[#This Row],[transit_storage_cost]] * (1-'What -if Analysis'!$D$26)</f>
        <v>61</v>
      </c>
      <c r="P2141">
        <v>100</v>
      </c>
      <c r="Q2141">
        <v>2482.9317879384939</v>
      </c>
    </row>
    <row r="2142" spans="1:17" x14ac:dyDescent="0.3">
      <c r="A2142">
        <v>409055</v>
      </c>
      <c r="B2142" s="1" t="s">
        <v>39</v>
      </c>
      <c r="C2142" s="1" t="s">
        <v>16</v>
      </c>
      <c r="D2142" s="1" t="s">
        <v>23</v>
      </c>
      <c r="E2142" s="1" t="s">
        <v>28</v>
      </c>
      <c r="F2142" s="1" t="s">
        <v>29</v>
      </c>
      <c r="G2142" s="1" t="s">
        <v>20</v>
      </c>
      <c r="H2142" t="s">
        <v>30</v>
      </c>
      <c r="I2142" s="1" t="s">
        <v>22</v>
      </c>
      <c r="J2142" s="2">
        <v>43527.321655092594</v>
      </c>
      <c r="K2142" s="2">
        <v>43536.321655092594</v>
      </c>
      <c r="L2142" s="2">
        <v>43533.321655092594</v>
      </c>
      <c r="M2142" s="1">
        <f>_xlfn.DAYS(Table1[[#This Row],[actual_delivery_date]],Table1[[#This Row],[dispatch_date]])</f>
        <v>9</v>
      </c>
      <c r="N2142">
        <v>35</v>
      </c>
      <c r="O2142">
        <f>Table1[[#This Row],[transit_storage_cost]] * (1-'What -if Analysis'!$D$26)</f>
        <v>35</v>
      </c>
      <c r="P2142">
        <v>130</v>
      </c>
      <c r="Q2142">
        <v>3476.642196585175</v>
      </c>
    </row>
    <row r="2143" spans="1:17" x14ac:dyDescent="0.3">
      <c r="A2143">
        <v>586487</v>
      </c>
      <c r="B2143" s="1" t="s">
        <v>40</v>
      </c>
      <c r="C2143" s="1" t="s">
        <v>16</v>
      </c>
      <c r="D2143" s="1" t="s">
        <v>32</v>
      </c>
      <c r="E2143" s="1" t="s">
        <v>33</v>
      </c>
      <c r="F2143" s="1" t="s">
        <v>29</v>
      </c>
      <c r="G2143" s="1" t="s">
        <v>20</v>
      </c>
      <c r="H2143" t="s">
        <v>30</v>
      </c>
      <c r="I2143" s="1" t="s">
        <v>22</v>
      </c>
      <c r="J2143" s="2">
        <v>43533.322789351849</v>
      </c>
      <c r="K2143" s="2">
        <v>43536.322789351849</v>
      </c>
      <c r="L2143" s="2">
        <v>43540.322789351849</v>
      </c>
      <c r="M2143" s="1">
        <f>_xlfn.DAYS(Table1[[#This Row],[actual_delivery_date]],Table1[[#This Row],[dispatch_date]])</f>
        <v>3</v>
      </c>
      <c r="N2143">
        <v>43</v>
      </c>
      <c r="O2143">
        <f>Table1[[#This Row],[transit_storage_cost]] * (1-'What -if Analysis'!$D$26)</f>
        <v>43</v>
      </c>
      <c r="P2143">
        <v>112</v>
      </c>
      <c r="Q2143">
        <v>1306.0024325229731</v>
      </c>
    </row>
    <row r="2144" spans="1:17" x14ac:dyDescent="0.3">
      <c r="A2144">
        <v>829271</v>
      </c>
      <c r="B2144" s="1" t="s">
        <v>39</v>
      </c>
      <c r="C2144" s="1" t="s">
        <v>16</v>
      </c>
      <c r="D2144" s="1" t="s">
        <v>23</v>
      </c>
      <c r="E2144" s="1" t="s">
        <v>28</v>
      </c>
      <c r="F2144" s="1" t="s">
        <v>29</v>
      </c>
      <c r="G2144" s="1" t="s">
        <v>20</v>
      </c>
      <c r="H2144" t="s">
        <v>30</v>
      </c>
      <c r="I2144" s="1" t="s">
        <v>22</v>
      </c>
      <c r="J2144" s="2">
        <v>43527.336747685185</v>
      </c>
      <c r="K2144" s="2">
        <v>43536.336747685185</v>
      </c>
      <c r="L2144" s="2">
        <v>43533.336747685185</v>
      </c>
      <c r="M2144" s="1">
        <f>_xlfn.DAYS(Table1[[#This Row],[actual_delivery_date]],Table1[[#This Row],[dispatch_date]])</f>
        <v>9</v>
      </c>
      <c r="N2144">
        <v>36</v>
      </c>
      <c r="O2144">
        <f>Table1[[#This Row],[transit_storage_cost]] * (1-'What -if Analysis'!$D$26)</f>
        <v>36</v>
      </c>
      <c r="P2144">
        <v>130</v>
      </c>
      <c r="Q2144">
        <v>1257.4433388582092</v>
      </c>
    </row>
    <row r="2145" spans="1:17" x14ac:dyDescent="0.3">
      <c r="A2145">
        <v>84022</v>
      </c>
      <c r="B2145" s="1" t="s">
        <v>38</v>
      </c>
      <c r="C2145" s="1" t="s">
        <v>16</v>
      </c>
      <c r="D2145" s="1" t="s">
        <v>32</v>
      </c>
      <c r="E2145" s="1" t="s">
        <v>33</v>
      </c>
      <c r="F2145" s="1" t="s">
        <v>19</v>
      </c>
      <c r="G2145" s="1" t="s">
        <v>20</v>
      </c>
      <c r="H2145" t="s">
        <v>21</v>
      </c>
      <c r="I2145" s="1" t="s">
        <v>22</v>
      </c>
      <c r="J2145" s="2">
        <v>43532.340462962966</v>
      </c>
      <c r="K2145" s="2">
        <v>43536.340462962966</v>
      </c>
      <c r="L2145" s="2">
        <v>43536.340462962966</v>
      </c>
      <c r="M2145" s="1">
        <f>_xlfn.DAYS(Table1[[#This Row],[actual_delivery_date]],Table1[[#This Row],[dispatch_date]])</f>
        <v>4</v>
      </c>
      <c r="N2145">
        <v>84</v>
      </c>
      <c r="O2145">
        <f>Table1[[#This Row],[transit_storage_cost]] * (1-'What -if Analysis'!$D$26)</f>
        <v>84</v>
      </c>
      <c r="P2145">
        <v>89</v>
      </c>
      <c r="Q2145">
        <v>999.13934771268634</v>
      </c>
    </row>
    <row r="2146" spans="1:17" x14ac:dyDescent="0.3">
      <c r="A2146">
        <v>728907</v>
      </c>
      <c r="B2146" s="1" t="s">
        <v>37</v>
      </c>
      <c r="C2146" s="1" t="s">
        <v>16</v>
      </c>
      <c r="D2146" s="1" t="s">
        <v>23</v>
      </c>
      <c r="E2146" s="1" t="s">
        <v>28</v>
      </c>
      <c r="F2146" s="1" t="s">
        <v>29</v>
      </c>
      <c r="G2146" s="1" t="s">
        <v>36</v>
      </c>
      <c r="H2146" t="s">
        <v>30</v>
      </c>
      <c r="I2146" s="1" t="s">
        <v>26</v>
      </c>
      <c r="J2146" s="2">
        <v>43529.340740740743</v>
      </c>
      <c r="K2146" s="2">
        <v>43536.340740740743</v>
      </c>
      <c r="L2146" s="2">
        <v>43532.340740740743</v>
      </c>
      <c r="M2146" s="1">
        <f>_xlfn.DAYS(Table1[[#This Row],[actual_delivery_date]],Table1[[#This Row],[dispatch_date]])</f>
        <v>7</v>
      </c>
      <c r="N2146">
        <v>38</v>
      </c>
      <c r="O2146">
        <f>Table1[[#This Row],[transit_storage_cost]] * (1-'What -if Analysis'!$D$26)</f>
        <v>38</v>
      </c>
      <c r="P2146">
        <v>127</v>
      </c>
      <c r="Q2146">
        <v>2225</v>
      </c>
    </row>
    <row r="2147" spans="1:17" x14ac:dyDescent="0.3">
      <c r="A2147">
        <v>793384</v>
      </c>
      <c r="B2147" s="1" t="s">
        <v>37</v>
      </c>
      <c r="C2147" s="1" t="s">
        <v>23</v>
      </c>
      <c r="D2147" s="1" t="s">
        <v>17</v>
      </c>
      <c r="E2147" s="1" t="s">
        <v>18</v>
      </c>
      <c r="F2147" s="1" t="s">
        <v>19</v>
      </c>
      <c r="G2147" s="1" t="s">
        <v>36</v>
      </c>
      <c r="H2147" t="s">
        <v>21</v>
      </c>
      <c r="I2147" s="1" t="s">
        <v>22</v>
      </c>
      <c r="J2147" s="2">
        <v>43534.346446759257</v>
      </c>
      <c r="K2147" s="2">
        <v>43536.346446759257</v>
      </c>
      <c r="L2147" s="2">
        <v>43541.346446759257</v>
      </c>
      <c r="M2147" s="1">
        <f>_xlfn.DAYS(Table1[[#This Row],[actual_delivery_date]],Table1[[#This Row],[dispatch_date]])</f>
        <v>2</v>
      </c>
      <c r="N2147">
        <v>79</v>
      </c>
      <c r="O2147">
        <f>Table1[[#This Row],[transit_storage_cost]] * (1-'What -if Analysis'!$D$26)</f>
        <v>79</v>
      </c>
      <c r="P2147">
        <v>90</v>
      </c>
      <c r="Q2147">
        <v>2832.8209963146278</v>
      </c>
    </row>
    <row r="2148" spans="1:17" x14ac:dyDescent="0.3">
      <c r="A2148">
        <v>590049</v>
      </c>
      <c r="B2148" s="1" t="s">
        <v>40</v>
      </c>
      <c r="C2148" s="1" t="s">
        <v>16</v>
      </c>
      <c r="D2148" s="1" t="s">
        <v>23</v>
      </c>
      <c r="E2148" s="1" t="s">
        <v>28</v>
      </c>
      <c r="F2148" s="1" t="s">
        <v>29</v>
      </c>
      <c r="G2148" s="1" t="s">
        <v>20</v>
      </c>
      <c r="H2148" t="s">
        <v>30</v>
      </c>
      <c r="I2148" s="1" t="s">
        <v>26</v>
      </c>
      <c r="J2148" s="2">
        <v>43527.348240740743</v>
      </c>
      <c r="K2148" s="2">
        <v>43536.348240740743</v>
      </c>
      <c r="L2148" s="2">
        <v>43530.348240740743</v>
      </c>
      <c r="M2148" s="1">
        <f>_xlfn.DAYS(Table1[[#This Row],[actual_delivery_date]],Table1[[#This Row],[dispatch_date]])</f>
        <v>9</v>
      </c>
      <c r="N2148">
        <v>28</v>
      </c>
      <c r="O2148">
        <f>Table1[[#This Row],[transit_storage_cost]] * (1-'What -if Analysis'!$D$26)</f>
        <v>28</v>
      </c>
      <c r="P2148">
        <v>122</v>
      </c>
      <c r="Q2148">
        <v>3255.13</v>
      </c>
    </row>
    <row r="2149" spans="1:17" x14ac:dyDescent="0.3">
      <c r="A2149">
        <v>81837</v>
      </c>
      <c r="B2149" s="1" t="s">
        <v>37</v>
      </c>
      <c r="C2149" s="1" t="s">
        <v>16</v>
      </c>
      <c r="D2149" s="1" t="s">
        <v>24</v>
      </c>
      <c r="E2149" s="1" t="s">
        <v>25</v>
      </c>
      <c r="F2149" s="1" t="s">
        <v>29</v>
      </c>
      <c r="G2149" s="1" t="s">
        <v>20</v>
      </c>
      <c r="H2149" t="s">
        <v>34</v>
      </c>
      <c r="I2149" s="1" t="s">
        <v>26</v>
      </c>
      <c r="J2149" s="2">
        <v>43534.350231481483</v>
      </c>
      <c r="K2149" s="2">
        <v>43536.350231481483</v>
      </c>
      <c r="L2149" s="2">
        <v>43538.350231481483</v>
      </c>
      <c r="M2149" s="1">
        <f>_xlfn.DAYS(Table1[[#This Row],[actual_delivery_date]],Table1[[#This Row],[dispatch_date]])</f>
        <v>2</v>
      </c>
      <c r="N2149">
        <v>43</v>
      </c>
      <c r="O2149">
        <f>Table1[[#This Row],[transit_storage_cost]] * (1-'What -if Analysis'!$D$26)</f>
        <v>43</v>
      </c>
      <c r="P2149">
        <v>125</v>
      </c>
      <c r="Q2149">
        <v>1307</v>
      </c>
    </row>
    <row r="2150" spans="1:17" x14ac:dyDescent="0.3">
      <c r="A2150">
        <v>573518</v>
      </c>
      <c r="B2150" s="1" t="s">
        <v>37</v>
      </c>
      <c r="C2150" s="1" t="s">
        <v>16</v>
      </c>
      <c r="D2150" s="1" t="s">
        <v>32</v>
      </c>
      <c r="E2150" s="1" t="s">
        <v>33</v>
      </c>
      <c r="F2150" s="1" t="s">
        <v>31</v>
      </c>
      <c r="G2150" s="1" t="s">
        <v>20</v>
      </c>
      <c r="H2150" t="s">
        <v>21</v>
      </c>
      <c r="I2150" s="1" t="s">
        <v>22</v>
      </c>
      <c r="J2150" s="2">
        <v>43529.351087962961</v>
      </c>
      <c r="K2150" s="2">
        <v>43536.351087962961</v>
      </c>
      <c r="L2150" s="2">
        <v>43536.351087962961</v>
      </c>
      <c r="M2150" s="1">
        <f>_xlfn.DAYS(Table1[[#This Row],[actual_delivery_date]],Table1[[#This Row],[dispatch_date]])</f>
        <v>7</v>
      </c>
      <c r="N2150">
        <v>45</v>
      </c>
      <c r="O2150">
        <f>Table1[[#This Row],[transit_storage_cost]] * (1-'What -if Analysis'!$D$26)</f>
        <v>45</v>
      </c>
      <c r="P2150">
        <v>112</v>
      </c>
      <c r="Q2150">
        <v>2853.0617202240333</v>
      </c>
    </row>
    <row r="2151" spans="1:17" x14ac:dyDescent="0.3">
      <c r="A2151">
        <v>660349</v>
      </c>
      <c r="B2151" s="1" t="s">
        <v>37</v>
      </c>
      <c r="C2151" s="1" t="s">
        <v>23</v>
      </c>
      <c r="D2151" s="1" t="s">
        <v>16</v>
      </c>
      <c r="E2151" s="1" t="s">
        <v>27</v>
      </c>
      <c r="F2151" s="1" t="s">
        <v>29</v>
      </c>
      <c r="G2151" s="1" t="s">
        <v>20</v>
      </c>
      <c r="H2151" t="s">
        <v>30</v>
      </c>
      <c r="I2151" s="1" t="s">
        <v>22</v>
      </c>
      <c r="J2151" s="2">
        <v>43527.357662037037</v>
      </c>
      <c r="K2151" s="2">
        <v>43536.357662037037</v>
      </c>
      <c r="L2151" s="2">
        <v>43532.357662037037</v>
      </c>
      <c r="M2151" s="1">
        <f>_xlfn.DAYS(Table1[[#This Row],[actual_delivery_date]],Table1[[#This Row],[dispatch_date]])</f>
        <v>9</v>
      </c>
      <c r="N2151">
        <v>26</v>
      </c>
      <c r="O2151">
        <f>Table1[[#This Row],[transit_storage_cost]] * (1-'What -if Analysis'!$D$26)</f>
        <v>26</v>
      </c>
      <c r="P2151">
        <v>127</v>
      </c>
      <c r="Q2151">
        <v>3268.739729474039</v>
      </c>
    </row>
    <row r="2152" spans="1:17" x14ac:dyDescent="0.3">
      <c r="A2152">
        <v>252112</v>
      </c>
      <c r="B2152" s="1" t="s">
        <v>38</v>
      </c>
      <c r="C2152" s="1" t="s">
        <v>16</v>
      </c>
      <c r="D2152" s="1" t="s">
        <v>17</v>
      </c>
      <c r="E2152" s="1" t="s">
        <v>18</v>
      </c>
      <c r="F2152" s="1" t="s">
        <v>19</v>
      </c>
      <c r="G2152" s="1" t="s">
        <v>20</v>
      </c>
      <c r="H2152" t="s">
        <v>21</v>
      </c>
      <c r="I2152" s="1" t="s">
        <v>22</v>
      </c>
      <c r="J2152" s="2">
        <v>43534.366053240738</v>
      </c>
      <c r="K2152" s="2">
        <v>43536.366053240738</v>
      </c>
      <c r="L2152" s="2">
        <v>43538.366053240738</v>
      </c>
      <c r="M2152" s="1">
        <f>_xlfn.DAYS(Table1[[#This Row],[actual_delivery_date]],Table1[[#This Row],[dispatch_date]])</f>
        <v>2</v>
      </c>
      <c r="N2152">
        <v>75</v>
      </c>
      <c r="O2152">
        <f>Table1[[#This Row],[transit_storage_cost]] * (1-'What -if Analysis'!$D$26)</f>
        <v>75</v>
      </c>
      <c r="P2152">
        <v>90</v>
      </c>
      <c r="Q2152">
        <v>587.73787143430332</v>
      </c>
    </row>
    <row r="2153" spans="1:17" x14ac:dyDescent="0.3">
      <c r="A2153">
        <v>883993</v>
      </c>
      <c r="B2153" s="1" t="s">
        <v>38</v>
      </c>
      <c r="C2153" s="1" t="s">
        <v>16</v>
      </c>
      <c r="D2153" s="1" t="s">
        <v>16</v>
      </c>
      <c r="E2153" s="1" t="s">
        <v>27</v>
      </c>
      <c r="F2153" s="1" t="s">
        <v>29</v>
      </c>
      <c r="G2153" s="1" t="s">
        <v>20</v>
      </c>
      <c r="H2153" t="s">
        <v>30</v>
      </c>
      <c r="I2153" s="1" t="s">
        <v>22</v>
      </c>
      <c r="J2153" s="2">
        <v>43531.368090277778</v>
      </c>
      <c r="K2153" s="2">
        <v>43536.368090277778</v>
      </c>
      <c r="L2153" s="2">
        <v>43537.368090277778</v>
      </c>
      <c r="M2153" s="1">
        <f>_xlfn.DAYS(Table1[[#This Row],[actual_delivery_date]],Table1[[#This Row],[dispatch_date]])</f>
        <v>5</v>
      </c>
      <c r="N2153">
        <v>0</v>
      </c>
      <c r="O2153">
        <f>Table1[[#This Row],[transit_storage_cost]] * (1-'What -if Analysis'!$D$26)</f>
        <v>0</v>
      </c>
      <c r="P2153">
        <v>125</v>
      </c>
      <c r="Q2153">
        <v>3600.8126327007831</v>
      </c>
    </row>
    <row r="2154" spans="1:17" x14ac:dyDescent="0.3">
      <c r="A2154">
        <v>494181</v>
      </c>
      <c r="B2154" s="1" t="s">
        <v>37</v>
      </c>
      <c r="C2154" s="1" t="s">
        <v>23</v>
      </c>
      <c r="D2154" s="1" t="s">
        <v>23</v>
      </c>
      <c r="E2154" s="1" t="s">
        <v>28</v>
      </c>
      <c r="F2154" s="1" t="s">
        <v>19</v>
      </c>
      <c r="G2154" s="1" t="s">
        <v>20</v>
      </c>
      <c r="H2154" t="s">
        <v>30</v>
      </c>
      <c r="I2154" s="1" t="s">
        <v>26</v>
      </c>
      <c r="J2154" s="2">
        <v>43536.368263888886</v>
      </c>
      <c r="K2154" s="2">
        <v>43536.368263888886</v>
      </c>
      <c r="L2154" s="2">
        <v>43542.368263888886</v>
      </c>
      <c r="M2154" s="1">
        <f>_xlfn.DAYS(Table1[[#This Row],[actual_delivery_date]],Table1[[#This Row],[dispatch_date]])</f>
        <v>0</v>
      </c>
      <c r="N2154">
        <v>0</v>
      </c>
      <c r="O2154">
        <f>Table1[[#This Row],[transit_storage_cost]] * (1-'What -if Analysis'!$D$26)</f>
        <v>0</v>
      </c>
      <c r="P2154">
        <v>105</v>
      </c>
      <c r="Q2154">
        <v>701</v>
      </c>
    </row>
    <row r="2155" spans="1:17" x14ac:dyDescent="0.3">
      <c r="A2155">
        <v>887587</v>
      </c>
      <c r="B2155" s="1" t="s">
        <v>37</v>
      </c>
      <c r="C2155" s="1" t="s">
        <v>16</v>
      </c>
      <c r="D2155" s="1" t="s">
        <v>17</v>
      </c>
      <c r="E2155" s="1" t="s">
        <v>18</v>
      </c>
      <c r="F2155" s="1" t="s">
        <v>29</v>
      </c>
      <c r="G2155" s="1" t="s">
        <v>20</v>
      </c>
      <c r="H2155" t="s">
        <v>30</v>
      </c>
      <c r="I2155" s="1" t="s">
        <v>22</v>
      </c>
      <c r="J2155" s="2">
        <v>43533.369525462964</v>
      </c>
      <c r="K2155" s="2">
        <v>43536.369525462964</v>
      </c>
      <c r="L2155" s="2">
        <v>43540.369525462964</v>
      </c>
      <c r="M2155" s="1">
        <f>_xlfn.DAYS(Table1[[#This Row],[actual_delivery_date]],Table1[[#This Row],[dispatch_date]])</f>
        <v>3</v>
      </c>
      <c r="N2155">
        <v>38</v>
      </c>
      <c r="O2155">
        <f>Table1[[#This Row],[transit_storage_cost]] * (1-'What -if Analysis'!$D$26)</f>
        <v>38</v>
      </c>
      <c r="P2155">
        <v>106</v>
      </c>
      <c r="Q2155">
        <v>3529.6326949534819</v>
      </c>
    </row>
    <row r="2156" spans="1:17" x14ac:dyDescent="0.3">
      <c r="A2156">
        <v>883705</v>
      </c>
      <c r="B2156" s="1" t="s">
        <v>41</v>
      </c>
      <c r="C2156" s="1" t="s">
        <v>16</v>
      </c>
      <c r="D2156" s="1" t="s">
        <v>16</v>
      </c>
      <c r="E2156" s="1" t="s">
        <v>27</v>
      </c>
      <c r="F2156" s="1" t="s">
        <v>29</v>
      </c>
      <c r="G2156" s="1" t="s">
        <v>20</v>
      </c>
      <c r="H2156" t="s">
        <v>30</v>
      </c>
      <c r="I2156" s="1" t="s">
        <v>22</v>
      </c>
      <c r="J2156" s="2">
        <v>43529.372870370367</v>
      </c>
      <c r="K2156" s="2">
        <v>43536.372870370367</v>
      </c>
      <c r="L2156" s="2">
        <v>43533.372870370367</v>
      </c>
      <c r="M2156" s="1">
        <f>_xlfn.DAYS(Table1[[#This Row],[actual_delivery_date]],Table1[[#This Row],[dispatch_date]])</f>
        <v>7</v>
      </c>
      <c r="N2156">
        <v>0</v>
      </c>
      <c r="O2156">
        <f>Table1[[#This Row],[transit_storage_cost]] * (1-'What -if Analysis'!$D$26)</f>
        <v>0</v>
      </c>
      <c r="P2156">
        <v>126</v>
      </c>
      <c r="Q2156">
        <v>1919.128711215368</v>
      </c>
    </row>
    <row r="2157" spans="1:17" x14ac:dyDescent="0.3">
      <c r="A2157">
        <v>374879</v>
      </c>
      <c r="B2157" s="1" t="s">
        <v>15</v>
      </c>
      <c r="C2157" s="1" t="s">
        <v>16</v>
      </c>
      <c r="D2157" s="1" t="s">
        <v>23</v>
      </c>
      <c r="E2157" s="1" t="s">
        <v>28</v>
      </c>
      <c r="F2157" s="1" t="s">
        <v>19</v>
      </c>
      <c r="G2157" s="1" t="s">
        <v>20</v>
      </c>
      <c r="H2157" t="s">
        <v>30</v>
      </c>
      <c r="I2157" s="1" t="s">
        <v>22</v>
      </c>
      <c r="J2157" s="2">
        <v>43531.373287037037</v>
      </c>
      <c r="K2157" s="2">
        <v>43536.373287037037</v>
      </c>
      <c r="L2157" s="2">
        <v>43537.373287037037</v>
      </c>
      <c r="M2157" s="1">
        <f>_xlfn.DAYS(Table1[[#This Row],[actual_delivery_date]],Table1[[#This Row],[dispatch_date]])</f>
        <v>5</v>
      </c>
      <c r="N2157">
        <v>77</v>
      </c>
      <c r="O2157">
        <f>Table1[[#This Row],[transit_storage_cost]] * (1-'What -if Analysis'!$D$26)</f>
        <v>77</v>
      </c>
      <c r="P2157">
        <v>101</v>
      </c>
      <c r="Q2157">
        <v>2806.3310101342431</v>
      </c>
    </row>
    <row r="2158" spans="1:17" x14ac:dyDescent="0.3">
      <c r="A2158">
        <v>240393</v>
      </c>
      <c r="B2158" s="1" t="s">
        <v>39</v>
      </c>
      <c r="C2158" s="1" t="s">
        <v>23</v>
      </c>
      <c r="D2158" s="1" t="s">
        <v>23</v>
      </c>
      <c r="E2158" s="1" t="s">
        <v>28</v>
      </c>
      <c r="F2158" s="1" t="s">
        <v>29</v>
      </c>
      <c r="G2158" s="1" t="s">
        <v>20</v>
      </c>
      <c r="H2158" t="s">
        <v>30</v>
      </c>
      <c r="I2158" s="1" t="s">
        <v>26</v>
      </c>
      <c r="J2158" s="2">
        <v>43536.376944444448</v>
      </c>
      <c r="K2158" s="2">
        <v>43536.376944444448</v>
      </c>
      <c r="L2158" s="2">
        <v>43540.376944444448</v>
      </c>
      <c r="M2158" s="1">
        <f>_xlfn.DAYS(Table1[[#This Row],[actual_delivery_date]],Table1[[#This Row],[dispatch_date]])</f>
        <v>0</v>
      </c>
      <c r="N2158">
        <v>0</v>
      </c>
      <c r="O2158">
        <f>Table1[[#This Row],[transit_storage_cost]] * (1-'What -if Analysis'!$D$26)</f>
        <v>0</v>
      </c>
      <c r="P2158">
        <v>121</v>
      </c>
      <c r="Q2158">
        <v>663.36659058338557</v>
      </c>
    </row>
    <row r="2159" spans="1:17" x14ac:dyDescent="0.3">
      <c r="A2159">
        <v>934152</v>
      </c>
      <c r="B2159" s="1" t="s">
        <v>15</v>
      </c>
      <c r="C2159" s="1" t="s">
        <v>16</v>
      </c>
      <c r="D2159" s="1" t="s">
        <v>24</v>
      </c>
      <c r="E2159" s="1" t="s">
        <v>25</v>
      </c>
      <c r="F2159" s="1" t="s">
        <v>19</v>
      </c>
      <c r="G2159" s="1" t="s">
        <v>20</v>
      </c>
      <c r="H2159" t="s">
        <v>21</v>
      </c>
      <c r="I2159" s="1" t="s">
        <v>26</v>
      </c>
      <c r="J2159" s="2">
        <v>43531.378298611111</v>
      </c>
      <c r="K2159" s="2">
        <v>43536.378298611111</v>
      </c>
      <c r="L2159" s="2">
        <v>43536.378298611111</v>
      </c>
      <c r="M2159" s="1">
        <f>_xlfn.DAYS(Table1[[#This Row],[actual_delivery_date]],Table1[[#This Row],[dispatch_date]])</f>
        <v>5</v>
      </c>
      <c r="N2159">
        <v>36</v>
      </c>
      <c r="O2159">
        <f>Table1[[#This Row],[transit_storage_cost]] * (1-'What -if Analysis'!$D$26)</f>
        <v>36</v>
      </c>
      <c r="P2159">
        <v>123</v>
      </c>
      <c r="Q2159">
        <v>1597</v>
      </c>
    </row>
    <row r="2160" spans="1:17" x14ac:dyDescent="0.3">
      <c r="A2160">
        <v>419255</v>
      </c>
      <c r="B2160" s="1" t="s">
        <v>15</v>
      </c>
      <c r="C2160" s="1" t="s">
        <v>16</v>
      </c>
      <c r="D2160" s="1" t="s">
        <v>32</v>
      </c>
      <c r="E2160" s="1" t="s">
        <v>33</v>
      </c>
      <c r="F2160" s="1" t="s">
        <v>29</v>
      </c>
      <c r="G2160" s="1" t="s">
        <v>20</v>
      </c>
      <c r="H2160" t="s">
        <v>30</v>
      </c>
      <c r="I2160" s="1" t="s">
        <v>22</v>
      </c>
      <c r="J2160" s="2">
        <v>43534.378819444442</v>
      </c>
      <c r="K2160" s="2">
        <v>43536.378819444442</v>
      </c>
      <c r="L2160" s="2">
        <v>43538.378819444442</v>
      </c>
      <c r="M2160" s="1">
        <f>_xlfn.DAYS(Table1[[#This Row],[actual_delivery_date]],Table1[[#This Row],[dispatch_date]])</f>
        <v>2</v>
      </c>
      <c r="N2160">
        <v>28</v>
      </c>
      <c r="O2160">
        <f>Table1[[#This Row],[transit_storage_cost]] * (1-'What -if Analysis'!$D$26)</f>
        <v>28</v>
      </c>
      <c r="P2160">
        <v>105</v>
      </c>
      <c r="Q2160">
        <v>3494</v>
      </c>
    </row>
    <row r="2161" spans="1:17" x14ac:dyDescent="0.3">
      <c r="A2161">
        <v>846960</v>
      </c>
      <c r="B2161" s="1" t="s">
        <v>38</v>
      </c>
      <c r="C2161" s="1" t="s">
        <v>16</v>
      </c>
      <c r="D2161" s="1" t="s">
        <v>16</v>
      </c>
      <c r="E2161" s="1" t="s">
        <v>27</v>
      </c>
      <c r="F2161" s="1" t="s">
        <v>19</v>
      </c>
      <c r="G2161" s="1" t="s">
        <v>20</v>
      </c>
      <c r="H2161" t="s">
        <v>21</v>
      </c>
      <c r="I2161" s="1" t="s">
        <v>26</v>
      </c>
      <c r="J2161" s="2">
        <v>43531.388356481482</v>
      </c>
      <c r="K2161" s="2">
        <v>43536.388356481482</v>
      </c>
      <c r="L2161" s="2">
        <v>43538.388356481482</v>
      </c>
      <c r="M2161" s="1">
        <f>_xlfn.DAYS(Table1[[#This Row],[actual_delivery_date]],Table1[[#This Row],[dispatch_date]])</f>
        <v>5</v>
      </c>
      <c r="N2161">
        <v>0</v>
      </c>
      <c r="O2161">
        <f>Table1[[#This Row],[transit_storage_cost]] * (1-'What -if Analysis'!$D$26)</f>
        <v>0</v>
      </c>
      <c r="P2161">
        <v>122</v>
      </c>
      <c r="Q2161">
        <v>2734</v>
      </c>
    </row>
    <row r="2162" spans="1:17" x14ac:dyDescent="0.3">
      <c r="A2162">
        <v>16308</v>
      </c>
      <c r="B2162" s="1" t="s">
        <v>38</v>
      </c>
      <c r="C2162" s="1" t="s">
        <v>16</v>
      </c>
      <c r="D2162" s="1" t="s">
        <v>23</v>
      </c>
      <c r="E2162" s="1" t="s">
        <v>28</v>
      </c>
      <c r="F2162" s="1" t="s">
        <v>19</v>
      </c>
      <c r="G2162" s="1" t="s">
        <v>20</v>
      </c>
      <c r="H2162" t="s">
        <v>21</v>
      </c>
      <c r="I2162" s="1" t="s">
        <v>26</v>
      </c>
      <c r="J2162" s="2">
        <v>43532.388356481482</v>
      </c>
      <c r="K2162" s="2">
        <v>43536.388356481482</v>
      </c>
      <c r="L2162" s="2">
        <v>43535.388356481482</v>
      </c>
      <c r="M2162" s="1">
        <f>_xlfn.DAYS(Table1[[#This Row],[actual_delivery_date]],Table1[[#This Row],[dispatch_date]])</f>
        <v>4</v>
      </c>
      <c r="N2162">
        <v>50</v>
      </c>
      <c r="O2162">
        <f>Table1[[#This Row],[transit_storage_cost]] * (1-'What -if Analysis'!$D$26)</f>
        <v>50</v>
      </c>
      <c r="P2162">
        <v>127</v>
      </c>
      <c r="Q2162">
        <v>1001</v>
      </c>
    </row>
    <row r="2163" spans="1:17" x14ac:dyDescent="0.3">
      <c r="A2163">
        <v>285232</v>
      </c>
      <c r="B2163" s="1" t="s">
        <v>38</v>
      </c>
      <c r="C2163" s="1" t="s">
        <v>16</v>
      </c>
      <c r="D2163" s="1" t="s">
        <v>24</v>
      </c>
      <c r="E2163" s="1" t="s">
        <v>25</v>
      </c>
      <c r="F2163" s="1" t="s">
        <v>19</v>
      </c>
      <c r="G2163" s="1" t="s">
        <v>20</v>
      </c>
      <c r="H2163" t="s">
        <v>21</v>
      </c>
      <c r="I2163" s="1" t="s">
        <v>22</v>
      </c>
      <c r="J2163" s="2">
        <v>43529.39638888889</v>
      </c>
      <c r="K2163" s="2">
        <v>43536.39638888889</v>
      </c>
      <c r="L2163" s="2">
        <v>43535.39638888889</v>
      </c>
      <c r="M2163" s="1">
        <f>_xlfn.DAYS(Table1[[#This Row],[actual_delivery_date]],Table1[[#This Row],[dispatch_date]])</f>
        <v>7</v>
      </c>
      <c r="N2163">
        <v>71</v>
      </c>
      <c r="O2163">
        <f>Table1[[#This Row],[transit_storage_cost]] * (1-'What -if Analysis'!$D$26)</f>
        <v>71</v>
      </c>
      <c r="P2163">
        <v>106</v>
      </c>
      <c r="Q2163">
        <v>3691.9846204534442</v>
      </c>
    </row>
    <row r="2164" spans="1:17" x14ac:dyDescent="0.3">
      <c r="A2164">
        <v>97849</v>
      </c>
      <c r="B2164" s="1" t="s">
        <v>37</v>
      </c>
      <c r="C2164" s="1" t="s">
        <v>23</v>
      </c>
      <c r="D2164" s="1" t="s">
        <v>24</v>
      </c>
      <c r="E2164" s="1" t="s">
        <v>25</v>
      </c>
      <c r="F2164" s="1" t="s">
        <v>19</v>
      </c>
      <c r="G2164" s="1" t="s">
        <v>20</v>
      </c>
      <c r="H2164" t="s">
        <v>30</v>
      </c>
      <c r="I2164" s="1" t="s">
        <v>22</v>
      </c>
      <c r="J2164" s="2">
        <v>43526.397534722222</v>
      </c>
      <c r="K2164" s="2">
        <v>43536.397534722222</v>
      </c>
      <c r="L2164" s="2">
        <v>43532.397534722222</v>
      </c>
      <c r="M2164" s="1">
        <f>_xlfn.DAYS(Table1[[#This Row],[actual_delivery_date]],Table1[[#This Row],[dispatch_date]])</f>
        <v>10</v>
      </c>
      <c r="N2164">
        <v>67</v>
      </c>
      <c r="O2164">
        <f>Table1[[#This Row],[transit_storage_cost]] * (1-'What -if Analysis'!$D$26)</f>
        <v>67</v>
      </c>
      <c r="P2164">
        <v>106</v>
      </c>
      <c r="Q2164">
        <v>522.59618058487854</v>
      </c>
    </row>
    <row r="2165" spans="1:17" x14ac:dyDescent="0.3">
      <c r="A2165">
        <v>995386</v>
      </c>
      <c r="B2165" s="1" t="s">
        <v>39</v>
      </c>
      <c r="C2165" s="1" t="s">
        <v>16</v>
      </c>
      <c r="D2165" s="1" t="s">
        <v>16</v>
      </c>
      <c r="E2165" s="1" t="s">
        <v>27</v>
      </c>
      <c r="F2165" s="1" t="s">
        <v>31</v>
      </c>
      <c r="G2165" s="1" t="s">
        <v>20</v>
      </c>
      <c r="H2165" t="s">
        <v>21</v>
      </c>
      <c r="I2165" s="1" t="s">
        <v>22</v>
      </c>
      <c r="J2165" s="2">
        <v>43535.401087962964</v>
      </c>
      <c r="K2165" s="2">
        <v>43536.401087962964</v>
      </c>
      <c r="L2165" s="2">
        <v>43541.401087962964</v>
      </c>
      <c r="M2165" s="1">
        <f>_xlfn.DAYS(Table1[[#This Row],[actual_delivery_date]],Table1[[#This Row],[dispatch_date]])</f>
        <v>1</v>
      </c>
      <c r="N2165">
        <v>0</v>
      </c>
      <c r="O2165">
        <f>Table1[[#This Row],[transit_storage_cost]] * (1-'What -if Analysis'!$D$26)</f>
        <v>0</v>
      </c>
      <c r="P2165">
        <v>124</v>
      </c>
      <c r="Q2165">
        <v>2207</v>
      </c>
    </row>
    <row r="2166" spans="1:17" x14ac:dyDescent="0.3">
      <c r="A2166">
        <v>778514</v>
      </c>
      <c r="B2166" s="1" t="s">
        <v>37</v>
      </c>
      <c r="C2166" s="1" t="s">
        <v>16</v>
      </c>
      <c r="D2166" s="1" t="s">
        <v>23</v>
      </c>
      <c r="E2166" s="1" t="s">
        <v>28</v>
      </c>
      <c r="F2166" s="1" t="s">
        <v>31</v>
      </c>
      <c r="G2166" s="1" t="s">
        <v>20</v>
      </c>
      <c r="H2166" t="s">
        <v>21</v>
      </c>
      <c r="I2166" s="1" t="s">
        <v>22</v>
      </c>
      <c r="J2166" s="2">
        <v>43526.401412037034</v>
      </c>
      <c r="K2166" s="2">
        <v>43536.401412037034</v>
      </c>
      <c r="L2166" s="2">
        <v>43532.401412037034</v>
      </c>
      <c r="M2166" s="1">
        <f>_xlfn.DAYS(Table1[[#This Row],[actual_delivery_date]],Table1[[#This Row],[dispatch_date]])</f>
        <v>10</v>
      </c>
      <c r="N2166">
        <v>33</v>
      </c>
      <c r="O2166">
        <f>Table1[[#This Row],[transit_storage_cost]] * (1-'What -if Analysis'!$D$26)</f>
        <v>33</v>
      </c>
      <c r="P2166">
        <v>126</v>
      </c>
      <c r="Q2166">
        <v>3362.5684945406751</v>
      </c>
    </row>
    <row r="2167" spans="1:17" x14ac:dyDescent="0.3">
      <c r="A2167">
        <v>277775</v>
      </c>
      <c r="B2167" s="1" t="s">
        <v>38</v>
      </c>
      <c r="C2167" s="1" t="s">
        <v>23</v>
      </c>
      <c r="D2167" s="1" t="s">
        <v>17</v>
      </c>
      <c r="E2167" s="1" t="s">
        <v>18</v>
      </c>
      <c r="F2167" s="1" t="s">
        <v>29</v>
      </c>
      <c r="G2167" s="1" t="s">
        <v>20</v>
      </c>
      <c r="H2167" t="s">
        <v>30</v>
      </c>
      <c r="I2167" s="1" t="s">
        <v>22</v>
      </c>
      <c r="J2167" s="2">
        <v>43531.406354166669</v>
      </c>
      <c r="K2167" s="2">
        <v>43536.406354166669</v>
      </c>
      <c r="L2167" s="2">
        <v>43536.406354166669</v>
      </c>
      <c r="M2167" s="1">
        <f>_xlfn.DAYS(Table1[[#This Row],[actual_delivery_date]],Table1[[#This Row],[dispatch_date]])</f>
        <v>5</v>
      </c>
      <c r="N2167">
        <v>42</v>
      </c>
      <c r="O2167">
        <f>Table1[[#This Row],[transit_storage_cost]] * (1-'What -if Analysis'!$D$26)</f>
        <v>42</v>
      </c>
      <c r="P2167">
        <v>110</v>
      </c>
      <c r="Q2167">
        <v>1741.2314217292642</v>
      </c>
    </row>
    <row r="2168" spans="1:17" x14ac:dyDescent="0.3">
      <c r="A2168">
        <v>995920</v>
      </c>
      <c r="B2168" s="1" t="s">
        <v>38</v>
      </c>
      <c r="C2168" s="1" t="s">
        <v>23</v>
      </c>
      <c r="D2168" s="1" t="s">
        <v>23</v>
      </c>
      <c r="E2168" s="1" t="s">
        <v>28</v>
      </c>
      <c r="F2168" s="1" t="s">
        <v>19</v>
      </c>
      <c r="G2168" s="1" t="s">
        <v>20</v>
      </c>
      <c r="H2168" t="s">
        <v>21</v>
      </c>
      <c r="I2168" s="1" t="s">
        <v>22</v>
      </c>
      <c r="J2168" s="2">
        <v>43533.411423611113</v>
      </c>
      <c r="K2168" s="2">
        <v>43536.411423611113</v>
      </c>
      <c r="L2168" s="2">
        <v>43538.411423611113</v>
      </c>
      <c r="M2168" s="1">
        <f>_xlfn.DAYS(Table1[[#This Row],[actual_delivery_date]],Table1[[#This Row],[dispatch_date]])</f>
        <v>3</v>
      </c>
      <c r="N2168">
        <v>0</v>
      </c>
      <c r="O2168">
        <f>Table1[[#This Row],[transit_storage_cost]] * (1-'What -if Analysis'!$D$26)</f>
        <v>0</v>
      </c>
      <c r="P2168">
        <v>105</v>
      </c>
      <c r="Q2168">
        <v>1791.9344118424999</v>
      </c>
    </row>
    <row r="2169" spans="1:17" x14ac:dyDescent="0.3">
      <c r="A2169">
        <v>446884</v>
      </c>
      <c r="B2169" s="1" t="s">
        <v>38</v>
      </c>
      <c r="C2169" s="1" t="s">
        <v>23</v>
      </c>
      <c r="D2169" s="1" t="s">
        <v>24</v>
      </c>
      <c r="E2169" s="1" t="s">
        <v>25</v>
      </c>
      <c r="F2169" s="1" t="s">
        <v>19</v>
      </c>
      <c r="G2169" s="1" t="s">
        <v>20</v>
      </c>
      <c r="H2169" t="s">
        <v>21</v>
      </c>
      <c r="I2169" s="1" t="s">
        <v>22</v>
      </c>
      <c r="J2169" s="2">
        <v>43529.413761574076</v>
      </c>
      <c r="K2169" s="2">
        <v>43536.413761574076</v>
      </c>
      <c r="L2169" s="2">
        <v>43534.413761574076</v>
      </c>
      <c r="M2169" s="1">
        <f>_xlfn.DAYS(Table1[[#This Row],[actual_delivery_date]],Table1[[#This Row],[dispatch_date]])</f>
        <v>7</v>
      </c>
      <c r="N2169">
        <v>62</v>
      </c>
      <c r="O2169">
        <f>Table1[[#This Row],[transit_storage_cost]] * (1-'What -if Analysis'!$D$26)</f>
        <v>62</v>
      </c>
      <c r="P2169">
        <v>103</v>
      </c>
      <c r="Q2169">
        <v>1765.0051812858296</v>
      </c>
    </row>
    <row r="2170" spans="1:17" x14ac:dyDescent="0.3">
      <c r="A2170">
        <v>149164</v>
      </c>
      <c r="B2170" s="1" t="s">
        <v>38</v>
      </c>
      <c r="C2170" s="1" t="s">
        <v>23</v>
      </c>
      <c r="D2170" s="1" t="s">
        <v>16</v>
      </c>
      <c r="E2170" s="1" t="s">
        <v>27</v>
      </c>
      <c r="F2170" s="1" t="s">
        <v>19</v>
      </c>
      <c r="G2170" s="1" t="s">
        <v>20</v>
      </c>
      <c r="H2170" t="s">
        <v>21</v>
      </c>
      <c r="I2170" s="1" t="s">
        <v>22</v>
      </c>
      <c r="J2170" s="2">
        <v>43533.414618055554</v>
      </c>
      <c r="K2170" s="2">
        <v>43536.414618055554</v>
      </c>
      <c r="L2170" s="2">
        <v>43540.414618055554</v>
      </c>
      <c r="M2170" s="1">
        <f>_xlfn.DAYS(Table1[[#This Row],[actual_delivery_date]],Table1[[#This Row],[dispatch_date]])</f>
        <v>3</v>
      </c>
      <c r="N2170">
        <v>48</v>
      </c>
      <c r="O2170">
        <f>Table1[[#This Row],[transit_storage_cost]] * (1-'What -if Analysis'!$D$26)</f>
        <v>48</v>
      </c>
      <c r="P2170">
        <v>121</v>
      </c>
      <c r="Q2170">
        <v>2056.1557593988264</v>
      </c>
    </row>
    <row r="2171" spans="1:17" x14ac:dyDescent="0.3">
      <c r="A2171">
        <v>802010</v>
      </c>
      <c r="B2171" s="1" t="s">
        <v>41</v>
      </c>
      <c r="C2171" s="1" t="s">
        <v>16</v>
      </c>
      <c r="D2171" s="1" t="s">
        <v>32</v>
      </c>
      <c r="E2171" s="1" t="s">
        <v>33</v>
      </c>
      <c r="F2171" s="1" t="s">
        <v>31</v>
      </c>
      <c r="G2171" s="1" t="s">
        <v>20</v>
      </c>
      <c r="H2171" t="s">
        <v>21</v>
      </c>
      <c r="I2171" s="1" t="s">
        <v>22</v>
      </c>
      <c r="J2171" s="2">
        <v>43534.41673611111</v>
      </c>
      <c r="K2171" s="2">
        <v>43536.41673611111</v>
      </c>
      <c r="L2171" s="2">
        <v>43541.41673611111</v>
      </c>
      <c r="M2171" s="1">
        <f>_xlfn.DAYS(Table1[[#This Row],[actual_delivery_date]],Table1[[#This Row],[dispatch_date]])</f>
        <v>2</v>
      </c>
      <c r="N2171">
        <v>38</v>
      </c>
      <c r="O2171">
        <f>Table1[[#This Row],[transit_storage_cost]] * (1-'What -if Analysis'!$D$26)</f>
        <v>38</v>
      </c>
      <c r="P2171">
        <v>110</v>
      </c>
      <c r="Q2171">
        <v>1204.9798922483235</v>
      </c>
    </row>
    <row r="2172" spans="1:17" x14ac:dyDescent="0.3">
      <c r="A2172">
        <v>631059</v>
      </c>
      <c r="B2172" s="1" t="s">
        <v>37</v>
      </c>
      <c r="C2172" s="1" t="s">
        <v>23</v>
      </c>
      <c r="D2172" s="1" t="s">
        <v>17</v>
      </c>
      <c r="E2172" s="1" t="s">
        <v>18</v>
      </c>
      <c r="F2172" s="1" t="s">
        <v>29</v>
      </c>
      <c r="G2172" s="1" t="s">
        <v>20</v>
      </c>
      <c r="H2172" t="s">
        <v>30</v>
      </c>
      <c r="I2172" s="1" t="s">
        <v>26</v>
      </c>
      <c r="J2172" s="2">
        <v>43528.418171296296</v>
      </c>
      <c r="K2172" s="2">
        <v>43536.418171296296</v>
      </c>
      <c r="L2172" s="2">
        <v>43532.418171296296</v>
      </c>
      <c r="M2172" s="1">
        <f>_xlfn.DAYS(Table1[[#This Row],[actual_delivery_date]],Table1[[#This Row],[dispatch_date]])</f>
        <v>8</v>
      </c>
      <c r="N2172">
        <v>40</v>
      </c>
      <c r="O2172">
        <f>Table1[[#This Row],[transit_storage_cost]] * (1-'What -if Analysis'!$D$26)</f>
        <v>40</v>
      </c>
      <c r="P2172">
        <v>112</v>
      </c>
      <c r="Q2172">
        <v>3430.06</v>
      </c>
    </row>
    <row r="2173" spans="1:17" x14ac:dyDescent="0.3">
      <c r="A2173">
        <v>477243</v>
      </c>
      <c r="B2173" s="1" t="s">
        <v>38</v>
      </c>
      <c r="C2173" s="1" t="s">
        <v>16</v>
      </c>
      <c r="D2173" s="1" t="s">
        <v>16</v>
      </c>
      <c r="E2173" s="1" t="s">
        <v>27</v>
      </c>
      <c r="F2173" s="1" t="s">
        <v>29</v>
      </c>
      <c r="G2173" s="1" t="s">
        <v>20</v>
      </c>
      <c r="H2173" t="s">
        <v>30</v>
      </c>
      <c r="I2173" s="1" t="s">
        <v>26</v>
      </c>
      <c r="J2173" s="2">
        <v>43532.424178240741</v>
      </c>
      <c r="K2173" s="2">
        <v>43536.424178240741</v>
      </c>
      <c r="L2173" s="2">
        <v>43536.424178240741</v>
      </c>
      <c r="M2173" s="1">
        <f>_xlfn.DAYS(Table1[[#This Row],[actual_delivery_date]],Table1[[#This Row],[dispatch_date]])</f>
        <v>4</v>
      </c>
      <c r="N2173">
        <v>0</v>
      </c>
      <c r="O2173">
        <f>Table1[[#This Row],[transit_storage_cost]] * (1-'What -if Analysis'!$D$26)</f>
        <v>0</v>
      </c>
      <c r="P2173">
        <v>128</v>
      </c>
      <c r="Q2173">
        <v>1493.0590724931481</v>
      </c>
    </row>
    <row r="2174" spans="1:17" x14ac:dyDescent="0.3">
      <c r="A2174">
        <v>618784</v>
      </c>
      <c r="B2174" s="1" t="s">
        <v>37</v>
      </c>
      <c r="C2174" s="1" t="s">
        <v>16</v>
      </c>
      <c r="D2174" s="1" t="s">
        <v>32</v>
      </c>
      <c r="E2174" s="1" t="s">
        <v>33</v>
      </c>
      <c r="F2174" s="1" t="s">
        <v>19</v>
      </c>
      <c r="G2174" s="1" t="s">
        <v>20</v>
      </c>
      <c r="H2174" t="s">
        <v>21</v>
      </c>
      <c r="I2174" s="1" t="s">
        <v>22</v>
      </c>
      <c r="J2174" s="2">
        <v>43531.424375000002</v>
      </c>
      <c r="K2174" s="2">
        <v>43536.424375000002</v>
      </c>
      <c r="L2174" s="2">
        <v>43538.424375000002</v>
      </c>
      <c r="M2174" s="1">
        <f>_xlfn.DAYS(Table1[[#This Row],[actual_delivery_date]],Table1[[#This Row],[dispatch_date]])</f>
        <v>5</v>
      </c>
      <c r="N2174">
        <v>49</v>
      </c>
      <c r="O2174">
        <f>Table1[[#This Row],[transit_storage_cost]] * (1-'What -if Analysis'!$D$26)</f>
        <v>49</v>
      </c>
      <c r="P2174">
        <v>106</v>
      </c>
      <c r="Q2174">
        <v>3574.1731685517111</v>
      </c>
    </row>
    <row r="2175" spans="1:17" x14ac:dyDescent="0.3">
      <c r="A2175">
        <v>356421</v>
      </c>
      <c r="B2175" s="1" t="s">
        <v>41</v>
      </c>
      <c r="C2175" s="1" t="s">
        <v>16</v>
      </c>
      <c r="D2175" s="1" t="s">
        <v>32</v>
      </c>
      <c r="E2175" s="1" t="s">
        <v>33</v>
      </c>
      <c r="F2175" s="1" t="s">
        <v>29</v>
      </c>
      <c r="G2175" s="1" t="s">
        <v>20</v>
      </c>
      <c r="H2175" t="s">
        <v>30</v>
      </c>
      <c r="I2175" s="1" t="s">
        <v>26</v>
      </c>
      <c r="J2175" s="2">
        <v>43529.424988425926</v>
      </c>
      <c r="K2175" s="2">
        <v>43536.424988425926</v>
      </c>
      <c r="L2175" s="2">
        <v>43534.424988425926</v>
      </c>
      <c r="M2175" s="1">
        <f>_xlfn.DAYS(Table1[[#This Row],[actual_delivery_date]],Table1[[#This Row],[dispatch_date]])</f>
        <v>7</v>
      </c>
      <c r="N2175">
        <v>48</v>
      </c>
      <c r="O2175">
        <f>Table1[[#This Row],[transit_storage_cost]] * (1-'What -if Analysis'!$D$26)</f>
        <v>48</v>
      </c>
      <c r="P2175">
        <v>112</v>
      </c>
      <c r="Q2175">
        <v>2695.99</v>
      </c>
    </row>
    <row r="2176" spans="1:17" x14ac:dyDescent="0.3">
      <c r="A2176">
        <v>676812</v>
      </c>
      <c r="B2176" s="1" t="s">
        <v>38</v>
      </c>
      <c r="C2176" s="1" t="s">
        <v>16</v>
      </c>
      <c r="D2176" s="1" t="s">
        <v>32</v>
      </c>
      <c r="E2176" s="1" t="s">
        <v>33</v>
      </c>
      <c r="F2176" s="1" t="s">
        <v>19</v>
      </c>
      <c r="G2176" s="1" t="s">
        <v>20</v>
      </c>
      <c r="H2176" t="s">
        <v>21</v>
      </c>
      <c r="I2176" s="1" t="s">
        <v>26</v>
      </c>
      <c r="J2176" s="2">
        <v>43528.426018518519</v>
      </c>
      <c r="K2176" s="2">
        <v>43536.426018518519</v>
      </c>
      <c r="L2176" s="2">
        <v>43531.426018518519</v>
      </c>
      <c r="M2176" s="1">
        <f>_xlfn.DAYS(Table1[[#This Row],[actual_delivery_date]],Table1[[#This Row],[dispatch_date]])</f>
        <v>8</v>
      </c>
      <c r="N2176">
        <v>62</v>
      </c>
      <c r="O2176">
        <f>Table1[[#This Row],[transit_storage_cost]] * (1-'What -if Analysis'!$D$26)</f>
        <v>62</v>
      </c>
      <c r="P2176">
        <v>86</v>
      </c>
      <c r="Q2176">
        <v>728.24</v>
      </c>
    </row>
    <row r="2177" spans="1:17" x14ac:dyDescent="0.3">
      <c r="A2177">
        <v>543790</v>
      </c>
      <c r="B2177" s="1" t="s">
        <v>37</v>
      </c>
      <c r="C2177" s="1" t="s">
        <v>16</v>
      </c>
      <c r="D2177" s="1" t="s">
        <v>24</v>
      </c>
      <c r="E2177" s="1" t="s">
        <v>25</v>
      </c>
      <c r="F2177" s="1" t="s">
        <v>31</v>
      </c>
      <c r="G2177" s="1" t="s">
        <v>20</v>
      </c>
      <c r="H2177" t="s">
        <v>21</v>
      </c>
      <c r="I2177" s="1" t="s">
        <v>22</v>
      </c>
      <c r="J2177" s="2">
        <v>43533.426574074074</v>
      </c>
      <c r="K2177" s="2">
        <v>43536.426574074074</v>
      </c>
      <c r="L2177" s="2">
        <v>43539.426574074074</v>
      </c>
      <c r="M2177" s="1">
        <f>_xlfn.DAYS(Table1[[#This Row],[actual_delivery_date]],Table1[[#This Row],[dispatch_date]])</f>
        <v>3</v>
      </c>
      <c r="N2177">
        <v>46</v>
      </c>
      <c r="O2177">
        <f>Table1[[#This Row],[transit_storage_cost]] * (1-'What -if Analysis'!$D$26)</f>
        <v>46</v>
      </c>
      <c r="P2177">
        <v>121</v>
      </c>
      <c r="Q2177">
        <v>2815</v>
      </c>
    </row>
    <row r="2178" spans="1:17" x14ac:dyDescent="0.3">
      <c r="A2178">
        <v>351175</v>
      </c>
      <c r="B2178" s="1" t="s">
        <v>39</v>
      </c>
      <c r="C2178" s="1" t="s">
        <v>23</v>
      </c>
      <c r="D2178" s="1" t="s">
        <v>24</v>
      </c>
      <c r="E2178" s="1" t="s">
        <v>25</v>
      </c>
      <c r="F2178" s="1" t="s">
        <v>19</v>
      </c>
      <c r="G2178" s="1" t="s">
        <v>20</v>
      </c>
      <c r="H2178" t="s">
        <v>30</v>
      </c>
      <c r="I2178" s="1" t="s">
        <v>22</v>
      </c>
      <c r="J2178" s="2">
        <v>43530.426874999997</v>
      </c>
      <c r="K2178" s="2">
        <v>43536.426874999997</v>
      </c>
      <c r="L2178" s="2">
        <v>43536.426874999997</v>
      </c>
      <c r="M2178" s="1">
        <f>_xlfn.DAYS(Table1[[#This Row],[actual_delivery_date]],Table1[[#This Row],[dispatch_date]])</f>
        <v>6</v>
      </c>
      <c r="N2178">
        <v>83</v>
      </c>
      <c r="O2178">
        <f>Table1[[#This Row],[transit_storage_cost]] * (1-'What -if Analysis'!$D$26)</f>
        <v>83</v>
      </c>
      <c r="P2178">
        <v>107</v>
      </c>
      <c r="Q2178">
        <v>3702.8621370771289</v>
      </c>
    </row>
    <row r="2179" spans="1:17" x14ac:dyDescent="0.3">
      <c r="A2179">
        <v>865298</v>
      </c>
      <c r="B2179" s="1" t="s">
        <v>39</v>
      </c>
      <c r="C2179" s="1" t="s">
        <v>16</v>
      </c>
      <c r="D2179" s="1" t="s">
        <v>16</v>
      </c>
      <c r="E2179" s="1" t="s">
        <v>27</v>
      </c>
      <c r="F2179" s="1" t="s">
        <v>19</v>
      </c>
      <c r="G2179" s="1" t="s">
        <v>20</v>
      </c>
      <c r="H2179" t="s">
        <v>21</v>
      </c>
      <c r="I2179" s="1" t="s">
        <v>22</v>
      </c>
      <c r="J2179" s="2">
        <v>43536.436273148145</v>
      </c>
      <c r="K2179" s="2">
        <v>43536.436273148145</v>
      </c>
      <c r="L2179" s="2">
        <v>43541.436273148145</v>
      </c>
      <c r="M2179" s="1">
        <f>_xlfn.DAYS(Table1[[#This Row],[actual_delivery_date]],Table1[[#This Row],[dispatch_date]])</f>
        <v>0</v>
      </c>
      <c r="N2179">
        <v>0</v>
      </c>
      <c r="O2179">
        <f>Table1[[#This Row],[transit_storage_cost]] * (1-'What -if Analysis'!$D$26)</f>
        <v>0</v>
      </c>
      <c r="P2179">
        <v>107</v>
      </c>
      <c r="Q2179">
        <v>2421.5130069800466</v>
      </c>
    </row>
    <row r="2180" spans="1:17" x14ac:dyDescent="0.3">
      <c r="A2180">
        <v>85653</v>
      </c>
      <c r="B2180" s="1" t="s">
        <v>39</v>
      </c>
      <c r="C2180" s="1" t="s">
        <v>23</v>
      </c>
      <c r="D2180" s="1" t="s">
        <v>23</v>
      </c>
      <c r="E2180" s="1" t="s">
        <v>28</v>
      </c>
      <c r="F2180" s="1" t="s">
        <v>29</v>
      </c>
      <c r="G2180" s="1" t="s">
        <v>20</v>
      </c>
      <c r="H2180" t="s">
        <v>30</v>
      </c>
      <c r="I2180" s="1" t="s">
        <v>26</v>
      </c>
      <c r="J2180" s="2">
        <v>43534.436608796299</v>
      </c>
      <c r="K2180" s="2">
        <v>43536.436608796299</v>
      </c>
      <c r="L2180" s="2">
        <v>43539.436608796299</v>
      </c>
      <c r="M2180" s="1">
        <f>_xlfn.DAYS(Table1[[#This Row],[actual_delivery_date]],Table1[[#This Row],[dispatch_date]])</f>
        <v>2</v>
      </c>
      <c r="N2180">
        <v>0</v>
      </c>
      <c r="O2180">
        <f>Table1[[#This Row],[transit_storage_cost]] * (1-'What -if Analysis'!$D$26)</f>
        <v>0</v>
      </c>
      <c r="P2180">
        <v>127</v>
      </c>
      <c r="Q2180">
        <v>2896.6179815143378</v>
      </c>
    </row>
    <row r="2181" spans="1:17" x14ac:dyDescent="0.3">
      <c r="A2181">
        <v>787763</v>
      </c>
      <c r="B2181" s="1" t="s">
        <v>39</v>
      </c>
      <c r="C2181" s="1" t="s">
        <v>23</v>
      </c>
      <c r="D2181" s="1" t="s">
        <v>16</v>
      </c>
      <c r="E2181" s="1" t="s">
        <v>27</v>
      </c>
      <c r="F2181" s="1" t="s">
        <v>19</v>
      </c>
      <c r="G2181" s="1" t="s">
        <v>20</v>
      </c>
      <c r="H2181" t="s">
        <v>30</v>
      </c>
      <c r="I2181" s="1" t="s">
        <v>22</v>
      </c>
      <c r="J2181" s="2">
        <v>43534.44017361111</v>
      </c>
      <c r="K2181" s="2">
        <v>43536.44017361111</v>
      </c>
      <c r="L2181" s="2">
        <v>43538.44017361111</v>
      </c>
      <c r="M2181" s="1">
        <f>_xlfn.DAYS(Table1[[#This Row],[actual_delivery_date]],Table1[[#This Row],[dispatch_date]])</f>
        <v>2</v>
      </c>
      <c r="N2181">
        <v>78</v>
      </c>
      <c r="O2181">
        <f>Table1[[#This Row],[transit_storage_cost]] * (1-'What -if Analysis'!$D$26)</f>
        <v>78</v>
      </c>
      <c r="P2181">
        <v>108</v>
      </c>
      <c r="Q2181">
        <v>690.86730899728491</v>
      </c>
    </row>
    <row r="2182" spans="1:17" x14ac:dyDescent="0.3">
      <c r="A2182">
        <v>753083</v>
      </c>
      <c r="B2182" s="1" t="s">
        <v>37</v>
      </c>
      <c r="C2182" s="1" t="s">
        <v>23</v>
      </c>
      <c r="D2182" s="1" t="s">
        <v>17</v>
      </c>
      <c r="E2182" s="1" t="s">
        <v>18</v>
      </c>
      <c r="F2182" s="1" t="s">
        <v>29</v>
      </c>
      <c r="G2182" s="1" t="s">
        <v>20</v>
      </c>
      <c r="H2182" t="s">
        <v>30</v>
      </c>
      <c r="I2182" s="1" t="s">
        <v>22</v>
      </c>
      <c r="J2182" s="2">
        <v>43528.443981481483</v>
      </c>
      <c r="K2182" s="2">
        <v>43536.443981481483</v>
      </c>
      <c r="L2182" s="2">
        <v>43531.443981481483</v>
      </c>
      <c r="M2182" s="1">
        <f>_xlfn.DAYS(Table1[[#This Row],[actual_delivery_date]],Table1[[#This Row],[dispatch_date]])</f>
        <v>8</v>
      </c>
      <c r="N2182">
        <v>30</v>
      </c>
      <c r="O2182">
        <f>Table1[[#This Row],[transit_storage_cost]] * (1-'What -if Analysis'!$D$26)</f>
        <v>30</v>
      </c>
      <c r="P2182">
        <v>111</v>
      </c>
      <c r="Q2182">
        <v>2322.9088385420341</v>
      </c>
    </row>
    <row r="2183" spans="1:17" x14ac:dyDescent="0.3">
      <c r="A2183">
        <v>705161</v>
      </c>
      <c r="B2183" s="1" t="s">
        <v>38</v>
      </c>
      <c r="C2183" s="1" t="s">
        <v>23</v>
      </c>
      <c r="D2183" s="1" t="s">
        <v>16</v>
      </c>
      <c r="E2183" s="1" t="s">
        <v>27</v>
      </c>
      <c r="F2183" s="1" t="s">
        <v>19</v>
      </c>
      <c r="G2183" s="1" t="s">
        <v>20</v>
      </c>
      <c r="H2183" t="s">
        <v>30</v>
      </c>
      <c r="I2183" s="1" t="s">
        <v>22</v>
      </c>
      <c r="J2183" s="2">
        <v>43534.448159722226</v>
      </c>
      <c r="K2183" s="2">
        <v>43536.448159722226</v>
      </c>
      <c r="L2183" s="2">
        <v>43538.448159722226</v>
      </c>
      <c r="M2183" s="1">
        <f>_xlfn.DAYS(Table1[[#This Row],[actual_delivery_date]],Table1[[#This Row],[dispatch_date]])</f>
        <v>2</v>
      </c>
      <c r="N2183">
        <v>66</v>
      </c>
      <c r="O2183">
        <f>Table1[[#This Row],[transit_storage_cost]] * (1-'What -if Analysis'!$D$26)</f>
        <v>66</v>
      </c>
      <c r="P2183">
        <v>107</v>
      </c>
      <c r="Q2183">
        <v>334</v>
      </c>
    </row>
    <row r="2184" spans="1:17" x14ac:dyDescent="0.3">
      <c r="A2184">
        <v>188301</v>
      </c>
      <c r="B2184" s="1" t="s">
        <v>41</v>
      </c>
      <c r="C2184" s="1" t="s">
        <v>16</v>
      </c>
      <c r="D2184" s="1" t="s">
        <v>32</v>
      </c>
      <c r="E2184" s="1" t="s">
        <v>33</v>
      </c>
      <c r="F2184" s="1" t="s">
        <v>29</v>
      </c>
      <c r="G2184" s="1" t="s">
        <v>20</v>
      </c>
      <c r="H2184" t="s">
        <v>30</v>
      </c>
      <c r="I2184" s="1" t="s">
        <v>26</v>
      </c>
      <c r="J2184" s="2">
        <v>43534.456666666665</v>
      </c>
      <c r="K2184" s="2">
        <v>43536.456666666665</v>
      </c>
      <c r="L2184" s="2">
        <v>43538.456666666665</v>
      </c>
      <c r="M2184" s="1">
        <f>_xlfn.DAYS(Table1[[#This Row],[actual_delivery_date]],Table1[[#This Row],[dispatch_date]])</f>
        <v>2</v>
      </c>
      <c r="N2184">
        <v>46</v>
      </c>
      <c r="O2184">
        <f>Table1[[#This Row],[transit_storage_cost]] * (1-'What -if Analysis'!$D$26)</f>
        <v>46</v>
      </c>
      <c r="P2184">
        <v>111</v>
      </c>
      <c r="Q2184">
        <v>1525</v>
      </c>
    </row>
    <row r="2185" spans="1:17" x14ac:dyDescent="0.3">
      <c r="A2185">
        <v>90895</v>
      </c>
      <c r="B2185" s="1" t="s">
        <v>38</v>
      </c>
      <c r="C2185" s="1" t="s">
        <v>16</v>
      </c>
      <c r="D2185" s="1" t="s">
        <v>17</v>
      </c>
      <c r="E2185" s="1" t="s">
        <v>18</v>
      </c>
      <c r="F2185" s="1" t="s">
        <v>29</v>
      </c>
      <c r="G2185" s="1" t="s">
        <v>20</v>
      </c>
      <c r="H2185" t="s">
        <v>34</v>
      </c>
      <c r="I2185" s="1" t="s">
        <v>22</v>
      </c>
      <c r="J2185" s="2">
        <v>43531.459016203706</v>
      </c>
      <c r="K2185" s="2">
        <v>43536.459016203706</v>
      </c>
      <c r="L2185" s="2">
        <v>43535.459016203706</v>
      </c>
      <c r="M2185" s="1">
        <f>_xlfn.DAYS(Table1[[#This Row],[actual_delivery_date]],Table1[[#This Row],[dispatch_date]])</f>
        <v>5</v>
      </c>
      <c r="N2185">
        <v>28</v>
      </c>
      <c r="O2185">
        <f>Table1[[#This Row],[transit_storage_cost]] * (1-'What -if Analysis'!$D$26)</f>
        <v>28</v>
      </c>
      <c r="P2185">
        <v>107</v>
      </c>
      <c r="Q2185">
        <v>3102</v>
      </c>
    </row>
    <row r="2186" spans="1:17" x14ac:dyDescent="0.3">
      <c r="A2186">
        <v>727970</v>
      </c>
      <c r="B2186" s="1" t="s">
        <v>39</v>
      </c>
      <c r="C2186" s="1" t="s">
        <v>23</v>
      </c>
      <c r="D2186" s="1" t="s">
        <v>16</v>
      </c>
      <c r="E2186" s="1" t="s">
        <v>27</v>
      </c>
      <c r="F2186" s="1" t="s">
        <v>31</v>
      </c>
      <c r="G2186" s="1" t="s">
        <v>20</v>
      </c>
      <c r="H2186" t="s">
        <v>21</v>
      </c>
      <c r="I2186" s="1" t="s">
        <v>22</v>
      </c>
      <c r="J2186" s="2">
        <v>43531.460023148145</v>
      </c>
      <c r="K2186" s="2">
        <v>43536.460023148145</v>
      </c>
      <c r="L2186" s="2">
        <v>43535.460023148145</v>
      </c>
      <c r="M2186" s="1">
        <f>_xlfn.DAYS(Table1[[#This Row],[actual_delivery_date]],Table1[[#This Row],[dispatch_date]])</f>
        <v>5</v>
      </c>
      <c r="N2186">
        <v>40</v>
      </c>
      <c r="O2186">
        <f>Table1[[#This Row],[transit_storage_cost]] * (1-'What -if Analysis'!$D$26)</f>
        <v>40</v>
      </c>
      <c r="P2186">
        <v>124</v>
      </c>
      <c r="Q2186">
        <v>3490.7701870033557</v>
      </c>
    </row>
    <row r="2187" spans="1:17" x14ac:dyDescent="0.3">
      <c r="A2187">
        <v>876003</v>
      </c>
      <c r="B2187" s="1" t="s">
        <v>37</v>
      </c>
      <c r="C2187" s="1" t="s">
        <v>16</v>
      </c>
      <c r="D2187" s="1" t="s">
        <v>16</v>
      </c>
      <c r="E2187" s="1" t="s">
        <v>27</v>
      </c>
      <c r="F2187" s="1" t="s">
        <v>19</v>
      </c>
      <c r="G2187" s="1" t="s">
        <v>20</v>
      </c>
      <c r="H2187" t="s">
        <v>30</v>
      </c>
      <c r="I2187" s="1" t="s">
        <v>26</v>
      </c>
      <c r="J2187" s="2">
        <v>43531.464166666665</v>
      </c>
      <c r="K2187" s="2">
        <v>43536.464166666665</v>
      </c>
      <c r="L2187" s="2">
        <v>43534.464166666665</v>
      </c>
      <c r="M2187" s="1">
        <f>_xlfn.DAYS(Table1[[#This Row],[actual_delivery_date]],Table1[[#This Row],[dispatch_date]])</f>
        <v>5</v>
      </c>
      <c r="N2187">
        <v>0</v>
      </c>
      <c r="O2187">
        <f>Table1[[#This Row],[transit_storage_cost]] * (1-'What -if Analysis'!$D$26)</f>
        <v>0</v>
      </c>
      <c r="P2187">
        <v>106</v>
      </c>
      <c r="Q2187">
        <v>1230</v>
      </c>
    </row>
    <row r="2188" spans="1:17" x14ac:dyDescent="0.3">
      <c r="A2188">
        <v>670188</v>
      </c>
      <c r="B2188" s="1" t="s">
        <v>15</v>
      </c>
      <c r="C2188" s="1" t="s">
        <v>16</v>
      </c>
      <c r="D2188" s="1" t="s">
        <v>23</v>
      </c>
      <c r="E2188" s="1" t="s">
        <v>28</v>
      </c>
      <c r="F2188" s="1" t="s">
        <v>19</v>
      </c>
      <c r="G2188" s="1" t="s">
        <v>20</v>
      </c>
      <c r="H2188" t="s">
        <v>21</v>
      </c>
      <c r="I2188" s="1" t="s">
        <v>26</v>
      </c>
      <c r="J2188" s="2">
        <v>43532.465960648151</v>
      </c>
      <c r="K2188" s="2">
        <v>43536.465960648151</v>
      </c>
      <c r="L2188" s="2">
        <v>43536.465960648151</v>
      </c>
      <c r="M2188" s="1">
        <f>_xlfn.DAYS(Table1[[#This Row],[actual_delivery_date]],Table1[[#This Row],[dispatch_date]])</f>
        <v>4</v>
      </c>
      <c r="N2188">
        <v>63</v>
      </c>
      <c r="O2188">
        <f>Table1[[#This Row],[transit_storage_cost]] * (1-'What -if Analysis'!$D$26)</f>
        <v>63</v>
      </c>
      <c r="P2188">
        <v>108</v>
      </c>
      <c r="Q2188">
        <v>2293.1815258242964</v>
      </c>
    </row>
    <row r="2189" spans="1:17" x14ac:dyDescent="0.3">
      <c r="A2189">
        <v>10346</v>
      </c>
      <c r="B2189" s="1" t="s">
        <v>38</v>
      </c>
      <c r="C2189" s="1" t="s">
        <v>16</v>
      </c>
      <c r="D2189" s="1" t="s">
        <v>16</v>
      </c>
      <c r="E2189" s="1" t="s">
        <v>27</v>
      </c>
      <c r="F2189" s="1" t="s">
        <v>31</v>
      </c>
      <c r="G2189" s="1" t="s">
        <v>20</v>
      </c>
      <c r="H2189" t="s">
        <v>21</v>
      </c>
      <c r="I2189" s="1" t="s">
        <v>22</v>
      </c>
      <c r="J2189" s="2">
        <v>43532.467013888891</v>
      </c>
      <c r="K2189" s="2">
        <v>43536.467013888891</v>
      </c>
      <c r="L2189" s="2">
        <v>43539.467013888891</v>
      </c>
      <c r="M2189" s="1">
        <f>_xlfn.DAYS(Table1[[#This Row],[actual_delivery_date]],Table1[[#This Row],[dispatch_date]])</f>
        <v>4</v>
      </c>
      <c r="N2189">
        <v>0</v>
      </c>
      <c r="O2189">
        <f>Table1[[#This Row],[transit_storage_cost]] * (1-'What -if Analysis'!$D$26)</f>
        <v>0</v>
      </c>
      <c r="P2189">
        <v>123</v>
      </c>
      <c r="Q2189">
        <v>3191.4606122047435</v>
      </c>
    </row>
    <row r="2190" spans="1:17" x14ac:dyDescent="0.3">
      <c r="A2190">
        <v>350898</v>
      </c>
      <c r="B2190" s="1" t="s">
        <v>38</v>
      </c>
      <c r="C2190" s="1" t="s">
        <v>23</v>
      </c>
      <c r="D2190" s="1" t="s">
        <v>32</v>
      </c>
      <c r="E2190" s="1" t="s">
        <v>33</v>
      </c>
      <c r="F2190" s="1" t="s">
        <v>31</v>
      </c>
      <c r="G2190" s="1" t="s">
        <v>20</v>
      </c>
      <c r="H2190" t="s">
        <v>21</v>
      </c>
      <c r="I2190" s="1" t="s">
        <v>26</v>
      </c>
      <c r="J2190" s="2">
        <v>43531.468680555554</v>
      </c>
      <c r="K2190" s="2">
        <v>43536.468680555554</v>
      </c>
      <c r="L2190" s="2">
        <v>43536.468680555554</v>
      </c>
      <c r="M2190" s="1">
        <f>_xlfn.DAYS(Table1[[#This Row],[actual_delivery_date]],Table1[[#This Row],[dispatch_date]])</f>
        <v>5</v>
      </c>
      <c r="N2190">
        <v>33</v>
      </c>
      <c r="O2190">
        <f>Table1[[#This Row],[transit_storage_cost]] * (1-'What -if Analysis'!$D$26)</f>
        <v>33</v>
      </c>
      <c r="P2190">
        <v>107</v>
      </c>
      <c r="Q2190">
        <v>1599.9731436205873</v>
      </c>
    </row>
    <row r="2191" spans="1:17" x14ac:dyDescent="0.3">
      <c r="A2191">
        <v>945804</v>
      </c>
      <c r="B2191" s="1" t="s">
        <v>39</v>
      </c>
      <c r="C2191" s="1" t="s">
        <v>23</v>
      </c>
      <c r="D2191" s="1" t="s">
        <v>23</v>
      </c>
      <c r="E2191" s="1" t="s">
        <v>28</v>
      </c>
      <c r="F2191" s="1" t="s">
        <v>19</v>
      </c>
      <c r="G2191" s="1" t="s">
        <v>20</v>
      </c>
      <c r="H2191" t="s">
        <v>21</v>
      </c>
      <c r="I2191" s="1" t="s">
        <v>26</v>
      </c>
      <c r="J2191" s="2">
        <v>43534.469687500001</v>
      </c>
      <c r="K2191" s="2">
        <v>43536.469687500001</v>
      </c>
      <c r="L2191" s="2">
        <v>43539.469687500001</v>
      </c>
      <c r="M2191" s="1">
        <f>_xlfn.DAYS(Table1[[#This Row],[actual_delivery_date]],Table1[[#This Row],[dispatch_date]])</f>
        <v>2</v>
      </c>
      <c r="N2191">
        <v>0</v>
      </c>
      <c r="O2191">
        <f>Table1[[#This Row],[transit_storage_cost]] * (1-'What -if Analysis'!$D$26)</f>
        <v>0</v>
      </c>
      <c r="P2191">
        <v>126</v>
      </c>
      <c r="Q2191">
        <v>1930</v>
      </c>
    </row>
    <row r="2192" spans="1:17" x14ac:dyDescent="0.3">
      <c r="A2192">
        <v>39978</v>
      </c>
      <c r="B2192" s="1" t="s">
        <v>39</v>
      </c>
      <c r="C2192" s="1" t="s">
        <v>16</v>
      </c>
      <c r="D2192" s="1" t="s">
        <v>32</v>
      </c>
      <c r="E2192" s="1" t="s">
        <v>33</v>
      </c>
      <c r="F2192" s="1" t="s">
        <v>19</v>
      </c>
      <c r="G2192" s="1" t="s">
        <v>20</v>
      </c>
      <c r="H2192" t="s">
        <v>21</v>
      </c>
      <c r="I2192" s="1" t="s">
        <v>26</v>
      </c>
      <c r="J2192" s="2">
        <v>43530.491863425923</v>
      </c>
      <c r="K2192" s="2">
        <v>43536.491863425923</v>
      </c>
      <c r="L2192" s="2">
        <v>43537.491863425923</v>
      </c>
      <c r="M2192" s="1">
        <f>_xlfn.DAYS(Table1[[#This Row],[actual_delivery_date]],Table1[[#This Row],[dispatch_date]])</f>
        <v>6</v>
      </c>
      <c r="N2192">
        <v>66</v>
      </c>
      <c r="O2192">
        <f>Table1[[#This Row],[transit_storage_cost]] * (1-'What -if Analysis'!$D$26)</f>
        <v>66</v>
      </c>
      <c r="P2192">
        <v>90</v>
      </c>
      <c r="Q2192">
        <v>2211</v>
      </c>
    </row>
    <row r="2193" spans="1:17" x14ac:dyDescent="0.3">
      <c r="A2193">
        <v>191683</v>
      </c>
      <c r="B2193" s="1" t="s">
        <v>37</v>
      </c>
      <c r="C2193" s="1" t="s">
        <v>16</v>
      </c>
      <c r="D2193" s="1" t="s">
        <v>32</v>
      </c>
      <c r="E2193" s="1" t="s">
        <v>33</v>
      </c>
      <c r="F2193" s="1" t="s">
        <v>29</v>
      </c>
      <c r="G2193" s="1" t="s">
        <v>20</v>
      </c>
      <c r="H2193" t="s">
        <v>30</v>
      </c>
      <c r="I2193" s="1" t="s">
        <v>22</v>
      </c>
      <c r="J2193" s="2">
        <v>43529.492037037038</v>
      </c>
      <c r="K2193" s="2">
        <v>43536.492037037038</v>
      </c>
      <c r="L2193" s="2">
        <v>43535.492037037038</v>
      </c>
      <c r="M2193" s="1">
        <f>_xlfn.DAYS(Table1[[#This Row],[actual_delivery_date]],Table1[[#This Row],[dispatch_date]])</f>
        <v>7</v>
      </c>
      <c r="N2193">
        <v>38</v>
      </c>
      <c r="O2193">
        <f>Table1[[#This Row],[transit_storage_cost]] * (1-'What -if Analysis'!$D$26)</f>
        <v>38</v>
      </c>
      <c r="P2193">
        <v>113</v>
      </c>
      <c r="Q2193">
        <v>2715.6339335469452</v>
      </c>
    </row>
    <row r="2194" spans="1:17" x14ac:dyDescent="0.3">
      <c r="A2194">
        <v>181475</v>
      </c>
      <c r="B2194" s="1" t="s">
        <v>38</v>
      </c>
      <c r="C2194" s="1" t="s">
        <v>16</v>
      </c>
      <c r="D2194" s="1" t="s">
        <v>23</v>
      </c>
      <c r="E2194" s="1" t="s">
        <v>28</v>
      </c>
      <c r="F2194" s="1" t="s">
        <v>29</v>
      </c>
      <c r="G2194" s="1" t="s">
        <v>20</v>
      </c>
      <c r="H2194" t="s">
        <v>34</v>
      </c>
      <c r="I2194" s="1" t="s">
        <v>22</v>
      </c>
      <c r="J2194" s="2">
        <v>43532.494699074072</v>
      </c>
      <c r="K2194" s="2">
        <v>43536.494699074072</v>
      </c>
      <c r="L2194" s="2">
        <v>43536.494699074072</v>
      </c>
      <c r="M2194" s="1">
        <f>_xlfn.DAYS(Table1[[#This Row],[actual_delivery_date]],Table1[[#This Row],[dispatch_date]])</f>
        <v>4</v>
      </c>
      <c r="N2194">
        <v>44</v>
      </c>
      <c r="O2194">
        <f>Table1[[#This Row],[transit_storage_cost]] * (1-'What -if Analysis'!$D$26)</f>
        <v>44</v>
      </c>
      <c r="P2194">
        <v>124</v>
      </c>
      <c r="Q2194">
        <v>3109.9841828445155</v>
      </c>
    </row>
    <row r="2195" spans="1:17" x14ac:dyDescent="0.3">
      <c r="A2195">
        <v>701713</v>
      </c>
      <c r="B2195" s="1" t="s">
        <v>38</v>
      </c>
      <c r="C2195" s="1" t="s">
        <v>23</v>
      </c>
      <c r="D2195" s="1" t="s">
        <v>17</v>
      </c>
      <c r="E2195" s="1" t="s">
        <v>18</v>
      </c>
      <c r="F2195" s="1" t="s">
        <v>29</v>
      </c>
      <c r="G2195" s="1" t="s">
        <v>20</v>
      </c>
      <c r="H2195" t="s">
        <v>30</v>
      </c>
      <c r="I2195" s="1" t="s">
        <v>22</v>
      </c>
      <c r="J2195" s="2">
        <v>43529.494872685187</v>
      </c>
      <c r="K2195" s="2">
        <v>43536.494872685187</v>
      </c>
      <c r="L2195" s="2">
        <v>43536.494872685187</v>
      </c>
      <c r="M2195" s="1">
        <f>_xlfn.DAYS(Table1[[#This Row],[actual_delivery_date]],Table1[[#This Row],[dispatch_date]])</f>
        <v>7</v>
      </c>
      <c r="N2195">
        <v>28</v>
      </c>
      <c r="O2195">
        <f>Table1[[#This Row],[transit_storage_cost]] * (1-'What -if Analysis'!$D$26)</f>
        <v>28</v>
      </c>
      <c r="P2195">
        <v>114</v>
      </c>
      <c r="Q2195">
        <v>407.81835919897605</v>
      </c>
    </row>
    <row r="2196" spans="1:17" x14ac:dyDescent="0.3">
      <c r="A2196">
        <v>325941</v>
      </c>
      <c r="B2196" s="1" t="s">
        <v>15</v>
      </c>
      <c r="C2196" s="1" t="s">
        <v>16</v>
      </c>
      <c r="D2196" s="1" t="s">
        <v>16</v>
      </c>
      <c r="E2196" s="1" t="s">
        <v>27</v>
      </c>
      <c r="F2196" s="1" t="s">
        <v>19</v>
      </c>
      <c r="G2196" s="1" t="s">
        <v>20</v>
      </c>
      <c r="H2196" t="s">
        <v>34</v>
      </c>
      <c r="I2196" s="1" t="s">
        <v>26</v>
      </c>
      <c r="J2196" s="2">
        <v>43534.496550925927</v>
      </c>
      <c r="K2196" s="2">
        <v>43536.496550925927</v>
      </c>
      <c r="L2196" s="2">
        <v>43537.496550925927</v>
      </c>
      <c r="M2196" s="1">
        <f>_xlfn.DAYS(Table1[[#This Row],[actual_delivery_date]],Table1[[#This Row],[dispatch_date]])</f>
        <v>2</v>
      </c>
      <c r="N2196">
        <v>0</v>
      </c>
      <c r="O2196">
        <f>Table1[[#This Row],[transit_storage_cost]] * (1-'What -if Analysis'!$D$26)</f>
        <v>0</v>
      </c>
      <c r="P2196">
        <v>107</v>
      </c>
      <c r="Q2196">
        <v>2786</v>
      </c>
    </row>
    <row r="2197" spans="1:17" x14ac:dyDescent="0.3">
      <c r="A2197">
        <v>563478</v>
      </c>
      <c r="B2197" s="1" t="s">
        <v>41</v>
      </c>
      <c r="C2197" s="1" t="s">
        <v>23</v>
      </c>
      <c r="D2197" s="1" t="s">
        <v>24</v>
      </c>
      <c r="E2197" s="1" t="s">
        <v>25</v>
      </c>
      <c r="F2197" s="1" t="s">
        <v>19</v>
      </c>
      <c r="G2197" s="1" t="s">
        <v>20</v>
      </c>
      <c r="H2197" t="s">
        <v>21</v>
      </c>
      <c r="I2197" s="1" t="s">
        <v>26</v>
      </c>
      <c r="J2197" s="2">
        <v>43529.496979166666</v>
      </c>
      <c r="K2197" s="2">
        <v>43536.496979166666</v>
      </c>
      <c r="L2197" s="2">
        <v>43532.496979166666</v>
      </c>
      <c r="M2197" s="1">
        <f>_xlfn.DAYS(Table1[[#This Row],[actual_delivery_date]],Table1[[#This Row],[dispatch_date]])</f>
        <v>7</v>
      </c>
      <c r="N2197">
        <v>69</v>
      </c>
      <c r="O2197">
        <f>Table1[[#This Row],[transit_storage_cost]] * (1-'What -if Analysis'!$D$26)</f>
        <v>69</v>
      </c>
      <c r="P2197">
        <v>108</v>
      </c>
      <c r="Q2197">
        <v>3567.26</v>
      </c>
    </row>
    <row r="2198" spans="1:17" x14ac:dyDescent="0.3">
      <c r="A2198">
        <v>314947</v>
      </c>
      <c r="B2198" s="1" t="s">
        <v>37</v>
      </c>
      <c r="C2198" s="1" t="s">
        <v>16</v>
      </c>
      <c r="D2198" s="1" t="s">
        <v>23</v>
      </c>
      <c r="E2198" s="1" t="s">
        <v>28</v>
      </c>
      <c r="F2198" s="1" t="s">
        <v>29</v>
      </c>
      <c r="G2198" s="1" t="s">
        <v>20</v>
      </c>
      <c r="H2198" t="s">
        <v>30</v>
      </c>
      <c r="I2198" s="1" t="s">
        <v>22</v>
      </c>
      <c r="J2198" s="2">
        <v>43530.498900462961</v>
      </c>
      <c r="K2198" s="2">
        <v>43536.498900462961</v>
      </c>
      <c r="L2198" s="2">
        <v>43536.498900462961</v>
      </c>
      <c r="M2198" s="1">
        <f>_xlfn.DAYS(Table1[[#This Row],[actual_delivery_date]],Table1[[#This Row],[dispatch_date]])</f>
        <v>6</v>
      </c>
      <c r="N2198">
        <v>26</v>
      </c>
      <c r="O2198">
        <f>Table1[[#This Row],[transit_storage_cost]] * (1-'What -if Analysis'!$D$26)</f>
        <v>26</v>
      </c>
      <c r="P2198">
        <v>128</v>
      </c>
      <c r="Q2198">
        <v>3182.3642447424454</v>
      </c>
    </row>
    <row r="2199" spans="1:17" x14ac:dyDescent="0.3">
      <c r="A2199">
        <v>291732</v>
      </c>
      <c r="B2199" s="1" t="s">
        <v>37</v>
      </c>
      <c r="C2199" s="1" t="s">
        <v>16</v>
      </c>
      <c r="D2199" s="1" t="s">
        <v>24</v>
      </c>
      <c r="E2199" s="1" t="s">
        <v>25</v>
      </c>
      <c r="F2199" s="1" t="s">
        <v>19</v>
      </c>
      <c r="G2199" s="1" t="s">
        <v>20</v>
      </c>
      <c r="H2199" t="s">
        <v>21</v>
      </c>
      <c r="I2199" s="1" t="s">
        <v>26</v>
      </c>
      <c r="J2199" s="2">
        <v>43531.501192129632</v>
      </c>
      <c r="K2199" s="2">
        <v>43536.501192129632</v>
      </c>
      <c r="L2199" s="2">
        <v>43537.501192129632</v>
      </c>
      <c r="M2199" s="1">
        <f>_xlfn.DAYS(Table1[[#This Row],[actual_delivery_date]],Table1[[#This Row],[dispatch_date]])</f>
        <v>5</v>
      </c>
      <c r="N2199">
        <v>38</v>
      </c>
      <c r="O2199">
        <f>Table1[[#This Row],[transit_storage_cost]] * (1-'What -if Analysis'!$D$26)</f>
        <v>38</v>
      </c>
      <c r="P2199">
        <v>123</v>
      </c>
      <c r="Q2199">
        <v>3561.1498824420582</v>
      </c>
    </row>
    <row r="2200" spans="1:17" x14ac:dyDescent="0.3">
      <c r="A2200">
        <v>919851</v>
      </c>
      <c r="B2200" s="1" t="s">
        <v>38</v>
      </c>
      <c r="C2200" s="1" t="s">
        <v>16</v>
      </c>
      <c r="D2200" s="1" t="s">
        <v>24</v>
      </c>
      <c r="E2200" s="1" t="s">
        <v>25</v>
      </c>
      <c r="F2200" s="1" t="s">
        <v>19</v>
      </c>
      <c r="G2200" s="1" t="s">
        <v>20</v>
      </c>
      <c r="H2200" t="s">
        <v>30</v>
      </c>
      <c r="I2200" s="1" t="s">
        <v>26</v>
      </c>
      <c r="J2200" s="2">
        <v>43528.506307870368</v>
      </c>
      <c r="K2200" s="2">
        <v>43536.506307870368</v>
      </c>
      <c r="L2200" s="2">
        <v>43532.506307870368</v>
      </c>
      <c r="M2200" s="1">
        <f>_xlfn.DAYS(Table1[[#This Row],[actual_delivery_date]],Table1[[#This Row],[dispatch_date]])</f>
        <v>8</v>
      </c>
      <c r="N2200">
        <v>77</v>
      </c>
      <c r="O2200">
        <f>Table1[[#This Row],[transit_storage_cost]] * (1-'What -if Analysis'!$D$26)</f>
        <v>77</v>
      </c>
      <c r="P2200">
        <v>106</v>
      </c>
      <c r="Q2200">
        <v>413.9</v>
      </c>
    </row>
    <row r="2201" spans="1:17" x14ac:dyDescent="0.3">
      <c r="A2201">
        <v>506525</v>
      </c>
      <c r="B2201" s="1" t="s">
        <v>38</v>
      </c>
      <c r="C2201" s="1" t="s">
        <v>16</v>
      </c>
      <c r="D2201" s="1" t="s">
        <v>17</v>
      </c>
      <c r="E2201" s="1" t="s">
        <v>18</v>
      </c>
      <c r="F2201" s="1" t="s">
        <v>29</v>
      </c>
      <c r="G2201" s="1" t="s">
        <v>20</v>
      </c>
      <c r="H2201" t="s">
        <v>30</v>
      </c>
      <c r="I2201" s="1" t="s">
        <v>22</v>
      </c>
      <c r="J2201" s="2">
        <v>43527.510949074072</v>
      </c>
      <c r="K2201" s="2">
        <v>43536.510949074072</v>
      </c>
      <c r="L2201" s="2">
        <v>43534.510949074072</v>
      </c>
      <c r="M2201" s="1">
        <f>_xlfn.DAYS(Table1[[#This Row],[actual_delivery_date]],Table1[[#This Row],[dispatch_date]])</f>
        <v>9</v>
      </c>
      <c r="N2201">
        <v>30</v>
      </c>
      <c r="O2201">
        <f>Table1[[#This Row],[transit_storage_cost]] * (1-'What -if Analysis'!$D$26)</f>
        <v>30</v>
      </c>
      <c r="P2201">
        <v>111</v>
      </c>
      <c r="Q2201">
        <v>1319.8677124606002</v>
      </c>
    </row>
    <row r="2202" spans="1:17" x14ac:dyDescent="0.3">
      <c r="A2202">
        <v>709557</v>
      </c>
      <c r="B2202" s="1" t="s">
        <v>38</v>
      </c>
      <c r="C2202" s="1" t="s">
        <v>16</v>
      </c>
      <c r="D2202" s="1" t="s">
        <v>23</v>
      </c>
      <c r="E2202" s="1" t="s">
        <v>28</v>
      </c>
      <c r="F2202" s="1" t="s">
        <v>29</v>
      </c>
      <c r="G2202" s="1" t="s">
        <v>20</v>
      </c>
      <c r="H2202" t="s">
        <v>30</v>
      </c>
      <c r="I2202" s="1" t="s">
        <v>26</v>
      </c>
      <c r="J2202" s="2">
        <v>43527.516226851854</v>
      </c>
      <c r="K2202" s="2">
        <v>43536.516226851854</v>
      </c>
      <c r="L2202" s="2">
        <v>43531.516226851854</v>
      </c>
      <c r="M2202" s="1">
        <f>_xlfn.DAYS(Table1[[#This Row],[actual_delivery_date]],Table1[[#This Row],[dispatch_date]])</f>
        <v>9</v>
      </c>
      <c r="N2202">
        <v>36</v>
      </c>
      <c r="O2202">
        <f>Table1[[#This Row],[transit_storage_cost]] * (1-'What -if Analysis'!$D$26)</f>
        <v>36</v>
      </c>
      <c r="P2202">
        <v>122</v>
      </c>
      <c r="Q2202">
        <v>1047.44</v>
      </c>
    </row>
    <row r="2203" spans="1:17" x14ac:dyDescent="0.3">
      <c r="A2203">
        <v>135836</v>
      </c>
      <c r="B2203" s="1" t="s">
        <v>40</v>
      </c>
      <c r="C2203" s="1" t="s">
        <v>16</v>
      </c>
      <c r="D2203" s="1" t="s">
        <v>32</v>
      </c>
      <c r="E2203" s="1" t="s">
        <v>33</v>
      </c>
      <c r="F2203" s="1" t="s">
        <v>19</v>
      </c>
      <c r="G2203" s="1" t="s">
        <v>20</v>
      </c>
      <c r="H2203" t="s">
        <v>21</v>
      </c>
      <c r="I2203" s="1" t="s">
        <v>22</v>
      </c>
      <c r="J2203" s="2">
        <v>43531.518425925926</v>
      </c>
      <c r="K2203" s="2">
        <v>43536.518425925926</v>
      </c>
      <c r="L2203" s="2">
        <v>43538.518425925926</v>
      </c>
      <c r="M2203" s="1">
        <f>_xlfn.DAYS(Table1[[#This Row],[actual_delivery_date]],Table1[[#This Row],[dispatch_date]])</f>
        <v>5</v>
      </c>
      <c r="N2203">
        <v>27</v>
      </c>
      <c r="O2203">
        <f>Table1[[#This Row],[transit_storage_cost]] * (1-'What -if Analysis'!$D$26)</f>
        <v>27</v>
      </c>
      <c r="P2203">
        <v>105</v>
      </c>
      <c r="Q2203">
        <v>2560</v>
      </c>
    </row>
    <row r="2204" spans="1:17" x14ac:dyDescent="0.3">
      <c r="A2204">
        <v>903879</v>
      </c>
      <c r="B2204" s="1" t="s">
        <v>40</v>
      </c>
      <c r="C2204" s="1" t="s">
        <v>23</v>
      </c>
      <c r="D2204" s="1" t="s">
        <v>16</v>
      </c>
      <c r="E2204" s="1" t="s">
        <v>27</v>
      </c>
      <c r="F2204" s="1" t="s">
        <v>29</v>
      </c>
      <c r="G2204" s="1" t="s">
        <v>20</v>
      </c>
      <c r="H2204" t="s">
        <v>30</v>
      </c>
      <c r="I2204" s="1" t="s">
        <v>26</v>
      </c>
      <c r="J2204" s="2">
        <v>43528.519791666666</v>
      </c>
      <c r="K2204" s="2">
        <v>43536.519791666666</v>
      </c>
      <c r="L2204" s="2">
        <v>43534.519791666666</v>
      </c>
      <c r="M2204" s="1">
        <f>_xlfn.DAYS(Table1[[#This Row],[actual_delivery_date]],Table1[[#This Row],[dispatch_date]])</f>
        <v>8</v>
      </c>
      <c r="N2204">
        <v>45</v>
      </c>
      <c r="O2204">
        <f>Table1[[#This Row],[transit_storage_cost]] * (1-'What -if Analysis'!$D$26)</f>
        <v>45</v>
      </c>
      <c r="P2204">
        <v>124</v>
      </c>
      <c r="Q2204">
        <v>1198.95</v>
      </c>
    </row>
    <row r="2205" spans="1:17" x14ac:dyDescent="0.3">
      <c r="A2205">
        <v>606097</v>
      </c>
      <c r="B2205" s="1" t="s">
        <v>37</v>
      </c>
      <c r="C2205" s="1" t="s">
        <v>23</v>
      </c>
      <c r="D2205" s="1" t="s">
        <v>17</v>
      </c>
      <c r="E2205" s="1" t="s">
        <v>18</v>
      </c>
      <c r="F2205" s="1" t="s">
        <v>19</v>
      </c>
      <c r="G2205" s="1" t="s">
        <v>20</v>
      </c>
      <c r="H2205" t="s">
        <v>30</v>
      </c>
      <c r="I2205" s="1" t="s">
        <v>22</v>
      </c>
      <c r="J2205" s="2">
        <v>43530.519884259258</v>
      </c>
      <c r="K2205" s="2">
        <v>43536.519884259258</v>
      </c>
      <c r="L2205" s="2">
        <v>43533.519884259258</v>
      </c>
      <c r="M2205" s="1">
        <f>_xlfn.DAYS(Table1[[#This Row],[actual_delivery_date]],Table1[[#This Row],[dispatch_date]])</f>
        <v>6</v>
      </c>
      <c r="N2205">
        <v>66</v>
      </c>
      <c r="O2205">
        <f>Table1[[#This Row],[transit_storage_cost]] * (1-'What -if Analysis'!$D$26)</f>
        <v>66</v>
      </c>
      <c r="P2205">
        <v>94</v>
      </c>
      <c r="Q2205">
        <v>3714.3244778811168</v>
      </c>
    </row>
    <row r="2206" spans="1:17" x14ac:dyDescent="0.3">
      <c r="A2206">
        <v>760275</v>
      </c>
      <c r="B2206" s="1" t="s">
        <v>38</v>
      </c>
      <c r="C2206" s="1" t="s">
        <v>16</v>
      </c>
      <c r="D2206" s="1" t="s">
        <v>16</v>
      </c>
      <c r="E2206" s="1" t="s">
        <v>27</v>
      </c>
      <c r="F2206" s="1" t="s">
        <v>29</v>
      </c>
      <c r="G2206" s="1" t="s">
        <v>20</v>
      </c>
      <c r="H2206" t="s">
        <v>30</v>
      </c>
      <c r="I2206" s="1" t="s">
        <v>26</v>
      </c>
      <c r="J2206" s="2">
        <v>43535.523240740738</v>
      </c>
      <c r="K2206" s="2">
        <v>43536.523240740738</v>
      </c>
      <c r="L2206" s="2">
        <v>43539.523240740738</v>
      </c>
      <c r="M2206" s="1">
        <f>_xlfn.DAYS(Table1[[#This Row],[actual_delivery_date]],Table1[[#This Row],[dispatch_date]])</f>
        <v>1</v>
      </c>
      <c r="N2206">
        <v>0</v>
      </c>
      <c r="O2206">
        <f>Table1[[#This Row],[transit_storage_cost]] * (1-'What -if Analysis'!$D$26)</f>
        <v>0</v>
      </c>
      <c r="P2206">
        <v>121</v>
      </c>
      <c r="Q2206">
        <v>2595.0523269344772</v>
      </c>
    </row>
    <row r="2207" spans="1:17" x14ac:dyDescent="0.3">
      <c r="A2207">
        <v>94497</v>
      </c>
      <c r="B2207" s="1" t="s">
        <v>39</v>
      </c>
      <c r="C2207" s="1" t="s">
        <v>16</v>
      </c>
      <c r="D2207" s="1" t="s">
        <v>17</v>
      </c>
      <c r="E2207" s="1" t="s">
        <v>18</v>
      </c>
      <c r="F2207" s="1" t="s">
        <v>29</v>
      </c>
      <c r="G2207" s="1" t="s">
        <v>20</v>
      </c>
      <c r="H2207" t="s">
        <v>30</v>
      </c>
      <c r="I2207" s="1" t="s">
        <v>26</v>
      </c>
      <c r="J2207" s="2">
        <v>43531.52579861111</v>
      </c>
      <c r="K2207" s="2">
        <v>43536.52579861111</v>
      </c>
      <c r="L2207" s="2">
        <v>43538.52579861111</v>
      </c>
      <c r="M2207" s="1">
        <f>_xlfn.DAYS(Table1[[#This Row],[actual_delivery_date]],Table1[[#This Row],[dispatch_date]])</f>
        <v>5</v>
      </c>
      <c r="N2207">
        <v>33</v>
      </c>
      <c r="O2207">
        <f>Table1[[#This Row],[transit_storage_cost]] * (1-'What -if Analysis'!$D$26)</f>
        <v>33</v>
      </c>
      <c r="P2207">
        <v>107</v>
      </c>
      <c r="Q2207">
        <v>3416</v>
      </c>
    </row>
    <row r="2208" spans="1:17" x14ac:dyDescent="0.3">
      <c r="A2208">
        <v>522690</v>
      </c>
      <c r="B2208" s="1" t="s">
        <v>37</v>
      </c>
      <c r="C2208" s="1" t="s">
        <v>16</v>
      </c>
      <c r="D2208" s="1" t="s">
        <v>16</v>
      </c>
      <c r="E2208" s="1" t="s">
        <v>27</v>
      </c>
      <c r="F2208" s="1" t="s">
        <v>31</v>
      </c>
      <c r="G2208" s="1" t="s">
        <v>20</v>
      </c>
      <c r="H2208" t="s">
        <v>21</v>
      </c>
      <c r="I2208" s="1" t="s">
        <v>26</v>
      </c>
      <c r="J2208" s="2">
        <v>43534.527638888889</v>
      </c>
      <c r="K2208" s="2">
        <v>43536.527638888889</v>
      </c>
      <c r="L2208" s="2">
        <v>43537.527638888889</v>
      </c>
      <c r="M2208" s="1">
        <f>_xlfn.DAYS(Table1[[#This Row],[actual_delivery_date]],Table1[[#This Row],[dispatch_date]])</f>
        <v>2</v>
      </c>
      <c r="N2208">
        <v>0</v>
      </c>
      <c r="O2208">
        <f>Table1[[#This Row],[transit_storage_cost]] * (1-'What -if Analysis'!$D$26)</f>
        <v>0</v>
      </c>
      <c r="P2208">
        <v>120</v>
      </c>
      <c r="Q2208">
        <v>2620</v>
      </c>
    </row>
    <row r="2209" spans="1:17" x14ac:dyDescent="0.3">
      <c r="A2209">
        <v>54091</v>
      </c>
      <c r="B2209" s="1" t="s">
        <v>37</v>
      </c>
      <c r="C2209" s="1" t="s">
        <v>16</v>
      </c>
      <c r="D2209" s="1" t="s">
        <v>17</v>
      </c>
      <c r="E2209" s="1" t="s">
        <v>18</v>
      </c>
      <c r="F2209" s="1" t="s">
        <v>29</v>
      </c>
      <c r="G2209" s="1" t="s">
        <v>20</v>
      </c>
      <c r="H2209" t="s">
        <v>30</v>
      </c>
      <c r="I2209" s="1" t="s">
        <v>22</v>
      </c>
      <c r="J2209" s="2">
        <v>43533.538287037038</v>
      </c>
      <c r="K2209" s="2">
        <v>43536.538287037038</v>
      </c>
      <c r="L2209" s="2">
        <v>43537.538287037038</v>
      </c>
      <c r="M2209" s="1">
        <f>_xlfn.DAYS(Table1[[#This Row],[actual_delivery_date]],Table1[[#This Row],[dispatch_date]])</f>
        <v>3</v>
      </c>
      <c r="N2209">
        <v>43</v>
      </c>
      <c r="O2209">
        <f>Table1[[#This Row],[transit_storage_cost]] * (1-'What -if Analysis'!$D$26)</f>
        <v>43</v>
      </c>
      <c r="P2209">
        <v>114</v>
      </c>
      <c r="Q2209">
        <v>3534</v>
      </c>
    </row>
    <row r="2210" spans="1:17" x14ac:dyDescent="0.3">
      <c r="A2210">
        <v>648313</v>
      </c>
      <c r="B2210" s="1" t="s">
        <v>38</v>
      </c>
      <c r="C2210" s="1" t="s">
        <v>23</v>
      </c>
      <c r="D2210" s="1" t="s">
        <v>23</v>
      </c>
      <c r="E2210" s="1" t="s">
        <v>28</v>
      </c>
      <c r="F2210" s="1" t="s">
        <v>29</v>
      </c>
      <c r="G2210" s="1" t="s">
        <v>20</v>
      </c>
      <c r="H2210" t="s">
        <v>30</v>
      </c>
      <c r="I2210" s="1" t="s">
        <v>22</v>
      </c>
      <c r="J2210" s="2">
        <v>43531.538668981484</v>
      </c>
      <c r="K2210" s="2">
        <v>43536.538668981484</v>
      </c>
      <c r="L2210" s="2">
        <v>43535.538668981484</v>
      </c>
      <c r="M2210" s="1">
        <f>_xlfn.DAYS(Table1[[#This Row],[actual_delivery_date]],Table1[[#This Row],[dispatch_date]])</f>
        <v>5</v>
      </c>
      <c r="N2210">
        <v>0</v>
      </c>
      <c r="O2210">
        <f>Table1[[#This Row],[transit_storage_cost]] * (1-'What -if Analysis'!$D$26)</f>
        <v>0</v>
      </c>
      <c r="P2210">
        <v>122</v>
      </c>
      <c r="Q2210">
        <v>1634</v>
      </c>
    </row>
    <row r="2211" spans="1:17" x14ac:dyDescent="0.3">
      <c r="A2211">
        <v>853661</v>
      </c>
      <c r="B2211" s="1" t="s">
        <v>40</v>
      </c>
      <c r="C2211" s="1" t="s">
        <v>16</v>
      </c>
      <c r="D2211" s="1" t="s">
        <v>24</v>
      </c>
      <c r="E2211" s="1" t="s">
        <v>25</v>
      </c>
      <c r="F2211" s="1" t="s">
        <v>29</v>
      </c>
      <c r="G2211" s="1" t="s">
        <v>20</v>
      </c>
      <c r="H2211" t="s">
        <v>30</v>
      </c>
      <c r="I2211" s="1" t="s">
        <v>22</v>
      </c>
      <c r="J2211" s="2">
        <v>43529.540902777779</v>
      </c>
      <c r="K2211" s="2">
        <v>43536.540902777779</v>
      </c>
      <c r="L2211" s="2">
        <v>43536.540902777779</v>
      </c>
      <c r="M2211" s="1">
        <f>_xlfn.DAYS(Table1[[#This Row],[actual_delivery_date]],Table1[[#This Row],[dispatch_date]])</f>
        <v>7</v>
      </c>
      <c r="N2211">
        <v>30</v>
      </c>
      <c r="O2211">
        <f>Table1[[#This Row],[transit_storage_cost]] * (1-'What -if Analysis'!$D$26)</f>
        <v>30</v>
      </c>
      <c r="P2211">
        <v>123</v>
      </c>
      <c r="Q2211">
        <v>1181.7953773987399</v>
      </c>
    </row>
    <row r="2212" spans="1:17" x14ac:dyDescent="0.3">
      <c r="A2212">
        <v>900971</v>
      </c>
      <c r="B2212" s="1" t="s">
        <v>37</v>
      </c>
      <c r="C2212" s="1" t="s">
        <v>16</v>
      </c>
      <c r="D2212" s="1" t="s">
        <v>23</v>
      </c>
      <c r="E2212" s="1" t="s">
        <v>28</v>
      </c>
      <c r="F2212" s="1" t="s">
        <v>29</v>
      </c>
      <c r="G2212" s="1" t="s">
        <v>20</v>
      </c>
      <c r="H2212" t="s">
        <v>30</v>
      </c>
      <c r="I2212" s="1" t="s">
        <v>22</v>
      </c>
      <c r="J2212" s="2">
        <v>43529.543194444443</v>
      </c>
      <c r="K2212" s="2">
        <v>43536.543194444443</v>
      </c>
      <c r="L2212" s="2">
        <v>43536.543194444443</v>
      </c>
      <c r="M2212" s="1">
        <f>_xlfn.DAYS(Table1[[#This Row],[actual_delivery_date]],Table1[[#This Row],[dispatch_date]])</f>
        <v>7</v>
      </c>
      <c r="N2212">
        <v>27</v>
      </c>
      <c r="O2212">
        <f>Table1[[#This Row],[transit_storage_cost]] * (1-'What -if Analysis'!$D$26)</f>
        <v>27</v>
      </c>
      <c r="P2212">
        <v>123</v>
      </c>
      <c r="Q2212">
        <v>1121.7861022308668</v>
      </c>
    </row>
    <row r="2213" spans="1:17" x14ac:dyDescent="0.3">
      <c r="A2213">
        <v>410321</v>
      </c>
      <c r="B2213" s="1" t="s">
        <v>38</v>
      </c>
      <c r="C2213" s="1" t="s">
        <v>16</v>
      </c>
      <c r="D2213" s="1" t="s">
        <v>16</v>
      </c>
      <c r="E2213" s="1" t="s">
        <v>27</v>
      </c>
      <c r="F2213" s="1" t="s">
        <v>19</v>
      </c>
      <c r="G2213" s="1" t="s">
        <v>20</v>
      </c>
      <c r="H2213" t="s">
        <v>30</v>
      </c>
      <c r="I2213" s="1" t="s">
        <v>22</v>
      </c>
      <c r="J2213" s="2">
        <v>43535.543611111112</v>
      </c>
      <c r="K2213" s="2">
        <v>43536.543611111112</v>
      </c>
      <c r="L2213" s="2">
        <v>43540.543611111112</v>
      </c>
      <c r="M2213" s="1">
        <f>_xlfn.DAYS(Table1[[#This Row],[actual_delivery_date]],Table1[[#This Row],[dispatch_date]])</f>
        <v>1</v>
      </c>
      <c r="N2213">
        <v>0</v>
      </c>
      <c r="O2213">
        <f>Table1[[#This Row],[transit_storage_cost]] * (1-'What -if Analysis'!$D$26)</f>
        <v>0</v>
      </c>
      <c r="P2213">
        <v>101</v>
      </c>
      <c r="Q2213">
        <v>2229.2138552650176</v>
      </c>
    </row>
    <row r="2214" spans="1:17" x14ac:dyDescent="0.3">
      <c r="A2214">
        <v>732099</v>
      </c>
      <c r="B2214" s="1" t="s">
        <v>38</v>
      </c>
      <c r="C2214" s="1" t="s">
        <v>23</v>
      </c>
      <c r="D2214" s="1" t="s">
        <v>32</v>
      </c>
      <c r="E2214" s="1" t="s">
        <v>33</v>
      </c>
      <c r="F2214" s="1" t="s">
        <v>29</v>
      </c>
      <c r="G2214" s="1" t="s">
        <v>36</v>
      </c>
      <c r="H2214" t="s">
        <v>30</v>
      </c>
      <c r="I2214" s="1" t="s">
        <v>26</v>
      </c>
      <c r="J2214" s="2">
        <v>43530.54787037037</v>
      </c>
      <c r="K2214" s="2">
        <v>43536.54787037037</v>
      </c>
      <c r="L2214" s="2">
        <v>43534.54787037037</v>
      </c>
      <c r="M2214" s="1">
        <f>_xlfn.DAYS(Table1[[#This Row],[actual_delivery_date]],Table1[[#This Row],[dispatch_date]])</f>
        <v>6</v>
      </c>
      <c r="N2214">
        <v>30</v>
      </c>
      <c r="O2214">
        <f>Table1[[#This Row],[transit_storage_cost]] * (1-'What -if Analysis'!$D$26)</f>
        <v>30</v>
      </c>
      <c r="P2214">
        <v>111</v>
      </c>
      <c r="Q2214">
        <v>951.77630111067299</v>
      </c>
    </row>
    <row r="2215" spans="1:17" x14ac:dyDescent="0.3">
      <c r="A2215">
        <v>82557</v>
      </c>
      <c r="B2215" s="1" t="s">
        <v>38</v>
      </c>
      <c r="C2215" s="1" t="s">
        <v>23</v>
      </c>
      <c r="D2215" s="1" t="s">
        <v>17</v>
      </c>
      <c r="E2215" s="1" t="s">
        <v>18</v>
      </c>
      <c r="F2215" s="1" t="s">
        <v>29</v>
      </c>
      <c r="G2215" s="1" t="s">
        <v>20</v>
      </c>
      <c r="H2215" t="s">
        <v>30</v>
      </c>
      <c r="I2215" s="1" t="s">
        <v>26</v>
      </c>
      <c r="J2215" s="2">
        <v>43529.553020833337</v>
      </c>
      <c r="K2215" s="2">
        <v>43536.553020833337</v>
      </c>
      <c r="L2215" s="2">
        <v>43534.553020833337</v>
      </c>
      <c r="M2215" s="1">
        <f>_xlfn.DAYS(Table1[[#This Row],[actual_delivery_date]],Table1[[#This Row],[dispatch_date]])</f>
        <v>7</v>
      </c>
      <c r="N2215">
        <v>25</v>
      </c>
      <c r="O2215">
        <f>Table1[[#This Row],[transit_storage_cost]] * (1-'What -if Analysis'!$D$26)</f>
        <v>25</v>
      </c>
      <c r="P2215">
        <v>110</v>
      </c>
      <c r="Q2215">
        <v>3286.38</v>
      </c>
    </row>
    <row r="2216" spans="1:17" x14ac:dyDescent="0.3">
      <c r="A2216">
        <v>677502</v>
      </c>
      <c r="B2216" s="1" t="s">
        <v>41</v>
      </c>
      <c r="C2216" s="1" t="s">
        <v>23</v>
      </c>
      <c r="D2216" s="1" t="s">
        <v>16</v>
      </c>
      <c r="E2216" s="1" t="s">
        <v>27</v>
      </c>
      <c r="F2216" s="1" t="s">
        <v>31</v>
      </c>
      <c r="G2216" s="1" t="s">
        <v>20</v>
      </c>
      <c r="H2216" t="s">
        <v>21</v>
      </c>
      <c r="I2216" s="1" t="s">
        <v>26</v>
      </c>
      <c r="J2216" s="2">
        <v>43528.553379629629</v>
      </c>
      <c r="K2216" s="2">
        <v>43536.553379629629</v>
      </c>
      <c r="L2216" s="2">
        <v>43533.553379629629</v>
      </c>
      <c r="M2216" s="1">
        <f>_xlfn.DAYS(Table1[[#This Row],[actual_delivery_date]],Table1[[#This Row],[dispatch_date]])</f>
        <v>8</v>
      </c>
      <c r="N2216">
        <v>41</v>
      </c>
      <c r="O2216">
        <f>Table1[[#This Row],[transit_storage_cost]] * (1-'What -if Analysis'!$D$26)</f>
        <v>41</v>
      </c>
      <c r="P2216">
        <v>126</v>
      </c>
      <c r="Q2216">
        <v>3378.09</v>
      </c>
    </row>
    <row r="2217" spans="1:17" x14ac:dyDescent="0.3">
      <c r="A2217">
        <v>536231</v>
      </c>
      <c r="B2217" s="1" t="s">
        <v>38</v>
      </c>
      <c r="C2217" s="1" t="s">
        <v>23</v>
      </c>
      <c r="D2217" s="1" t="s">
        <v>17</v>
      </c>
      <c r="E2217" s="1" t="s">
        <v>18</v>
      </c>
      <c r="F2217" s="1" t="s">
        <v>29</v>
      </c>
      <c r="G2217" s="1" t="s">
        <v>20</v>
      </c>
      <c r="H2217" t="s">
        <v>30</v>
      </c>
      <c r="I2217" s="1" t="s">
        <v>22</v>
      </c>
      <c r="J2217" s="2">
        <v>43531.5544212963</v>
      </c>
      <c r="K2217" s="2">
        <v>43536.5544212963</v>
      </c>
      <c r="L2217" s="2">
        <v>43537.5544212963</v>
      </c>
      <c r="M2217" s="1">
        <f>_xlfn.DAYS(Table1[[#This Row],[actual_delivery_date]],Table1[[#This Row],[dispatch_date]])</f>
        <v>5</v>
      </c>
      <c r="N2217">
        <v>31</v>
      </c>
      <c r="O2217">
        <f>Table1[[#This Row],[transit_storage_cost]] * (1-'What -if Analysis'!$D$26)</f>
        <v>31</v>
      </c>
      <c r="P2217">
        <v>111</v>
      </c>
      <c r="Q2217">
        <v>286.97079159630141</v>
      </c>
    </row>
    <row r="2218" spans="1:17" x14ac:dyDescent="0.3">
      <c r="A2218">
        <v>767003</v>
      </c>
      <c r="B2218" s="1" t="s">
        <v>37</v>
      </c>
      <c r="C2218" s="1" t="s">
        <v>16</v>
      </c>
      <c r="D2218" s="1" t="s">
        <v>24</v>
      </c>
      <c r="E2218" s="1" t="s">
        <v>25</v>
      </c>
      <c r="F2218" s="1" t="s">
        <v>19</v>
      </c>
      <c r="G2218" s="1" t="s">
        <v>20</v>
      </c>
      <c r="H2218" t="s">
        <v>30</v>
      </c>
      <c r="I2218" s="1" t="s">
        <v>22</v>
      </c>
      <c r="J2218" s="2">
        <v>43529.558055555557</v>
      </c>
      <c r="K2218" s="2">
        <v>43536.558055555557</v>
      </c>
      <c r="L2218" s="2">
        <v>43534.558055555557</v>
      </c>
      <c r="M2218" s="1">
        <f>_xlfn.DAYS(Table1[[#This Row],[actual_delivery_date]],Table1[[#This Row],[dispatch_date]])</f>
        <v>7</v>
      </c>
      <c r="N2218">
        <v>65</v>
      </c>
      <c r="O2218">
        <f>Table1[[#This Row],[transit_storage_cost]] * (1-'What -if Analysis'!$D$26)</f>
        <v>65</v>
      </c>
      <c r="P2218">
        <v>104</v>
      </c>
      <c r="Q2218">
        <v>3283.8737289848923</v>
      </c>
    </row>
    <row r="2219" spans="1:17" x14ac:dyDescent="0.3">
      <c r="A2219">
        <v>87420</v>
      </c>
      <c r="B2219" s="1" t="s">
        <v>38</v>
      </c>
      <c r="C2219" s="1" t="s">
        <v>16</v>
      </c>
      <c r="D2219" s="1" t="s">
        <v>16</v>
      </c>
      <c r="E2219" s="1" t="s">
        <v>27</v>
      </c>
      <c r="F2219" s="1" t="s">
        <v>19</v>
      </c>
      <c r="G2219" s="1" t="s">
        <v>20</v>
      </c>
      <c r="H2219" t="s">
        <v>21</v>
      </c>
      <c r="I2219" s="1" t="s">
        <v>26</v>
      </c>
      <c r="J2219" s="2">
        <v>43532.560277777775</v>
      </c>
      <c r="K2219" s="2">
        <v>43536.560277777775</v>
      </c>
      <c r="L2219" s="2">
        <v>43537.560277777775</v>
      </c>
      <c r="M2219" s="1">
        <f>_xlfn.DAYS(Table1[[#This Row],[actual_delivery_date]],Table1[[#This Row],[dispatch_date]])</f>
        <v>4</v>
      </c>
      <c r="N2219">
        <v>0</v>
      </c>
      <c r="O2219">
        <f>Table1[[#This Row],[transit_storage_cost]] * (1-'What -if Analysis'!$D$26)</f>
        <v>0</v>
      </c>
      <c r="P2219">
        <v>123</v>
      </c>
      <c r="Q2219">
        <v>2651</v>
      </c>
    </row>
    <row r="2220" spans="1:17" x14ac:dyDescent="0.3">
      <c r="A2220">
        <v>563095</v>
      </c>
      <c r="B2220" s="1" t="s">
        <v>39</v>
      </c>
      <c r="C2220" s="1" t="s">
        <v>16</v>
      </c>
      <c r="D2220" s="1" t="s">
        <v>16</v>
      </c>
      <c r="E2220" s="1" t="s">
        <v>27</v>
      </c>
      <c r="F2220" s="1" t="s">
        <v>29</v>
      </c>
      <c r="G2220" s="1" t="s">
        <v>20</v>
      </c>
      <c r="H2220" t="s">
        <v>30</v>
      </c>
      <c r="I2220" s="1" t="s">
        <v>22</v>
      </c>
      <c r="J2220" s="2">
        <v>43530.56287037037</v>
      </c>
      <c r="K2220" s="2">
        <v>43536.56287037037</v>
      </c>
      <c r="L2220" s="2">
        <v>43533.56287037037</v>
      </c>
      <c r="M2220" s="1">
        <f>_xlfn.DAYS(Table1[[#This Row],[actual_delivery_date]],Table1[[#This Row],[dispatch_date]])</f>
        <v>6</v>
      </c>
      <c r="N2220">
        <v>0</v>
      </c>
      <c r="O2220">
        <f>Table1[[#This Row],[transit_storage_cost]] * (1-'What -if Analysis'!$D$26)</f>
        <v>0</v>
      </c>
      <c r="P2220">
        <v>121</v>
      </c>
      <c r="Q2220">
        <v>2753.7043644730138</v>
      </c>
    </row>
    <row r="2221" spans="1:17" x14ac:dyDescent="0.3">
      <c r="A2221">
        <v>132007</v>
      </c>
      <c r="B2221" s="1" t="s">
        <v>37</v>
      </c>
      <c r="C2221" s="1" t="s">
        <v>16</v>
      </c>
      <c r="D2221" s="1" t="s">
        <v>24</v>
      </c>
      <c r="E2221" s="1" t="s">
        <v>25</v>
      </c>
      <c r="F2221" s="1" t="s">
        <v>29</v>
      </c>
      <c r="G2221" s="1" t="s">
        <v>20</v>
      </c>
      <c r="H2221" t="s">
        <v>30</v>
      </c>
      <c r="I2221" s="1" t="s">
        <v>22</v>
      </c>
      <c r="J2221" s="2">
        <v>43530.564212962963</v>
      </c>
      <c r="K2221" s="2">
        <v>43536.564212962963</v>
      </c>
      <c r="L2221" s="2">
        <v>43533.564212962963</v>
      </c>
      <c r="M2221" s="1">
        <f>_xlfn.DAYS(Table1[[#This Row],[actual_delivery_date]],Table1[[#This Row],[dispatch_date]])</f>
        <v>6</v>
      </c>
      <c r="N2221">
        <v>45</v>
      </c>
      <c r="O2221">
        <f>Table1[[#This Row],[transit_storage_cost]] * (1-'What -if Analysis'!$D$26)</f>
        <v>45</v>
      </c>
      <c r="P2221">
        <v>121</v>
      </c>
      <c r="Q2221">
        <v>1074.4589751396893</v>
      </c>
    </row>
    <row r="2222" spans="1:17" x14ac:dyDescent="0.3">
      <c r="A2222">
        <v>46298</v>
      </c>
      <c r="B2222" s="1" t="s">
        <v>41</v>
      </c>
      <c r="C2222" s="1" t="s">
        <v>16</v>
      </c>
      <c r="D2222" s="1" t="s">
        <v>16</v>
      </c>
      <c r="E2222" s="1" t="s">
        <v>27</v>
      </c>
      <c r="F2222" s="1" t="s">
        <v>31</v>
      </c>
      <c r="G2222" s="1" t="s">
        <v>20</v>
      </c>
      <c r="H2222" t="s">
        <v>21</v>
      </c>
      <c r="I2222" s="1" t="s">
        <v>22</v>
      </c>
      <c r="J2222" s="2">
        <v>43534.568287037036</v>
      </c>
      <c r="K2222" s="2">
        <v>43536.568287037036</v>
      </c>
      <c r="L2222" s="2">
        <v>43540.568287037036</v>
      </c>
      <c r="M2222" s="1">
        <f>_xlfn.DAYS(Table1[[#This Row],[actual_delivery_date]],Table1[[#This Row],[dispatch_date]])</f>
        <v>2</v>
      </c>
      <c r="N2222">
        <v>0</v>
      </c>
      <c r="O2222">
        <f>Table1[[#This Row],[transit_storage_cost]] * (1-'What -if Analysis'!$D$26)</f>
        <v>0</v>
      </c>
      <c r="P2222">
        <v>126</v>
      </c>
      <c r="Q2222">
        <v>351.60391511785247</v>
      </c>
    </row>
    <row r="2223" spans="1:17" x14ac:dyDescent="0.3">
      <c r="A2223">
        <v>460833</v>
      </c>
      <c r="B2223" s="1" t="s">
        <v>39</v>
      </c>
      <c r="C2223" s="1" t="s">
        <v>23</v>
      </c>
      <c r="D2223" s="1" t="s">
        <v>32</v>
      </c>
      <c r="E2223" s="1" t="s">
        <v>33</v>
      </c>
      <c r="F2223" s="1" t="s">
        <v>29</v>
      </c>
      <c r="G2223" s="1" t="s">
        <v>20</v>
      </c>
      <c r="H2223" t="s">
        <v>30</v>
      </c>
      <c r="I2223" s="1" t="s">
        <v>26</v>
      </c>
      <c r="J2223" s="2">
        <v>43532.574837962966</v>
      </c>
      <c r="K2223" s="2">
        <v>43536.574837962966</v>
      </c>
      <c r="L2223" s="2">
        <v>43537.574837962966</v>
      </c>
      <c r="M2223" s="1">
        <f>_xlfn.DAYS(Table1[[#This Row],[actual_delivery_date]],Table1[[#This Row],[dispatch_date]])</f>
        <v>4</v>
      </c>
      <c r="N2223">
        <v>42</v>
      </c>
      <c r="O2223">
        <f>Table1[[#This Row],[transit_storage_cost]] * (1-'What -if Analysis'!$D$26)</f>
        <v>42</v>
      </c>
      <c r="P2223">
        <v>111</v>
      </c>
      <c r="Q2223">
        <v>1320.2369525162092</v>
      </c>
    </row>
    <row r="2224" spans="1:17" x14ac:dyDescent="0.3">
      <c r="A2224">
        <v>725024</v>
      </c>
      <c r="B2224" s="1" t="s">
        <v>41</v>
      </c>
      <c r="C2224" s="1" t="s">
        <v>16</v>
      </c>
      <c r="D2224" s="1" t="s">
        <v>23</v>
      </c>
      <c r="E2224" s="1" t="s">
        <v>28</v>
      </c>
      <c r="F2224" s="1" t="s">
        <v>19</v>
      </c>
      <c r="G2224" s="1" t="s">
        <v>20</v>
      </c>
      <c r="H2224" t="s">
        <v>21</v>
      </c>
      <c r="I2224" s="1" t="s">
        <v>22</v>
      </c>
      <c r="J2224" s="2">
        <v>43530.577222222222</v>
      </c>
      <c r="K2224" s="2">
        <v>43536.577222222222</v>
      </c>
      <c r="L2224" s="2">
        <v>43533.577222222222</v>
      </c>
      <c r="M2224" s="1">
        <f>_xlfn.DAYS(Table1[[#This Row],[actual_delivery_date]],Table1[[#This Row],[dispatch_date]])</f>
        <v>6</v>
      </c>
      <c r="N2224">
        <v>50</v>
      </c>
      <c r="O2224">
        <f>Table1[[#This Row],[transit_storage_cost]] * (1-'What -if Analysis'!$D$26)</f>
        <v>50</v>
      </c>
      <c r="P2224">
        <v>126</v>
      </c>
      <c r="Q2224">
        <v>1579</v>
      </c>
    </row>
    <row r="2225" spans="1:17" x14ac:dyDescent="0.3">
      <c r="A2225">
        <v>595536</v>
      </c>
      <c r="B2225" s="1" t="s">
        <v>39</v>
      </c>
      <c r="C2225" s="1" t="s">
        <v>23</v>
      </c>
      <c r="D2225" s="1" t="s">
        <v>32</v>
      </c>
      <c r="E2225" s="1" t="s">
        <v>33</v>
      </c>
      <c r="F2225" s="1" t="s">
        <v>19</v>
      </c>
      <c r="G2225" s="1" t="s">
        <v>20</v>
      </c>
      <c r="H2225" t="s">
        <v>21</v>
      </c>
      <c r="I2225" s="1" t="s">
        <v>26</v>
      </c>
      <c r="J2225" s="2">
        <v>43529.579664351855</v>
      </c>
      <c r="K2225" s="2">
        <v>43536.579664351855</v>
      </c>
      <c r="L2225" s="2">
        <v>43533.579664351855</v>
      </c>
      <c r="M2225" s="1">
        <f>_xlfn.DAYS(Table1[[#This Row],[actual_delivery_date]],Table1[[#This Row],[dispatch_date]])</f>
        <v>7</v>
      </c>
      <c r="N2225">
        <v>35</v>
      </c>
      <c r="O2225">
        <f>Table1[[#This Row],[transit_storage_cost]] * (1-'What -if Analysis'!$D$26)</f>
        <v>35</v>
      </c>
      <c r="P2225">
        <v>111</v>
      </c>
      <c r="Q2225">
        <v>503.78</v>
      </c>
    </row>
    <row r="2226" spans="1:17" x14ac:dyDescent="0.3">
      <c r="A2226">
        <v>510672</v>
      </c>
      <c r="B2226" s="1" t="s">
        <v>37</v>
      </c>
      <c r="C2226" s="1" t="s">
        <v>23</v>
      </c>
      <c r="D2226" s="1" t="s">
        <v>23</v>
      </c>
      <c r="E2226" s="1" t="s">
        <v>28</v>
      </c>
      <c r="F2226" s="1" t="s">
        <v>19</v>
      </c>
      <c r="G2226" s="1" t="s">
        <v>20</v>
      </c>
      <c r="H2226" t="s">
        <v>21</v>
      </c>
      <c r="I2226" s="1" t="s">
        <v>26</v>
      </c>
      <c r="J2226" s="2">
        <v>43536.580405092594</v>
      </c>
      <c r="K2226" s="2">
        <v>43536.580405092594</v>
      </c>
      <c r="L2226" s="2">
        <v>43543.580405092594</v>
      </c>
      <c r="M2226" s="1">
        <f>_xlfn.DAYS(Table1[[#This Row],[actual_delivery_date]],Table1[[#This Row],[dispatch_date]])</f>
        <v>0</v>
      </c>
      <c r="N2226">
        <v>0</v>
      </c>
      <c r="O2226">
        <f>Table1[[#This Row],[transit_storage_cost]] * (1-'What -if Analysis'!$D$26)</f>
        <v>0</v>
      </c>
      <c r="P2226">
        <v>105</v>
      </c>
      <c r="Q2226">
        <v>1209.4655341703203</v>
      </c>
    </row>
    <row r="2227" spans="1:17" x14ac:dyDescent="0.3">
      <c r="A2227">
        <v>652769</v>
      </c>
      <c r="B2227" s="1" t="s">
        <v>37</v>
      </c>
      <c r="C2227" s="1" t="s">
        <v>16</v>
      </c>
      <c r="D2227" s="1" t="s">
        <v>17</v>
      </c>
      <c r="E2227" s="1" t="s">
        <v>18</v>
      </c>
      <c r="F2227" s="1" t="s">
        <v>29</v>
      </c>
      <c r="G2227" s="1" t="s">
        <v>20</v>
      </c>
      <c r="H2227" t="s">
        <v>30</v>
      </c>
      <c r="I2227" s="1" t="s">
        <v>22</v>
      </c>
      <c r="J2227" s="2">
        <v>43533.584722222222</v>
      </c>
      <c r="K2227" s="2">
        <v>43536.584722222222</v>
      </c>
      <c r="L2227" s="2">
        <v>43537.584722222222</v>
      </c>
      <c r="M2227" s="1">
        <f>_xlfn.DAYS(Table1[[#This Row],[actual_delivery_date]],Table1[[#This Row],[dispatch_date]])</f>
        <v>3</v>
      </c>
      <c r="N2227">
        <v>40</v>
      </c>
      <c r="O2227">
        <f>Table1[[#This Row],[transit_storage_cost]] * (1-'What -if Analysis'!$D$26)</f>
        <v>40</v>
      </c>
      <c r="P2227">
        <v>113</v>
      </c>
      <c r="Q2227">
        <v>2458</v>
      </c>
    </row>
    <row r="2228" spans="1:17" x14ac:dyDescent="0.3">
      <c r="A2228">
        <v>411829</v>
      </c>
      <c r="B2228" s="1" t="s">
        <v>38</v>
      </c>
      <c r="C2228" s="1" t="s">
        <v>23</v>
      </c>
      <c r="D2228" s="1" t="s">
        <v>23</v>
      </c>
      <c r="E2228" s="1" t="s">
        <v>28</v>
      </c>
      <c r="F2228" s="1" t="s">
        <v>19</v>
      </c>
      <c r="G2228" s="1" t="s">
        <v>20</v>
      </c>
      <c r="H2228" t="s">
        <v>30</v>
      </c>
      <c r="I2228" s="1" t="s">
        <v>22</v>
      </c>
      <c r="J2228" s="2">
        <v>43535.588784722226</v>
      </c>
      <c r="K2228" s="2">
        <v>43536.588784722226</v>
      </c>
      <c r="L2228" s="2">
        <v>43540.588784722226</v>
      </c>
      <c r="M2228" s="1">
        <f>_xlfn.DAYS(Table1[[#This Row],[actual_delivery_date]],Table1[[#This Row],[dispatch_date]])</f>
        <v>1</v>
      </c>
      <c r="N2228">
        <v>0</v>
      </c>
      <c r="O2228">
        <f>Table1[[#This Row],[transit_storage_cost]] * (1-'What -if Analysis'!$D$26)</f>
        <v>0</v>
      </c>
      <c r="P2228">
        <v>101</v>
      </c>
      <c r="Q2228">
        <v>3612.0377177406658</v>
      </c>
    </row>
    <row r="2229" spans="1:17" x14ac:dyDescent="0.3">
      <c r="A2229">
        <v>537936</v>
      </c>
      <c r="B2229" s="1" t="s">
        <v>37</v>
      </c>
      <c r="C2229" s="1" t="s">
        <v>23</v>
      </c>
      <c r="D2229" s="1" t="s">
        <v>16</v>
      </c>
      <c r="E2229" s="1" t="s">
        <v>27</v>
      </c>
      <c r="F2229" s="1" t="s">
        <v>19</v>
      </c>
      <c r="G2229" s="1" t="s">
        <v>20</v>
      </c>
      <c r="H2229" t="s">
        <v>21</v>
      </c>
      <c r="I2229" s="1" t="s">
        <v>26</v>
      </c>
      <c r="J2229" s="2">
        <v>43534.588900462964</v>
      </c>
      <c r="K2229" s="2">
        <v>43536.588900462964</v>
      </c>
      <c r="L2229" s="2">
        <v>43539.588900462964</v>
      </c>
      <c r="M2229" s="1">
        <f>_xlfn.DAYS(Table1[[#This Row],[actual_delivery_date]],Table1[[#This Row],[dispatch_date]])</f>
        <v>2</v>
      </c>
      <c r="N2229">
        <v>64</v>
      </c>
      <c r="O2229">
        <f>Table1[[#This Row],[transit_storage_cost]] * (1-'What -if Analysis'!$D$26)</f>
        <v>64</v>
      </c>
      <c r="P2229">
        <v>102</v>
      </c>
      <c r="Q2229">
        <v>1634.8523452543263</v>
      </c>
    </row>
    <row r="2230" spans="1:17" x14ac:dyDescent="0.3">
      <c r="A2230">
        <v>920939</v>
      </c>
      <c r="B2230" s="1" t="s">
        <v>39</v>
      </c>
      <c r="C2230" s="1" t="s">
        <v>23</v>
      </c>
      <c r="D2230" s="1" t="s">
        <v>24</v>
      </c>
      <c r="E2230" s="1" t="s">
        <v>25</v>
      </c>
      <c r="F2230" s="1" t="s">
        <v>29</v>
      </c>
      <c r="G2230" s="1" t="s">
        <v>20</v>
      </c>
      <c r="H2230" t="s">
        <v>30</v>
      </c>
      <c r="I2230" s="1" t="s">
        <v>22</v>
      </c>
      <c r="J2230" s="2">
        <v>43530.593854166669</v>
      </c>
      <c r="K2230" s="2">
        <v>43536.593854166669</v>
      </c>
      <c r="L2230" s="2">
        <v>43537.593854166669</v>
      </c>
      <c r="M2230" s="1">
        <f>_xlfn.DAYS(Table1[[#This Row],[actual_delivery_date]],Table1[[#This Row],[dispatch_date]])</f>
        <v>6</v>
      </c>
      <c r="N2230">
        <v>38</v>
      </c>
      <c r="O2230">
        <f>Table1[[#This Row],[transit_storage_cost]] * (1-'What -if Analysis'!$D$26)</f>
        <v>38</v>
      </c>
      <c r="P2230">
        <v>129</v>
      </c>
      <c r="Q2230">
        <v>2439</v>
      </c>
    </row>
    <row r="2231" spans="1:17" x14ac:dyDescent="0.3">
      <c r="A2231">
        <v>184354</v>
      </c>
      <c r="B2231" s="1" t="s">
        <v>38</v>
      </c>
      <c r="C2231" s="1" t="s">
        <v>16</v>
      </c>
      <c r="D2231" s="1" t="s">
        <v>16</v>
      </c>
      <c r="E2231" s="1" t="s">
        <v>27</v>
      </c>
      <c r="F2231" s="1" t="s">
        <v>19</v>
      </c>
      <c r="G2231" s="1" t="s">
        <v>20</v>
      </c>
      <c r="H2231" t="s">
        <v>21</v>
      </c>
      <c r="I2231" s="1" t="s">
        <v>22</v>
      </c>
      <c r="J2231" s="2">
        <v>43531.594467592593</v>
      </c>
      <c r="K2231" s="2">
        <v>43536.594467592593</v>
      </c>
      <c r="L2231" s="2">
        <v>43537.594467592593</v>
      </c>
      <c r="M2231" s="1">
        <f>_xlfn.DAYS(Table1[[#This Row],[actual_delivery_date]],Table1[[#This Row],[dispatch_date]])</f>
        <v>5</v>
      </c>
      <c r="N2231">
        <v>0</v>
      </c>
      <c r="O2231">
        <f>Table1[[#This Row],[transit_storage_cost]] * (1-'What -if Analysis'!$D$26)</f>
        <v>0</v>
      </c>
      <c r="P2231">
        <v>101</v>
      </c>
      <c r="Q2231">
        <v>525.33825953596158</v>
      </c>
    </row>
    <row r="2232" spans="1:17" x14ac:dyDescent="0.3">
      <c r="A2232">
        <v>155517</v>
      </c>
      <c r="B2232" s="1" t="s">
        <v>37</v>
      </c>
      <c r="C2232" s="1" t="s">
        <v>16</v>
      </c>
      <c r="D2232" s="1" t="s">
        <v>17</v>
      </c>
      <c r="E2232" s="1" t="s">
        <v>18</v>
      </c>
      <c r="F2232" s="1" t="s">
        <v>29</v>
      </c>
      <c r="G2232" s="1" t="s">
        <v>20</v>
      </c>
      <c r="H2232" t="s">
        <v>30</v>
      </c>
      <c r="I2232" s="1" t="s">
        <v>26</v>
      </c>
      <c r="J2232" s="2">
        <v>43532.597326388888</v>
      </c>
      <c r="K2232" s="2">
        <v>43536.597326388888</v>
      </c>
      <c r="L2232" s="2">
        <v>43536.597326388888</v>
      </c>
      <c r="M2232" s="1">
        <f>_xlfn.DAYS(Table1[[#This Row],[actual_delivery_date]],Table1[[#This Row],[dispatch_date]])</f>
        <v>4</v>
      </c>
      <c r="N2232">
        <v>32</v>
      </c>
      <c r="O2232">
        <f>Table1[[#This Row],[transit_storage_cost]] * (1-'What -if Analysis'!$D$26)</f>
        <v>32</v>
      </c>
      <c r="P2232">
        <v>108</v>
      </c>
      <c r="Q2232">
        <v>3149.507662372283</v>
      </c>
    </row>
    <row r="2233" spans="1:17" x14ac:dyDescent="0.3">
      <c r="A2233">
        <v>759351</v>
      </c>
      <c r="B2233" s="1" t="s">
        <v>37</v>
      </c>
      <c r="C2233" s="1" t="s">
        <v>16</v>
      </c>
      <c r="D2233" s="1" t="s">
        <v>16</v>
      </c>
      <c r="E2233" s="1" t="s">
        <v>27</v>
      </c>
      <c r="F2233" s="1" t="s">
        <v>29</v>
      </c>
      <c r="G2233" s="1" t="s">
        <v>20</v>
      </c>
      <c r="H2233" t="s">
        <v>30</v>
      </c>
      <c r="I2233" s="1" t="s">
        <v>26</v>
      </c>
      <c r="J2233" s="2">
        <v>43532.608495370368</v>
      </c>
      <c r="K2233" s="2">
        <v>43536.608495370368</v>
      </c>
      <c r="L2233" s="2">
        <v>43538.608495370368</v>
      </c>
      <c r="M2233" s="1">
        <f>_xlfn.DAYS(Table1[[#This Row],[actual_delivery_date]],Table1[[#This Row],[dispatch_date]])</f>
        <v>4</v>
      </c>
      <c r="N2233">
        <v>0</v>
      </c>
      <c r="O2233">
        <f>Table1[[#This Row],[transit_storage_cost]] * (1-'What -if Analysis'!$D$26)</f>
        <v>0</v>
      </c>
      <c r="P2233">
        <v>127</v>
      </c>
      <c r="Q2233">
        <v>2642.6613568692433</v>
      </c>
    </row>
    <row r="2234" spans="1:17" x14ac:dyDescent="0.3">
      <c r="A2234">
        <v>440631</v>
      </c>
      <c r="B2234" s="1" t="s">
        <v>39</v>
      </c>
      <c r="C2234" s="1" t="s">
        <v>23</v>
      </c>
      <c r="D2234" s="1" t="s">
        <v>16</v>
      </c>
      <c r="E2234" s="1" t="s">
        <v>27</v>
      </c>
      <c r="F2234" s="1" t="s">
        <v>29</v>
      </c>
      <c r="G2234" s="1" t="s">
        <v>20</v>
      </c>
      <c r="H2234" t="s">
        <v>30</v>
      </c>
      <c r="I2234" s="1" t="s">
        <v>26</v>
      </c>
      <c r="J2234" s="2">
        <v>43527.611296296294</v>
      </c>
      <c r="K2234" s="2">
        <v>43536.611296296294</v>
      </c>
      <c r="L2234" s="2">
        <v>43531.611296296294</v>
      </c>
      <c r="M2234" s="1">
        <f>_xlfn.DAYS(Table1[[#This Row],[actual_delivery_date]],Table1[[#This Row],[dispatch_date]])</f>
        <v>9</v>
      </c>
      <c r="N2234">
        <v>39</v>
      </c>
      <c r="O2234">
        <f>Table1[[#This Row],[transit_storage_cost]] * (1-'What -if Analysis'!$D$26)</f>
        <v>39</v>
      </c>
      <c r="P2234">
        <v>121</v>
      </c>
      <c r="Q2234">
        <v>813.2</v>
      </c>
    </row>
    <row r="2235" spans="1:17" x14ac:dyDescent="0.3">
      <c r="A2235">
        <v>534045</v>
      </c>
      <c r="B2235" s="1" t="s">
        <v>38</v>
      </c>
      <c r="C2235" s="1" t="s">
        <v>16</v>
      </c>
      <c r="D2235" s="1" t="s">
        <v>17</v>
      </c>
      <c r="E2235" s="1" t="s">
        <v>18</v>
      </c>
      <c r="F2235" s="1" t="s">
        <v>29</v>
      </c>
      <c r="G2235" s="1" t="s">
        <v>20</v>
      </c>
      <c r="H2235" t="s">
        <v>30</v>
      </c>
      <c r="I2235" s="1" t="s">
        <v>26</v>
      </c>
      <c r="J2235" s="2">
        <v>43530.61509259259</v>
      </c>
      <c r="K2235" s="2">
        <v>43536.61509259259</v>
      </c>
      <c r="L2235" s="2">
        <v>43535.61509259259</v>
      </c>
      <c r="M2235" s="1">
        <f>_xlfn.DAYS(Table1[[#This Row],[actual_delivery_date]],Table1[[#This Row],[dispatch_date]])</f>
        <v>6</v>
      </c>
      <c r="N2235">
        <v>39</v>
      </c>
      <c r="O2235">
        <f>Table1[[#This Row],[transit_storage_cost]] * (1-'What -if Analysis'!$D$26)</f>
        <v>39</v>
      </c>
      <c r="P2235">
        <v>110</v>
      </c>
      <c r="Q2235">
        <v>3727.2459098789514</v>
      </c>
    </row>
    <row r="2236" spans="1:17" x14ac:dyDescent="0.3">
      <c r="A2236">
        <v>911492</v>
      </c>
      <c r="B2236" s="1" t="s">
        <v>39</v>
      </c>
      <c r="C2236" s="1" t="s">
        <v>16</v>
      </c>
      <c r="D2236" s="1" t="s">
        <v>17</v>
      </c>
      <c r="E2236" s="1" t="s">
        <v>18</v>
      </c>
      <c r="F2236" s="1" t="s">
        <v>19</v>
      </c>
      <c r="G2236" s="1" t="s">
        <v>20</v>
      </c>
      <c r="H2236" t="s">
        <v>21</v>
      </c>
      <c r="I2236" s="1" t="s">
        <v>22</v>
      </c>
      <c r="J2236" s="2">
        <v>43530.618009259262</v>
      </c>
      <c r="K2236" s="2">
        <v>43536.618009259262</v>
      </c>
      <c r="L2236" s="2">
        <v>43537.618009259262</v>
      </c>
      <c r="M2236" s="1">
        <f>_xlfn.DAYS(Table1[[#This Row],[actual_delivery_date]],Table1[[#This Row],[dispatch_date]])</f>
        <v>6</v>
      </c>
      <c r="N2236">
        <v>33</v>
      </c>
      <c r="O2236">
        <f>Table1[[#This Row],[transit_storage_cost]] * (1-'What -if Analysis'!$D$26)</f>
        <v>33</v>
      </c>
      <c r="P2236">
        <v>105</v>
      </c>
      <c r="Q2236">
        <v>1423.9850792214172</v>
      </c>
    </row>
    <row r="2237" spans="1:17" x14ac:dyDescent="0.3">
      <c r="A2237">
        <v>25405</v>
      </c>
      <c r="B2237" s="1" t="s">
        <v>37</v>
      </c>
      <c r="C2237" s="1" t="s">
        <v>16</v>
      </c>
      <c r="D2237" s="1" t="s">
        <v>17</v>
      </c>
      <c r="E2237" s="1" t="s">
        <v>18</v>
      </c>
      <c r="F2237" s="1" t="s">
        <v>29</v>
      </c>
      <c r="G2237" s="1" t="s">
        <v>20</v>
      </c>
      <c r="H2237" t="s">
        <v>30</v>
      </c>
      <c r="I2237" s="1" t="s">
        <v>22</v>
      </c>
      <c r="J2237" s="2">
        <v>43529.620173611111</v>
      </c>
      <c r="K2237" s="2">
        <v>43536.620173611111</v>
      </c>
      <c r="L2237" s="2">
        <v>43533.620173611111</v>
      </c>
      <c r="M2237" s="1">
        <f>_xlfn.DAYS(Table1[[#This Row],[actual_delivery_date]],Table1[[#This Row],[dispatch_date]])</f>
        <v>7</v>
      </c>
      <c r="N2237">
        <v>30</v>
      </c>
      <c r="O2237">
        <f>Table1[[#This Row],[transit_storage_cost]] * (1-'What -if Analysis'!$D$26)</f>
        <v>30</v>
      </c>
      <c r="P2237">
        <v>110</v>
      </c>
      <c r="Q2237">
        <v>1194.6276577243204</v>
      </c>
    </row>
    <row r="2238" spans="1:17" x14ac:dyDescent="0.3">
      <c r="A2238">
        <v>759350</v>
      </c>
      <c r="B2238" s="1" t="s">
        <v>40</v>
      </c>
      <c r="C2238" s="1" t="s">
        <v>16</v>
      </c>
      <c r="D2238" s="1" t="s">
        <v>24</v>
      </c>
      <c r="E2238" s="1" t="s">
        <v>25</v>
      </c>
      <c r="F2238" s="1" t="s">
        <v>31</v>
      </c>
      <c r="G2238" s="1" t="s">
        <v>20</v>
      </c>
      <c r="H2238" t="s">
        <v>21</v>
      </c>
      <c r="I2238" s="1" t="s">
        <v>22</v>
      </c>
      <c r="J2238" s="2">
        <v>43531.624710648146</v>
      </c>
      <c r="K2238" s="2">
        <v>43536.624710648146</v>
      </c>
      <c r="L2238" s="2">
        <v>43536.624710648146</v>
      </c>
      <c r="M2238" s="1">
        <f>_xlfn.DAYS(Table1[[#This Row],[actual_delivery_date]],Table1[[#This Row],[dispatch_date]])</f>
        <v>5</v>
      </c>
      <c r="N2238">
        <v>49</v>
      </c>
      <c r="O2238">
        <f>Table1[[#This Row],[transit_storage_cost]] * (1-'What -if Analysis'!$D$26)</f>
        <v>49</v>
      </c>
      <c r="P2238">
        <v>129</v>
      </c>
      <c r="Q2238">
        <v>1853.9716646875715</v>
      </c>
    </row>
    <row r="2239" spans="1:17" x14ac:dyDescent="0.3">
      <c r="A2239">
        <v>203713</v>
      </c>
      <c r="B2239" s="1" t="s">
        <v>37</v>
      </c>
      <c r="C2239" s="1" t="s">
        <v>16</v>
      </c>
      <c r="D2239" s="1" t="s">
        <v>17</v>
      </c>
      <c r="E2239" s="1" t="s">
        <v>18</v>
      </c>
      <c r="F2239" s="1" t="s">
        <v>29</v>
      </c>
      <c r="G2239" s="1" t="s">
        <v>20</v>
      </c>
      <c r="H2239" t="s">
        <v>30</v>
      </c>
      <c r="I2239" s="1" t="s">
        <v>22</v>
      </c>
      <c r="J2239" s="2">
        <v>43530.625393518516</v>
      </c>
      <c r="K2239" s="2">
        <v>43536.625393518516</v>
      </c>
      <c r="L2239" s="2">
        <v>43537.625393518516</v>
      </c>
      <c r="M2239" s="1">
        <f>_xlfn.DAYS(Table1[[#This Row],[actual_delivery_date]],Table1[[#This Row],[dispatch_date]])</f>
        <v>6</v>
      </c>
      <c r="N2239">
        <v>32</v>
      </c>
      <c r="O2239">
        <f>Table1[[#This Row],[transit_storage_cost]] * (1-'What -if Analysis'!$D$26)</f>
        <v>32</v>
      </c>
      <c r="P2239">
        <v>112</v>
      </c>
      <c r="Q2239">
        <v>933.15800701971057</v>
      </c>
    </row>
    <row r="2240" spans="1:17" x14ac:dyDescent="0.3">
      <c r="A2240">
        <v>559631</v>
      </c>
      <c r="B2240" s="1" t="s">
        <v>38</v>
      </c>
      <c r="C2240" s="1" t="s">
        <v>16</v>
      </c>
      <c r="D2240" s="1" t="s">
        <v>16</v>
      </c>
      <c r="E2240" s="1" t="s">
        <v>27</v>
      </c>
      <c r="F2240" s="1" t="s">
        <v>29</v>
      </c>
      <c r="G2240" s="1" t="s">
        <v>36</v>
      </c>
      <c r="H2240" t="s">
        <v>30</v>
      </c>
      <c r="I2240" s="1" t="s">
        <v>22</v>
      </c>
      <c r="J2240" s="2">
        <v>43531.626203703701</v>
      </c>
      <c r="K2240" s="2">
        <v>43536.626203703701</v>
      </c>
      <c r="L2240" s="2">
        <v>43538.626203703701</v>
      </c>
      <c r="M2240" s="1">
        <f>_xlfn.DAYS(Table1[[#This Row],[actual_delivery_date]],Table1[[#This Row],[dispatch_date]])</f>
        <v>5</v>
      </c>
      <c r="N2240">
        <v>0</v>
      </c>
      <c r="O2240">
        <f>Table1[[#This Row],[transit_storage_cost]] * (1-'What -if Analysis'!$D$26)</f>
        <v>0</v>
      </c>
      <c r="P2240">
        <v>125</v>
      </c>
      <c r="Q2240">
        <v>3205.1190437193945</v>
      </c>
    </row>
    <row r="2241" spans="1:17" x14ac:dyDescent="0.3">
      <c r="A2241">
        <v>869823</v>
      </c>
      <c r="B2241" s="1" t="s">
        <v>37</v>
      </c>
      <c r="C2241" s="1" t="s">
        <v>16</v>
      </c>
      <c r="D2241" s="1" t="s">
        <v>23</v>
      </c>
      <c r="E2241" s="1" t="s">
        <v>28</v>
      </c>
      <c r="F2241" s="1" t="s">
        <v>29</v>
      </c>
      <c r="G2241" s="1" t="s">
        <v>20</v>
      </c>
      <c r="H2241" t="s">
        <v>30</v>
      </c>
      <c r="I2241" s="1" t="s">
        <v>26</v>
      </c>
      <c r="J2241" s="2">
        <v>43527.630659722221</v>
      </c>
      <c r="K2241" s="2">
        <v>43536.630659722221</v>
      </c>
      <c r="L2241" s="2">
        <v>43531.630659722221</v>
      </c>
      <c r="M2241" s="1">
        <f>_xlfn.DAYS(Table1[[#This Row],[actual_delivery_date]],Table1[[#This Row],[dispatch_date]])</f>
        <v>9</v>
      </c>
      <c r="N2241">
        <v>28</v>
      </c>
      <c r="O2241">
        <f>Table1[[#This Row],[transit_storage_cost]] * (1-'What -if Analysis'!$D$26)</f>
        <v>28</v>
      </c>
      <c r="P2241">
        <v>122</v>
      </c>
      <c r="Q2241">
        <v>2470.9899999999998</v>
      </c>
    </row>
    <row r="2242" spans="1:17" x14ac:dyDescent="0.3">
      <c r="A2242">
        <v>876367</v>
      </c>
      <c r="B2242" s="1" t="s">
        <v>41</v>
      </c>
      <c r="C2242" s="1" t="s">
        <v>16</v>
      </c>
      <c r="D2242" s="1" t="s">
        <v>17</v>
      </c>
      <c r="E2242" s="1" t="s">
        <v>18</v>
      </c>
      <c r="F2242" s="1" t="s">
        <v>19</v>
      </c>
      <c r="G2242" s="1" t="s">
        <v>20</v>
      </c>
      <c r="H2242" t="s">
        <v>30</v>
      </c>
      <c r="I2242" s="1" t="s">
        <v>22</v>
      </c>
      <c r="J2242" s="2">
        <v>43533.633599537039</v>
      </c>
      <c r="K2242" s="2">
        <v>43536.633599537039</v>
      </c>
      <c r="L2242" s="2">
        <v>43540.633599537039</v>
      </c>
      <c r="M2242" s="1">
        <f>_xlfn.DAYS(Table1[[#This Row],[actual_delivery_date]],Table1[[#This Row],[dispatch_date]])</f>
        <v>3</v>
      </c>
      <c r="N2242">
        <v>80</v>
      </c>
      <c r="O2242">
        <f>Table1[[#This Row],[transit_storage_cost]] * (1-'What -if Analysis'!$D$26)</f>
        <v>80</v>
      </c>
      <c r="P2242">
        <v>93</v>
      </c>
      <c r="Q2242">
        <v>270</v>
      </c>
    </row>
    <row r="2243" spans="1:17" x14ac:dyDescent="0.3">
      <c r="A2243">
        <v>398349</v>
      </c>
      <c r="B2243" s="1" t="s">
        <v>39</v>
      </c>
      <c r="C2243" s="1" t="s">
        <v>23</v>
      </c>
      <c r="D2243" s="1" t="s">
        <v>24</v>
      </c>
      <c r="E2243" s="1" t="s">
        <v>25</v>
      </c>
      <c r="F2243" s="1" t="s">
        <v>29</v>
      </c>
      <c r="G2243" s="1" t="s">
        <v>20</v>
      </c>
      <c r="H2243" t="s">
        <v>34</v>
      </c>
      <c r="I2243" s="1" t="s">
        <v>26</v>
      </c>
      <c r="J2243" s="2">
        <v>43532.636597222219</v>
      </c>
      <c r="K2243" s="2">
        <v>43536.636597222219</v>
      </c>
      <c r="L2243" s="2">
        <v>43539.636597222219</v>
      </c>
      <c r="M2243" s="1">
        <f>_xlfn.DAYS(Table1[[#This Row],[actual_delivery_date]],Table1[[#This Row],[dispatch_date]])</f>
        <v>4</v>
      </c>
      <c r="N2243">
        <v>36</v>
      </c>
      <c r="O2243">
        <f>Table1[[#This Row],[transit_storage_cost]] * (1-'What -if Analysis'!$D$26)</f>
        <v>36</v>
      </c>
      <c r="P2243">
        <v>129</v>
      </c>
      <c r="Q2243">
        <v>979.472620434693</v>
      </c>
    </row>
    <row r="2244" spans="1:17" x14ac:dyDescent="0.3">
      <c r="A2244">
        <v>228905</v>
      </c>
      <c r="B2244" s="1" t="s">
        <v>15</v>
      </c>
      <c r="C2244" s="1" t="s">
        <v>23</v>
      </c>
      <c r="D2244" s="1" t="s">
        <v>32</v>
      </c>
      <c r="E2244" s="1" t="s">
        <v>33</v>
      </c>
      <c r="F2244" s="1" t="s">
        <v>29</v>
      </c>
      <c r="G2244" s="1" t="s">
        <v>20</v>
      </c>
      <c r="H2244" t="s">
        <v>30</v>
      </c>
      <c r="I2244" s="1" t="s">
        <v>22</v>
      </c>
      <c r="J2244" s="2">
        <v>43531.637812499997</v>
      </c>
      <c r="K2244" s="2">
        <v>43536.637812499997</v>
      </c>
      <c r="L2244" s="2">
        <v>43538.637812499997</v>
      </c>
      <c r="M2244" s="1">
        <f>_xlfn.DAYS(Table1[[#This Row],[actual_delivery_date]],Table1[[#This Row],[dispatch_date]])</f>
        <v>5</v>
      </c>
      <c r="N2244">
        <v>30</v>
      </c>
      <c r="O2244">
        <f>Table1[[#This Row],[transit_storage_cost]] * (1-'What -if Analysis'!$D$26)</f>
        <v>30</v>
      </c>
      <c r="P2244">
        <v>112</v>
      </c>
      <c r="Q2244">
        <v>2497.4093925625807</v>
      </c>
    </row>
    <row r="2245" spans="1:17" x14ac:dyDescent="0.3">
      <c r="A2245">
        <v>359506</v>
      </c>
      <c r="B2245" s="1" t="s">
        <v>15</v>
      </c>
      <c r="C2245" s="1" t="s">
        <v>23</v>
      </c>
      <c r="D2245" s="1" t="s">
        <v>17</v>
      </c>
      <c r="E2245" s="1" t="s">
        <v>18</v>
      </c>
      <c r="F2245" s="1" t="s">
        <v>31</v>
      </c>
      <c r="G2245" s="1" t="s">
        <v>20</v>
      </c>
      <c r="H2245" t="s">
        <v>21</v>
      </c>
      <c r="I2245" s="1" t="s">
        <v>22</v>
      </c>
      <c r="J2245" s="2">
        <v>43530.637962962966</v>
      </c>
      <c r="K2245" s="2">
        <v>43536.637962962966</v>
      </c>
      <c r="L2245" s="2">
        <v>43533.637962962966</v>
      </c>
      <c r="M2245" s="1">
        <f>_xlfn.DAYS(Table1[[#This Row],[actual_delivery_date]],Table1[[#This Row],[dispatch_date]])</f>
        <v>6</v>
      </c>
      <c r="N2245">
        <v>40</v>
      </c>
      <c r="O2245">
        <f>Table1[[#This Row],[transit_storage_cost]] * (1-'What -if Analysis'!$D$26)</f>
        <v>40</v>
      </c>
      <c r="P2245">
        <v>107</v>
      </c>
      <c r="Q2245">
        <v>1114.1202851413864</v>
      </c>
    </row>
    <row r="2246" spans="1:17" x14ac:dyDescent="0.3">
      <c r="A2246">
        <v>428398</v>
      </c>
      <c r="B2246" s="1" t="s">
        <v>39</v>
      </c>
      <c r="C2246" s="1" t="s">
        <v>23</v>
      </c>
      <c r="D2246" s="1" t="s">
        <v>32</v>
      </c>
      <c r="E2246" s="1" t="s">
        <v>33</v>
      </c>
      <c r="F2246" s="1" t="s">
        <v>31</v>
      </c>
      <c r="G2246" s="1" t="s">
        <v>20</v>
      </c>
      <c r="H2246" t="s">
        <v>21</v>
      </c>
      <c r="I2246" s="1" t="s">
        <v>22</v>
      </c>
      <c r="J2246" s="2">
        <v>43533.638124999998</v>
      </c>
      <c r="K2246" s="2">
        <v>43536.638124999998</v>
      </c>
      <c r="L2246" s="2">
        <v>43540.638124999998</v>
      </c>
      <c r="M2246" s="1">
        <f>_xlfn.DAYS(Table1[[#This Row],[actual_delivery_date]],Table1[[#This Row],[dispatch_date]])</f>
        <v>3</v>
      </c>
      <c r="N2246">
        <v>33</v>
      </c>
      <c r="O2246">
        <f>Table1[[#This Row],[transit_storage_cost]] * (1-'What -if Analysis'!$D$26)</f>
        <v>33</v>
      </c>
      <c r="P2246">
        <v>106</v>
      </c>
      <c r="Q2246">
        <v>839.70881792813668</v>
      </c>
    </row>
    <row r="2247" spans="1:17" x14ac:dyDescent="0.3">
      <c r="A2247">
        <v>158413</v>
      </c>
      <c r="B2247" s="1" t="s">
        <v>37</v>
      </c>
      <c r="C2247" s="1" t="s">
        <v>16</v>
      </c>
      <c r="D2247" s="1" t="s">
        <v>17</v>
      </c>
      <c r="E2247" s="1" t="s">
        <v>18</v>
      </c>
      <c r="F2247" s="1" t="s">
        <v>29</v>
      </c>
      <c r="G2247" s="1" t="s">
        <v>20</v>
      </c>
      <c r="H2247" t="s">
        <v>30</v>
      </c>
      <c r="I2247" s="1" t="s">
        <v>22</v>
      </c>
      <c r="J2247" s="2">
        <v>43533.638692129629</v>
      </c>
      <c r="K2247" s="2">
        <v>43536.638692129629</v>
      </c>
      <c r="L2247" s="2">
        <v>43539.638692129629</v>
      </c>
      <c r="M2247" s="1">
        <f>_xlfn.DAYS(Table1[[#This Row],[actual_delivery_date]],Table1[[#This Row],[dispatch_date]])</f>
        <v>3</v>
      </c>
      <c r="N2247">
        <v>28</v>
      </c>
      <c r="O2247">
        <f>Table1[[#This Row],[transit_storage_cost]] * (1-'What -if Analysis'!$D$26)</f>
        <v>28</v>
      </c>
      <c r="P2247">
        <v>109</v>
      </c>
      <c r="Q2247">
        <v>2639.674260228875</v>
      </c>
    </row>
    <row r="2248" spans="1:17" x14ac:dyDescent="0.3">
      <c r="A2248">
        <v>653393</v>
      </c>
      <c r="B2248" s="1" t="s">
        <v>38</v>
      </c>
      <c r="C2248" s="1" t="s">
        <v>16</v>
      </c>
      <c r="D2248" s="1" t="s">
        <v>17</v>
      </c>
      <c r="E2248" s="1" t="s">
        <v>18</v>
      </c>
      <c r="F2248" s="1" t="s">
        <v>29</v>
      </c>
      <c r="G2248" s="1" t="s">
        <v>20</v>
      </c>
      <c r="H2248" t="s">
        <v>30</v>
      </c>
      <c r="I2248" s="1" t="s">
        <v>22</v>
      </c>
      <c r="J2248" s="2">
        <v>43528.641203703701</v>
      </c>
      <c r="K2248" s="2">
        <v>43536.641203703701</v>
      </c>
      <c r="L2248" s="2">
        <v>43533.641203703701</v>
      </c>
      <c r="M2248" s="1">
        <f>_xlfn.DAYS(Table1[[#This Row],[actual_delivery_date]],Table1[[#This Row],[dispatch_date]])</f>
        <v>8</v>
      </c>
      <c r="N2248">
        <v>28</v>
      </c>
      <c r="O2248">
        <f>Table1[[#This Row],[transit_storage_cost]] * (1-'What -if Analysis'!$D$26)</f>
        <v>28</v>
      </c>
      <c r="P2248">
        <v>107</v>
      </c>
      <c r="Q2248">
        <v>2197.6774935253534</v>
      </c>
    </row>
    <row r="2249" spans="1:17" x14ac:dyDescent="0.3">
      <c r="A2249">
        <v>460317</v>
      </c>
      <c r="B2249" s="1" t="s">
        <v>39</v>
      </c>
      <c r="C2249" s="1" t="s">
        <v>16</v>
      </c>
      <c r="D2249" s="1" t="s">
        <v>24</v>
      </c>
      <c r="E2249" s="1" t="s">
        <v>25</v>
      </c>
      <c r="F2249" s="1" t="s">
        <v>29</v>
      </c>
      <c r="G2249" s="1" t="s">
        <v>20</v>
      </c>
      <c r="H2249" t="s">
        <v>30</v>
      </c>
      <c r="I2249" s="1" t="s">
        <v>26</v>
      </c>
      <c r="J2249" s="2">
        <v>43533.644201388888</v>
      </c>
      <c r="K2249" s="2">
        <v>43536.644201388888</v>
      </c>
      <c r="L2249" s="2">
        <v>43539.644201388888</v>
      </c>
      <c r="M2249" s="1">
        <f>_xlfn.DAYS(Table1[[#This Row],[actual_delivery_date]],Table1[[#This Row],[dispatch_date]])</f>
        <v>3</v>
      </c>
      <c r="N2249">
        <v>44</v>
      </c>
      <c r="O2249">
        <f>Table1[[#This Row],[transit_storage_cost]] * (1-'What -if Analysis'!$D$26)</f>
        <v>44</v>
      </c>
      <c r="P2249">
        <v>129</v>
      </c>
      <c r="Q2249">
        <v>2795.5439280080836</v>
      </c>
    </row>
    <row r="2250" spans="1:17" x14ac:dyDescent="0.3">
      <c r="A2250">
        <v>309636</v>
      </c>
      <c r="B2250" s="1" t="s">
        <v>37</v>
      </c>
      <c r="C2250" s="1" t="s">
        <v>16</v>
      </c>
      <c r="D2250" s="1" t="s">
        <v>16</v>
      </c>
      <c r="E2250" s="1" t="s">
        <v>27</v>
      </c>
      <c r="F2250" s="1" t="s">
        <v>19</v>
      </c>
      <c r="G2250" s="1" t="s">
        <v>20</v>
      </c>
      <c r="H2250" t="s">
        <v>21</v>
      </c>
      <c r="I2250" s="1" t="s">
        <v>26</v>
      </c>
      <c r="J2250" s="2">
        <v>43533.646099537036</v>
      </c>
      <c r="K2250" s="2">
        <v>43536.646099537036</v>
      </c>
      <c r="L2250" s="2">
        <v>43540.646099537036</v>
      </c>
      <c r="M2250" s="1">
        <f>_xlfn.DAYS(Table1[[#This Row],[actual_delivery_date]],Table1[[#This Row],[dispatch_date]])</f>
        <v>3</v>
      </c>
      <c r="N2250">
        <v>0</v>
      </c>
      <c r="O2250">
        <f>Table1[[#This Row],[transit_storage_cost]] * (1-'What -if Analysis'!$D$26)</f>
        <v>0</v>
      </c>
      <c r="P2250">
        <v>108</v>
      </c>
      <c r="Q2250">
        <v>1842.0328313604784</v>
      </c>
    </row>
    <row r="2251" spans="1:17" x14ac:dyDescent="0.3">
      <c r="A2251">
        <v>60361</v>
      </c>
      <c r="B2251" s="1" t="s">
        <v>39</v>
      </c>
      <c r="C2251" s="1" t="s">
        <v>23</v>
      </c>
      <c r="D2251" s="1" t="s">
        <v>16</v>
      </c>
      <c r="E2251" s="1" t="s">
        <v>27</v>
      </c>
      <c r="F2251" s="1" t="s">
        <v>29</v>
      </c>
      <c r="G2251" s="1" t="s">
        <v>20</v>
      </c>
      <c r="H2251" t="s">
        <v>34</v>
      </c>
      <c r="I2251" s="1" t="s">
        <v>22</v>
      </c>
      <c r="J2251" s="2">
        <v>43529.649282407408</v>
      </c>
      <c r="K2251" s="2">
        <v>43536.649282407408</v>
      </c>
      <c r="L2251" s="2">
        <v>43536.649282407408</v>
      </c>
      <c r="M2251" s="1">
        <f>_xlfn.DAYS(Table1[[#This Row],[actual_delivery_date]],Table1[[#This Row],[dispatch_date]])</f>
        <v>7</v>
      </c>
      <c r="N2251">
        <v>39</v>
      </c>
      <c r="O2251">
        <f>Table1[[#This Row],[transit_storage_cost]] * (1-'What -if Analysis'!$D$26)</f>
        <v>39</v>
      </c>
      <c r="P2251">
        <v>125</v>
      </c>
      <c r="Q2251">
        <v>2341.7020494029234</v>
      </c>
    </row>
    <row r="2252" spans="1:17" x14ac:dyDescent="0.3">
      <c r="A2252">
        <v>89137</v>
      </c>
      <c r="B2252" s="1" t="s">
        <v>39</v>
      </c>
      <c r="C2252" s="1" t="s">
        <v>23</v>
      </c>
      <c r="D2252" s="1" t="s">
        <v>17</v>
      </c>
      <c r="E2252" s="1" t="s">
        <v>18</v>
      </c>
      <c r="F2252" s="1" t="s">
        <v>29</v>
      </c>
      <c r="G2252" s="1" t="s">
        <v>20</v>
      </c>
      <c r="H2252" t="s">
        <v>30</v>
      </c>
      <c r="I2252" s="1" t="s">
        <v>22</v>
      </c>
      <c r="J2252" s="2">
        <v>43533.649444444447</v>
      </c>
      <c r="K2252" s="2">
        <v>43536.649444444447</v>
      </c>
      <c r="L2252" s="2">
        <v>43536.649444444447</v>
      </c>
      <c r="M2252" s="1">
        <f>_xlfn.DAYS(Table1[[#This Row],[actual_delivery_date]],Table1[[#This Row],[dispatch_date]])</f>
        <v>3</v>
      </c>
      <c r="N2252">
        <v>26</v>
      </c>
      <c r="O2252">
        <f>Table1[[#This Row],[transit_storage_cost]] * (1-'What -if Analysis'!$D$26)</f>
        <v>26</v>
      </c>
      <c r="P2252">
        <v>105</v>
      </c>
      <c r="Q2252">
        <v>1955.0490940587256</v>
      </c>
    </row>
    <row r="2253" spans="1:17" x14ac:dyDescent="0.3">
      <c r="A2253">
        <v>610804</v>
      </c>
      <c r="B2253" s="1" t="s">
        <v>38</v>
      </c>
      <c r="C2253" s="1" t="s">
        <v>16</v>
      </c>
      <c r="D2253" s="1" t="s">
        <v>17</v>
      </c>
      <c r="E2253" s="1" t="s">
        <v>18</v>
      </c>
      <c r="F2253" s="1" t="s">
        <v>19</v>
      </c>
      <c r="G2253" s="1" t="s">
        <v>20</v>
      </c>
      <c r="H2253" t="s">
        <v>21</v>
      </c>
      <c r="I2253" s="1" t="s">
        <v>22</v>
      </c>
      <c r="J2253" s="2">
        <v>43532.652071759258</v>
      </c>
      <c r="K2253" s="2">
        <v>43536.652071759258</v>
      </c>
      <c r="L2253" s="2">
        <v>43537.652071759258</v>
      </c>
      <c r="M2253" s="1">
        <f>_xlfn.DAYS(Table1[[#This Row],[actual_delivery_date]],Table1[[#This Row],[dispatch_date]])</f>
        <v>4</v>
      </c>
      <c r="N2253">
        <v>33</v>
      </c>
      <c r="O2253">
        <f>Table1[[#This Row],[transit_storage_cost]] * (1-'What -if Analysis'!$D$26)</f>
        <v>33</v>
      </c>
      <c r="P2253">
        <v>106</v>
      </c>
      <c r="Q2253">
        <v>2592.2442495850205</v>
      </c>
    </row>
    <row r="2254" spans="1:17" x14ac:dyDescent="0.3">
      <c r="A2254">
        <v>803428</v>
      </c>
      <c r="B2254" s="1" t="s">
        <v>15</v>
      </c>
      <c r="C2254" s="1" t="s">
        <v>23</v>
      </c>
      <c r="D2254" s="1" t="s">
        <v>16</v>
      </c>
      <c r="E2254" s="1" t="s">
        <v>27</v>
      </c>
      <c r="F2254" s="1" t="s">
        <v>19</v>
      </c>
      <c r="G2254" s="1" t="s">
        <v>20</v>
      </c>
      <c r="H2254" t="s">
        <v>21</v>
      </c>
      <c r="I2254" s="1" t="s">
        <v>22</v>
      </c>
      <c r="J2254" s="2">
        <v>43534.653275462966</v>
      </c>
      <c r="K2254" s="2">
        <v>43536.653275462966</v>
      </c>
      <c r="L2254" s="2">
        <v>43541.653275462966</v>
      </c>
      <c r="M2254" s="1">
        <f>_xlfn.DAYS(Table1[[#This Row],[actual_delivery_date]],Table1[[#This Row],[dispatch_date]])</f>
        <v>2</v>
      </c>
      <c r="N2254">
        <v>44</v>
      </c>
      <c r="O2254">
        <f>Table1[[#This Row],[transit_storage_cost]] * (1-'What -if Analysis'!$D$26)</f>
        <v>44</v>
      </c>
      <c r="P2254">
        <v>121</v>
      </c>
      <c r="Q2254">
        <v>2614.6768724677486</v>
      </c>
    </row>
    <row r="2255" spans="1:17" x14ac:dyDescent="0.3">
      <c r="A2255">
        <v>70902</v>
      </c>
      <c r="B2255" s="1" t="s">
        <v>40</v>
      </c>
      <c r="C2255" s="1" t="s">
        <v>23</v>
      </c>
      <c r="D2255" s="1" t="s">
        <v>17</v>
      </c>
      <c r="E2255" s="1" t="s">
        <v>18</v>
      </c>
      <c r="F2255" s="1" t="s">
        <v>19</v>
      </c>
      <c r="G2255" s="1" t="s">
        <v>20</v>
      </c>
      <c r="H2255" t="s">
        <v>21</v>
      </c>
      <c r="I2255" s="1" t="s">
        <v>26</v>
      </c>
      <c r="J2255" s="2">
        <v>43533.665219907409</v>
      </c>
      <c r="K2255" s="2">
        <v>43536.665219907409</v>
      </c>
      <c r="L2255" s="2">
        <v>43540.665219907409</v>
      </c>
      <c r="M2255" s="1">
        <f>_xlfn.DAYS(Table1[[#This Row],[actual_delivery_date]],Table1[[#This Row],[dispatch_date]])</f>
        <v>3</v>
      </c>
      <c r="N2255">
        <v>75</v>
      </c>
      <c r="O2255">
        <f>Table1[[#This Row],[transit_storage_cost]] * (1-'What -if Analysis'!$D$26)</f>
        <v>75</v>
      </c>
      <c r="P2255">
        <v>95</v>
      </c>
      <c r="Q2255">
        <v>256</v>
      </c>
    </row>
    <row r="2256" spans="1:17" x14ac:dyDescent="0.3">
      <c r="A2256">
        <v>530310</v>
      </c>
      <c r="B2256" s="1" t="s">
        <v>38</v>
      </c>
      <c r="C2256" s="1" t="s">
        <v>16</v>
      </c>
      <c r="D2256" s="1" t="s">
        <v>16</v>
      </c>
      <c r="E2256" s="1" t="s">
        <v>27</v>
      </c>
      <c r="F2256" s="1" t="s">
        <v>31</v>
      </c>
      <c r="G2256" s="1" t="s">
        <v>20</v>
      </c>
      <c r="H2256" t="s">
        <v>21</v>
      </c>
      <c r="I2256" s="1" t="s">
        <v>26</v>
      </c>
      <c r="J2256" s="2">
        <v>43534.667662037034</v>
      </c>
      <c r="K2256" s="2">
        <v>43536.667662037034</v>
      </c>
      <c r="L2256" s="2">
        <v>43541.667662037034</v>
      </c>
      <c r="M2256" s="1">
        <f>_xlfn.DAYS(Table1[[#This Row],[actual_delivery_date]],Table1[[#This Row],[dispatch_date]])</f>
        <v>2</v>
      </c>
      <c r="N2256">
        <v>0</v>
      </c>
      <c r="O2256">
        <f>Table1[[#This Row],[transit_storage_cost]] * (1-'What -if Analysis'!$D$26)</f>
        <v>0</v>
      </c>
      <c r="P2256">
        <v>128</v>
      </c>
      <c r="Q2256">
        <v>3098.4791808976929</v>
      </c>
    </row>
    <row r="2257" spans="1:17" x14ac:dyDescent="0.3">
      <c r="A2257">
        <v>491186</v>
      </c>
      <c r="B2257" s="1" t="s">
        <v>37</v>
      </c>
      <c r="C2257" s="1" t="s">
        <v>23</v>
      </c>
      <c r="D2257" s="1" t="s">
        <v>23</v>
      </c>
      <c r="E2257" s="1" t="s">
        <v>28</v>
      </c>
      <c r="F2257" s="1" t="s">
        <v>31</v>
      </c>
      <c r="G2257" s="1" t="s">
        <v>20</v>
      </c>
      <c r="H2257" t="s">
        <v>21</v>
      </c>
      <c r="I2257" s="1" t="s">
        <v>22</v>
      </c>
      <c r="J2257" s="2">
        <v>43533.671631944446</v>
      </c>
      <c r="K2257" s="2">
        <v>43536.671631944446</v>
      </c>
      <c r="L2257" s="2">
        <v>43536.671631944446</v>
      </c>
      <c r="M2257" s="1">
        <f>_xlfn.DAYS(Table1[[#This Row],[actual_delivery_date]],Table1[[#This Row],[dispatch_date]])</f>
        <v>3</v>
      </c>
      <c r="N2257">
        <v>0</v>
      </c>
      <c r="O2257">
        <f>Table1[[#This Row],[transit_storage_cost]] * (1-'What -if Analysis'!$D$26)</f>
        <v>0</v>
      </c>
      <c r="P2257">
        <v>122</v>
      </c>
      <c r="Q2257">
        <v>979</v>
      </c>
    </row>
    <row r="2258" spans="1:17" x14ac:dyDescent="0.3">
      <c r="A2258">
        <v>21339</v>
      </c>
      <c r="B2258" s="1" t="s">
        <v>38</v>
      </c>
      <c r="C2258" s="1" t="s">
        <v>16</v>
      </c>
      <c r="D2258" s="1" t="s">
        <v>32</v>
      </c>
      <c r="E2258" s="1" t="s">
        <v>33</v>
      </c>
      <c r="F2258" s="1" t="s">
        <v>29</v>
      </c>
      <c r="G2258" s="1" t="s">
        <v>20</v>
      </c>
      <c r="H2258" t="s">
        <v>30</v>
      </c>
      <c r="I2258" s="1" t="s">
        <v>26</v>
      </c>
      <c r="J2258" s="2">
        <v>43534.67628472222</v>
      </c>
      <c r="K2258" s="2">
        <v>43536.67628472222</v>
      </c>
      <c r="L2258" s="2">
        <v>43540.67628472222</v>
      </c>
      <c r="M2258" s="1">
        <f>_xlfn.DAYS(Table1[[#This Row],[actual_delivery_date]],Table1[[#This Row],[dispatch_date]])</f>
        <v>2</v>
      </c>
      <c r="N2258">
        <v>43</v>
      </c>
      <c r="O2258">
        <f>Table1[[#This Row],[transit_storage_cost]] * (1-'What -if Analysis'!$D$26)</f>
        <v>43</v>
      </c>
      <c r="P2258">
        <v>106</v>
      </c>
      <c r="Q2258">
        <v>922</v>
      </c>
    </row>
    <row r="2259" spans="1:17" x14ac:dyDescent="0.3">
      <c r="A2259">
        <v>848679</v>
      </c>
      <c r="B2259" s="1" t="s">
        <v>37</v>
      </c>
      <c r="C2259" s="1" t="s">
        <v>23</v>
      </c>
      <c r="D2259" s="1" t="s">
        <v>32</v>
      </c>
      <c r="E2259" s="1" t="s">
        <v>33</v>
      </c>
      <c r="F2259" s="1" t="s">
        <v>29</v>
      </c>
      <c r="G2259" s="1" t="s">
        <v>20</v>
      </c>
      <c r="H2259" t="s">
        <v>30</v>
      </c>
      <c r="I2259" s="1" t="s">
        <v>26</v>
      </c>
      <c r="J2259" s="2">
        <v>43530.682685185187</v>
      </c>
      <c r="K2259" s="2">
        <v>43536.682685185187</v>
      </c>
      <c r="L2259" s="2">
        <v>43537.682685185187</v>
      </c>
      <c r="M2259" s="1">
        <f>_xlfn.DAYS(Table1[[#This Row],[actual_delivery_date]],Table1[[#This Row],[dispatch_date]])</f>
        <v>6</v>
      </c>
      <c r="N2259">
        <v>25</v>
      </c>
      <c r="O2259">
        <f>Table1[[#This Row],[transit_storage_cost]] * (1-'What -if Analysis'!$D$26)</f>
        <v>25</v>
      </c>
      <c r="P2259">
        <v>113</v>
      </c>
      <c r="Q2259">
        <v>913.21608623103805</v>
      </c>
    </row>
    <row r="2260" spans="1:17" x14ac:dyDescent="0.3">
      <c r="A2260">
        <v>431972</v>
      </c>
      <c r="B2260" s="1" t="s">
        <v>37</v>
      </c>
      <c r="C2260" s="1" t="s">
        <v>23</v>
      </c>
      <c r="D2260" s="1" t="s">
        <v>16</v>
      </c>
      <c r="E2260" s="1" t="s">
        <v>27</v>
      </c>
      <c r="F2260" s="1" t="s">
        <v>19</v>
      </c>
      <c r="G2260" s="1" t="s">
        <v>20</v>
      </c>
      <c r="H2260" t="s">
        <v>21</v>
      </c>
      <c r="I2260" s="1" t="s">
        <v>22</v>
      </c>
      <c r="J2260" s="2">
        <v>43531.683206018519</v>
      </c>
      <c r="K2260" s="2">
        <v>43536.683206018519</v>
      </c>
      <c r="L2260" s="2">
        <v>43536.683206018519</v>
      </c>
      <c r="M2260" s="1">
        <f>_xlfn.DAYS(Table1[[#This Row],[actual_delivery_date]],Table1[[#This Row],[dispatch_date]])</f>
        <v>5</v>
      </c>
      <c r="N2260">
        <v>34</v>
      </c>
      <c r="O2260">
        <f>Table1[[#This Row],[transit_storage_cost]] * (1-'What -if Analysis'!$D$26)</f>
        <v>34</v>
      </c>
      <c r="P2260">
        <v>123</v>
      </c>
      <c r="Q2260">
        <v>1635.936124144682</v>
      </c>
    </row>
    <row r="2261" spans="1:17" x14ac:dyDescent="0.3">
      <c r="A2261">
        <v>710278</v>
      </c>
      <c r="B2261" s="1" t="s">
        <v>40</v>
      </c>
      <c r="C2261" s="1" t="s">
        <v>16</v>
      </c>
      <c r="D2261" s="1" t="s">
        <v>17</v>
      </c>
      <c r="E2261" s="1" t="s">
        <v>18</v>
      </c>
      <c r="F2261" s="1" t="s">
        <v>31</v>
      </c>
      <c r="G2261" s="1" t="s">
        <v>20</v>
      </c>
      <c r="H2261" t="s">
        <v>21</v>
      </c>
      <c r="I2261" s="1" t="s">
        <v>22</v>
      </c>
      <c r="J2261" s="2">
        <v>43527.686689814815</v>
      </c>
      <c r="K2261" s="2">
        <v>43536.686689814815</v>
      </c>
      <c r="L2261" s="2">
        <v>43533.686689814815</v>
      </c>
      <c r="M2261" s="1">
        <f>_xlfn.DAYS(Table1[[#This Row],[actual_delivery_date]],Table1[[#This Row],[dispatch_date]])</f>
        <v>9</v>
      </c>
      <c r="N2261">
        <v>34</v>
      </c>
      <c r="O2261">
        <f>Table1[[#This Row],[transit_storage_cost]] * (1-'What -if Analysis'!$D$26)</f>
        <v>34</v>
      </c>
      <c r="P2261">
        <v>107</v>
      </c>
      <c r="Q2261">
        <v>631.04993057406875</v>
      </c>
    </row>
    <row r="2262" spans="1:17" x14ac:dyDescent="0.3">
      <c r="A2262">
        <v>91382</v>
      </c>
      <c r="B2262" s="1" t="s">
        <v>39</v>
      </c>
      <c r="C2262" s="1" t="s">
        <v>23</v>
      </c>
      <c r="D2262" s="1" t="s">
        <v>17</v>
      </c>
      <c r="E2262" s="1" t="s">
        <v>18</v>
      </c>
      <c r="F2262" s="1" t="s">
        <v>31</v>
      </c>
      <c r="G2262" s="1" t="s">
        <v>20</v>
      </c>
      <c r="H2262" t="s">
        <v>21</v>
      </c>
      <c r="I2262" s="1" t="s">
        <v>22</v>
      </c>
      <c r="J2262" s="2">
        <v>43530.688472222224</v>
      </c>
      <c r="K2262" s="2">
        <v>43536.688472222224</v>
      </c>
      <c r="L2262" s="2">
        <v>43533.688472222224</v>
      </c>
      <c r="M2262" s="1">
        <f>_xlfn.DAYS(Table1[[#This Row],[actual_delivery_date]],Table1[[#This Row],[dispatch_date]])</f>
        <v>6</v>
      </c>
      <c r="N2262">
        <v>34</v>
      </c>
      <c r="O2262">
        <f>Table1[[#This Row],[transit_storage_cost]] * (1-'What -if Analysis'!$D$26)</f>
        <v>34</v>
      </c>
      <c r="P2262">
        <v>113</v>
      </c>
      <c r="Q2262">
        <v>858.61328815312481</v>
      </c>
    </row>
    <row r="2263" spans="1:17" x14ac:dyDescent="0.3">
      <c r="A2263">
        <v>47202</v>
      </c>
      <c r="B2263" s="1" t="s">
        <v>38</v>
      </c>
      <c r="C2263" s="1" t="s">
        <v>23</v>
      </c>
      <c r="D2263" s="1" t="s">
        <v>16</v>
      </c>
      <c r="E2263" s="1" t="s">
        <v>27</v>
      </c>
      <c r="F2263" s="1" t="s">
        <v>19</v>
      </c>
      <c r="G2263" s="1" t="s">
        <v>20</v>
      </c>
      <c r="H2263" t="s">
        <v>21</v>
      </c>
      <c r="I2263" s="1" t="s">
        <v>26</v>
      </c>
      <c r="J2263" s="2">
        <v>43533.702187499999</v>
      </c>
      <c r="K2263" s="2">
        <v>43536.702187499999</v>
      </c>
      <c r="L2263" s="2">
        <v>43537.702187499999</v>
      </c>
      <c r="M2263" s="1">
        <f>_xlfn.DAYS(Table1[[#This Row],[actual_delivery_date]],Table1[[#This Row],[dispatch_date]])</f>
        <v>3</v>
      </c>
      <c r="N2263">
        <v>75</v>
      </c>
      <c r="O2263">
        <f>Table1[[#This Row],[transit_storage_cost]] * (1-'What -if Analysis'!$D$26)</f>
        <v>75</v>
      </c>
      <c r="P2263">
        <v>100</v>
      </c>
      <c r="Q2263">
        <v>3335</v>
      </c>
    </row>
    <row r="2264" spans="1:17" x14ac:dyDescent="0.3">
      <c r="A2264">
        <v>934395</v>
      </c>
      <c r="B2264" s="1" t="s">
        <v>38</v>
      </c>
      <c r="C2264" s="1" t="s">
        <v>23</v>
      </c>
      <c r="D2264" s="1" t="s">
        <v>23</v>
      </c>
      <c r="E2264" s="1" t="s">
        <v>28</v>
      </c>
      <c r="F2264" s="1" t="s">
        <v>29</v>
      </c>
      <c r="G2264" s="1" t="s">
        <v>20</v>
      </c>
      <c r="H2264" t="s">
        <v>34</v>
      </c>
      <c r="I2264" s="1" t="s">
        <v>26</v>
      </c>
      <c r="J2264" s="2">
        <v>43533.704108796293</v>
      </c>
      <c r="K2264" s="2">
        <v>43536.704108796293</v>
      </c>
      <c r="L2264" s="2">
        <v>43536.704108796293</v>
      </c>
      <c r="M2264" s="1">
        <f>_xlfn.DAYS(Table1[[#This Row],[actual_delivery_date]],Table1[[#This Row],[dispatch_date]])</f>
        <v>3</v>
      </c>
      <c r="N2264">
        <v>0</v>
      </c>
      <c r="O2264">
        <f>Table1[[#This Row],[transit_storage_cost]] * (1-'What -if Analysis'!$D$26)</f>
        <v>0</v>
      </c>
      <c r="P2264">
        <v>122</v>
      </c>
      <c r="Q2264">
        <v>3474.5832669114584</v>
      </c>
    </row>
    <row r="2265" spans="1:17" x14ac:dyDescent="0.3">
      <c r="A2265">
        <v>212519</v>
      </c>
      <c r="B2265" s="1" t="s">
        <v>38</v>
      </c>
      <c r="C2265" s="1" t="s">
        <v>16</v>
      </c>
      <c r="D2265" s="1" t="s">
        <v>32</v>
      </c>
      <c r="E2265" s="1" t="s">
        <v>33</v>
      </c>
      <c r="F2265" s="1" t="s">
        <v>19</v>
      </c>
      <c r="G2265" s="1" t="s">
        <v>20</v>
      </c>
      <c r="H2265" t="s">
        <v>30</v>
      </c>
      <c r="I2265" s="1" t="s">
        <v>22</v>
      </c>
      <c r="J2265" s="2">
        <v>43529.70652777778</v>
      </c>
      <c r="K2265" s="2">
        <v>43536.70652777778</v>
      </c>
      <c r="L2265" s="2">
        <v>43532.70652777778</v>
      </c>
      <c r="M2265" s="1">
        <f>_xlfn.DAYS(Table1[[#This Row],[actual_delivery_date]],Table1[[#This Row],[dispatch_date]])</f>
        <v>7</v>
      </c>
      <c r="N2265">
        <v>84</v>
      </c>
      <c r="O2265">
        <f>Table1[[#This Row],[transit_storage_cost]] * (1-'What -if Analysis'!$D$26)</f>
        <v>84</v>
      </c>
      <c r="P2265">
        <v>89</v>
      </c>
      <c r="Q2265">
        <v>2837.3922467119464</v>
      </c>
    </row>
    <row r="2266" spans="1:17" x14ac:dyDescent="0.3">
      <c r="A2266">
        <v>236259</v>
      </c>
      <c r="B2266" s="1" t="s">
        <v>38</v>
      </c>
      <c r="C2266" s="1" t="s">
        <v>16</v>
      </c>
      <c r="D2266" s="1" t="s">
        <v>32</v>
      </c>
      <c r="E2266" s="1" t="s">
        <v>33</v>
      </c>
      <c r="F2266" s="1" t="s">
        <v>29</v>
      </c>
      <c r="G2266" s="1" t="s">
        <v>20</v>
      </c>
      <c r="H2266" t="s">
        <v>30</v>
      </c>
      <c r="I2266" s="1" t="s">
        <v>26</v>
      </c>
      <c r="J2266" s="2">
        <v>43534.715208333335</v>
      </c>
      <c r="K2266" s="2">
        <v>43536.715208333335</v>
      </c>
      <c r="L2266" s="2">
        <v>43541.715208333335</v>
      </c>
      <c r="M2266" s="1">
        <f>_xlfn.DAYS(Table1[[#This Row],[actual_delivery_date]],Table1[[#This Row],[dispatch_date]])</f>
        <v>2</v>
      </c>
      <c r="N2266">
        <v>34</v>
      </c>
      <c r="O2266">
        <f>Table1[[#This Row],[transit_storage_cost]] * (1-'What -if Analysis'!$D$26)</f>
        <v>34</v>
      </c>
      <c r="P2266">
        <v>108</v>
      </c>
      <c r="Q2266">
        <v>1940.9542048845551</v>
      </c>
    </row>
    <row r="2267" spans="1:17" x14ac:dyDescent="0.3">
      <c r="A2267">
        <v>31601</v>
      </c>
      <c r="B2267" s="1" t="s">
        <v>38</v>
      </c>
      <c r="C2267" s="1" t="s">
        <v>23</v>
      </c>
      <c r="D2267" s="1" t="s">
        <v>23</v>
      </c>
      <c r="E2267" s="1" t="s">
        <v>28</v>
      </c>
      <c r="F2267" s="1" t="s">
        <v>29</v>
      </c>
      <c r="G2267" s="1" t="s">
        <v>20</v>
      </c>
      <c r="H2267" t="s">
        <v>30</v>
      </c>
      <c r="I2267" s="1" t="s">
        <v>22</v>
      </c>
      <c r="J2267" s="2">
        <v>43533.71607638889</v>
      </c>
      <c r="K2267" s="2">
        <v>43536.71607638889</v>
      </c>
      <c r="L2267" s="2">
        <v>43538.71607638889</v>
      </c>
      <c r="M2267" s="1">
        <f>_xlfn.DAYS(Table1[[#This Row],[actual_delivery_date]],Table1[[#This Row],[dispatch_date]])</f>
        <v>3</v>
      </c>
      <c r="N2267">
        <v>0</v>
      </c>
      <c r="O2267">
        <f>Table1[[#This Row],[transit_storage_cost]] * (1-'What -if Analysis'!$D$26)</f>
        <v>0</v>
      </c>
      <c r="P2267">
        <v>125</v>
      </c>
      <c r="Q2267">
        <v>2997.5372267986659</v>
      </c>
    </row>
    <row r="2268" spans="1:17" x14ac:dyDescent="0.3">
      <c r="A2268">
        <v>69015</v>
      </c>
      <c r="B2268" s="1" t="s">
        <v>39</v>
      </c>
      <c r="C2268" s="1" t="s">
        <v>23</v>
      </c>
      <c r="D2268" s="1" t="s">
        <v>16</v>
      </c>
      <c r="E2268" s="1" t="s">
        <v>27</v>
      </c>
      <c r="F2268" s="1" t="s">
        <v>19</v>
      </c>
      <c r="G2268" s="1" t="s">
        <v>20</v>
      </c>
      <c r="H2268" t="s">
        <v>30</v>
      </c>
      <c r="I2268" s="1" t="s">
        <v>26</v>
      </c>
      <c r="J2268" s="2">
        <v>43534.716828703706</v>
      </c>
      <c r="K2268" s="2">
        <v>43536.716828703706</v>
      </c>
      <c r="L2268" s="2">
        <v>43539.716828703706</v>
      </c>
      <c r="M2268" s="1">
        <f>_xlfn.DAYS(Table1[[#This Row],[actual_delivery_date]],Table1[[#This Row],[dispatch_date]])</f>
        <v>2</v>
      </c>
      <c r="N2268">
        <v>65</v>
      </c>
      <c r="O2268">
        <f>Table1[[#This Row],[transit_storage_cost]] * (1-'What -if Analysis'!$D$26)</f>
        <v>65</v>
      </c>
      <c r="P2268">
        <v>107</v>
      </c>
      <c r="Q2268">
        <v>1575.1945161713229</v>
      </c>
    </row>
    <row r="2269" spans="1:17" x14ac:dyDescent="0.3">
      <c r="A2269">
        <v>5605</v>
      </c>
      <c r="B2269" s="1" t="s">
        <v>37</v>
      </c>
      <c r="C2269" s="1" t="s">
        <v>16</v>
      </c>
      <c r="D2269" s="1" t="s">
        <v>17</v>
      </c>
      <c r="E2269" s="1" t="s">
        <v>18</v>
      </c>
      <c r="F2269" s="1" t="s">
        <v>29</v>
      </c>
      <c r="G2269" s="1" t="s">
        <v>20</v>
      </c>
      <c r="H2269" t="s">
        <v>30</v>
      </c>
      <c r="I2269" s="1" t="s">
        <v>22</v>
      </c>
      <c r="J2269" s="2">
        <v>43532.717013888891</v>
      </c>
      <c r="K2269" s="2">
        <v>43536.717013888891</v>
      </c>
      <c r="L2269" s="2">
        <v>43538.717013888891</v>
      </c>
      <c r="M2269" s="1">
        <f>_xlfn.DAYS(Table1[[#This Row],[actual_delivery_date]],Table1[[#This Row],[dispatch_date]])</f>
        <v>4</v>
      </c>
      <c r="N2269">
        <v>32</v>
      </c>
      <c r="O2269">
        <f>Table1[[#This Row],[transit_storage_cost]] * (1-'What -if Analysis'!$D$26)</f>
        <v>32</v>
      </c>
      <c r="P2269">
        <v>107</v>
      </c>
      <c r="Q2269">
        <v>3149.4679463422667</v>
      </c>
    </row>
    <row r="2270" spans="1:17" x14ac:dyDescent="0.3">
      <c r="A2270">
        <v>572860</v>
      </c>
      <c r="B2270" s="1" t="s">
        <v>37</v>
      </c>
      <c r="C2270" s="1" t="s">
        <v>23</v>
      </c>
      <c r="D2270" s="1" t="s">
        <v>17</v>
      </c>
      <c r="E2270" s="1" t="s">
        <v>18</v>
      </c>
      <c r="F2270" s="1" t="s">
        <v>19</v>
      </c>
      <c r="G2270" s="1" t="s">
        <v>20</v>
      </c>
      <c r="H2270" t="s">
        <v>21</v>
      </c>
      <c r="I2270" s="1" t="s">
        <v>22</v>
      </c>
      <c r="J2270" s="2">
        <v>43534.717986111114</v>
      </c>
      <c r="K2270" s="2">
        <v>43536.717986111114</v>
      </c>
      <c r="L2270" s="2">
        <v>43539.717986111114</v>
      </c>
      <c r="M2270" s="1">
        <f>_xlfn.DAYS(Table1[[#This Row],[actual_delivery_date]],Table1[[#This Row],[dispatch_date]])</f>
        <v>2</v>
      </c>
      <c r="N2270">
        <v>35</v>
      </c>
      <c r="O2270">
        <f>Table1[[#This Row],[transit_storage_cost]] * (1-'What -if Analysis'!$D$26)</f>
        <v>35</v>
      </c>
      <c r="P2270">
        <v>112</v>
      </c>
      <c r="Q2270">
        <v>3606.3215856611423</v>
      </c>
    </row>
    <row r="2271" spans="1:17" x14ac:dyDescent="0.3">
      <c r="A2271">
        <v>519807</v>
      </c>
      <c r="B2271" s="1" t="s">
        <v>38</v>
      </c>
      <c r="C2271" s="1" t="s">
        <v>23</v>
      </c>
      <c r="D2271" s="1" t="s">
        <v>23</v>
      </c>
      <c r="E2271" s="1" t="s">
        <v>28</v>
      </c>
      <c r="F2271" s="1" t="s">
        <v>19</v>
      </c>
      <c r="G2271" s="1" t="s">
        <v>20</v>
      </c>
      <c r="H2271" t="s">
        <v>30</v>
      </c>
      <c r="I2271" s="1" t="s">
        <v>26</v>
      </c>
      <c r="J2271" s="2">
        <v>43532.733344907407</v>
      </c>
      <c r="K2271" s="2">
        <v>43536.733344907407</v>
      </c>
      <c r="L2271" s="2">
        <v>43537.733344907407</v>
      </c>
      <c r="M2271" s="1">
        <f>_xlfn.DAYS(Table1[[#This Row],[actual_delivery_date]],Table1[[#This Row],[dispatch_date]])</f>
        <v>4</v>
      </c>
      <c r="N2271">
        <v>0</v>
      </c>
      <c r="O2271">
        <f>Table1[[#This Row],[transit_storage_cost]] * (1-'What -if Analysis'!$D$26)</f>
        <v>0</v>
      </c>
      <c r="P2271">
        <v>109</v>
      </c>
      <c r="Q2271">
        <v>2001.6860936541416</v>
      </c>
    </row>
    <row r="2272" spans="1:17" x14ac:dyDescent="0.3">
      <c r="A2272">
        <v>11905</v>
      </c>
      <c r="B2272" s="1" t="s">
        <v>39</v>
      </c>
      <c r="C2272" s="1" t="s">
        <v>23</v>
      </c>
      <c r="D2272" s="1" t="s">
        <v>16</v>
      </c>
      <c r="E2272" s="1" t="s">
        <v>27</v>
      </c>
      <c r="F2272" s="1" t="s">
        <v>29</v>
      </c>
      <c r="G2272" s="1" t="s">
        <v>20</v>
      </c>
      <c r="H2272" t="s">
        <v>30</v>
      </c>
      <c r="I2272" s="1" t="s">
        <v>22</v>
      </c>
      <c r="J2272" s="2">
        <v>43532.735497685186</v>
      </c>
      <c r="K2272" s="2">
        <v>43536.735497685186</v>
      </c>
      <c r="L2272" s="2">
        <v>43539.735497685186</v>
      </c>
      <c r="M2272" s="1">
        <f>_xlfn.DAYS(Table1[[#This Row],[actual_delivery_date]],Table1[[#This Row],[dispatch_date]])</f>
        <v>4</v>
      </c>
      <c r="N2272">
        <v>43</v>
      </c>
      <c r="O2272">
        <f>Table1[[#This Row],[transit_storage_cost]] * (1-'What -if Analysis'!$D$26)</f>
        <v>43</v>
      </c>
      <c r="P2272">
        <v>125</v>
      </c>
      <c r="Q2272">
        <v>3577.0369878699944</v>
      </c>
    </row>
    <row r="2273" spans="1:17" x14ac:dyDescent="0.3">
      <c r="A2273">
        <v>549075</v>
      </c>
      <c r="B2273" s="1" t="s">
        <v>38</v>
      </c>
      <c r="C2273" s="1" t="s">
        <v>23</v>
      </c>
      <c r="D2273" s="1" t="s">
        <v>17</v>
      </c>
      <c r="E2273" s="1" t="s">
        <v>18</v>
      </c>
      <c r="F2273" s="1" t="s">
        <v>29</v>
      </c>
      <c r="G2273" s="1" t="s">
        <v>20</v>
      </c>
      <c r="H2273" t="s">
        <v>30</v>
      </c>
      <c r="I2273" s="1" t="s">
        <v>26</v>
      </c>
      <c r="J2273" s="2">
        <v>43528.735532407409</v>
      </c>
      <c r="K2273" s="2">
        <v>43536.735532407409</v>
      </c>
      <c r="L2273" s="2">
        <v>43535.735532407409</v>
      </c>
      <c r="M2273" s="1">
        <f>_xlfn.DAYS(Table1[[#This Row],[actual_delivery_date]],Table1[[#This Row],[dispatch_date]])</f>
        <v>8</v>
      </c>
      <c r="N2273">
        <v>50</v>
      </c>
      <c r="O2273">
        <f>Table1[[#This Row],[transit_storage_cost]] * (1-'What -if Analysis'!$D$26)</f>
        <v>50</v>
      </c>
      <c r="P2273">
        <v>107</v>
      </c>
      <c r="Q2273">
        <v>2089.6</v>
      </c>
    </row>
    <row r="2274" spans="1:17" x14ac:dyDescent="0.3">
      <c r="A2274">
        <v>983882</v>
      </c>
      <c r="B2274" s="1" t="s">
        <v>15</v>
      </c>
      <c r="C2274" s="1" t="s">
        <v>23</v>
      </c>
      <c r="D2274" s="1" t="s">
        <v>17</v>
      </c>
      <c r="E2274" s="1" t="s">
        <v>18</v>
      </c>
      <c r="F2274" s="1" t="s">
        <v>19</v>
      </c>
      <c r="G2274" s="1" t="s">
        <v>20</v>
      </c>
      <c r="H2274" t="s">
        <v>21</v>
      </c>
      <c r="I2274" s="1" t="s">
        <v>22</v>
      </c>
      <c r="J2274" s="2">
        <v>43534.737916666665</v>
      </c>
      <c r="K2274" s="2">
        <v>43536.737916666665</v>
      </c>
      <c r="L2274" s="2">
        <v>43540.737916666665</v>
      </c>
      <c r="M2274" s="1">
        <f>_xlfn.DAYS(Table1[[#This Row],[actual_delivery_date]],Table1[[#This Row],[dispatch_date]])</f>
        <v>2</v>
      </c>
      <c r="N2274">
        <v>68</v>
      </c>
      <c r="O2274">
        <f>Table1[[#This Row],[transit_storage_cost]] * (1-'What -if Analysis'!$D$26)</f>
        <v>68</v>
      </c>
      <c r="P2274">
        <v>86</v>
      </c>
      <c r="Q2274">
        <v>774.83776709044434</v>
      </c>
    </row>
    <row r="2275" spans="1:17" x14ac:dyDescent="0.3">
      <c r="A2275">
        <v>397938</v>
      </c>
      <c r="B2275" s="1" t="s">
        <v>40</v>
      </c>
      <c r="C2275" s="1" t="s">
        <v>23</v>
      </c>
      <c r="D2275" s="1" t="s">
        <v>23</v>
      </c>
      <c r="E2275" s="1" t="s">
        <v>28</v>
      </c>
      <c r="F2275" s="1" t="s">
        <v>31</v>
      </c>
      <c r="G2275" s="1" t="s">
        <v>20</v>
      </c>
      <c r="H2275" t="s">
        <v>21</v>
      </c>
      <c r="I2275" s="1" t="s">
        <v>26</v>
      </c>
      <c r="J2275" s="2">
        <v>43534.738935185182</v>
      </c>
      <c r="K2275" s="2">
        <v>43536.738935185182</v>
      </c>
      <c r="L2275" s="2">
        <v>43537.738935185182</v>
      </c>
      <c r="M2275" s="1">
        <f>_xlfn.DAYS(Table1[[#This Row],[actual_delivery_date]],Table1[[#This Row],[dispatch_date]])</f>
        <v>2</v>
      </c>
      <c r="N2275">
        <v>0</v>
      </c>
      <c r="O2275">
        <f>Table1[[#This Row],[transit_storage_cost]] * (1-'What -if Analysis'!$D$26)</f>
        <v>0</v>
      </c>
      <c r="P2275">
        <v>125</v>
      </c>
      <c r="Q2275">
        <v>3132</v>
      </c>
    </row>
    <row r="2276" spans="1:17" x14ac:dyDescent="0.3">
      <c r="A2276">
        <v>587179</v>
      </c>
      <c r="B2276" s="1" t="s">
        <v>40</v>
      </c>
      <c r="C2276" s="1" t="s">
        <v>23</v>
      </c>
      <c r="D2276" s="1" t="s">
        <v>32</v>
      </c>
      <c r="E2276" s="1" t="s">
        <v>33</v>
      </c>
      <c r="F2276" s="1" t="s">
        <v>29</v>
      </c>
      <c r="G2276" s="1" t="s">
        <v>20</v>
      </c>
      <c r="H2276" t="s">
        <v>30</v>
      </c>
      <c r="I2276" s="1" t="s">
        <v>22</v>
      </c>
      <c r="J2276" s="2">
        <v>43531.747731481482</v>
      </c>
      <c r="K2276" s="2">
        <v>43536.747731481482</v>
      </c>
      <c r="L2276" s="2">
        <v>43536.747731481482</v>
      </c>
      <c r="M2276" s="1">
        <f>_xlfn.DAYS(Table1[[#This Row],[actual_delivery_date]],Table1[[#This Row],[dispatch_date]])</f>
        <v>5</v>
      </c>
      <c r="N2276">
        <v>42</v>
      </c>
      <c r="O2276">
        <f>Table1[[#This Row],[transit_storage_cost]] * (1-'What -if Analysis'!$D$26)</f>
        <v>42</v>
      </c>
      <c r="P2276">
        <v>114</v>
      </c>
      <c r="Q2276">
        <v>3058</v>
      </c>
    </row>
    <row r="2277" spans="1:17" x14ac:dyDescent="0.3">
      <c r="A2277">
        <v>480548</v>
      </c>
      <c r="B2277" s="1" t="s">
        <v>40</v>
      </c>
      <c r="C2277" s="1" t="s">
        <v>16</v>
      </c>
      <c r="D2277" s="1" t="s">
        <v>23</v>
      </c>
      <c r="E2277" s="1" t="s">
        <v>28</v>
      </c>
      <c r="F2277" s="1" t="s">
        <v>19</v>
      </c>
      <c r="G2277" s="1" t="s">
        <v>20</v>
      </c>
      <c r="H2277" t="s">
        <v>21</v>
      </c>
      <c r="I2277" s="1" t="s">
        <v>22</v>
      </c>
      <c r="J2277" s="2">
        <v>43534.748182870368</v>
      </c>
      <c r="K2277" s="2">
        <v>43536.748182870368</v>
      </c>
      <c r="L2277" s="2">
        <v>43540.748182870368</v>
      </c>
      <c r="M2277" s="1">
        <f>_xlfn.DAYS(Table1[[#This Row],[actual_delivery_date]],Table1[[#This Row],[dispatch_date]])</f>
        <v>2</v>
      </c>
      <c r="N2277">
        <v>80</v>
      </c>
      <c r="O2277">
        <f>Table1[[#This Row],[transit_storage_cost]] * (1-'What -if Analysis'!$D$26)</f>
        <v>80</v>
      </c>
      <c r="P2277">
        <v>109</v>
      </c>
      <c r="Q2277">
        <v>1639.506998307337</v>
      </c>
    </row>
    <row r="2278" spans="1:17" x14ac:dyDescent="0.3">
      <c r="A2278">
        <v>587898</v>
      </c>
      <c r="B2278" s="1" t="s">
        <v>41</v>
      </c>
      <c r="C2278" s="1" t="s">
        <v>23</v>
      </c>
      <c r="D2278" s="1" t="s">
        <v>23</v>
      </c>
      <c r="E2278" s="1" t="s">
        <v>28</v>
      </c>
      <c r="F2278" s="1" t="s">
        <v>31</v>
      </c>
      <c r="G2278" s="1" t="s">
        <v>20</v>
      </c>
      <c r="H2278" t="s">
        <v>21</v>
      </c>
      <c r="I2278" s="1" t="s">
        <v>26</v>
      </c>
      <c r="J2278" s="2">
        <v>43530.759837962964</v>
      </c>
      <c r="K2278" s="2">
        <v>43536.759837962964</v>
      </c>
      <c r="L2278" s="2">
        <v>43533.759837962964</v>
      </c>
      <c r="M2278" s="1">
        <f>_xlfn.DAYS(Table1[[#This Row],[actual_delivery_date]],Table1[[#This Row],[dispatch_date]])</f>
        <v>6</v>
      </c>
      <c r="N2278">
        <v>0</v>
      </c>
      <c r="O2278">
        <f>Table1[[#This Row],[transit_storage_cost]] * (1-'What -if Analysis'!$D$26)</f>
        <v>0</v>
      </c>
      <c r="P2278">
        <v>129</v>
      </c>
      <c r="Q2278">
        <v>3101.597686089151</v>
      </c>
    </row>
    <row r="2279" spans="1:17" x14ac:dyDescent="0.3">
      <c r="A2279">
        <v>725710</v>
      </c>
      <c r="B2279" s="1" t="s">
        <v>38</v>
      </c>
      <c r="C2279" s="1" t="s">
        <v>23</v>
      </c>
      <c r="D2279" s="1" t="s">
        <v>32</v>
      </c>
      <c r="E2279" s="1" t="s">
        <v>33</v>
      </c>
      <c r="F2279" s="1" t="s">
        <v>31</v>
      </c>
      <c r="G2279" s="1" t="s">
        <v>20</v>
      </c>
      <c r="H2279" t="s">
        <v>21</v>
      </c>
      <c r="I2279" s="1" t="s">
        <v>22</v>
      </c>
      <c r="J2279" s="2">
        <v>43534.760671296295</v>
      </c>
      <c r="K2279" s="2">
        <v>43536.760671296295</v>
      </c>
      <c r="L2279" s="2">
        <v>43541.760671296295</v>
      </c>
      <c r="M2279" s="1">
        <f>_xlfn.DAYS(Table1[[#This Row],[actual_delivery_date]],Table1[[#This Row],[dispatch_date]])</f>
        <v>2</v>
      </c>
      <c r="N2279">
        <v>41</v>
      </c>
      <c r="O2279">
        <f>Table1[[#This Row],[transit_storage_cost]] * (1-'What -if Analysis'!$D$26)</f>
        <v>41</v>
      </c>
      <c r="P2279">
        <v>112</v>
      </c>
      <c r="Q2279">
        <v>2452.9203084852356</v>
      </c>
    </row>
    <row r="2280" spans="1:17" x14ac:dyDescent="0.3">
      <c r="A2280">
        <v>944001</v>
      </c>
      <c r="B2280" s="1" t="s">
        <v>37</v>
      </c>
      <c r="C2280" s="1" t="s">
        <v>16</v>
      </c>
      <c r="D2280" s="1" t="s">
        <v>23</v>
      </c>
      <c r="E2280" s="1" t="s">
        <v>28</v>
      </c>
      <c r="F2280" s="1" t="s">
        <v>19</v>
      </c>
      <c r="G2280" s="1" t="s">
        <v>20</v>
      </c>
      <c r="H2280" t="s">
        <v>30</v>
      </c>
      <c r="I2280" s="1" t="s">
        <v>26</v>
      </c>
      <c r="J2280" s="2">
        <v>43534.762337962966</v>
      </c>
      <c r="K2280" s="2">
        <v>43536.762337962966</v>
      </c>
      <c r="L2280" s="2">
        <v>43541.762337962966</v>
      </c>
      <c r="M2280" s="1">
        <f>_xlfn.DAYS(Table1[[#This Row],[actual_delivery_date]],Table1[[#This Row],[dispatch_date]])</f>
        <v>2</v>
      </c>
      <c r="N2280">
        <v>71</v>
      </c>
      <c r="O2280">
        <f>Table1[[#This Row],[transit_storage_cost]] * (1-'What -if Analysis'!$D$26)</f>
        <v>71</v>
      </c>
      <c r="P2280">
        <v>103</v>
      </c>
      <c r="Q2280">
        <v>2130.4217888266539</v>
      </c>
    </row>
    <row r="2281" spans="1:17" x14ac:dyDescent="0.3">
      <c r="A2281">
        <v>498876</v>
      </c>
      <c r="B2281" s="1" t="s">
        <v>41</v>
      </c>
      <c r="C2281" s="1" t="s">
        <v>23</v>
      </c>
      <c r="D2281" s="1" t="s">
        <v>17</v>
      </c>
      <c r="E2281" s="1" t="s">
        <v>18</v>
      </c>
      <c r="F2281" s="1" t="s">
        <v>19</v>
      </c>
      <c r="G2281" s="1" t="s">
        <v>20</v>
      </c>
      <c r="H2281" t="s">
        <v>21</v>
      </c>
      <c r="I2281" s="1" t="s">
        <v>26</v>
      </c>
      <c r="J2281" s="2">
        <v>43530.763564814813</v>
      </c>
      <c r="K2281" s="2">
        <v>43536.763564814813</v>
      </c>
      <c r="L2281" s="2">
        <v>43534.763564814813</v>
      </c>
      <c r="M2281" s="1">
        <f>_xlfn.DAYS(Table1[[#This Row],[actual_delivery_date]],Table1[[#This Row],[dispatch_date]])</f>
        <v>6</v>
      </c>
      <c r="N2281">
        <v>71</v>
      </c>
      <c r="O2281">
        <f>Table1[[#This Row],[transit_storage_cost]] * (1-'What -if Analysis'!$D$26)</f>
        <v>71</v>
      </c>
      <c r="P2281">
        <v>89</v>
      </c>
      <c r="Q2281">
        <v>1457</v>
      </c>
    </row>
    <row r="2282" spans="1:17" x14ac:dyDescent="0.3">
      <c r="A2282">
        <v>258414</v>
      </c>
      <c r="B2282" s="1" t="s">
        <v>38</v>
      </c>
      <c r="C2282" s="1" t="s">
        <v>23</v>
      </c>
      <c r="D2282" s="1" t="s">
        <v>17</v>
      </c>
      <c r="E2282" s="1" t="s">
        <v>18</v>
      </c>
      <c r="F2282" s="1" t="s">
        <v>31</v>
      </c>
      <c r="G2282" s="1" t="s">
        <v>20</v>
      </c>
      <c r="H2282" t="s">
        <v>21</v>
      </c>
      <c r="I2282" s="1" t="s">
        <v>26</v>
      </c>
      <c r="J2282" s="2">
        <v>43529.765219907407</v>
      </c>
      <c r="K2282" s="2">
        <v>43536.765219907407</v>
      </c>
      <c r="L2282" s="2">
        <v>43536.765219907407</v>
      </c>
      <c r="M2282" s="1">
        <f>_xlfn.DAYS(Table1[[#This Row],[actual_delivery_date]],Table1[[#This Row],[dispatch_date]])</f>
        <v>7</v>
      </c>
      <c r="N2282">
        <v>41</v>
      </c>
      <c r="O2282">
        <f>Table1[[#This Row],[transit_storage_cost]] * (1-'What -if Analysis'!$D$26)</f>
        <v>41</v>
      </c>
      <c r="P2282">
        <v>112</v>
      </c>
      <c r="Q2282">
        <v>3517.93</v>
      </c>
    </row>
    <row r="2283" spans="1:17" x14ac:dyDescent="0.3">
      <c r="A2283">
        <v>151939</v>
      </c>
      <c r="B2283" s="1" t="s">
        <v>38</v>
      </c>
      <c r="C2283" s="1" t="s">
        <v>16</v>
      </c>
      <c r="D2283" s="1" t="s">
        <v>23</v>
      </c>
      <c r="E2283" s="1" t="s">
        <v>28</v>
      </c>
      <c r="F2283" s="1" t="s">
        <v>29</v>
      </c>
      <c r="G2283" s="1" t="s">
        <v>20</v>
      </c>
      <c r="H2283" t="s">
        <v>30</v>
      </c>
      <c r="I2283" s="1" t="s">
        <v>22</v>
      </c>
      <c r="J2283" s="2">
        <v>43528.767557870371</v>
      </c>
      <c r="K2283" s="2">
        <v>43536.767557870371</v>
      </c>
      <c r="L2283" s="2">
        <v>43535.767557870371</v>
      </c>
      <c r="M2283" s="1">
        <f>_xlfn.DAYS(Table1[[#This Row],[actual_delivery_date]],Table1[[#This Row],[dispatch_date]])</f>
        <v>8</v>
      </c>
      <c r="N2283">
        <v>29</v>
      </c>
      <c r="O2283">
        <f>Table1[[#This Row],[transit_storage_cost]] * (1-'What -if Analysis'!$D$26)</f>
        <v>29</v>
      </c>
      <c r="P2283">
        <v>125</v>
      </c>
      <c r="Q2283">
        <v>3177.0826580949879</v>
      </c>
    </row>
    <row r="2284" spans="1:17" x14ac:dyDescent="0.3">
      <c r="A2284">
        <v>993975</v>
      </c>
      <c r="B2284" s="1" t="s">
        <v>38</v>
      </c>
      <c r="C2284" s="1" t="s">
        <v>16</v>
      </c>
      <c r="D2284" s="1" t="s">
        <v>32</v>
      </c>
      <c r="E2284" s="1" t="s">
        <v>33</v>
      </c>
      <c r="F2284" s="1" t="s">
        <v>29</v>
      </c>
      <c r="G2284" s="1" t="s">
        <v>20</v>
      </c>
      <c r="H2284" t="s">
        <v>30</v>
      </c>
      <c r="I2284" s="1" t="s">
        <v>26</v>
      </c>
      <c r="J2284" s="2">
        <v>43529.772881944446</v>
      </c>
      <c r="K2284" s="2">
        <v>43536.772881944446</v>
      </c>
      <c r="L2284" s="2">
        <v>43534.772881944446</v>
      </c>
      <c r="M2284" s="1">
        <f>_xlfn.DAYS(Table1[[#This Row],[actual_delivery_date]],Table1[[#This Row],[dispatch_date]])</f>
        <v>7</v>
      </c>
      <c r="N2284">
        <v>35</v>
      </c>
      <c r="O2284">
        <f>Table1[[#This Row],[transit_storage_cost]] * (1-'What -if Analysis'!$D$26)</f>
        <v>35</v>
      </c>
      <c r="P2284">
        <v>112</v>
      </c>
      <c r="Q2284">
        <v>2566.15</v>
      </c>
    </row>
    <row r="2285" spans="1:17" x14ac:dyDescent="0.3">
      <c r="A2285">
        <v>426451</v>
      </c>
      <c r="B2285" s="1" t="s">
        <v>41</v>
      </c>
      <c r="C2285" s="1" t="s">
        <v>23</v>
      </c>
      <c r="D2285" s="1" t="s">
        <v>17</v>
      </c>
      <c r="E2285" s="1" t="s">
        <v>18</v>
      </c>
      <c r="F2285" s="1" t="s">
        <v>29</v>
      </c>
      <c r="G2285" s="1" t="s">
        <v>20</v>
      </c>
      <c r="H2285" t="s">
        <v>30</v>
      </c>
      <c r="I2285" s="1" t="s">
        <v>22</v>
      </c>
      <c r="J2285" s="2">
        <v>43529.77648148148</v>
      </c>
      <c r="K2285" s="2">
        <v>43536.77648148148</v>
      </c>
      <c r="L2285" s="2">
        <v>43533.77648148148</v>
      </c>
      <c r="M2285" s="1">
        <f>_xlfn.DAYS(Table1[[#This Row],[actual_delivery_date]],Table1[[#This Row],[dispatch_date]])</f>
        <v>7</v>
      </c>
      <c r="N2285">
        <v>47</v>
      </c>
      <c r="O2285">
        <f>Table1[[#This Row],[transit_storage_cost]] * (1-'What -if Analysis'!$D$26)</f>
        <v>47</v>
      </c>
      <c r="P2285">
        <v>115</v>
      </c>
      <c r="Q2285">
        <v>680.24807328010343</v>
      </c>
    </row>
    <row r="2286" spans="1:17" x14ac:dyDescent="0.3">
      <c r="A2286">
        <v>320738</v>
      </c>
      <c r="B2286" s="1" t="s">
        <v>38</v>
      </c>
      <c r="C2286" s="1" t="s">
        <v>23</v>
      </c>
      <c r="D2286" s="1" t="s">
        <v>24</v>
      </c>
      <c r="E2286" s="1" t="s">
        <v>25</v>
      </c>
      <c r="F2286" s="1" t="s">
        <v>31</v>
      </c>
      <c r="G2286" s="1" t="s">
        <v>20</v>
      </c>
      <c r="H2286" t="s">
        <v>21</v>
      </c>
      <c r="I2286" s="1" t="s">
        <v>22</v>
      </c>
      <c r="J2286" s="2">
        <v>43534.776620370372</v>
      </c>
      <c r="K2286" s="2">
        <v>43536.776620370372</v>
      </c>
      <c r="L2286" s="2">
        <v>43537.776620370372</v>
      </c>
      <c r="M2286" s="1">
        <f>_xlfn.DAYS(Table1[[#This Row],[actual_delivery_date]],Table1[[#This Row],[dispatch_date]])</f>
        <v>2</v>
      </c>
      <c r="N2286">
        <v>31</v>
      </c>
      <c r="O2286">
        <f>Table1[[#This Row],[transit_storage_cost]] * (1-'What -if Analysis'!$D$26)</f>
        <v>31</v>
      </c>
      <c r="P2286">
        <v>124</v>
      </c>
      <c r="Q2286">
        <v>975.67398653055363</v>
      </c>
    </row>
    <row r="2287" spans="1:17" x14ac:dyDescent="0.3">
      <c r="A2287">
        <v>100119</v>
      </c>
      <c r="B2287" s="1" t="s">
        <v>40</v>
      </c>
      <c r="C2287" s="1" t="s">
        <v>16</v>
      </c>
      <c r="D2287" s="1" t="s">
        <v>17</v>
      </c>
      <c r="E2287" s="1" t="s">
        <v>18</v>
      </c>
      <c r="F2287" s="1" t="s">
        <v>29</v>
      </c>
      <c r="G2287" s="1" t="s">
        <v>20</v>
      </c>
      <c r="H2287" t="s">
        <v>30</v>
      </c>
      <c r="I2287" s="1" t="s">
        <v>26</v>
      </c>
      <c r="J2287" s="2">
        <v>43527.777106481481</v>
      </c>
      <c r="K2287" s="2">
        <v>43536.777106481481</v>
      </c>
      <c r="L2287" s="2">
        <v>43534.777106481481</v>
      </c>
      <c r="M2287" s="1">
        <f>_xlfn.DAYS(Table1[[#This Row],[actual_delivery_date]],Table1[[#This Row],[dispatch_date]])</f>
        <v>9</v>
      </c>
      <c r="N2287">
        <v>39</v>
      </c>
      <c r="O2287">
        <f>Table1[[#This Row],[transit_storage_cost]] * (1-'What -if Analysis'!$D$26)</f>
        <v>39</v>
      </c>
      <c r="P2287">
        <v>112</v>
      </c>
      <c r="Q2287">
        <v>564.63</v>
      </c>
    </row>
    <row r="2288" spans="1:17" x14ac:dyDescent="0.3">
      <c r="A2288">
        <v>259696</v>
      </c>
      <c r="B2288" s="1" t="s">
        <v>41</v>
      </c>
      <c r="C2288" s="1" t="s">
        <v>23</v>
      </c>
      <c r="D2288" s="1" t="s">
        <v>32</v>
      </c>
      <c r="E2288" s="1" t="s">
        <v>33</v>
      </c>
      <c r="F2288" s="1" t="s">
        <v>19</v>
      </c>
      <c r="G2288" s="1" t="s">
        <v>20</v>
      </c>
      <c r="H2288" t="s">
        <v>21</v>
      </c>
      <c r="I2288" s="1" t="s">
        <v>22</v>
      </c>
      <c r="J2288" s="2">
        <v>43533.777106481481</v>
      </c>
      <c r="K2288" s="2">
        <v>43536.777106481481</v>
      </c>
      <c r="L2288" s="2">
        <v>43540.777106481481</v>
      </c>
      <c r="M2288" s="1">
        <f>_xlfn.DAYS(Table1[[#This Row],[actual_delivery_date]],Table1[[#This Row],[dispatch_date]])</f>
        <v>3</v>
      </c>
      <c r="N2288">
        <v>35</v>
      </c>
      <c r="O2288">
        <f>Table1[[#This Row],[transit_storage_cost]] * (1-'What -if Analysis'!$D$26)</f>
        <v>35</v>
      </c>
      <c r="P2288">
        <v>107</v>
      </c>
      <c r="Q2288">
        <v>683</v>
      </c>
    </row>
    <row r="2289" spans="1:17" x14ac:dyDescent="0.3">
      <c r="A2289">
        <v>433839</v>
      </c>
      <c r="B2289" s="1" t="s">
        <v>39</v>
      </c>
      <c r="C2289" s="1" t="s">
        <v>23</v>
      </c>
      <c r="D2289" s="1" t="s">
        <v>16</v>
      </c>
      <c r="E2289" s="1" t="s">
        <v>27</v>
      </c>
      <c r="F2289" s="1" t="s">
        <v>29</v>
      </c>
      <c r="G2289" s="1" t="s">
        <v>20</v>
      </c>
      <c r="H2289" t="s">
        <v>34</v>
      </c>
      <c r="I2289" s="1" t="s">
        <v>26</v>
      </c>
      <c r="J2289" s="2">
        <v>43533.783530092594</v>
      </c>
      <c r="K2289" s="2">
        <v>43536.783530092594</v>
      </c>
      <c r="L2289" s="2">
        <v>43537.783530092594</v>
      </c>
      <c r="M2289" s="1">
        <f>_xlfn.DAYS(Table1[[#This Row],[actual_delivery_date]],Table1[[#This Row],[dispatch_date]])</f>
        <v>3</v>
      </c>
      <c r="N2289">
        <v>25</v>
      </c>
      <c r="O2289">
        <f>Table1[[#This Row],[transit_storage_cost]] * (1-'What -if Analysis'!$D$26)</f>
        <v>25</v>
      </c>
      <c r="P2289">
        <v>120</v>
      </c>
      <c r="Q2289">
        <v>3495</v>
      </c>
    </row>
    <row r="2290" spans="1:17" x14ac:dyDescent="0.3">
      <c r="A2290">
        <v>663128</v>
      </c>
      <c r="B2290" s="1" t="s">
        <v>38</v>
      </c>
      <c r="C2290" s="1" t="s">
        <v>16</v>
      </c>
      <c r="D2290" s="1" t="s">
        <v>17</v>
      </c>
      <c r="E2290" s="1" t="s">
        <v>18</v>
      </c>
      <c r="F2290" s="1" t="s">
        <v>19</v>
      </c>
      <c r="G2290" s="1" t="s">
        <v>20</v>
      </c>
      <c r="H2290" t="s">
        <v>21</v>
      </c>
      <c r="I2290" s="1" t="s">
        <v>22</v>
      </c>
      <c r="J2290" s="2">
        <v>43534.786585648151</v>
      </c>
      <c r="K2290" s="2">
        <v>43536.786585648151</v>
      </c>
      <c r="L2290" s="2">
        <v>43538.786585648151</v>
      </c>
      <c r="M2290" s="1">
        <f>_xlfn.DAYS(Table1[[#This Row],[actual_delivery_date]],Table1[[#This Row],[dispatch_date]])</f>
        <v>2</v>
      </c>
      <c r="N2290">
        <v>42</v>
      </c>
      <c r="O2290">
        <f>Table1[[#This Row],[transit_storage_cost]] * (1-'What -if Analysis'!$D$26)</f>
        <v>42</v>
      </c>
      <c r="P2290">
        <v>112</v>
      </c>
      <c r="Q2290">
        <v>2590.6023546207375</v>
      </c>
    </row>
    <row r="2291" spans="1:17" x14ac:dyDescent="0.3">
      <c r="A2291">
        <v>103390</v>
      </c>
      <c r="B2291" s="1" t="s">
        <v>39</v>
      </c>
      <c r="C2291" s="1" t="s">
        <v>16</v>
      </c>
      <c r="D2291" s="1" t="s">
        <v>23</v>
      </c>
      <c r="E2291" s="1" t="s">
        <v>28</v>
      </c>
      <c r="F2291" s="1" t="s">
        <v>19</v>
      </c>
      <c r="G2291" s="1" t="s">
        <v>20</v>
      </c>
      <c r="H2291" t="s">
        <v>21</v>
      </c>
      <c r="I2291" s="1" t="s">
        <v>22</v>
      </c>
      <c r="J2291" s="2">
        <v>43532.788055555553</v>
      </c>
      <c r="K2291" s="2">
        <v>43536.788055555553</v>
      </c>
      <c r="L2291" s="2">
        <v>43537.788055555553</v>
      </c>
      <c r="M2291" s="1">
        <f>_xlfn.DAYS(Table1[[#This Row],[actual_delivery_date]],Table1[[#This Row],[dispatch_date]])</f>
        <v>4</v>
      </c>
      <c r="N2291">
        <v>76</v>
      </c>
      <c r="O2291">
        <f>Table1[[#This Row],[transit_storage_cost]] * (1-'What -if Analysis'!$D$26)</f>
        <v>76</v>
      </c>
      <c r="P2291">
        <v>107</v>
      </c>
      <c r="Q2291">
        <v>673.15787323550887</v>
      </c>
    </row>
    <row r="2292" spans="1:17" x14ac:dyDescent="0.3">
      <c r="A2292">
        <v>459423</v>
      </c>
      <c r="B2292" s="1" t="s">
        <v>38</v>
      </c>
      <c r="C2292" s="1" t="s">
        <v>16</v>
      </c>
      <c r="D2292" s="1" t="s">
        <v>16</v>
      </c>
      <c r="E2292" s="1" t="s">
        <v>27</v>
      </c>
      <c r="F2292" s="1" t="s">
        <v>19</v>
      </c>
      <c r="G2292" s="1" t="s">
        <v>20</v>
      </c>
      <c r="H2292" t="s">
        <v>30</v>
      </c>
      <c r="I2292" s="1" t="s">
        <v>26</v>
      </c>
      <c r="J2292" s="2">
        <v>43534.788391203707</v>
      </c>
      <c r="K2292" s="2">
        <v>43536.788391203707</v>
      </c>
      <c r="L2292" s="2">
        <v>43537.788391203707</v>
      </c>
      <c r="M2292" s="1">
        <f>_xlfn.DAYS(Table1[[#This Row],[actual_delivery_date]],Table1[[#This Row],[dispatch_date]])</f>
        <v>2</v>
      </c>
      <c r="N2292">
        <v>0</v>
      </c>
      <c r="O2292">
        <f>Table1[[#This Row],[transit_storage_cost]] * (1-'What -if Analysis'!$D$26)</f>
        <v>0</v>
      </c>
      <c r="P2292">
        <v>109</v>
      </c>
      <c r="Q2292">
        <v>1338.812611354816</v>
      </c>
    </row>
    <row r="2293" spans="1:17" x14ac:dyDescent="0.3">
      <c r="A2293">
        <v>152920</v>
      </c>
      <c r="B2293" s="1" t="s">
        <v>38</v>
      </c>
      <c r="C2293" s="1" t="s">
        <v>16</v>
      </c>
      <c r="D2293" s="1" t="s">
        <v>24</v>
      </c>
      <c r="E2293" s="1" t="s">
        <v>25</v>
      </c>
      <c r="F2293" s="1" t="s">
        <v>19</v>
      </c>
      <c r="G2293" s="1" t="s">
        <v>20</v>
      </c>
      <c r="H2293" t="s">
        <v>21</v>
      </c>
      <c r="I2293" s="1" t="s">
        <v>22</v>
      </c>
      <c r="J2293" s="2">
        <v>43526.792557870373</v>
      </c>
      <c r="K2293" s="2">
        <v>43536.792557870373</v>
      </c>
      <c r="L2293" s="2">
        <v>43529.792557870373</v>
      </c>
      <c r="M2293" s="1">
        <f>_xlfn.DAYS(Table1[[#This Row],[actual_delivery_date]],Table1[[#This Row],[dispatch_date]])</f>
        <v>10</v>
      </c>
      <c r="N2293">
        <v>34</v>
      </c>
      <c r="O2293">
        <f>Table1[[#This Row],[transit_storage_cost]] * (1-'What -if Analysis'!$D$26)</f>
        <v>34</v>
      </c>
      <c r="P2293">
        <v>127</v>
      </c>
      <c r="Q2293">
        <v>837.64873055553244</v>
      </c>
    </row>
    <row r="2294" spans="1:17" x14ac:dyDescent="0.3">
      <c r="A2294">
        <v>34816</v>
      </c>
      <c r="B2294" s="1" t="s">
        <v>38</v>
      </c>
      <c r="C2294" s="1" t="s">
        <v>23</v>
      </c>
      <c r="D2294" s="1" t="s">
        <v>24</v>
      </c>
      <c r="E2294" s="1" t="s">
        <v>25</v>
      </c>
      <c r="F2294" s="1" t="s">
        <v>19</v>
      </c>
      <c r="G2294" s="1" t="s">
        <v>20</v>
      </c>
      <c r="H2294" t="s">
        <v>21</v>
      </c>
      <c r="I2294" s="1" t="s">
        <v>22</v>
      </c>
      <c r="J2294" s="2">
        <v>43532.793240740742</v>
      </c>
      <c r="K2294" s="2">
        <v>43536.793240740742</v>
      </c>
      <c r="L2294" s="2">
        <v>43536.793240740742</v>
      </c>
      <c r="M2294" s="1">
        <f>_xlfn.DAYS(Table1[[#This Row],[actual_delivery_date]],Table1[[#This Row],[dispatch_date]])</f>
        <v>4</v>
      </c>
      <c r="N2294">
        <v>65</v>
      </c>
      <c r="O2294">
        <f>Table1[[#This Row],[transit_storage_cost]] * (1-'What -if Analysis'!$D$26)</f>
        <v>65</v>
      </c>
      <c r="P2294">
        <v>109</v>
      </c>
      <c r="Q2294">
        <v>2040.3643796372896</v>
      </c>
    </row>
    <row r="2295" spans="1:17" x14ac:dyDescent="0.3">
      <c r="A2295">
        <v>599062</v>
      </c>
      <c r="B2295" s="1" t="s">
        <v>40</v>
      </c>
      <c r="C2295" s="1" t="s">
        <v>23</v>
      </c>
      <c r="D2295" s="1" t="s">
        <v>23</v>
      </c>
      <c r="E2295" s="1" t="s">
        <v>28</v>
      </c>
      <c r="F2295" s="1" t="s">
        <v>19</v>
      </c>
      <c r="G2295" s="1" t="s">
        <v>20</v>
      </c>
      <c r="H2295" t="s">
        <v>21</v>
      </c>
      <c r="I2295" s="1" t="s">
        <v>22</v>
      </c>
      <c r="J2295" s="2">
        <v>43531.795949074076</v>
      </c>
      <c r="K2295" s="2">
        <v>43536.795949074076</v>
      </c>
      <c r="L2295" s="2">
        <v>43538.795949074076</v>
      </c>
      <c r="M2295" s="1">
        <f>_xlfn.DAYS(Table1[[#This Row],[actual_delivery_date]],Table1[[#This Row],[dispatch_date]])</f>
        <v>5</v>
      </c>
      <c r="N2295">
        <v>0</v>
      </c>
      <c r="O2295">
        <f>Table1[[#This Row],[transit_storage_cost]] * (1-'What -if Analysis'!$D$26)</f>
        <v>0</v>
      </c>
      <c r="P2295">
        <v>109</v>
      </c>
      <c r="Q2295">
        <v>1426.353750678594</v>
      </c>
    </row>
    <row r="2296" spans="1:17" x14ac:dyDescent="0.3">
      <c r="A2296">
        <v>998346</v>
      </c>
      <c r="B2296" s="1" t="s">
        <v>38</v>
      </c>
      <c r="C2296" s="1" t="s">
        <v>23</v>
      </c>
      <c r="D2296" s="1" t="s">
        <v>16</v>
      </c>
      <c r="E2296" s="1" t="s">
        <v>27</v>
      </c>
      <c r="F2296" s="1" t="s">
        <v>31</v>
      </c>
      <c r="G2296" s="1" t="s">
        <v>20</v>
      </c>
      <c r="H2296" t="s">
        <v>21</v>
      </c>
      <c r="I2296" s="1" t="s">
        <v>26</v>
      </c>
      <c r="J2296" s="2">
        <v>43529.796759259261</v>
      </c>
      <c r="K2296" s="2">
        <v>43536.796759259261</v>
      </c>
      <c r="L2296" s="2">
        <v>43535.796759259261</v>
      </c>
      <c r="M2296" s="1">
        <f>_xlfn.DAYS(Table1[[#This Row],[actual_delivery_date]],Table1[[#This Row],[dispatch_date]])</f>
        <v>7</v>
      </c>
      <c r="N2296">
        <v>25</v>
      </c>
      <c r="O2296">
        <f>Table1[[#This Row],[transit_storage_cost]] * (1-'What -if Analysis'!$D$26)</f>
        <v>25</v>
      </c>
      <c r="P2296">
        <v>126</v>
      </c>
      <c r="Q2296">
        <v>1618.82</v>
      </c>
    </row>
    <row r="2297" spans="1:17" x14ac:dyDescent="0.3">
      <c r="A2297">
        <v>561546</v>
      </c>
      <c r="B2297" s="1" t="s">
        <v>38</v>
      </c>
      <c r="C2297" s="1" t="s">
        <v>16</v>
      </c>
      <c r="D2297" s="1" t="s">
        <v>16</v>
      </c>
      <c r="E2297" s="1" t="s">
        <v>27</v>
      </c>
      <c r="F2297" s="1" t="s">
        <v>19</v>
      </c>
      <c r="G2297" s="1" t="s">
        <v>20</v>
      </c>
      <c r="H2297" t="s">
        <v>21</v>
      </c>
      <c r="I2297" s="1" t="s">
        <v>26</v>
      </c>
      <c r="J2297" s="2">
        <v>43533.797048611108</v>
      </c>
      <c r="K2297" s="2">
        <v>43536.797048611108</v>
      </c>
      <c r="L2297" s="2">
        <v>43538.797048611108</v>
      </c>
      <c r="M2297" s="1">
        <f>_xlfn.DAYS(Table1[[#This Row],[actual_delivery_date]],Table1[[#This Row],[dispatch_date]])</f>
        <v>3</v>
      </c>
      <c r="N2297">
        <v>0</v>
      </c>
      <c r="O2297">
        <f>Table1[[#This Row],[transit_storage_cost]] * (1-'What -if Analysis'!$D$26)</f>
        <v>0</v>
      </c>
      <c r="P2297">
        <v>109</v>
      </c>
      <c r="Q2297">
        <v>1976.8461464849315</v>
      </c>
    </row>
    <row r="2298" spans="1:17" x14ac:dyDescent="0.3">
      <c r="A2298">
        <v>484114</v>
      </c>
      <c r="B2298" s="1" t="s">
        <v>37</v>
      </c>
      <c r="C2298" s="1" t="s">
        <v>16</v>
      </c>
      <c r="D2298" s="1" t="s">
        <v>24</v>
      </c>
      <c r="E2298" s="1" t="s">
        <v>25</v>
      </c>
      <c r="F2298" s="1" t="s">
        <v>31</v>
      </c>
      <c r="G2298" s="1" t="s">
        <v>20</v>
      </c>
      <c r="H2298" t="s">
        <v>21</v>
      </c>
      <c r="I2298" s="1" t="s">
        <v>22</v>
      </c>
      <c r="J2298" s="2">
        <v>43533.803495370368</v>
      </c>
      <c r="K2298" s="2">
        <v>43536.803495370368</v>
      </c>
      <c r="L2298" s="2">
        <v>43537.803495370368</v>
      </c>
      <c r="M2298" s="1">
        <f>_xlfn.DAYS(Table1[[#This Row],[actual_delivery_date]],Table1[[#This Row],[dispatch_date]])</f>
        <v>3</v>
      </c>
      <c r="N2298">
        <v>37</v>
      </c>
      <c r="O2298">
        <f>Table1[[#This Row],[transit_storage_cost]] * (1-'What -if Analysis'!$D$26)</f>
        <v>37</v>
      </c>
      <c r="P2298">
        <v>125</v>
      </c>
      <c r="Q2298">
        <v>1952</v>
      </c>
    </row>
    <row r="2299" spans="1:17" x14ac:dyDescent="0.3">
      <c r="A2299">
        <v>661526</v>
      </c>
      <c r="B2299" s="1" t="s">
        <v>37</v>
      </c>
      <c r="C2299" s="1" t="s">
        <v>16</v>
      </c>
      <c r="D2299" s="1" t="s">
        <v>17</v>
      </c>
      <c r="E2299" s="1" t="s">
        <v>18</v>
      </c>
      <c r="F2299" s="1" t="s">
        <v>31</v>
      </c>
      <c r="G2299" s="1" t="s">
        <v>20</v>
      </c>
      <c r="H2299" t="s">
        <v>21</v>
      </c>
      <c r="I2299" s="1" t="s">
        <v>22</v>
      </c>
      <c r="J2299" s="2">
        <v>43528.804571759261</v>
      </c>
      <c r="K2299" s="2">
        <v>43536.804571759261</v>
      </c>
      <c r="L2299" s="2">
        <v>43531.804571759261</v>
      </c>
      <c r="M2299" s="1">
        <f>_xlfn.DAYS(Table1[[#This Row],[actual_delivery_date]],Table1[[#This Row],[dispatch_date]])</f>
        <v>8</v>
      </c>
      <c r="N2299">
        <v>26</v>
      </c>
      <c r="O2299">
        <f>Table1[[#This Row],[transit_storage_cost]] * (1-'What -if Analysis'!$D$26)</f>
        <v>26</v>
      </c>
      <c r="P2299">
        <v>107</v>
      </c>
      <c r="Q2299">
        <v>2550.2683761675221</v>
      </c>
    </row>
    <row r="2300" spans="1:17" x14ac:dyDescent="0.3">
      <c r="A2300">
        <v>482609</v>
      </c>
      <c r="B2300" s="1" t="s">
        <v>38</v>
      </c>
      <c r="C2300" s="1" t="s">
        <v>16</v>
      </c>
      <c r="D2300" s="1" t="s">
        <v>23</v>
      </c>
      <c r="E2300" s="1" t="s">
        <v>28</v>
      </c>
      <c r="F2300" s="1" t="s">
        <v>29</v>
      </c>
      <c r="G2300" s="1" t="s">
        <v>20</v>
      </c>
      <c r="H2300" t="s">
        <v>30</v>
      </c>
      <c r="I2300" s="1" t="s">
        <v>22</v>
      </c>
      <c r="J2300" s="2">
        <v>43531.807800925926</v>
      </c>
      <c r="K2300" s="2">
        <v>43536.807800925926</v>
      </c>
      <c r="L2300" s="2">
        <v>43537.807800925926</v>
      </c>
      <c r="M2300" s="1">
        <f>_xlfn.DAYS(Table1[[#This Row],[actual_delivery_date]],Table1[[#This Row],[dispatch_date]])</f>
        <v>5</v>
      </c>
      <c r="N2300">
        <v>29</v>
      </c>
      <c r="O2300">
        <f>Table1[[#This Row],[transit_storage_cost]] * (1-'What -if Analysis'!$D$26)</f>
        <v>29</v>
      </c>
      <c r="P2300">
        <v>120</v>
      </c>
      <c r="Q2300">
        <v>2187.4931908236822</v>
      </c>
    </row>
    <row r="2301" spans="1:17" x14ac:dyDescent="0.3">
      <c r="A2301">
        <v>168120</v>
      </c>
      <c r="B2301" s="1" t="s">
        <v>39</v>
      </c>
      <c r="C2301" s="1" t="s">
        <v>16</v>
      </c>
      <c r="D2301" s="1" t="s">
        <v>16</v>
      </c>
      <c r="E2301" s="1" t="s">
        <v>27</v>
      </c>
      <c r="F2301" s="1" t="s">
        <v>19</v>
      </c>
      <c r="G2301" s="1" t="s">
        <v>20</v>
      </c>
      <c r="H2301" t="s">
        <v>21</v>
      </c>
      <c r="I2301" s="1" t="s">
        <v>26</v>
      </c>
      <c r="J2301" s="2">
        <v>43534.81590277778</v>
      </c>
      <c r="K2301" s="2">
        <v>43536.81590277778</v>
      </c>
      <c r="L2301" s="2">
        <v>43538.81590277778</v>
      </c>
      <c r="M2301" s="1">
        <f>_xlfn.DAYS(Table1[[#This Row],[actual_delivery_date]],Table1[[#This Row],[dispatch_date]])</f>
        <v>2</v>
      </c>
      <c r="N2301">
        <v>0</v>
      </c>
      <c r="O2301">
        <f>Table1[[#This Row],[transit_storage_cost]] * (1-'What -if Analysis'!$D$26)</f>
        <v>0</v>
      </c>
      <c r="P2301">
        <v>122</v>
      </c>
      <c r="Q2301">
        <v>3294.6707128020771</v>
      </c>
    </row>
    <row r="2302" spans="1:17" x14ac:dyDescent="0.3">
      <c r="A2302">
        <v>601164</v>
      </c>
      <c r="B2302" s="1" t="s">
        <v>37</v>
      </c>
      <c r="C2302" s="1" t="s">
        <v>16</v>
      </c>
      <c r="D2302" s="1" t="s">
        <v>23</v>
      </c>
      <c r="E2302" s="1" t="s">
        <v>28</v>
      </c>
      <c r="F2302" s="1" t="s">
        <v>19</v>
      </c>
      <c r="G2302" s="1" t="s">
        <v>20</v>
      </c>
      <c r="H2302" t="s">
        <v>21</v>
      </c>
      <c r="I2302" s="1" t="s">
        <v>26</v>
      </c>
      <c r="J2302" s="2">
        <v>43534.819224537037</v>
      </c>
      <c r="K2302" s="2">
        <v>43536.819224537037</v>
      </c>
      <c r="L2302" s="2">
        <v>43540.819224537037</v>
      </c>
      <c r="M2302" s="1">
        <f>_xlfn.DAYS(Table1[[#This Row],[actual_delivery_date]],Table1[[#This Row],[dispatch_date]])</f>
        <v>2</v>
      </c>
      <c r="N2302">
        <v>75</v>
      </c>
      <c r="O2302">
        <f>Table1[[#This Row],[transit_storage_cost]] * (1-'What -if Analysis'!$D$26)</f>
        <v>75</v>
      </c>
      <c r="P2302">
        <v>110</v>
      </c>
      <c r="Q2302">
        <v>1520</v>
      </c>
    </row>
    <row r="2303" spans="1:17" x14ac:dyDescent="0.3">
      <c r="A2303">
        <v>275913</v>
      </c>
      <c r="B2303" s="1" t="s">
        <v>37</v>
      </c>
      <c r="C2303" s="1" t="s">
        <v>16</v>
      </c>
      <c r="D2303" s="1" t="s">
        <v>17</v>
      </c>
      <c r="E2303" s="1" t="s">
        <v>18</v>
      </c>
      <c r="F2303" s="1" t="s">
        <v>19</v>
      </c>
      <c r="G2303" s="1" t="s">
        <v>20</v>
      </c>
      <c r="H2303" t="s">
        <v>30</v>
      </c>
      <c r="I2303" s="1" t="s">
        <v>26</v>
      </c>
      <c r="J2303" s="2">
        <v>43532.821145833332</v>
      </c>
      <c r="K2303" s="2">
        <v>43536.821145833332</v>
      </c>
      <c r="L2303" s="2">
        <v>43536.821145833332</v>
      </c>
      <c r="M2303" s="1">
        <f>_xlfn.DAYS(Table1[[#This Row],[actual_delivery_date]],Table1[[#This Row],[dispatch_date]])</f>
        <v>4</v>
      </c>
      <c r="N2303">
        <v>84</v>
      </c>
      <c r="O2303">
        <f>Table1[[#This Row],[transit_storage_cost]] * (1-'What -if Analysis'!$D$26)</f>
        <v>84</v>
      </c>
      <c r="P2303">
        <v>89</v>
      </c>
      <c r="Q2303">
        <v>2910</v>
      </c>
    </row>
    <row r="2304" spans="1:17" x14ac:dyDescent="0.3">
      <c r="A2304">
        <v>671996</v>
      </c>
      <c r="B2304" s="1" t="s">
        <v>38</v>
      </c>
      <c r="C2304" s="1" t="s">
        <v>16</v>
      </c>
      <c r="D2304" s="1" t="s">
        <v>17</v>
      </c>
      <c r="E2304" s="1" t="s">
        <v>18</v>
      </c>
      <c r="F2304" s="1" t="s">
        <v>19</v>
      </c>
      <c r="G2304" s="1" t="s">
        <v>20</v>
      </c>
      <c r="H2304" t="s">
        <v>21</v>
      </c>
      <c r="I2304" s="1" t="s">
        <v>22</v>
      </c>
      <c r="J2304" s="2">
        <v>43532.822199074071</v>
      </c>
      <c r="K2304" s="2">
        <v>43536.822199074071</v>
      </c>
      <c r="L2304" s="2">
        <v>43538.822199074071</v>
      </c>
      <c r="M2304" s="1">
        <f>_xlfn.DAYS(Table1[[#This Row],[actual_delivery_date]],Table1[[#This Row],[dispatch_date]])</f>
        <v>4</v>
      </c>
      <c r="N2304">
        <v>56</v>
      </c>
      <c r="O2304">
        <f>Table1[[#This Row],[transit_storage_cost]] * (1-'What -if Analysis'!$D$26)</f>
        <v>56</v>
      </c>
      <c r="P2304">
        <v>90</v>
      </c>
      <c r="Q2304">
        <v>2924.510273651194</v>
      </c>
    </row>
    <row r="2305" spans="1:17" x14ac:dyDescent="0.3">
      <c r="A2305">
        <v>246929</v>
      </c>
      <c r="B2305" s="1" t="s">
        <v>38</v>
      </c>
      <c r="C2305" s="1" t="s">
        <v>16</v>
      </c>
      <c r="D2305" s="1" t="s">
        <v>17</v>
      </c>
      <c r="E2305" s="1" t="s">
        <v>18</v>
      </c>
      <c r="F2305" s="1" t="s">
        <v>29</v>
      </c>
      <c r="G2305" s="1" t="s">
        <v>20</v>
      </c>
      <c r="H2305" t="s">
        <v>30</v>
      </c>
      <c r="I2305" s="1" t="s">
        <v>22</v>
      </c>
      <c r="J2305" s="2">
        <v>43531.828321759262</v>
      </c>
      <c r="K2305" s="2">
        <v>43536.828321759262</v>
      </c>
      <c r="L2305" s="2">
        <v>43537.828321759262</v>
      </c>
      <c r="M2305" s="1">
        <f>_xlfn.DAYS(Table1[[#This Row],[actual_delivery_date]],Table1[[#This Row],[dispatch_date]])</f>
        <v>5</v>
      </c>
      <c r="N2305">
        <v>26</v>
      </c>
      <c r="O2305">
        <f>Table1[[#This Row],[transit_storage_cost]] * (1-'What -if Analysis'!$D$26)</f>
        <v>26</v>
      </c>
      <c r="P2305">
        <v>110</v>
      </c>
      <c r="Q2305">
        <v>409.17300412874494</v>
      </c>
    </row>
    <row r="2306" spans="1:17" x14ac:dyDescent="0.3">
      <c r="A2306">
        <v>420063</v>
      </c>
      <c r="B2306" s="1" t="s">
        <v>38</v>
      </c>
      <c r="C2306" s="1" t="s">
        <v>16</v>
      </c>
      <c r="D2306" s="1" t="s">
        <v>16</v>
      </c>
      <c r="E2306" s="1" t="s">
        <v>27</v>
      </c>
      <c r="F2306" s="1" t="s">
        <v>29</v>
      </c>
      <c r="G2306" s="1" t="s">
        <v>20</v>
      </c>
      <c r="H2306" t="s">
        <v>34</v>
      </c>
      <c r="I2306" s="1" t="s">
        <v>26</v>
      </c>
      <c r="J2306" s="2">
        <v>43529.834537037037</v>
      </c>
      <c r="K2306" s="2">
        <v>43536.834537037037</v>
      </c>
      <c r="L2306" s="2">
        <v>43535.834537037037</v>
      </c>
      <c r="M2306" s="1">
        <f>_xlfn.DAYS(Table1[[#This Row],[actual_delivery_date]],Table1[[#This Row],[dispatch_date]])</f>
        <v>7</v>
      </c>
      <c r="N2306">
        <v>0</v>
      </c>
      <c r="O2306">
        <f>Table1[[#This Row],[transit_storage_cost]] * (1-'What -if Analysis'!$D$26)</f>
        <v>0</v>
      </c>
      <c r="P2306">
        <v>122</v>
      </c>
      <c r="Q2306">
        <v>1218.32</v>
      </c>
    </row>
    <row r="2307" spans="1:17" x14ac:dyDescent="0.3">
      <c r="A2307">
        <v>891134</v>
      </c>
      <c r="B2307" s="1" t="s">
        <v>38</v>
      </c>
      <c r="C2307" s="1" t="s">
        <v>23</v>
      </c>
      <c r="D2307" s="1" t="s">
        <v>17</v>
      </c>
      <c r="E2307" s="1" t="s">
        <v>18</v>
      </c>
      <c r="F2307" s="1" t="s">
        <v>31</v>
      </c>
      <c r="G2307" s="1" t="s">
        <v>20</v>
      </c>
      <c r="H2307" t="s">
        <v>21</v>
      </c>
      <c r="I2307" s="1" t="s">
        <v>22</v>
      </c>
      <c r="J2307" s="2">
        <v>43532.839965277781</v>
      </c>
      <c r="K2307" s="2">
        <v>43536.839965277781</v>
      </c>
      <c r="L2307" s="2">
        <v>43535.839965277781</v>
      </c>
      <c r="M2307" s="1">
        <f>_xlfn.DAYS(Table1[[#This Row],[actual_delivery_date]],Table1[[#This Row],[dispatch_date]])</f>
        <v>4</v>
      </c>
      <c r="N2307">
        <v>48</v>
      </c>
      <c r="O2307">
        <f>Table1[[#This Row],[transit_storage_cost]] * (1-'What -if Analysis'!$D$26)</f>
        <v>48</v>
      </c>
      <c r="P2307">
        <v>108</v>
      </c>
      <c r="Q2307">
        <v>1320</v>
      </c>
    </row>
    <row r="2308" spans="1:17" x14ac:dyDescent="0.3">
      <c r="A2308">
        <v>563540</v>
      </c>
      <c r="B2308" s="1" t="s">
        <v>38</v>
      </c>
      <c r="C2308" s="1" t="s">
        <v>23</v>
      </c>
      <c r="D2308" s="1" t="s">
        <v>23</v>
      </c>
      <c r="E2308" s="1" t="s">
        <v>28</v>
      </c>
      <c r="F2308" s="1" t="s">
        <v>19</v>
      </c>
      <c r="G2308" s="1" t="s">
        <v>20</v>
      </c>
      <c r="H2308" t="s">
        <v>21</v>
      </c>
      <c r="I2308" s="1" t="s">
        <v>22</v>
      </c>
      <c r="J2308" s="2">
        <v>43536.840300925927</v>
      </c>
      <c r="K2308" s="2">
        <v>43536.840300925927</v>
      </c>
      <c r="L2308" s="2">
        <v>43543.840300925927</v>
      </c>
      <c r="M2308" s="1">
        <f>_xlfn.DAYS(Table1[[#This Row],[actual_delivery_date]],Table1[[#This Row],[dispatch_date]])</f>
        <v>0</v>
      </c>
      <c r="N2308">
        <v>0</v>
      </c>
      <c r="O2308">
        <f>Table1[[#This Row],[transit_storage_cost]] * (1-'What -if Analysis'!$D$26)</f>
        <v>0</v>
      </c>
      <c r="P2308">
        <v>121</v>
      </c>
      <c r="Q2308">
        <v>2983.3252785068853</v>
      </c>
    </row>
    <row r="2309" spans="1:17" x14ac:dyDescent="0.3">
      <c r="A2309">
        <v>628553</v>
      </c>
      <c r="B2309" s="1" t="s">
        <v>37</v>
      </c>
      <c r="C2309" s="1" t="s">
        <v>23</v>
      </c>
      <c r="D2309" s="1" t="s">
        <v>16</v>
      </c>
      <c r="E2309" s="1" t="s">
        <v>27</v>
      </c>
      <c r="F2309" s="1" t="s">
        <v>19</v>
      </c>
      <c r="G2309" s="1" t="s">
        <v>20</v>
      </c>
      <c r="H2309" t="s">
        <v>30</v>
      </c>
      <c r="I2309" s="1" t="s">
        <v>22</v>
      </c>
      <c r="J2309" s="2">
        <v>43534.84951388889</v>
      </c>
      <c r="K2309" s="2">
        <v>43536.84951388889</v>
      </c>
      <c r="L2309" s="2">
        <v>43538.84951388889</v>
      </c>
      <c r="M2309" s="1">
        <f>_xlfn.DAYS(Table1[[#This Row],[actual_delivery_date]],Table1[[#This Row],[dispatch_date]])</f>
        <v>2</v>
      </c>
      <c r="N2309">
        <v>76</v>
      </c>
      <c r="O2309">
        <f>Table1[[#This Row],[transit_storage_cost]] * (1-'What -if Analysis'!$D$26)</f>
        <v>76</v>
      </c>
      <c r="P2309">
        <v>107</v>
      </c>
      <c r="Q2309">
        <v>1981.3565075380968</v>
      </c>
    </row>
    <row r="2310" spans="1:17" x14ac:dyDescent="0.3">
      <c r="A2310">
        <v>896840</v>
      </c>
      <c r="B2310" s="1" t="s">
        <v>39</v>
      </c>
      <c r="C2310" s="1" t="s">
        <v>23</v>
      </c>
      <c r="D2310" s="1" t="s">
        <v>23</v>
      </c>
      <c r="E2310" s="1" t="s">
        <v>28</v>
      </c>
      <c r="F2310" s="1" t="s">
        <v>19</v>
      </c>
      <c r="G2310" s="1" t="s">
        <v>20</v>
      </c>
      <c r="H2310" t="s">
        <v>21</v>
      </c>
      <c r="I2310" s="1" t="s">
        <v>22</v>
      </c>
      <c r="J2310" s="2">
        <v>43536.852465277778</v>
      </c>
      <c r="K2310" s="2">
        <v>43536.852465277778</v>
      </c>
      <c r="L2310" s="2">
        <v>43541.852465277778</v>
      </c>
      <c r="M2310" s="1">
        <f>_xlfn.DAYS(Table1[[#This Row],[actual_delivery_date]],Table1[[#This Row],[dispatch_date]])</f>
        <v>0</v>
      </c>
      <c r="N2310">
        <v>0</v>
      </c>
      <c r="O2310">
        <f>Table1[[#This Row],[transit_storage_cost]] * (1-'What -if Analysis'!$D$26)</f>
        <v>0</v>
      </c>
      <c r="P2310">
        <v>108</v>
      </c>
      <c r="Q2310">
        <v>2528</v>
      </c>
    </row>
    <row r="2311" spans="1:17" x14ac:dyDescent="0.3">
      <c r="A2311">
        <v>410639</v>
      </c>
      <c r="B2311" s="1" t="s">
        <v>38</v>
      </c>
      <c r="C2311" s="1" t="s">
        <v>16</v>
      </c>
      <c r="D2311" s="1" t="s">
        <v>32</v>
      </c>
      <c r="E2311" s="1" t="s">
        <v>33</v>
      </c>
      <c r="F2311" s="1" t="s">
        <v>29</v>
      </c>
      <c r="G2311" s="1" t="s">
        <v>20</v>
      </c>
      <c r="H2311" t="s">
        <v>30</v>
      </c>
      <c r="I2311" s="1" t="s">
        <v>22</v>
      </c>
      <c r="J2311" s="2">
        <v>43534.861134259256</v>
      </c>
      <c r="K2311" s="2">
        <v>43536.861134259256</v>
      </c>
      <c r="L2311" s="2">
        <v>43538.861134259256</v>
      </c>
      <c r="M2311" s="1">
        <f>_xlfn.DAYS(Table1[[#This Row],[actual_delivery_date]],Table1[[#This Row],[dispatch_date]])</f>
        <v>2</v>
      </c>
      <c r="N2311">
        <v>27</v>
      </c>
      <c r="O2311">
        <f>Table1[[#This Row],[transit_storage_cost]] * (1-'What -if Analysis'!$D$26)</f>
        <v>27</v>
      </c>
      <c r="P2311">
        <v>111</v>
      </c>
      <c r="Q2311">
        <v>3057.0691777316388</v>
      </c>
    </row>
    <row r="2312" spans="1:17" x14ac:dyDescent="0.3">
      <c r="A2312">
        <v>319314</v>
      </c>
      <c r="B2312" s="1" t="s">
        <v>38</v>
      </c>
      <c r="C2312" s="1" t="s">
        <v>16</v>
      </c>
      <c r="D2312" s="1" t="s">
        <v>32</v>
      </c>
      <c r="E2312" s="1" t="s">
        <v>33</v>
      </c>
      <c r="F2312" s="1" t="s">
        <v>31</v>
      </c>
      <c r="G2312" s="1" t="s">
        <v>20</v>
      </c>
      <c r="H2312" t="s">
        <v>21</v>
      </c>
      <c r="I2312" s="1" t="s">
        <v>26</v>
      </c>
      <c r="J2312" s="2">
        <v>43531.865115740744</v>
      </c>
      <c r="K2312" s="2">
        <v>43536.865115740744</v>
      </c>
      <c r="L2312" s="2">
        <v>43538.865115740744</v>
      </c>
      <c r="M2312" s="1">
        <f>_xlfn.DAYS(Table1[[#This Row],[actual_delivery_date]],Table1[[#This Row],[dispatch_date]])</f>
        <v>5</v>
      </c>
      <c r="N2312">
        <v>42</v>
      </c>
      <c r="O2312">
        <f>Table1[[#This Row],[transit_storage_cost]] * (1-'What -if Analysis'!$D$26)</f>
        <v>42</v>
      </c>
      <c r="P2312">
        <v>106</v>
      </c>
      <c r="Q2312">
        <v>1873.3830618056625</v>
      </c>
    </row>
    <row r="2313" spans="1:17" x14ac:dyDescent="0.3">
      <c r="A2313">
        <v>465936</v>
      </c>
      <c r="B2313" s="1" t="s">
        <v>39</v>
      </c>
      <c r="C2313" s="1" t="s">
        <v>16</v>
      </c>
      <c r="D2313" s="1" t="s">
        <v>24</v>
      </c>
      <c r="E2313" s="1" t="s">
        <v>25</v>
      </c>
      <c r="F2313" s="1" t="s">
        <v>19</v>
      </c>
      <c r="G2313" s="1" t="s">
        <v>20</v>
      </c>
      <c r="H2313" t="s">
        <v>21</v>
      </c>
      <c r="I2313" s="1" t="s">
        <v>26</v>
      </c>
      <c r="J2313" s="2">
        <v>43525.867777777778</v>
      </c>
      <c r="K2313" s="2">
        <v>43536.867777777778</v>
      </c>
      <c r="L2313" s="2">
        <v>43530.867777777778</v>
      </c>
      <c r="M2313" s="1">
        <f>_xlfn.DAYS(Table1[[#This Row],[actual_delivery_date]],Table1[[#This Row],[dispatch_date]])</f>
        <v>11</v>
      </c>
      <c r="N2313">
        <v>28</v>
      </c>
      <c r="O2313">
        <f>Table1[[#This Row],[transit_storage_cost]] * (1-'What -if Analysis'!$D$26)</f>
        <v>28</v>
      </c>
      <c r="P2313">
        <v>125</v>
      </c>
      <c r="Q2313">
        <v>2333.1</v>
      </c>
    </row>
    <row r="2314" spans="1:17" x14ac:dyDescent="0.3">
      <c r="A2314">
        <v>790666</v>
      </c>
      <c r="B2314" s="1" t="s">
        <v>38</v>
      </c>
      <c r="C2314" s="1" t="s">
        <v>23</v>
      </c>
      <c r="D2314" s="1" t="s">
        <v>16</v>
      </c>
      <c r="E2314" s="1" t="s">
        <v>27</v>
      </c>
      <c r="F2314" s="1" t="s">
        <v>19</v>
      </c>
      <c r="G2314" s="1" t="s">
        <v>20</v>
      </c>
      <c r="H2314" t="s">
        <v>21</v>
      </c>
      <c r="I2314" s="1" t="s">
        <v>22</v>
      </c>
      <c r="J2314" s="2">
        <v>43534.869108796294</v>
      </c>
      <c r="K2314" s="2">
        <v>43536.869108796294</v>
      </c>
      <c r="L2314" s="2">
        <v>43540.869108796294</v>
      </c>
      <c r="M2314" s="1">
        <f>_xlfn.DAYS(Table1[[#This Row],[actual_delivery_date]],Table1[[#This Row],[dispatch_date]])</f>
        <v>2</v>
      </c>
      <c r="N2314">
        <v>80</v>
      </c>
      <c r="O2314">
        <f>Table1[[#This Row],[transit_storage_cost]] * (1-'What -if Analysis'!$D$26)</f>
        <v>80</v>
      </c>
      <c r="P2314">
        <v>105</v>
      </c>
      <c r="Q2314">
        <v>3423</v>
      </c>
    </row>
    <row r="2315" spans="1:17" x14ac:dyDescent="0.3">
      <c r="A2315">
        <v>404490</v>
      </c>
      <c r="B2315" s="1" t="s">
        <v>37</v>
      </c>
      <c r="C2315" s="1" t="s">
        <v>23</v>
      </c>
      <c r="D2315" s="1" t="s">
        <v>16</v>
      </c>
      <c r="E2315" s="1" t="s">
        <v>27</v>
      </c>
      <c r="F2315" s="1" t="s">
        <v>31</v>
      </c>
      <c r="G2315" s="1" t="s">
        <v>20</v>
      </c>
      <c r="H2315" t="s">
        <v>21</v>
      </c>
      <c r="I2315" s="1" t="s">
        <v>26</v>
      </c>
      <c r="J2315" s="2">
        <v>43533.873877314814</v>
      </c>
      <c r="K2315" s="2">
        <v>43536.873877314814</v>
      </c>
      <c r="L2315" s="2">
        <v>43536.873877314814</v>
      </c>
      <c r="M2315" s="1">
        <f>_xlfn.DAYS(Table1[[#This Row],[actual_delivery_date]],Table1[[#This Row],[dispatch_date]])</f>
        <v>3</v>
      </c>
      <c r="N2315">
        <v>28</v>
      </c>
      <c r="O2315">
        <f>Table1[[#This Row],[transit_storage_cost]] * (1-'What -if Analysis'!$D$26)</f>
        <v>28</v>
      </c>
      <c r="P2315">
        <v>127</v>
      </c>
      <c r="Q2315">
        <v>752.96393665020764</v>
      </c>
    </row>
    <row r="2316" spans="1:17" x14ac:dyDescent="0.3">
      <c r="A2316">
        <v>243070</v>
      </c>
      <c r="B2316" s="1" t="s">
        <v>41</v>
      </c>
      <c r="C2316" s="1" t="s">
        <v>16</v>
      </c>
      <c r="D2316" s="1" t="s">
        <v>17</v>
      </c>
      <c r="E2316" s="1" t="s">
        <v>18</v>
      </c>
      <c r="F2316" s="1" t="s">
        <v>31</v>
      </c>
      <c r="G2316" s="1" t="s">
        <v>20</v>
      </c>
      <c r="H2316" t="s">
        <v>21</v>
      </c>
      <c r="I2316" s="1" t="s">
        <v>22</v>
      </c>
      <c r="J2316" s="2">
        <v>43527.874745370369</v>
      </c>
      <c r="K2316" s="2">
        <v>43536.874745370369</v>
      </c>
      <c r="L2316" s="2">
        <v>43530.874745370369</v>
      </c>
      <c r="M2316" s="1">
        <f>_xlfn.DAYS(Table1[[#This Row],[actual_delivery_date]],Table1[[#This Row],[dispatch_date]])</f>
        <v>9</v>
      </c>
      <c r="N2316">
        <v>36</v>
      </c>
      <c r="O2316">
        <f>Table1[[#This Row],[transit_storage_cost]] * (1-'What -if Analysis'!$D$26)</f>
        <v>36</v>
      </c>
      <c r="P2316">
        <v>110</v>
      </c>
      <c r="Q2316">
        <v>2115.1998554706292</v>
      </c>
    </row>
    <row r="2317" spans="1:17" x14ac:dyDescent="0.3">
      <c r="A2317">
        <v>298647</v>
      </c>
      <c r="B2317" s="1" t="s">
        <v>38</v>
      </c>
      <c r="C2317" s="1" t="s">
        <v>23</v>
      </c>
      <c r="D2317" s="1" t="s">
        <v>17</v>
      </c>
      <c r="E2317" s="1" t="s">
        <v>18</v>
      </c>
      <c r="F2317" s="1" t="s">
        <v>29</v>
      </c>
      <c r="G2317" s="1" t="s">
        <v>20</v>
      </c>
      <c r="H2317" t="s">
        <v>30</v>
      </c>
      <c r="I2317" s="1" t="s">
        <v>26</v>
      </c>
      <c r="J2317" s="2">
        <v>43529.875775462962</v>
      </c>
      <c r="K2317" s="2">
        <v>43536.875775462962</v>
      </c>
      <c r="L2317" s="2">
        <v>43532.875775462962</v>
      </c>
      <c r="M2317" s="1">
        <f>_xlfn.DAYS(Table1[[#This Row],[actual_delivery_date]],Table1[[#This Row],[dispatch_date]])</f>
        <v>7</v>
      </c>
      <c r="N2317">
        <v>33</v>
      </c>
      <c r="O2317">
        <f>Table1[[#This Row],[transit_storage_cost]] * (1-'What -if Analysis'!$D$26)</f>
        <v>33</v>
      </c>
      <c r="P2317">
        <v>109</v>
      </c>
      <c r="Q2317">
        <v>2037.63</v>
      </c>
    </row>
    <row r="2318" spans="1:17" x14ac:dyDescent="0.3">
      <c r="A2318">
        <v>309611</v>
      </c>
      <c r="B2318" s="1" t="s">
        <v>37</v>
      </c>
      <c r="C2318" s="1" t="s">
        <v>16</v>
      </c>
      <c r="D2318" s="1" t="s">
        <v>32</v>
      </c>
      <c r="E2318" s="1" t="s">
        <v>33</v>
      </c>
      <c r="F2318" s="1" t="s">
        <v>29</v>
      </c>
      <c r="G2318" s="1" t="s">
        <v>20</v>
      </c>
      <c r="H2318" t="s">
        <v>30</v>
      </c>
      <c r="I2318" s="1" t="s">
        <v>22</v>
      </c>
      <c r="J2318" s="2">
        <v>43534.877141203702</v>
      </c>
      <c r="K2318" s="2">
        <v>43536.877141203702</v>
      </c>
      <c r="L2318" s="2">
        <v>43541.877141203702</v>
      </c>
      <c r="M2318" s="1">
        <f>_xlfn.DAYS(Table1[[#This Row],[actual_delivery_date]],Table1[[#This Row],[dispatch_date]])</f>
        <v>2</v>
      </c>
      <c r="N2318">
        <v>29</v>
      </c>
      <c r="O2318">
        <f>Table1[[#This Row],[transit_storage_cost]] * (1-'What -if Analysis'!$D$26)</f>
        <v>29</v>
      </c>
      <c r="P2318">
        <v>107</v>
      </c>
      <c r="Q2318">
        <v>2858.4899322973379</v>
      </c>
    </row>
    <row r="2319" spans="1:17" x14ac:dyDescent="0.3">
      <c r="A2319">
        <v>945112</v>
      </c>
      <c r="B2319" s="1" t="s">
        <v>37</v>
      </c>
      <c r="C2319" s="1" t="s">
        <v>16</v>
      </c>
      <c r="D2319" s="1" t="s">
        <v>23</v>
      </c>
      <c r="E2319" s="1" t="s">
        <v>28</v>
      </c>
      <c r="F2319" s="1" t="s">
        <v>19</v>
      </c>
      <c r="G2319" s="1" t="s">
        <v>20</v>
      </c>
      <c r="H2319" t="s">
        <v>21</v>
      </c>
      <c r="I2319" s="1" t="s">
        <v>22</v>
      </c>
      <c r="J2319" s="2">
        <v>43534.87903935185</v>
      </c>
      <c r="K2319" s="2">
        <v>43536.87903935185</v>
      </c>
      <c r="L2319" s="2">
        <v>43538.87903935185</v>
      </c>
      <c r="M2319" s="1">
        <f>_xlfn.DAYS(Table1[[#This Row],[actual_delivery_date]],Table1[[#This Row],[dispatch_date]])</f>
        <v>2</v>
      </c>
      <c r="N2319">
        <v>29</v>
      </c>
      <c r="O2319">
        <f>Table1[[#This Row],[transit_storage_cost]] * (1-'What -if Analysis'!$D$26)</f>
        <v>29</v>
      </c>
      <c r="P2319">
        <v>129</v>
      </c>
      <c r="Q2319">
        <v>2004</v>
      </c>
    </row>
    <row r="2320" spans="1:17" x14ac:dyDescent="0.3">
      <c r="A2320">
        <v>609373</v>
      </c>
      <c r="B2320" s="1" t="s">
        <v>38</v>
      </c>
      <c r="C2320" s="1" t="s">
        <v>23</v>
      </c>
      <c r="D2320" s="1" t="s">
        <v>17</v>
      </c>
      <c r="E2320" s="1" t="s">
        <v>18</v>
      </c>
      <c r="F2320" s="1" t="s">
        <v>19</v>
      </c>
      <c r="G2320" s="1" t="s">
        <v>20</v>
      </c>
      <c r="H2320" t="s">
        <v>30</v>
      </c>
      <c r="I2320" s="1" t="s">
        <v>22</v>
      </c>
      <c r="J2320" s="2">
        <v>43534.88789351852</v>
      </c>
      <c r="K2320" s="2">
        <v>43536.88789351852</v>
      </c>
      <c r="L2320" s="2">
        <v>43537.88789351852</v>
      </c>
      <c r="M2320" s="1">
        <f>_xlfn.DAYS(Table1[[#This Row],[actual_delivery_date]],Table1[[#This Row],[dispatch_date]])</f>
        <v>2</v>
      </c>
      <c r="N2320">
        <v>75</v>
      </c>
      <c r="O2320">
        <f>Table1[[#This Row],[transit_storage_cost]] * (1-'What -if Analysis'!$D$26)</f>
        <v>75</v>
      </c>
      <c r="P2320">
        <v>85</v>
      </c>
      <c r="Q2320">
        <v>1932.7248023721995</v>
      </c>
    </row>
    <row r="2321" spans="1:17" x14ac:dyDescent="0.3">
      <c r="A2321">
        <v>564991</v>
      </c>
      <c r="B2321" s="1" t="s">
        <v>38</v>
      </c>
      <c r="C2321" s="1" t="s">
        <v>23</v>
      </c>
      <c r="D2321" s="1" t="s">
        <v>17</v>
      </c>
      <c r="E2321" s="1" t="s">
        <v>18</v>
      </c>
      <c r="F2321" s="1" t="s">
        <v>29</v>
      </c>
      <c r="G2321" s="1" t="s">
        <v>20</v>
      </c>
      <c r="H2321" t="s">
        <v>34</v>
      </c>
      <c r="I2321" s="1" t="s">
        <v>22</v>
      </c>
      <c r="J2321" s="2">
        <v>43529.890428240738</v>
      </c>
      <c r="K2321" s="2">
        <v>43536.890428240738</v>
      </c>
      <c r="L2321" s="2">
        <v>43535.890428240738</v>
      </c>
      <c r="M2321" s="1">
        <f>_xlfn.DAYS(Table1[[#This Row],[actual_delivery_date]],Table1[[#This Row],[dispatch_date]])</f>
        <v>7</v>
      </c>
      <c r="N2321">
        <v>50</v>
      </c>
      <c r="O2321">
        <f>Table1[[#This Row],[transit_storage_cost]] * (1-'What -if Analysis'!$D$26)</f>
        <v>50</v>
      </c>
      <c r="P2321">
        <v>109</v>
      </c>
      <c r="Q2321">
        <v>289.18167963491481</v>
      </c>
    </row>
    <row r="2322" spans="1:17" x14ac:dyDescent="0.3">
      <c r="A2322">
        <v>859214</v>
      </c>
      <c r="B2322" s="1" t="s">
        <v>41</v>
      </c>
      <c r="C2322" s="1" t="s">
        <v>16</v>
      </c>
      <c r="D2322" s="1" t="s">
        <v>17</v>
      </c>
      <c r="E2322" s="1" t="s">
        <v>18</v>
      </c>
      <c r="F2322" s="1" t="s">
        <v>31</v>
      </c>
      <c r="G2322" s="1" t="s">
        <v>20</v>
      </c>
      <c r="H2322" t="s">
        <v>21</v>
      </c>
      <c r="I2322" s="1" t="s">
        <v>22</v>
      </c>
      <c r="J2322" s="2">
        <v>43533.891886574071</v>
      </c>
      <c r="K2322" s="2">
        <v>43536.891886574071</v>
      </c>
      <c r="L2322" s="2">
        <v>43537.891886574071</v>
      </c>
      <c r="M2322" s="1">
        <f>_xlfn.DAYS(Table1[[#This Row],[actual_delivery_date]],Table1[[#This Row],[dispatch_date]])</f>
        <v>3</v>
      </c>
      <c r="N2322">
        <v>41</v>
      </c>
      <c r="O2322">
        <f>Table1[[#This Row],[transit_storage_cost]] * (1-'What -if Analysis'!$D$26)</f>
        <v>41</v>
      </c>
      <c r="P2322">
        <v>108</v>
      </c>
      <c r="Q2322">
        <v>1765.1692468280394</v>
      </c>
    </row>
    <row r="2323" spans="1:17" x14ac:dyDescent="0.3">
      <c r="A2323">
        <v>445867</v>
      </c>
      <c r="B2323" s="1" t="s">
        <v>37</v>
      </c>
      <c r="C2323" s="1" t="s">
        <v>23</v>
      </c>
      <c r="D2323" s="1" t="s">
        <v>16</v>
      </c>
      <c r="E2323" s="1" t="s">
        <v>27</v>
      </c>
      <c r="F2323" s="1" t="s">
        <v>19</v>
      </c>
      <c r="G2323" s="1" t="s">
        <v>20</v>
      </c>
      <c r="H2323" t="s">
        <v>30</v>
      </c>
      <c r="I2323" s="1" t="s">
        <v>22</v>
      </c>
      <c r="J2323" s="2">
        <v>43534.897291666668</v>
      </c>
      <c r="K2323" s="2">
        <v>43536.897291666668</v>
      </c>
      <c r="L2323" s="2">
        <v>43541.897291666668</v>
      </c>
      <c r="M2323" s="1">
        <f>_xlfn.DAYS(Table1[[#This Row],[actual_delivery_date]],Table1[[#This Row],[dispatch_date]])</f>
        <v>2</v>
      </c>
      <c r="N2323">
        <v>89</v>
      </c>
      <c r="O2323">
        <f>Table1[[#This Row],[transit_storage_cost]] * (1-'What -if Analysis'!$D$26)</f>
        <v>89</v>
      </c>
      <c r="P2323">
        <v>109</v>
      </c>
      <c r="Q2323">
        <v>3705.042311806787</v>
      </c>
    </row>
    <row r="2324" spans="1:17" x14ac:dyDescent="0.3">
      <c r="A2324">
        <v>614312</v>
      </c>
      <c r="B2324" s="1" t="s">
        <v>39</v>
      </c>
      <c r="C2324" s="1" t="s">
        <v>23</v>
      </c>
      <c r="D2324" s="1" t="s">
        <v>16</v>
      </c>
      <c r="E2324" s="1" t="s">
        <v>27</v>
      </c>
      <c r="F2324" s="1" t="s">
        <v>19</v>
      </c>
      <c r="G2324" s="1" t="s">
        <v>20</v>
      </c>
      <c r="H2324" t="s">
        <v>21</v>
      </c>
      <c r="I2324" s="1" t="s">
        <v>22</v>
      </c>
      <c r="J2324" s="2">
        <v>43532.898877314816</v>
      </c>
      <c r="K2324" s="2">
        <v>43536.898877314816</v>
      </c>
      <c r="L2324" s="2">
        <v>43536.898877314816</v>
      </c>
      <c r="M2324" s="1">
        <f>_xlfn.DAYS(Table1[[#This Row],[actual_delivery_date]],Table1[[#This Row],[dispatch_date]])</f>
        <v>4</v>
      </c>
      <c r="N2324">
        <v>49</v>
      </c>
      <c r="O2324">
        <f>Table1[[#This Row],[transit_storage_cost]] * (1-'What -if Analysis'!$D$26)</f>
        <v>49</v>
      </c>
      <c r="P2324">
        <v>129</v>
      </c>
      <c r="Q2324">
        <v>1555.657888347054</v>
      </c>
    </row>
    <row r="2325" spans="1:17" x14ac:dyDescent="0.3">
      <c r="A2325">
        <v>836895</v>
      </c>
      <c r="B2325" s="1" t="s">
        <v>40</v>
      </c>
      <c r="C2325" s="1" t="s">
        <v>23</v>
      </c>
      <c r="D2325" s="1" t="s">
        <v>17</v>
      </c>
      <c r="E2325" s="1" t="s">
        <v>18</v>
      </c>
      <c r="F2325" s="1" t="s">
        <v>29</v>
      </c>
      <c r="G2325" s="1" t="s">
        <v>20</v>
      </c>
      <c r="H2325" t="s">
        <v>30</v>
      </c>
      <c r="I2325" s="1" t="s">
        <v>26</v>
      </c>
      <c r="J2325" s="2">
        <v>43533.904664351852</v>
      </c>
      <c r="K2325" s="2">
        <v>43536.904664351852</v>
      </c>
      <c r="L2325" s="2">
        <v>43540.904664351852</v>
      </c>
      <c r="M2325" s="1">
        <f>_xlfn.DAYS(Table1[[#This Row],[actual_delivery_date]],Table1[[#This Row],[dispatch_date]])</f>
        <v>3</v>
      </c>
      <c r="N2325">
        <v>42</v>
      </c>
      <c r="O2325">
        <f>Table1[[#This Row],[transit_storage_cost]] * (1-'What -if Analysis'!$D$26)</f>
        <v>42</v>
      </c>
      <c r="P2325">
        <v>114</v>
      </c>
      <c r="Q2325">
        <v>3056.8521584461487</v>
      </c>
    </row>
    <row r="2326" spans="1:17" x14ac:dyDescent="0.3">
      <c r="A2326">
        <v>442876</v>
      </c>
      <c r="B2326" s="1" t="s">
        <v>39</v>
      </c>
      <c r="C2326" s="1" t="s">
        <v>16</v>
      </c>
      <c r="D2326" s="1" t="s">
        <v>32</v>
      </c>
      <c r="E2326" s="1" t="s">
        <v>33</v>
      </c>
      <c r="F2326" s="1" t="s">
        <v>19</v>
      </c>
      <c r="G2326" s="1" t="s">
        <v>20</v>
      </c>
      <c r="H2326" t="s">
        <v>21</v>
      </c>
      <c r="I2326" s="1" t="s">
        <v>22</v>
      </c>
      <c r="J2326" s="2">
        <v>43527.91201388889</v>
      </c>
      <c r="K2326" s="2">
        <v>43536.91201388889</v>
      </c>
      <c r="L2326" s="2">
        <v>43534.91201388889</v>
      </c>
      <c r="M2326" s="1">
        <f>_xlfn.DAYS(Table1[[#This Row],[actual_delivery_date]],Table1[[#This Row],[dispatch_date]])</f>
        <v>9</v>
      </c>
      <c r="N2326">
        <v>36</v>
      </c>
      <c r="O2326">
        <f>Table1[[#This Row],[transit_storage_cost]] * (1-'What -if Analysis'!$D$26)</f>
        <v>36</v>
      </c>
      <c r="P2326">
        <v>113</v>
      </c>
      <c r="Q2326">
        <v>881.31121865124533</v>
      </c>
    </row>
    <row r="2327" spans="1:17" x14ac:dyDescent="0.3">
      <c r="A2327">
        <v>370909</v>
      </c>
      <c r="B2327" s="1" t="s">
        <v>38</v>
      </c>
      <c r="C2327" s="1" t="s">
        <v>23</v>
      </c>
      <c r="D2327" s="1" t="s">
        <v>17</v>
      </c>
      <c r="E2327" s="1" t="s">
        <v>18</v>
      </c>
      <c r="F2327" s="1" t="s">
        <v>29</v>
      </c>
      <c r="G2327" s="1" t="s">
        <v>20</v>
      </c>
      <c r="H2327" t="s">
        <v>34</v>
      </c>
      <c r="I2327" s="1" t="s">
        <v>22</v>
      </c>
      <c r="J2327" s="2">
        <v>43531.915324074071</v>
      </c>
      <c r="K2327" s="2">
        <v>43536.915324074071</v>
      </c>
      <c r="L2327" s="2">
        <v>43534.915324074071</v>
      </c>
      <c r="M2327" s="1">
        <f>_xlfn.DAYS(Table1[[#This Row],[actual_delivery_date]],Table1[[#This Row],[dispatch_date]])</f>
        <v>5</v>
      </c>
      <c r="N2327">
        <v>37</v>
      </c>
      <c r="O2327">
        <f>Table1[[#This Row],[transit_storage_cost]] * (1-'What -if Analysis'!$D$26)</f>
        <v>37</v>
      </c>
      <c r="P2327">
        <v>112</v>
      </c>
      <c r="Q2327">
        <v>2263</v>
      </c>
    </row>
    <row r="2328" spans="1:17" x14ac:dyDescent="0.3">
      <c r="A2328">
        <v>971343</v>
      </c>
      <c r="B2328" s="1" t="s">
        <v>39</v>
      </c>
      <c r="C2328" s="1" t="s">
        <v>23</v>
      </c>
      <c r="D2328" s="1" t="s">
        <v>16</v>
      </c>
      <c r="E2328" s="1" t="s">
        <v>27</v>
      </c>
      <c r="F2328" s="1" t="s">
        <v>19</v>
      </c>
      <c r="G2328" s="1" t="s">
        <v>36</v>
      </c>
      <c r="H2328" t="s">
        <v>30</v>
      </c>
      <c r="I2328" s="1" t="s">
        <v>26</v>
      </c>
      <c r="J2328" s="2">
        <v>43530.918541666666</v>
      </c>
      <c r="K2328" s="2">
        <v>43536.918541666666</v>
      </c>
      <c r="L2328" s="2">
        <v>43534.918541666666</v>
      </c>
      <c r="M2328" s="1">
        <f>_xlfn.DAYS(Table1[[#This Row],[actual_delivery_date]],Table1[[#This Row],[dispatch_date]])</f>
        <v>6</v>
      </c>
      <c r="N2328">
        <v>80</v>
      </c>
      <c r="O2328">
        <f>Table1[[#This Row],[transit_storage_cost]] * (1-'What -if Analysis'!$D$26)</f>
        <v>80</v>
      </c>
      <c r="P2328">
        <v>108</v>
      </c>
      <c r="Q2328">
        <v>2588.5706981858393</v>
      </c>
    </row>
    <row r="2329" spans="1:17" x14ac:dyDescent="0.3">
      <c r="A2329">
        <v>768575</v>
      </c>
      <c r="B2329" s="1" t="s">
        <v>38</v>
      </c>
      <c r="C2329" s="1" t="s">
        <v>23</v>
      </c>
      <c r="D2329" s="1" t="s">
        <v>16</v>
      </c>
      <c r="E2329" s="1" t="s">
        <v>27</v>
      </c>
      <c r="F2329" s="1" t="s">
        <v>29</v>
      </c>
      <c r="G2329" s="1" t="s">
        <v>20</v>
      </c>
      <c r="H2329" t="s">
        <v>30</v>
      </c>
      <c r="I2329" s="1" t="s">
        <v>22</v>
      </c>
      <c r="J2329" s="2">
        <v>43529.920266203706</v>
      </c>
      <c r="K2329" s="2">
        <v>43536.920266203706</v>
      </c>
      <c r="L2329" s="2">
        <v>43536.920266203706</v>
      </c>
      <c r="M2329" s="1">
        <f>_xlfn.DAYS(Table1[[#This Row],[actual_delivery_date]],Table1[[#This Row],[dispatch_date]])</f>
        <v>7</v>
      </c>
      <c r="N2329">
        <v>41</v>
      </c>
      <c r="O2329">
        <f>Table1[[#This Row],[transit_storage_cost]] * (1-'What -if Analysis'!$D$26)</f>
        <v>41</v>
      </c>
      <c r="P2329">
        <v>129</v>
      </c>
      <c r="Q2329">
        <v>576.90490772414705</v>
      </c>
    </row>
    <row r="2330" spans="1:17" x14ac:dyDescent="0.3">
      <c r="A2330">
        <v>410192</v>
      </c>
      <c r="B2330" s="1" t="s">
        <v>37</v>
      </c>
      <c r="C2330" s="1" t="s">
        <v>16</v>
      </c>
      <c r="D2330" s="1" t="s">
        <v>23</v>
      </c>
      <c r="E2330" s="1" t="s">
        <v>28</v>
      </c>
      <c r="F2330" s="1" t="s">
        <v>19</v>
      </c>
      <c r="G2330" s="1" t="s">
        <v>20</v>
      </c>
      <c r="H2330" t="s">
        <v>21</v>
      </c>
      <c r="I2330" s="1" t="s">
        <v>22</v>
      </c>
      <c r="J2330" s="2">
        <v>43531.921736111108</v>
      </c>
      <c r="K2330" s="2">
        <v>43536.921736111108</v>
      </c>
      <c r="L2330" s="2">
        <v>43535.921736111108</v>
      </c>
      <c r="M2330" s="1">
        <f>_xlfn.DAYS(Table1[[#This Row],[actual_delivery_date]],Table1[[#This Row],[dispatch_date]])</f>
        <v>5</v>
      </c>
      <c r="N2330">
        <v>30</v>
      </c>
      <c r="O2330">
        <f>Table1[[#This Row],[transit_storage_cost]] * (1-'What -if Analysis'!$D$26)</f>
        <v>30</v>
      </c>
      <c r="P2330">
        <v>120</v>
      </c>
      <c r="Q2330">
        <v>2630.6850431857652</v>
      </c>
    </row>
    <row r="2331" spans="1:17" x14ac:dyDescent="0.3">
      <c r="A2331">
        <v>228863</v>
      </c>
      <c r="B2331" s="1" t="s">
        <v>41</v>
      </c>
      <c r="C2331" s="1" t="s">
        <v>23</v>
      </c>
      <c r="D2331" s="1" t="s">
        <v>17</v>
      </c>
      <c r="E2331" s="1" t="s">
        <v>18</v>
      </c>
      <c r="F2331" s="1" t="s">
        <v>19</v>
      </c>
      <c r="G2331" s="1" t="s">
        <v>20</v>
      </c>
      <c r="H2331" t="s">
        <v>30</v>
      </c>
      <c r="I2331" s="1" t="s">
        <v>22</v>
      </c>
      <c r="J2331" s="2">
        <v>43534.925347222219</v>
      </c>
      <c r="K2331" s="2">
        <v>43536.925347222219</v>
      </c>
      <c r="L2331" s="2">
        <v>43539.925347222219</v>
      </c>
      <c r="M2331" s="1">
        <f>_xlfn.DAYS(Table1[[#This Row],[actual_delivery_date]],Table1[[#This Row],[dispatch_date]])</f>
        <v>2</v>
      </c>
      <c r="N2331">
        <v>65</v>
      </c>
      <c r="O2331">
        <f>Table1[[#This Row],[transit_storage_cost]] * (1-'What -if Analysis'!$D$26)</f>
        <v>65</v>
      </c>
      <c r="P2331">
        <v>93</v>
      </c>
      <c r="Q2331">
        <v>2994.5685375081207</v>
      </c>
    </row>
    <row r="2332" spans="1:17" x14ac:dyDescent="0.3">
      <c r="A2332">
        <v>360864</v>
      </c>
      <c r="B2332" s="1" t="s">
        <v>37</v>
      </c>
      <c r="C2332" s="1" t="s">
        <v>16</v>
      </c>
      <c r="D2332" s="1" t="s">
        <v>17</v>
      </c>
      <c r="E2332" s="1" t="s">
        <v>18</v>
      </c>
      <c r="F2332" s="1" t="s">
        <v>19</v>
      </c>
      <c r="G2332" s="1" t="s">
        <v>20</v>
      </c>
      <c r="H2332" t="s">
        <v>21</v>
      </c>
      <c r="I2332" s="1" t="s">
        <v>26</v>
      </c>
      <c r="J2332" s="2">
        <v>43533.937291666669</v>
      </c>
      <c r="K2332" s="2">
        <v>43536.937291666669</v>
      </c>
      <c r="L2332" s="2">
        <v>43538.937291666669</v>
      </c>
      <c r="M2332" s="1">
        <f>_xlfn.DAYS(Table1[[#This Row],[actual_delivery_date]],Table1[[#This Row],[dispatch_date]])</f>
        <v>3</v>
      </c>
      <c r="N2332">
        <v>32</v>
      </c>
      <c r="O2332">
        <f>Table1[[#This Row],[transit_storage_cost]] * (1-'What -if Analysis'!$D$26)</f>
        <v>32</v>
      </c>
      <c r="P2332">
        <v>111</v>
      </c>
      <c r="Q2332">
        <v>324.03079178590338</v>
      </c>
    </row>
    <row r="2333" spans="1:17" x14ac:dyDescent="0.3">
      <c r="A2333">
        <v>310387</v>
      </c>
      <c r="B2333" s="1" t="s">
        <v>39</v>
      </c>
      <c r="C2333" s="1" t="s">
        <v>16</v>
      </c>
      <c r="D2333" s="1" t="s">
        <v>17</v>
      </c>
      <c r="E2333" s="1" t="s">
        <v>18</v>
      </c>
      <c r="F2333" s="1" t="s">
        <v>29</v>
      </c>
      <c r="G2333" s="1" t="s">
        <v>20</v>
      </c>
      <c r="H2333" t="s">
        <v>34</v>
      </c>
      <c r="I2333" s="1" t="s">
        <v>22</v>
      </c>
      <c r="J2333" s="2">
        <v>43532.938055555554</v>
      </c>
      <c r="K2333" s="2">
        <v>43536.938055555554</v>
      </c>
      <c r="L2333" s="2">
        <v>43536.938055555554</v>
      </c>
      <c r="M2333" s="1">
        <f>_xlfn.DAYS(Table1[[#This Row],[actual_delivery_date]],Table1[[#This Row],[dispatch_date]])</f>
        <v>4</v>
      </c>
      <c r="N2333">
        <v>29</v>
      </c>
      <c r="O2333">
        <f>Table1[[#This Row],[transit_storage_cost]] * (1-'What -if Analysis'!$D$26)</f>
        <v>29</v>
      </c>
      <c r="P2333">
        <v>113</v>
      </c>
      <c r="Q2333">
        <v>515.15109207195803</v>
      </c>
    </row>
    <row r="2334" spans="1:17" x14ac:dyDescent="0.3">
      <c r="A2334">
        <v>755767</v>
      </c>
      <c r="B2334" s="1" t="s">
        <v>15</v>
      </c>
      <c r="C2334" s="1" t="s">
        <v>16</v>
      </c>
      <c r="D2334" s="1" t="s">
        <v>17</v>
      </c>
      <c r="E2334" s="1" t="s">
        <v>18</v>
      </c>
      <c r="F2334" s="1" t="s">
        <v>19</v>
      </c>
      <c r="G2334" s="1" t="s">
        <v>20</v>
      </c>
      <c r="H2334" t="s">
        <v>30</v>
      </c>
      <c r="I2334" s="1" t="s">
        <v>22</v>
      </c>
      <c r="J2334" s="2">
        <v>43534.942743055559</v>
      </c>
      <c r="K2334" s="2">
        <v>43536.942743055559</v>
      </c>
      <c r="L2334" s="2">
        <v>43539.942743055559</v>
      </c>
      <c r="M2334" s="1">
        <f>_xlfn.DAYS(Table1[[#This Row],[actual_delivery_date]],Table1[[#This Row],[dispatch_date]])</f>
        <v>2</v>
      </c>
      <c r="N2334">
        <v>67</v>
      </c>
      <c r="O2334">
        <f>Table1[[#This Row],[transit_storage_cost]] * (1-'What -if Analysis'!$D$26)</f>
        <v>67</v>
      </c>
      <c r="P2334">
        <v>91</v>
      </c>
      <c r="Q2334">
        <v>643.44769220151579</v>
      </c>
    </row>
    <row r="2335" spans="1:17" x14ac:dyDescent="0.3">
      <c r="A2335">
        <v>157714</v>
      </c>
      <c r="B2335" s="1" t="s">
        <v>40</v>
      </c>
      <c r="C2335" s="1" t="s">
        <v>23</v>
      </c>
      <c r="D2335" s="1" t="s">
        <v>32</v>
      </c>
      <c r="E2335" s="1" t="s">
        <v>33</v>
      </c>
      <c r="F2335" s="1" t="s">
        <v>31</v>
      </c>
      <c r="G2335" s="1" t="s">
        <v>20</v>
      </c>
      <c r="H2335" t="s">
        <v>21</v>
      </c>
      <c r="I2335" s="1" t="s">
        <v>22</v>
      </c>
      <c r="J2335" s="2">
        <v>43530.94871527778</v>
      </c>
      <c r="K2335" s="2">
        <v>43536.94871527778</v>
      </c>
      <c r="L2335" s="2">
        <v>43535.94871527778</v>
      </c>
      <c r="M2335" s="1">
        <f>_xlfn.DAYS(Table1[[#This Row],[actual_delivery_date]],Table1[[#This Row],[dispatch_date]])</f>
        <v>6</v>
      </c>
      <c r="N2335">
        <v>28</v>
      </c>
      <c r="O2335">
        <f>Table1[[#This Row],[transit_storage_cost]] * (1-'What -if Analysis'!$D$26)</f>
        <v>28</v>
      </c>
      <c r="P2335">
        <v>108</v>
      </c>
      <c r="Q2335">
        <v>609.09089691337556</v>
      </c>
    </row>
    <row r="2336" spans="1:17" x14ac:dyDescent="0.3">
      <c r="A2336">
        <v>829022</v>
      </c>
      <c r="B2336" s="1" t="s">
        <v>37</v>
      </c>
      <c r="C2336" s="1" t="s">
        <v>23</v>
      </c>
      <c r="D2336" s="1" t="s">
        <v>17</v>
      </c>
      <c r="E2336" s="1" t="s">
        <v>18</v>
      </c>
      <c r="F2336" s="1" t="s">
        <v>19</v>
      </c>
      <c r="G2336" s="1" t="s">
        <v>20</v>
      </c>
      <c r="H2336" t="s">
        <v>21</v>
      </c>
      <c r="I2336" s="1" t="s">
        <v>22</v>
      </c>
      <c r="J2336" s="2">
        <v>43534.948935185188</v>
      </c>
      <c r="K2336" s="2">
        <v>43536.948935185188</v>
      </c>
      <c r="L2336" s="2">
        <v>43537.948935185188</v>
      </c>
      <c r="M2336" s="1">
        <f>_xlfn.DAYS(Table1[[#This Row],[actual_delivery_date]],Table1[[#This Row],[dispatch_date]])</f>
        <v>2</v>
      </c>
      <c r="N2336">
        <v>72</v>
      </c>
      <c r="O2336">
        <f>Table1[[#This Row],[transit_storage_cost]] * (1-'What -if Analysis'!$D$26)</f>
        <v>72</v>
      </c>
      <c r="P2336">
        <v>94</v>
      </c>
      <c r="Q2336">
        <v>707.4160772548463</v>
      </c>
    </row>
    <row r="2337" spans="1:17" x14ac:dyDescent="0.3">
      <c r="A2337">
        <v>834859</v>
      </c>
      <c r="B2337" s="1" t="s">
        <v>38</v>
      </c>
      <c r="C2337" s="1" t="s">
        <v>16</v>
      </c>
      <c r="D2337" s="1" t="s">
        <v>32</v>
      </c>
      <c r="E2337" s="1" t="s">
        <v>33</v>
      </c>
      <c r="F2337" s="1" t="s">
        <v>29</v>
      </c>
      <c r="G2337" s="1" t="s">
        <v>20</v>
      </c>
      <c r="H2337" t="s">
        <v>30</v>
      </c>
      <c r="I2337" s="1" t="s">
        <v>22</v>
      </c>
      <c r="J2337" s="2">
        <v>43531.950069444443</v>
      </c>
      <c r="K2337" s="2">
        <v>43536.950069444443</v>
      </c>
      <c r="L2337" s="2">
        <v>43535.950069444443</v>
      </c>
      <c r="M2337" s="1">
        <f>_xlfn.DAYS(Table1[[#This Row],[actual_delivery_date]],Table1[[#This Row],[dispatch_date]])</f>
        <v>5</v>
      </c>
      <c r="N2337">
        <v>50</v>
      </c>
      <c r="O2337">
        <f>Table1[[#This Row],[transit_storage_cost]] * (1-'What -if Analysis'!$D$26)</f>
        <v>50</v>
      </c>
      <c r="P2337">
        <v>108</v>
      </c>
      <c r="Q2337">
        <v>2844.6163431705791</v>
      </c>
    </row>
    <row r="2338" spans="1:17" x14ac:dyDescent="0.3">
      <c r="A2338">
        <v>937000</v>
      </c>
      <c r="B2338" s="1" t="s">
        <v>40</v>
      </c>
      <c r="C2338" s="1" t="s">
        <v>16</v>
      </c>
      <c r="D2338" s="1" t="s">
        <v>17</v>
      </c>
      <c r="E2338" s="1" t="s">
        <v>18</v>
      </c>
      <c r="F2338" s="1" t="s">
        <v>19</v>
      </c>
      <c r="G2338" s="1" t="s">
        <v>20</v>
      </c>
      <c r="H2338" t="s">
        <v>21</v>
      </c>
      <c r="I2338" s="1" t="s">
        <v>22</v>
      </c>
      <c r="J2338" s="2">
        <v>43533.951828703706</v>
      </c>
      <c r="K2338" s="2">
        <v>43536.951828703706</v>
      </c>
      <c r="L2338" s="2">
        <v>43537.951828703706</v>
      </c>
      <c r="M2338" s="1">
        <f>_xlfn.DAYS(Table1[[#This Row],[actual_delivery_date]],Table1[[#This Row],[dispatch_date]])</f>
        <v>3</v>
      </c>
      <c r="N2338">
        <v>69</v>
      </c>
      <c r="O2338">
        <f>Table1[[#This Row],[transit_storage_cost]] * (1-'What -if Analysis'!$D$26)</f>
        <v>69</v>
      </c>
      <c r="P2338">
        <v>90</v>
      </c>
      <c r="Q2338">
        <v>2895.3781458583007</v>
      </c>
    </row>
    <row r="2339" spans="1:17" x14ac:dyDescent="0.3">
      <c r="A2339">
        <v>970715</v>
      </c>
      <c r="B2339" s="1" t="s">
        <v>37</v>
      </c>
      <c r="C2339" s="1" t="s">
        <v>16</v>
      </c>
      <c r="D2339" s="1" t="s">
        <v>17</v>
      </c>
      <c r="E2339" s="1" t="s">
        <v>18</v>
      </c>
      <c r="F2339" s="1" t="s">
        <v>19</v>
      </c>
      <c r="G2339" s="1" t="s">
        <v>20</v>
      </c>
      <c r="H2339" t="s">
        <v>30</v>
      </c>
      <c r="I2339" s="1" t="s">
        <v>22</v>
      </c>
      <c r="J2339" s="2">
        <v>43531.960300925923</v>
      </c>
      <c r="K2339" s="2">
        <v>43536.960300925923</v>
      </c>
      <c r="L2339" s="2">
        <v>43535.960300925923</v>
      </c>
      <c r="M2339" s="1">
        <f>_xlfn.DAYS(Table1[[#This Row],[actual_delivery_date]],Table1[[#This Row],[dispatch_date]])</f>
        <v>5</v>
      </c>
      <c r="N2339">
        <v>82</v>
      </c>
      <c r="O2339">
        <f>Table1[[#This Row],[transit_storage_cost]] * (1-'What -if Analysis'!$D$26)</f>
        <v>82</v>
      </c>
      <c r="P2339">
        <v>87</v>
      </c>
      <c r="Q2339">
        <v>3465.112962807963</v>
      </c>
    </row>
    <row r="2340" spans="1:17" x14ac:dyDescent="0.3">
      <c r="A2340">
        <v>360530</v>
      </c>
      <c r="B2340" s="1" t="s">
        <v>41</v>
      </c>
      <c r="C2340" s="1" t="s">
        <v>16</v>
      </c>
      <c r="D2340" s="1" t="s">
        <v>17</v>
      </c>
      <c r="E2340" s="1" t="s">
        <v>18</v>
      </c>
      <c r="F2340" s="1" t="s">
        <v>31</v>
      </c>
      <c r="G2340" s="1" t="s">
        <v>20</v>
      </c>
      <c r="H2340" t="s">
        <v>21</v>
      </c>
      <c r="I2340" s="1" t="s">
        <v>22</v>
      </c>
      <c r="J2340" s="2">
        <v>43533.960856481484</v>
      </c>
      <c r="K2340" s="2">
        <v>43536.960856481484</v>
      </c>
      <c r="L2340" s="2">
        <v>43536.960856481484</v>
      </c>
      <c r="M2340" s="1">
        <f>_xlfn.DAYS(Table1[[#This Row],[actual_delivery_date]],Table1[[#This Row],[dispatch_date]])</f>
        <v>3</v>
      </c>
      <c r="N2340">
        <v>39</v>
      </c>
      <c r="O2340">
        <f>Table1[[#This Row],[transit_storage_cost]] * (1-'What -if Analysis'!$D$26)</f>
        <v>39</v>
      </c>
      <c r="P2340">
        <v>114</v>
      </c>
      <c r="Q2340">
        <v>2930.9084489024399</v>
      </c>
    </row>
    <row r="2341" spans="1:17" x14ac:dyDescent="0.3">
      <c r="A2341">
        <v>508300</v>
      </c>
      <c r="B2341" s="1" t="s">
        <v>39</v>
      </c>
      <c r="C2341" s="1" t="s">
        <v>16</v>
      </c>
      <c r="D2341" s="1" t="s">
        <v>16</v>
      </c>
      <c r="E2341" s="1" t="s">
        <v>27</v>
      </c>
      <c r="F2341" s="1" t="s">
        <v>19</v>
      </c>
      <c r="G2341" s="1" t="s">
        <v>20</v>
      </c>
      <c r="H2341" t="s">
        <v>21</v>
      </c>
      <c r="I2341" s="1" t="s">
        <v>22</v>
      </c>
      <c r="J2341" s="2">
        <v>43536.961076388892</v>
      </c>
      <c r="K2341" s="2">
        <v>43536.961076388892</v>
      </c>
      <c r="L2341" s="2">
        <v>43541.961076388892</v>
      </c>
      <c r="M2341" s="1">
        <f>_xlfn.DAYS(Table1[[#This Row],[actual_delivery_date]],Table1[[#This Row],[dispatch_date]])</f>
        <v>0</v>
      </c>
      <c r="N2341">
        <v>0</v>
      </c>
      <c r="O2341">
        <f>Table1[[#This Row],[transit_storage_cost]] * (1-'What -if Analysis'!$D$26)</f>
        <v>0</v>
      </c>
      <c r="P2341">
        <v>121</v>
      </c>
      <c r="Q2341">
        <v>1713.5651057303253</v>
      </c>
    </row>
    <row r="2342" spans="1:17" x14ac:dyDescent="0.3">
      <c r="A2342">
        <v>953819</v>
      </c>
      <c r="B2342" s="1" t="s">
        <v>38</v>
      </c>
      <c r="C2342" s="1" t="s">
        <v>23</v>
      </c>
      <c r="D2342" s="1" t="s">
        <v>17</v>
      </c>
      <c r="E2342" s="1" t="s">
        <v>18</v>
      </c>
      <c r="F2342" s="1" t="s">
        <v>29</v>
      </c>
      <c r="G2342" s="1" t="s">
        <v>20</v>
      </c>
      <c r="H2342" t="s">
        <v>30</v>
      </c>
      <c r="I2342" s="1" t="s">
        <v>22</v>
      </c>
      <c r="J2342" s="2">
        <v>43532.966238425928</v>
      </c>
      <c r="K2342" s="2">
        <v>43536.966238425928</v>
      </c>
      <c r="L2342" s="2">
        <v>43536.966238425928</v>
      </c>
      <c r="M2342" s="1">
        <f>_xlfn.DAYS(Table1[[#This Row],[actual_delivery_date]],Table1[[#This Row],[dispatch_date]])</f>
        <v>4</v>
      </c>
      <c r="N2342">
        <v>33</v>
      </c>
      <c r="O2342">
        <f>Table1[[#This Row],[transit_storage_cost]] * (1-'What -if Analysis'!$D$26)</f>
        <v>33</v>
      </c>
      <c r="P2342">
        <v>108</v>
      </c>
      <c r="Q2342">
        <v>1404.0752128019092</v>
      </c>
    </row>
    <row r="2343" spans="1:17" x14ac:dyDescent="0.3">
      <c r="A2343">
        <v>110999</v>
      </c>
      <c r="B2343" s="1" t="s">
        <v>38</v>
      </c>
      <c r="C2343" s="1" t="s">
        <v>16</v>
      </c>
      <c r="D2343" s="1" t="s">
        <v>17</v>
      </c>
      <c r="E2343" s="1" t="s">
        <v>18</v>
      </c>
      <c r="F2343" s="1" t="s">
        <v>29</v>
      </c>
      <c r="G2343" s="1" t="s">
        <v>20</v>
      </c>
      <c r="H2343" t="s">
        <v>34</v>
      </c>
      <c r="I2343" s="1" t="s">
        <v>22</v>
      </c>
      <c r="J2343" s="2">
        <v>43531.97</v>
      </c>
      <c r="K2343" s="2">
        <v>43536.97</v>
      </c>
      <c r="L2343" s="2">
        <v>43538.97</v>
      </c>
      <c r="M2343" s="1">
        <f>_xlfn.DAYS(Table1[[#This Row],[actual_delivery_date]],Table1[[#This Row],[dispatch_date]])</f>
        <v>5</v>
      </c>
      <c r="N2343">
        <v>42</v>
      </c>
      <c r="O2343">
        <f>Table1[[#This Row],[transit_storage_cost]] * (1-'What -if Analysis'!$D$26)</f>
        <v>42</v>
      </c>
      <c r="P2343">
        <v>113</v>
      </c>
      <c r="Q2343">
        <v>3660.31209277567</v>
      </c>
    </row>
    <row r="2344" spans="1:17" x14ac:dyDescent="0.3">
      <c r="A2344">
        <v>246591</v>
      </c>
      <c r="B2344" s="1" t="s">
        <v>38</v>
      </c>
      <c r="C2344" s="1" t="s">
        <v>23</v>
      </c>
      <c r="D2344" s="1" t="s">
        <v>32</v>
      </c>
      <c r="E2344" s="1" t="s">
        <v>33</v>
      </c>
      <c r="F2344" s="1" t="s">
        <v>29</v>
      </c>
      <c r="G2344" s="1" t="s">
        <v>20</v>
      </c>
      <c r="H2344" t="s">
        <v>30</v>
      </c>
      <c r="I2344" s="1" t="s">
        <v>26</v>
      </c>
      <c r="J2344" s="2">
        <v>43530.974861111114</v>
      </c>
      <c r="K2344" s="2">
        <v>43536.974861111114</v>
      </c>
      <c r="L2344" s="2">
        <v>43537.974861111114</v>
      </c>
      <c r="M2344" s="1">
        <f>_xlfn.DAYS(Table1[[#This Row],[actual_delivery_date]],Table1[[#This Row],[dispatch_date]])</f>
        <v>6</v>
      </c>
      <c r="N2344">
        <v>29</v>
      </c>
      <c r="O2344">
        <f>Table1[[#This Row],[transit_storage_cost]] * (1-'What -if Analysis'!$D$26)</f>
        <v>29</v>
      </c>
      <c r="P2344">
        <v>111</v>
      </c>
      <c r="Q2344">
        <v>3218.5475607829553</v>
      </c>
    </row>
    <row r="2345" spans="1:17" x14ac:dyDescent="0.3">
      <c r="A2345">
        <v>433466</v>
      </c>
      <c r="B2345" s="1" t="s">
        <v>15</v>
      </c>
      <c r="C2345" s="1" t="s">
        <v>16</v>
      </c>
      <c r="D2345" s="1" t="s">
        <v>32</v>
      </c>
      <c r="E2345" s="1" t="s">
        <v>33</v>
      </c>
      <c r="F2345" s="1" t="s">
        <v>31</v>
      </c>
      <c r="G2345" s="1" t="s">
        <v>20</v>
      </c>
      <c r="H2345" t="s">
        <v>21</v>
      </c>
      <c r="I2345" s="1" t="s">
        <v>22</v>
      </c>
      <c r="J2345" s="2">
        <v>43534.976180555554</v>
      </c>
      <c r="K2345" s="2">
        <v>43536.976180555554</v>
      </c>
      <c r="L2345" s="2">
        <v>43539.976180555554</v>
      </c>
      <c r="M2345" s="1">
        <f>_xlfn.DAYS(Table1[[#This Row],[actual_delivery_date]],Table1[[#This Row],[dispatch_date]])</f>
        <v>2</v>
      </c>
      <c r="N2345">
        <v>29</v>
      </c>
      <c r="O2345">
        <f>Table1[[#This Row],[transit_storage_cost]] * (1-'What -if Analysis'!$D$26)</f>
        <v>29</v>
      </c>
      <c r="P2345">
        <v>115</v>
      </c>
      <c r="Q2345">
        <v>1010.6591732380184</v>
      </c>
    </row>
    <row r="2346" spans="1:17" x14ac:dyDescent="0.3">
      <c r="A2346">
        <v>992649</v>
      </c>
      <c r="B2346" s="1" t="s">
        <v>41</v>
      </c>
      <c r="C2346" s="1" t="s">
        <v>16</v>
      </c>
      <c r="D2346" s="1" t="s">
        <v>32</v>
      </c>
      <c r="E2346" s="1" t="s">
        <v>33</v>
      </c>
      <c r="F2346" s="1" t="s">
        <v>29</v>
      </c>
      <c r="G2346" s="1" t="s">
        <v>20</v>
      </c>
      <c r="H2346" t="s">
        <v>34</v>
      </c>
      <c r="I2346" s="1" t="s">
        <v>26</v>
      </c>
      <c r="J2346" s="2">
        <v>43532.981249999997</v>
      </c>
      <c r="K2346" s="2">
        <v>43536.981249999997</v>
      </c>
      <c r="L2346" s="2">
        <v>43537.981249999997</v>
      </c>
      <c r="M2346" s="1">
        <f>_xlfn.DAYS(Table1[[#This Row],[actual_delivery_date]],Table1[[#This Row],[dispatch_date]])</f>
        <v>4</v>
      </c>
      <c r="N2346">
        <v>35</v>
      </c>
      <c r="O2346">
        <f>Table1[[#This Row],[transit_storage_cost]] * (1-'What -if Analysis'!$D$26)</f>
        <v>35</v>
      </c>
      <c r="P2346">
        <v>107</v>
      </c>
      <c r="Q2346">
        <v>957.4650705218852</v>
      </c>
    </row>
    <row r="2347" spans="1:17" x14ac:dyDescent="0.3">
      <c r="A2347">
        <v>499640</v>
      </c>
      <c r="B2347" s="1" t="s">
        <v>39</v>
      </c>
      <c r="C2347" s="1" t="s">
        <v>23</v>
      </c>
      <c r="D2347" s="1" t="s">
        <v>23</v>
      </c>
      <c r="E2347" s="1" t="s">
        <v>28</v>
      </c>
      <c r="F2347" s="1" t="s">
        <v>19</v>
      </c>
      <c r="G2347" s="1" t="s">
        <v>20</v>
      </c>
      <c r="H2347" t="s">
        <v>21</v>
      </c>
      <c r="I2347" s="1" t="s">
        <v>22</v>
      </c>
      <c r="J2347" s="2">
        <v>43535.98165509259</v>
      </c>
      <c r="K2347" s="2">
        <v>43536.98165509259</v>
      </c>
      <c r="L2347" s="2">
        <v>43541.98165509259</v>
      </c>
      <c r="M2347" s="1">
        <f>_xlfn.DAYS(Table1[[#This Row],[actual_delivery_date]],Table1[[#This Row],[dispatch_date]])</f>
        <v>1</v>
      </c>
      <c r="N2347">
        <v>0</v>
      </c>
      <c r="O2347">
        <f>Table1[[#This Row],[transit_storage_cost]] * (1-'What -if Analysis'!$D$26)</f>
        <v>0</v>
      </c>
      <c r="P2347">
        <v>129</v>
      </c>
      <c r="Q2347">
        <v>2312.8772278856964</v>
      </c>
    </row>
    <row r="2348" spans="1:17" x14ac:dyDescent="0.3">
      <c r="A2348">
        <v>881975</v>
      </c>
      <c r="B2348" s="1" t="s">
        <v>15</v>
      </c>
      <c r="C2348" s="1" t="s">
        <v>16</v>
      </c>
      <c r="D2348" s="1" t="s">
        <v>23</v>
      </c>
      <c r="E2348" s="1" t="s">
        <v>28</v>
      </c>
      <c r="F2348" s="1" t="s">
        <v>19</v>
      </c>
      <c r="G2348" s="1" t="s">
        <v>20</v>
      </c>
      <c r="H2348" t="s">
        <v>30</v>
      </c>
      <c r="I2348" s="1" t="s">
        <v>22</v>
      </c>
      <c r="J2348" s="2">
        <v>43530.982708333337</v>
      </c>
      <c r="K2348" s="2">
        <v>43536.982708333337</v>
      </c>
      <c r="L2348" s="2">
        <v>43536.982708333337</v>
      </c>
      <c r="M2348" s="1">
        <f>_xlfn.DAYS(Table1[[#This Row],[actual_delivery_date]],Table1[[#This Row],[dispatch_date]])</f>
        <v>6</v>
      </c>
      <c r="N2348">
        <v>64</v>
      </c>
      <c r="O2348">
        <f>Table1[[#This Row],[transit_storage_cost]] * (1-'What -if Analysis'!$D$26)</f>
        <v>64</v>
      </c>
      <c r="P2348">
        <v>110</v>
      </c>
      <c r="Q2348">
        <v>288.79370348324625</v>
      </c>
    </row>
    <row r="2349" spans="1:17" x14ac:dyDescent="0.3">
      <c r="A2349">
        <v>690053</v>
      </c>
      <c r="B2349" s="1" t="s">
        <v>37</v>
      </c>
      <c r="C2349" s="1" t="s">
        <v>16</v>
      </c>
      <c r="D2349" s="1" t="s">
        <v>17</v>
      </c>
      <c r="E2349" s="1" t="s">
        <v>18</v>
      </c>
      <c r="F2349" s="1" t="s">
        <v>29</v>
      </c>
      <c r="G2349" s="1" t="s">
        <v>20</v>
      </c>
      <c r="H2349" t="s">
        <v>34</v>
      </c>
      <c r="I2349" s="1" t="s">
        <v>22</v>
      </c>
      <c r="J2349" s="2">
        <v>43529.985138888886</v>
      </c>
      <c r="K2349" s="2">
        <v>43536.985138888886</v>
      </c>
      <c r="L2349" s="2">
        <v>43535.985138888886</v>
      </c>
      <c r="M2349" s="1">
        <f>_xlfn.DAYS(Table1[[#This Row],[actual_delivery_date]],Table1[[#This Row],[dispatch_date]])</f>
        <v>7</v>
      </c>
      <c r="N2349">
        <v>39</v>
      </c>
      <c r="O2349">
        <f>Table1[[#This Row],[transit_storage_cost]] * (1-'What -if Analysis'!$D$26)</f>
        <v>39</v>
      </c>
      <c r="P2349">
        <v>110</v>
      </c>
      <c r="Q2349">
        <v>346.20702061678418</v>
      </c>
    </row>
    <row r="2350" spans="1:17" x14ac:dyDescent="0.3">
      <c r="A2350">
        <v>686813</v>
      </c>
      <c r="B2350" s="1" t="s">
        <v>40</v>
      </c>
      <c r="C2350" s="1" t="s">
        <v>16</v>
      </c>
      <c r="D2350" s="1" t="s">
        <v>17</v>
      </c>
      <c r="E2350" s="1" t="s">
        <v>18</v>
      </c>
      <c r="F2350" s="1" t="s">
        <v>29</v>
      </c>
      <c r="G2350" s="1" t="s">
        <v>20</v>
      </c>
      <c r="H2350" t="s">
        <v>30</v>
      </c>
      <c r="I2350" s="1" t="s">
        <v>22</v>
      </c>
      <c r="J2350" s="2">
        <v>43529.987719907411</v>
      </c>
      <c r="K2350" s="2">
        <v>43536.987719907411</v>
      </c>
      <c r="L2350" s="2">
        <v>43534.987719907411</v>
      </c>
      <c r="M2350" s="1">
        <f>_xlfn.DAYS(Table1[[#This Row],[actual_delivery_date]],Table1[[#This Row],[dispatch_date]])</f>
        <v>7</v>
      </c>
      <c r="N2350">
        <v>49</v>
      </c>
      <c r="O2350">
        <f>Table1[[#This Row],[transit_storage_cost]] * (1-'What -if Analysis'!$D$26)</f>
        <v>49</v>
      </c>
      <c r="P2350">
        <v>109</v>
      </c>
      <c r="Q2350">
        <v>1298.810563454588</v>
      </c>
    </row>
    <row r="2351" spans="1:17" x14ac:dyDescent="0.3">
      <c r="A2351">
        <v>561095</v>
      </c>
      <c r="B2351" s="1" t="s">
        <v>38</v>
      </c>
      <c r="C2351" s="1" t="s">
        <v>23</v>
      </c>
      <c r="D2351" s="1" t="s">
        <v>17</v>
      </c>
      <c r="E2351" s="1" t="s">
        <v>18</v>
      </c>
      <c r="F2351" s="1" t="s">
        <v>19</v>
      </c>
      <c r="G2351" s="1" t="s">
        <v>20</v>
      </c>
      <c r="H2351" t="s">
        <v>30</v>
      </c>
      <c r="I2351" s="1" t="s">
        <v>22</v>
      </c>
      <c r="J2351" s="2">
        <v>43533.989548611113</v>
      </c>
      <c r="K2351" s="2">
        <v>43536.989548611113</v>
      </c>
      <c r="L2351" s="2">
        <v>43538.989548611113</v>
      </c>
      <c r="M2351" s="1">
        <f>_xlfn.DAYS(Table1[[#This Row],[actual_delivery_date]],Table1[[#This Row],[dispatch_date]])</f>
        <v>3</v>
      </c>
      <c r="N2351">
        <v>57</v>
      </c>
      <c r="O2351">
        <f>Table1[[#This Row],[transit_storage_cost]] * (1-'What -if Analysis'!$D$26)</f>
        <v>57</v>
      </c>
      <c r="P2351">
        <v>95</v>
      </c>
      <c r="Q2351">
        <v>3401</v>
      </c>
    </row>
    <row r="2352" spans="1:17" x14ac:dyDescent="0.3">
      <c r="A2352">
        <v>467265</v>
      </c>
      <c r="B2352" s="1" t="s">
        <v>39</v>
      </c>
      <c r="C2352" s="1" t="s">
        <v>16</v>
      </c>
      <c r="D2352" s="1" t="s">
        <v>23</v>
      </c>
      <c r="E2352" s="1" t="s">
        <v>28</v>
      </c>
      <c r="F2352" s="1" t="s">
        <v>19</v>
      </c>
      <c r="G2352" s="1" t="s">
        <v>20</v>
      </c>
      <c r="H2352" t="s">
        <v>30</v>
      </c>
      <c r="I2352" s="1" t="s">
        <v>26</v>
      </c>
      <c r="J2352" s="2">
        <v>43534.990949074076</v>
      </c>
      <c r="K2352" s="2">
        <v>43536.990949074076</v>
      </c>
      <c r="L2352" s="2">
        <v>43537.990949074076</v>
      </c>
      <c r="M2352" s="1">
        <f>_xlfn.DAYS(Table1[[#This Row],[actual_delivery_date]],Table1[[#This Row],[dispatch_date]])</f>
        <v>2</v>
      </c>
      <c r="N2352">
        <v>79</v>
      </c>
      <c r="O2352">
        <f>Table1[[#This Row],[transit_storage_cost]] * (1-'What -if Analysis'!$D$26)</f>
        <v>79</v>
      </c>
      <c r="P2352">
        <v>107</v>
      </c>
      <c r="Q2352">
        <v>1817</v>
      </c>
    </row>
    <row r="2353" spans="1:17" x14ac:dyDescent="0.3">
      <c r="A2353">
        <v>90851</v>
      </c>
      <c r="B2353" s="1" t="s">
        <v>37</v>
      </c>
      <c r="C2353" s="1" t="s">
        <v>23</v>
      </c>
      <c r="D2353" s="1" t="s">
        <v>32</v>
      </c>
      <c r="E2353" s="1" t="s">
        <v>33</v>
      </c>
      <c r="F2353" s="1" t="s">
        <v>19</v>
      </c>
      <c r="G2353" s="1" t="s">
        <v>20</v>
      </c>
      <c r="H2353" t="s">
        <v>30</v>
      </c>
      <c r="I2353" s="1" t="s">
        <v>22</v>
      </c>
      <c r="J2353" s="2">
        <v>43531.994039351855</v>
      </c>
      <c r="K2353" s="2">
        <v>43536.994039351855</v>
      </c>
      <c r="L2353" s="2">
        <v>43537.994039351855</v>
      </c>
      <c r="M2353" s="1">
        <f>_xlfn.DAYS(Table1[[#This Row],[actual_delivery_date]],Table1[[#This Row],[dispatch_date]])</f>
        <v>5</v>
      </c>
      <c r="N2353">
        <v>85</v>
      </c>
      <c r="O2353">
        <f>Table1[[#This Row],[transit_storage_cost]] * (1-'What -if Analysis'!$D$26)</f>
        <v>85</v>
      </c>
      <c r="P2353">
        <v>90</v>
      </c>
      <c r="Q2353">
        <v>3221.0666298900596</v>
      </c>
    </row>
    <row r="2354" spans="1:17" x14ac:dyDescent="0.3">
      <c r="A2354">
        <v>686133</v>
      </c>
      <c r="B2354" s="1" t="s">
        <v>38</v>
      </c>
      <c r="C2354" s="1" t="s">
        <v>16</v>
      </c>
      <c r="D2354" s="1" t="s">
        <v>16</v>
      </c>
      <c r="E2354" s="1" t="s">
        <v>27</v>
      </c>
      <c r="F2354" s="1" t="s">
        <v>29</v>
      </c>
      <c r="G2354" s="1" t="s">
        <v>20</v>
      </c>
      <c r="H2354" t="s">
        <v>34</v>
      </c>
      <c r="I2354" s="1" t="s">
        <v>26</v>
      </c>
      <c r="J2354" s="2">
        <v>43531.005879629629</v>
      </c>
      <c r="K2354" s="2">
        <v>43537.005879629629</v>
      </c>
      <c r="L2354" s="2">
        <v>43538.005879629629</v>
      </c>
      <c r="M2354" s="1">
        <f>_xlfn.DAYS(Table1[[#This Row],[actual_delivery_date]],Table1[[#This Row],[dispatch_date]])</f>
        <v>6</v>
      </c>
      <c r="N2354">
        <v>0</v>
      </c>
      <c r="O2354">
        <f>Table1[[#This Row],[transit_storage_cost]] * (1-'What -if Analysis'!$D$26)</f>
        <v>0</v>
      </c>
      <c r="P2354">
        <v>121</v>
      </c>
      <c r="Q2354">
        <v>732.02344529462789</v>
      </c>
    </row>
    <row r="2355" spans="1:17" x14ac:dyDescent="0.3">
      <c r="A2355">
        <v>29357</v>
      </c>
      <c r="B2355" s="1" t="s">
        <v>37</v>
      </c>
      <c r="C2355" s="1" t="s">
        <v>23</v>
      </c>
      <c r="D2355" s="1" t="s">
        <v>32</v>
      </c>
      <c r="E2355" s="1" t="s">
        <v>33</v>
      </c>
      <c r="F2355" s="1" t="s">
        <v>29</v>
      </c>
      <c r="G2355" s="1" t="s">
        <v>20</v>
      </c>
      <c r="H2355" t="s">
        <v>30</v>
      </c>
      <c r="I2355" s="1" t="s">
        <v>22</v>
      </c>
      <c r="J2355" s="2">
        <v>43534.014930555553</v>
      </c>
      <c r="K2355" s="2">
        <v>43537.014930555553</v>
      </c>
      <c r="L2355" s="2">
        <v>43541.014930555553</v>
      </c>
      <c r="M2355" s="1">
        <f>_xlfn.DAYS(Table1[[#This Row],[actual_delivery_date]],Table1[[#This Row],[dispatch_date]])</f>
        <v>3</v>
      </c>
      <c r="N2355">
        <v>41</v>
      </c>
      <c r="O2355">
        <f>Table1[[#This Row],[transit_storage_cost]] * (1-'What -if Analysis'!$D$26)</f>
        <v>41</v>
      </c>
      <c r="P2355">
        <v>109</v>
      </c>
      <c r="Q2355">
        <v>2504.0036306160719</v>
      </c>
    </row>
    <row r="2356" spans="1:17" x14ac:dyDescent="0.3">
      <c r="A2356">
        <v>212838</v>
      </c>
      <c r="B2356" s="1" t="s">
        <v>40</v>
      </c>
      <c r="C2356" s="1" t="s">
        <v>16</v>
      </c>
      <c r="D2356" s="1" t="s">
        <v>17</v>
      </c>
      <c r="E2356" s="1" t="s">
        <v>18</v>
      </c>
      <c r="F2356" s="1" t="s">
        <v>31</v>
      </c>
      <c r="G2356" s="1" t="s">
        <v>20</v>
      </c>
      <c r="H2356" t="s">
        <v>21</v>
      </c>
      <c r="I2356" s="1" t="s">
        <v>26</v>
      </c>
      <c r="J2356" s="2">
        <v>43528.015428240738</v>
      </c>
      <c r="K2356" s="2">
        <v>43537.015428240738</v>
      </c>
      <c r="L2356" s="2">
        <v>43534.015428240738</v>
      </c>
      <c r="M2356" s="1">
        <f>_xlfn.DAYS(Table1[[#This Row],[actual_delivery_date]],Table1[[#This Row],[dispatch_date]])</f>
        <v>9</v>
      </c>
      <c r="N2356">
        <v>40</v>
      </c>
      <c r="O2356">
        <f>Table1[[#This Row],[transit_storage_cost]] * (1-'What -if Analysis'!$D$26)</f>
        <v>40</v>
      </c>
      <c r="P2356">
        <v>112</v>
      </c>
      <c r="Q2356">
        <v>465.95</v>
      </c>
    </row>
    <row r="2357" spans="1:17" x14ac:dyDescent="0.3">
      <c r="A2357">
        <v>121319</v>
      </c>
      <c r="B2357" s="1" t="s">
        <v>15</v>
      </c>
      <c r="C2357" s="1" t="s">
        <v>16</v>
      </c>
      <c r="D2357" s="1" t="s">
        <v>16</v>
      </c>
      <c r="E2357" s="1" t="s">
        <v>27</v>
      </c>
      <c r="F2357" s="1" t="s">
        <v>29</v>
      </c>
      <c r="G2357" s="1" t="s">
        <v>20</v>
      </c>
      <c r="H2357" t="s">
        <v>30</v>
      </c>
      <c r="I2357" s="1" t="s">
        <v>22</v>
      </c>
      <c r="J2357" s="2">
        <v>43531.0158912037</v>
      </c>
      <c r="K2357" s="2">
        <v>43537.0158912037</v>
      </c>
      <c r="L2357" s="2">
        <v>43538.0158912037</v>
      </c>
      <c r="M2357" s="1">
        <f>_xlfn.DAYS(Table1[[#This Row],[actual_delivery_date]],Table1[[#This Row],[dispatch_date]])</f>
        <v>6</v>
      </c>
      <c r="N2357">
        <v>0</v>
      </c>
      <c r="O2357">
        <f>Table1[[#This Row],[transit_storage_cost]] * (1-'What -if Analysis'!$D$26)</f>
        <v>0</v>
      </c>
      <c r="P2357">
        <v>121</v>
      </c>
      <c r="Q2357">
        <v>798.19340803325053</v>
      </c>
    </row>
    <row r="2358" spans="1:17" x14ac:dyDescent="0.3">
      <c r="A2358">
        <v>493070</v>
      </c>
      <c r="B2358" s="1" t="s">
        <v>37</v>
      </c>
      <c r="C2358" s="1" t="s">
        <v>16</v>
      </c>
      <c r="D2358" s="1" t="s">
        <v>24</v>
      </c>
      <c r="E2358" s="1" t="s">
        <v>25</v>
      </c>
      <c r="F2358" s="1" t="s">
        <v>31</v>
      </c>
      <c r="G2358" s="1" t="s">
        <v>20</v>
      </c>
      <c r="H2358" t="s">
        <v>21</v>
      </c>
      <c r="I2358" s="1" t="s">
        <v>22</v>
      </c>
      <c r="J2358" s="2">
        <v>43535.02548611111</v>
      </c>
      <c r="K2358" s="2">
        <v>43537.02548611111</v>
      </c>
      <c r="L2358" s="2">
        <v>43538.02548611111</v>
      </c>
      <c r="M2358" s="1">
        <f>_xlfn.DAYS(Table1[[#This Row],[actual_delivery_date]],Table1[[#This Row],[dispatch_date]])</f>
        <v>2</v>
      </c>
      <c r="N2358">
        <v>28</v>
      </c>
      <c r="O2358">
        <f>Table1[[#This Row],[transit_storage_cost]] * (1-'What -if Analysis'!$D$26)</f>
        <v>28</v>
      </c>
      <c r="P2358">
        <v>128</v>
      </c>
      <c r="Q2358">
        <v>1998.1223096872577</v>
      </c>
    </row>
    <row r="2359" spans="1:17" x14ac:dyDescent="0.3">
      <c r="A2359">
        <v>117057</v>
      </c>
      <c r="B2359" s="1" t="s">
        <v>40</v>
      </c>
      <c r="C2359" s="1" t="s">
        <v>16</v>
      </c>
      <c r="D2359" s="1" t="s">
        <v>24</v>
      </c>
      <c r="E2359" s="1" t="s">
        <v>25</v>
      </c>
      <c r="F2359" s="1" t="s">
        <v>29</v>
      </c>
      <c r="G2359" s="1" t="s">
        <v>20</v>
      </c>
      <c r="H2359" t="s">
        <v>30</v>
      </c>
      <c r="I2359" s="1" t="s">
        <v>26</v>
      </c>
      <c r="J2359" s="2">
        <v>43534.02857638889</v>
      </c>
      <c r="K2359" s="2">
        <v>43537.02857638889</v>
      </c>
      <c r="L2359" s="2">
        <v>43540.02857638889</v>
      </c>
      <c r="M2359" s="1">
        <f>_xlfn.DAYS(Table1[[#This Row],[actual_delivery_date]],Table1[[#This Row],[dispatch_date]])</f>
        <v>3</v>
      </c>
      <c r="N2359">
        <v>27</v>
      </c>
      <c r="O2359">
        <f>Table1[[#This Row],[transit_storage_cost]] * (1-'What -if Analysis'!$D$26)</f>
        <v>27</v>
      </c>
      <c r="P2359">
        <v>128</v>
      </c>
      <c r="Q2359">
        <v>2983.182433557251</v>
      </c>
    </row>
    <row r="2360" spans="1:17" x14ac:dyDescent="0.3">
      <c r="A2360">
        <v>120349</v>
      </c>
      <c r="B2360" s="1" t="s">
        <v>38</v>
      </c>
      <c r="C2360" s="1" t="s">
        <v>23</v>
      </c>
      <c r="D2360" s="1" t="s">
        <v>16</v>
      </c>
      <c r="E2360" s="1" t="s">
        <v>27</v>
      </c>
      <c r="F2360" s="1" t="s">
        <v>19</v>
      </c>
      <c r="G2360" s="1" t="s">
        <v>20</v>
      </c>
      <c r="H2360" t="s">
        <v>30</v>
      </c>
      <c r="I2360" s="1" t="s">
        <v>22</v>
      </c>
      <c r="J2360" s="2">
        <v>43531.029421296298</v>
      </c>
      <c r="K2360" s="2">
        <v>43537.029421296298</v>
      </c>
      <c r="L2360" s="2">
        <v>43538.029421296298</v>
      </c>
      <c r="M2360" s="1">
        <f>_xlfn.DAYS(Table1[[#This Row],[actual_delivery_date]],Table1[[#This Row],[dispatch_date]])</f>
        <v>6</v>
      </c>
      <c r="N2360">
        <v>80</v>
      </c>
      <c r="O2360">
        <f>Table1[[#This Row],[transit_storage_cost]] * (1-'What -if Analysis'!$D$26)</f>
        <v>80</v>
      </c>
      <c r="P2360">
        <v>110</v>
      </c>
      <c r="Q2360">
        <v>1650.2698424898324</v>
      </c>
    </row>
    <row r="2361" spans="1:17" x14ac:dyDescent="0.3">
      <c r="A2361">
        <v>691366</v>
      </c>
      <c r="B2361" s="1" t="s">
        <v>37</v>
      </c>
      <c r="C2361" s="1" t="s">
        <v>16</v>
      </c>
      <c r="D2361" s="1" t="s">
        <v>17</v>
      </c>
      <c r="E2361" s="1" t="s">
        <v>18</v>
      </c>
      <c r="F2361" s="1" t="s">
        <v>31</v>
      </c>
      <c r="G2361" s="1" t="s">
        <v>20</v>
      </c>
      <c r="H2361" t="s">
        <v>21</v>
      </c>
      <c r="I2361" s="1" t="s">
        <v>22</v>
      </c>
      <c r="J2361" s="2">
        <v>43529.032037037039</v>
      </c>
      <c r="K2361" s="2">
        <v>43537.032037037039</v>
      </c>
      <c r="L2361" s="2">
        <v>43536.032037037039</v>
      </c>
      <c r="M2361" s="1">
        <f>_xlfn.DAYS(Table1[[#This Row],[actual_delivery_date]],Table1[[#This Row],[dispatch_date]])</f>
        <v>8</v>
      </c>
      <c r="N2361">
        <v>44</v>
      </c>
      <c r="O2361">
        <f>Table1[[#This Row],[transit_storage_cost]] * (1-'What -if Analysis'!$D$26)</f>
        <v>44</v>
      </c>
      <c r="P2361">
        <v>113</v>
      </c>
      <c r="Q2361">
        <v>2203.1319773943987</v>
      </c>
    </row>
    <row r="2362" spans="1:17" x14ac:dyDescent="0.3">
      <c r="A2362">
        <v>714562</v>
      </c>
      <c r="B2362" s="1" t="s">
        <v>38</v>
      </c>
      <c r="C2362" s="1" t="s">
        <v>16</v>
      </c>
      <c r="D2362" s="1" t="s">
        <v>24</v>
      </c>
      <c r="E2362" s="1" t="s">
        <v>25</v>
      </c>
      <c r="F2362" s="1" t="s">
        <v>31</v>
      </c>
      <c r="G2362" s="1" t="s">
        <v>20</v>
      </c>
      <c r="H2362" t="s">
        <v>21</v>
      </c>
      <c r="I2362" s="1" t="s">
        <v>22</v>
      </c>
      <c r="J2362" s="2">
        <v>43531.032893518517</v>
      </c>
      <c r="K2362" s="2">
        <v>43537.032893518517</v>
      </c>
      <c r="L2362" s="2">
        <v>43534.032893518517</v>
      </c>
      <c r="M2362" s="1">
        <f>_xlfn.DAYS(Table1[[#This Row],[actual_delivery_date]],Table1[[#This Row],[dispatch_date]])</f>
        <v>6</v>
      </c>
      <c r="N2362">
        <v>26</v>
      </c>
      <c r="O2362">
        <f>Table1[[#This Row],[transit_storage_cost]] * (1-'What -if Analysis'!$D$26)</f>
        <v>26</v>
      </c>
      <c r="P2362">
        <v>130</v>
      </c>
      <c r="Q2362">
        <v>2502.2243459816264</v>
      </c>
    </row>
    <row r="2363" spans="1:17" x14ac:dyDescent="0.3">
      <c r="A2363">
        <v>93666</v>
      </c>
      <c r="B2363" s="1" t="s">
        <v>37</v>
      </c>
      <c r="C2363" s="1" t="s">
        <v>23</v>
      </c>
      <c r="D2363" s="1" t="s">
        <v>16</v>
      </c>
      <c r="E2363" s="1" t="s">
        <v>27</v>
      </c>
      <c r="F2363" s="1" t="s">
        <v>31</v>
      </c>
      <c r="G2363" s="1" t="s">
        <v>20</v>
      </c>
      <c r="H2363" t="s">
        <v>21</v>
      </c>
      <c r="I2363" s="1" t="s">
        <v>26</v>
      </c>
      <c r="J2363" s="2">
        <v>43534.037905092591</v>
      </c>
      <c r="K2363" s="2">
        <v>43537.037905092591</v>
      </c>
      <c r="L2363" s="2">
        <v>43540.037905092591</v>
      </c>
      <c r="M2363" s="1">
        <f>_xlfn.DAYS(Table1[[#This Row],[actual_delivery_date]],Table1[[#This Row],[dispatch_date]])</f>
        <v>3</v>
      </c>
      <c r="N2363">
        <v>0</v>
      </c>
      <c r="O2363">
        <f>Table1[[#This Row],[transit_storage_cost]] * (1-'What -if Analysis'!$D$26)</f>
        <v>0</v>
      </c>
      <c r="P2363">
        <v>126</v>
      </c>
      <c r="Q2363">
        <v>502.7200671714981</v>
      </c>
    </row>
    <row r="2364" spans="1:17" x14ac:dyDescent="0.3">
      <c r="A2364">
        <v>887516</v>
      </c>
      <c r="B2364" s="1" t="s">
        <v>40</v>
      </c>
      <c r="C2364" s="1" t="s">
        <v>23</v>
      </c>
      <c r="D2364" s="1" t="s">
        <v>16</v>
      </c>
      <c r="E2364" s="1" t="s">
        <v>27</v>
      </c>
      <c r="F2364" s="1" t="s">
        <v>19</v>
      </c>
      <c r="G2364" s="1" t="s">
        <v>20</v>
      </c>
      <c r="H2364" t="s">
        <v>21</v>
      </c>
      <c r="I2364" s="1" t="s">
        <v>22</v>
      </c>
      <c r="J2364" s="2">
        <v>43535.045682870368</v>
      </c>
      <c r="K2364" s="2">
        <v>43537.045682870368</v>
      </c>
      <c r="L2364" s="2">
        <v>43539.045682870368</v>
      </c>
      <c r="M2364" s="1">
        <f>_xlfn.DAYS(Table1[[#This Row],[actual_delivery_date]],Table1[[#This Row],[dispatch_date]])</f>
        <v>2</v>
      </c>
      <c r="N2364">
        <v>35</v>
      </c>
      <c r="O2364">
        <f>Table1[[#This Row],[transit_storage_cost]] * (1-'What -if Analysis'!$D$26)</f>
        <v>35</v>
      </c>
      <c r="P2364">
        <v>120</v>
      </c>
      <c r="Q2364">
        <v>3200.7311810627939</v>
      </c>
    </row>
    <row r="2365" spans="1:17" x14ac:dyDescent="0.3">
      <c r="A2365">
        <v>977003</v>
      </c>
      <c r="B2365" s="1" t="s">
        <v>41</v>
      </c>
      <c r="C2365" s="1" t="s">
        <v>16</v>
      </c>
      <c r="D2365" s="1" t="s">
        <v>32</v>
      </c>
      <c r="E2365" s="1" t="s">
        <v>33</v>
      </c>
      <c r="F2365" s="1" t="s">
        <v>19</v>
      </c>
      <c r="G2365" s="1" t="s">
        <v>20</v>
      </c>
      <c r="H2365" t="s">
        <v>30</v>
      </c>
      <c r="I2365" s="1" t="s">
        <v>22</v>
      </c>
      <c r="J2365" s="2">
        <v>43533.045983796299</v>
      </c>
      <c r="K2365" s="2">
        <v>43537.045983796299</v>
      </c>
      <c r="L2365" s="2">
        <v>43537.045983796299</v>
      </c>
      <c r="M2365" s="1">
        <f>_xlfn.DAYS(Table1[[#This Row],[actual_delivery_date]],Table1[[#This Row],[dispatch_date]])</f>
        <v>4</v>
      </c>
      <c r="N2365">
        <v>74</v>
      </c>
      <c r="O2365">
        <f>Table1[[#This Row],[transit_storage_cost]] * (1-'What -if Analysis'!$D$26)</f>
        <v>74</v>
      </c>
      <c r="P2365">
        <v>91</v>
      </c>
      <c r="Q2365">
        <v>846.72113544847502</v>
      </c>
    </row>
    <row r="2366" spans="1:17" x14ac:dyDescent="0.3">
      <c r="A2366">
        <v>634331</v>
      </c>
      <c r="B2366" s="1" t="s">
        <v>15</v>
      </c>
      <c r="C2366" s="1" t="s">
        <v>23</v>
      </c>
      <c r="D2366" s="1" t="s">
        <v>24</v>
      </c>
      <c r="E2366" s="1" t="s">
        <v>25</v>
      </c>
      <c r="F2366" s="1" t="s">
        <v>29</v>
      </c>
      <c r="G2366" s="1" t="s">
        <v>20</v>
      </c>
      <c r="H2366" t="s">
        <v>30</v>
      </c>
      <c r="I2366" s="1" t="s">
        <v>22</v>
      </c>
      <c r="J2366" s="2">
        <v>43535.054224537038</v>
      </c>
      <c r="K2366" s="2">
        <v>43537.054224537038</v>
      </c>
      <c r="L2366" s="2">
        <v>43538.054224537038</v>
      </c>
      <c r="M2366" s="1">
        <f>_xlfn.DAYS(Table1[[#This Row],[actual_delivery_date]],Table1[[#This Row],[dispatch_date]])</f>
        <v>2</v>
      </c>
      <c r="N2366">
        <v>27</v>
      </c>
      <c r="O2366">
        <f>Table1[[#This Row],[transit_storage_cost]] * (1-'What -if Analysis'!$D$26)</f>
        <v>27</v>
      </c>
      <c r="P2366">
        <v>123</v>
      </c>
      <c r="Q2366">
        <v>3650.5491779713234</v>
      </c>
    </row>
    <row r="2367" spans="1:17" x14ac:dyDescent="0.3">
      <c r="A2367">
        <v>106060</v>
      </c>
      <c r="B2367" s="1" t="s">
        <v>37</v>
      </c>
      <c r="C2367" s="1" t="s">
        <v>23</v>
      </c>
      <c r="D2367" s="1" t="s">
        <v>24</v>
      </c>
      <c r="E2367" s="1" t="s">
        <v>25</v>
      </c>
      <c r="F2367" s="1" t="s">
        <v>19</v>
      </c>
      <c r="G2367" s="1" t="s">
        <v>20</v>
      </c>
      <c r="H2367" t="s">
        <v>21</v>
      </c>
      <c r="I2367" s="1" t="s">
        <v>22</v>
      </c>
      <c r="J2367" s="2">
        <v>43530.055914351855</v>
      </c>
      <c r="K2367" s="2">
        <v>43537.055914351855</v>
      </c>
      <c r="L2367" s="2">
        <v>43536.055914351855</v>
      </c>
      <c r="M2367" s="1">
        <f>_xlfn.DAYS(Table1[[#This Row],[actual_delivery_date]],Table1[[#This Row],[dispatch_date]])</f>
        <v>7</v>
      </c>
      <c r="N2367">
        <v>57</v>
      </c>
      <c r="O2367">
        <f>Table1[[#This Row],[transit_storage_cost]] * (1-'What -if Analysis'!$D$26)</f>
        <v>57</v>
      </c>
      <c r="P2367">
        <v>108</v>
      </c>
      <c r="Q2367">
        <v>716.20295611984898</v>
      </c>
    </row>
    <row r="2368" spans="1:17" x14ac:dyDescent="0.3">
      <c r="A2368">
        <v>544231</v>
      </c>
      <c r="B2368" s="1" t="s">
        <v>41</v>
      </c>
      <c r="C2368" s="1" t="s">
        <v>16</v>
      </c>
      <c r="D2368" s="1" t="s">
        <v>23</v>
      </c>
      <c r="E2368" s="1" t="s">
        <v>28</v>
      </c>
      <c r="F2368" s="1" t="s">
        <v>29</v>
      </c>
      <c r="G2368" s="1" t="s">
        <v>20</v>
      </c>
      <c r="H2368" t="s">
        <v>30</v>
      </c>
      <c r="I2368" s="1" t="s">
        <v>22</v>
      </c>
      <c r="J2368" s="2">
        <v>43532.058761574073</v>
      </c>
      <c r="K2368" s="2">
        <v>43537.058761574073</v>
      </c>
      <c r="L2368" s="2">
        <v>43536.058761574073</v>
      </c>
      <c r="M2368" s="1">
        <f>_xlfn.DAYS(Table1[[#This Row],[actual_delivery_date]],Table1[[#This Row],[dispatch_date]])</f>
        <v>5</v>
      </c>
      <c r="N2368">
        <v>41</v>
      </c>
      <c r="O2368">
        <f>Table1[[#This Row],[transit_storage_cost]] * (1-'What -if Analysis'!$D$26)</f>
        <v>41</v>
      </c>
      <c r="P2368">
        <v>125</v>
      </c>
      <c r="Q2368">
        <v>2989.1407981391567</v>
      </c>
    </row>
    <row r="2369" spans="1:17" x14ac:dyDescent="0.3">
      <c r="A2369">
        <v>254731</v>
      </c>
      <c r="B2369" s="1" t="s">
        <v>39</v>
      </c>
      <c r="C2369" s="1" t="s">
        <v>23</v>
      </c>
      <c r="D2369" s="1" t="s">
        <v>17</v>
      </c>
      <c r="E2369" s="1" t="s">
        <v>18</v>
      </c>
      <c r="F2369" s="1" t="s">
        <v>29</v>
      </c>
      <c r="G2369" s="1" t="s">
        <v>20</v>
      </c>
      <c r="H2369" t="s">
        <v>30</v>
      </c>
      <c r="I2369" s="1" t="s">
        <v>22</v>
      </c>
      <c r="J2369" s="2">
        <v>43533.060277777775</v>
      </c>
      <c r="K2369" s="2">
        <v>43537.060277777775</v>
      </c>
      <c r="L2369" s="2">
        <v>43538.060277777775</v>
      </c>
      <c r="M2369" s="1">
        <f>_xlfn.DAYS(Table1[[#This Row],[actual_delivery_date]],Table1[[#This Row],[dispatch_date]])</f>
        <v>4</v>
      </c>
      <c r="N2369">
        <v>48</v>
      </c>
      <c r="O2369">
        <f>Table1[[#This Row],[transit_storage_cost]] * (1-'What -if Analysis'!$D$26)</f>
        <v>48</v>
      </c>
      <c r="P2369">
        <v>107</v>
      </c>
      <c r="Q2369">
        <v>1723.0674249644487</v>
      </c>
    </row>
    <row r="2370" spans="1:17" x14ac:dyDescent="0.3">
      <c r="A2370">
        <v>568490</v>
      </c>
      <c r="B2370" s="1" t="s">
        <v>41</v>
      </c>
      <c r="C2370" s="1" t="s">
        <v>16</v>
      </c>
      <c r="D2370" s="1" t="s">
        <v>17</v>
      </c>
      <c r="E2370" s="1" t="s">
        <v>18</v>
      </c>
      <c r="F2370" s="1" t="s">
        <v>31</v>
      </c>
      <c r="G2370" s="1" t="s">
        <v>20</v>
      </c>
      <c r="H2370" t="s">
        <v>21</v>
      </c>
      <c r="I2370" s="1" t="s">
        <v>22</v>
      </c>
      <c r="J2370" s="2">
        <v>43530.062835648147</v>
      </c>
      <c r="K2370" s="2">
        <v>43537.062835648147</v>
      </c>
      <c r="L2370" s="2">
        <v>43533.062835648147</v>
      </c>
      <c r="M2370" s="1">
        <f>_xlfn.DAYS(Table1[[#This Row],[actual_delivery_date]],Table1[[#This Row],[dispatch_date]])</f>
        <v>7</v>
      </c>
      <c r="N2370">
        <v>40</v>
      </c>
      <c r="O2370">
        <f>Table1[[#This Row],[transit_storage_cost]] * (1-'What -if Analysis'!$D$26)</f>
        <v>40</v>
      </c>
      <c r="P2370">
        <v>107</v>
      </c>
      <c r="Q2370">
        <v>3443.9560092896213</v>
      </c>
    </row>
    <row r="2371" spans="1:17" x14ac:dyDescent="0.3">
      <c r="A2371">
        <v>136896</v>
      </c>
      <c r="B2371" s="1" t="s">
        <v>37</v>
      </c>
      <c r="C2371" s="1" t="s">
        <v>16</v>
      </c>
      <c r="D2371" s="1" t="s">
        <v>24</v>
      </c>
      <c r="E2371" s="1" t="s">
        <v>25</v>
      </c>
      <c r="F2371" s="1" t="s">
        <v>19</v>
      </c>
      <c r="G2371" s="1" t="s">
        <v>20</v>
      </c>
      <c r="H2371" t="s">
        <v>21</v>
      </c>
      <c r="I2371" s="1" t="s">
        <v>26</v>
      </c>
      <c r="J2371" s="2">
        <v>43532.066238425927</v>
      </c>
      <c r="K2371" s="2">
        <v>43537.066238425927</v>
      </c>
      <c r="L2371" s="2">
        <v>43536.066238425927</v>
      </c>
      <c r="M2371" s="1">
        <f>_xlfn.DAYS(Table1[[#This Row],[actual_delivery_date]],Table1[[#This Row],[dispatch_date]])</f>
        <v>5</v>
      </c>
      <c r="N2371">
        <v>30</v>
      </c>
      <c r="O2371">
        <f>Table1[[#This Row],[transit_storage_cost]] * (1-'What -if Analysis'!$D$26)</f>
        <v>30</v>
      </c>
      <c r="P2371">
        <v>120</v>
      </c>
      <c r="Q2371">
        <v>2722</v>
      </c>
    </row>
    <row r="2372" spans="1:17" x14ac:dyDescent="0.3">
      <c r="A2372">
        <v>142294</v>
      </c>
      <c r="B2372" s="1" t="s">
        <v>39</v>
      </c>
      <c r="C2372" s="1" t="s">
        <v>23</v>
      </c>
      <c r="D2372" s="1" t="s">
        <v>16</v>
      </c>
      <c r="E2372" s="1" t="s">
        <v>27</v>
      </c>
      <c r="F2372" s="1" t="s">
        <v>19</v>
      </c>
      <c r="G2372" s="1" t="s">
        <v>20</v>
      </c>
      <c r="H2372" t="s">
        <v>21</v>
      </c>
      <c r="I2372" s="1" t="s">
        <v>22</v>
      </c>
      <c r="J2372" s="2">
        <v>43534.066261574073</v>
      </c>
      <c r="K2372" s="2">
        <v>43537.066261574073</v>
      </c>
      <c r="L2372" s="2">
        <v>43537.066261574073</v>
      </c>
      <c r="M2372" s="1">
        <f>_xlfn.DAYS(Table1[[#This Row],[actual_delivery_date]],Table1[[#This Row],[dispatch_date]])</f>
        <v>3</v>
      </c>
      <c r="N2372">
        <v>85</v>
      </c>
      <c r="O2372">
        <f>Table1[[#This Row],[transit_storage_cost]] * (1-'What -if Analysis'!$D$26)</f>
        <v>85</v>
      </c>
      <c r="P2372">
        <v>101</v>
      </c>
      <c r="Q2372">
        <v>3219.6239427893606</v>
      </c>
    </row>
    <row r="2373" spans="1:17" x14ac:dyDescent="0.3">
      <c r="A2373">
        <v>118232</v>
      </c>
      <c r="B2373" s="1" t="s">
        <v>15</v>
      </c>
      <c r="C2373" s="1" t="s">
        <v>23</v>
      </c>
      <c r="D2373" s="1" t="s">
        <v>17</v>
      </c>
      <c r="E2373" s="1" t="s">
        <v>18</v>
      </c>
      <c r="F2373" s="1" t="s">
        <v>19</v>
      </c>
      <c r="G2373" s="1" t="s">
        <v>20</v>
      </c>
      <c r="H2373" t="s">
        <v>21</v>
      </c>
      <c r="I2373" s="1" t="s">
        <v>22</v>
      </c>
      <c r="J2373" s="2">
        <v>43531.067037037035</v>
      </c>
      <c r="K2373" s="2">
        <v>43537.067037037035</v>
      </c>
      <c r="L2373" s="2">
        <v>43537.067037037035</v>
      </c>
      <c r="M2373" s="1">
        <f>_xlfn.DAYS(Table1[[#This Row],[actual_delivery_date]],Table1[[#This Row],[dispatch_date]])</f>
        <v>6</v>
      </c>
      <c r="N2373">
        <v>33</v>
      </c>
      <c r="O2373">
        <f>Table1[[#This Row],[transit_storage_cost]] * (1-'What -if Analysis'!$D$26)</f>
        <v>33</v>
      </c>
      <c r="P2373">
        <v>110</v>
      </c>
      <c r="Q2373">
        <v>2876.3290618748661</v>
      </c>
    </row>
    <row r="2374" spans="1:17" x14ac:dyDescent="0.3">
      <c r="A2374">
        <v>449417</v>
      </c>
      <c r="B2374" s="1" t="s">
        <v>37</v>
      </c>
      <c r="C2374" s="1" t="s">
        <v>16</v>
      </c>
      <c r="D2374" s="1" t="s">
        <v>24</v>
      </c>
      <c r="E2374" s="1" t="s">
        <v>25</v>
      </c>
      <c r="F2374" s="1" t="s">
        <v>19</v>
      </c>
      <c r="G2374" s="1" t="s">
        <v>20</v>
      </c>
      <c r="H2374" t="s">
        <v>30</v>
      </c>
      <c r="I2374" s="1" t="s">
        <v>22</v>
      </c>
      <c r="J2374" s="2">
        <v>43526.068159722221</v>
      </c>
      <c r="K2374" s="2">
        <v>43537.068159722221</v>
      </c>
      <c r="L2374" s="2">
        <v>43531.068159722221</v>
      </c>
      <c r="M2374" s="1">
        <f>_xlfn.DAYS(Table1[[#This Row],[actual_delivery_date]],Table1[[#This Row],[dispatch_date]])</f>
        <v>11</v>
      </c>
      <c r="N2374">
        <v>62</v>
      </c>
      <c r="O2374">
        <f>Table1[[#This Row],[transit_storage_cost]] * (1-'What -if Analysis'!$D$26)</f>
        <v>62</v>
      </c>
      <c r="P2374">
        <v>110</v>
      </c>
      <c r="Q2374">
        <v>3389.5838840945012</v>
      </c>
    </row>
    <row r="2375" spans="1:17" x14ac:dyDescent="0.3">
      <c r="A2375">
        <v>934546</v>
      </c>
      <c r="B2375" s="1" t="s">
        <v>37</v>
      </c>
      <c r="C2375" s="1" t="s">
        <v>16</v>
      </c>
      <c r="D2375" s="1" t="s">
        <v>32</v>
      </c>
      <c r="E2375" s="1" t="s">
        <v>33</v>
      </c>
      <c r="F2375" s="1" t="s">
        <v>31</v>
      </c>
      <c r="G2375" s="1" t="s">
        <v>20</v>
      </c>
      <c r="H2375" t="s">
        <v>21</v>
      </c>
      <c r="I2375" s="1" t="s">
        <v>22</v>
      </c>
      <c r="J2375" s="2">
        <v>43530.073194444441</v>
      </c>
      <c r="K2375" s="2">
        <v>43537.073194444441</v>
      </c>
      <c r="L2375" s="2">
        <v>43533.073194444441</v>
      </c>
      <c r="M2375" s="1">
        <f>_xlfn.DAYS(Table1[[#This Row],[actual_delivery_date]],Table1[[#This Row],[dispatch_date]])</f>
        <v>7</v>
      </c>
      <c r="N2375">
        <v>37</v>
      </c>
      <c r="O2375">
        <f>Table1[[#This Row],[transit_storage_cost]] * (1-'What -if Analysis'!$D$26)</f>
        <v>37</v>
      </c>
      <c r="P2375">
        <v>109</v>
      </c>
      <c r="Q2375">
        <v>3278.4441076958433</v>
      </c>
    </row>
    <row r="2376" spans="1:17" x14ac:dyDescent="0.3">
      <c r="A2376">
        <v>736675</v>
      </c>
      <c r="B2376" s="1" t="s">
        <v>41</v>
      </c>
      <c r="C2376" s="1" t="s">
        <v>16</v>
      </c>
      <c r="D2376" s="1" t="s">
        <v>23</v>
      </c>
      <c r="E2376" s="1" t="s">
        <v>28</v>
      </c>
      <c r="F2376" s="1" t="s">
        <v>19</v>
      </c>
      <c r="G2376" s="1" t="s">
        <v>20</v>
      </c>
      <c r="H2376" t="s">
        <v>30</v>
      </c>
      <c r="I2376" s="1" t="s">
        <v>22</v>
      </c>
      <c r="J2376" s="2">
        <v>43535.079722222225</v>
      </c>
      <c r="K2376" s="2">
        <v>43537.079722222225</v>
      </c>
      <c r="L2376" s="2">
        <v>43540.079722222225</v>
      </c>
      <c r="M2376" s="1">
        <f>_xlfn.DAYS(Table1[[#This Row],[actual_delivery_date]],Table1[[#This Row],[dispatch_date]])</f>
        <v>2</v>
      </c>
      <c r="N2376">
        <v>77</v>
      </c>
      <c r="O2376">
        <f>Table1[[#This Row],[transit_storage_cost]] * (1-'What -if Analysis'!$D$26)</f>
        <v>77</v>
      </c>
      <c r="P2376">
        <v>109</v>
      </c>
      <c r="Q2376">
        <v>2979</v>
      </c>
    </row>
    <row r="2377" spans="1:17" x14ac:dyDescent="0.3">
      <c r="A2377">
        <v>300841</v>
      </c>
      <c r="B2377" s="1" t="s">
        <v>41</v>
      </c>
      <c r="C2377" s="1" t="s">
        <v>16</v>
      </c>
      <c r="D2377" s="1" t="s">
        <v>16</v>
      </c>
      <c r="E2377" s="1" t="s">
        <v>27</v>
      </c>
      <c r="F2377" s="1" t="s">
        <v>29</v>
      </c>
      <c r="G2377" s="1" t="s">
        <v>20</v>
      </c>
      <c r="H2377" t="s">
        <v>30</v>
      </c>
      <c r="I2377" s="1" t="s">
        <v>22</v>
      </c>
      <c r="J2377" s="2">
        <v>43536.084594907406</v>
      </c>
      <c r="K2377" s="2">
        <v>43537.084594907406</v>
      </c>
      <c r="L2377" s="2">
        <v>43540.084594907406</v>
      </c>
      <c r="M2377" s="1">
        <f>_xlfn.DAYS(Table1[[#This Row],[actual_delivery_date]],Table1[[#This Row],[dispatch_date]])</f>
        <v>1</v>
      </c>
      <c r="N2377">
        <v>0</v>
      </c>
      <c r="O2377">
        <f>Table1[[#This Row],[transit_storage_cost]] * (1-'What -if Analysis'!$D$26)</f>
        <v>0</v>
      </c>
      <c r="P2377">
        <v>122</v>
      </c>
      <c r="Q2377">
        <v>3675.3544623137286</v>
      </c>
    </row>
    <row r="2378" spans="1:17" x14ac:dyDescent="0.3">
      <c r="A2378">
        <v>190525</v>
      </c>
      <c r="B2378" s="1" t="s">
        <v>39</v>
      </c>
      <c r="C2378" s="1" t="s">
        <v>16</v>
      </c>
      <c r="D2378" s="1" t="s">
        <v>32</v>
      </c>
      <c r="E2378" s="1" t="s">
        <v>33</v>
      </c>
      <c r="F2378" s="1" t="s">
        <v>19</v>
      </c>
      <c r="G2378" s="1" t="s">
        <v>20</v>
      </c>
      <c r="H2378" t="s">
        <v>30</v>
      </c>
      <c r="I2378" s="1" t="s">
        <v>22</v>
      </c>
      <c r="J2378" s="2">
        <v>43533.084803240738</v>
      </c>
      <c r="K2378" s="2">
        <v>43537.084803240738</v>
      </c>
      <c r="L2378" s="2">
        <v>43537.084803240738</v>
      </c>
      <c r="M2378" s="1">
        <f>_xlfn.DAYS(Table1[[#This Row],[actual_delivery_date]],Table1[[#This Row],[dispatch_date]])</f>
        <v>4</v>
      </c>
      <c r="N2378">
        <v>83</v>
      </c>
      <c r="O2378">
        <f>Table1[[#This Row],[transit_storage_cost]] * (1-'What -if Analysis'!$D$26)</f>
        <v>83</v>
      </c>
      <c r="P2378">
        <v>94</v>
      </c>
      <c r="Q2378">
        <v>2427</v>
      </c>
    </row>
    <row r="2379" spans="1:17" x14ac:dyDescent="0.3">
      <c r="A2379">
        <v>860168</v>
      </c>
      <c r="B2379" s="1" t="s">
        <v>40</v>
      </c>
      <c r="C2379" s="1" t="s">
        <v>16</v>
      </c>
      <c r="D2379" s="1" t="s">
        <v>32</v>
      </c>
      <c r="E2379" s="1" t="s">
        <v>33</v>
      </c>
      <c r="F2379" s="1" t="s">
        <v>19</v>
      </c>
      <c r="G2379" s="1" t="s">
        <v>20</v>
      </c>
      <c r="H2379" t="s">
        <v>21</v>
      </c>
      <c r="I2379" s="1" t="s">
        <v>22</v>
      </c>
      <c r="J2379" s="2">
        <v>43533.090370370373</v>
      </c>
      <c r="K2379" s="2">
        <v>43537.090370370373</v>
      </c>
      <c r="L2379" s="2">
        <v>43538.090370370373</v>
      </c>
      <c r="M2379" s="1">
        <f>_xlfn.DAYS(Table1[[#This Row],[actual_delivery_date]],Table1[[#This Row],[dispatch_date]])</f>
        <v>4</v>
      </c>
      <c r="N2379">
        <v>29</v>
      </c>
      <c r="O2379">
        <f>Table1[[#This Row],[transit_storage_cost]] * (1-'What -if Analysis'!$D$26)</f>
        <v>29</v>
      </c>
      <c r="P2379">
        <v>106</v>
      </c>
      <c r="Q2379">
        <v>1106</v>
      </c>
    </row>
    <row r="2380" spans="1:17" x14ac:dyDescent="0.3">
      <c r="A2380">
        <v>596051</v>
      </c>
      <c r="B2380" s="1" t="s">
        <v>37</v>
      </c>
      <c r="C2380" s="1" t="s">
        <v>23</v>
      </c>
      <c r="D2380" s="1" t="s">
        <v>32</v>
      </c>
      <c r="E2380" s="1" t="s">
        <v>33</v>
      </c>
      <c r="F2380" s="1" t="s">
        <v>29</v>
      </c>
      <c r="G2380" s="1" t="s">
        <v>20</v>
      </c>
      <c r="H2380" t="s">
        <v>30</v>
      </c>
      <c r="I2380" s="1" t="s">
        <v>22</v>
      </c>
      <c r="J2380" s="2">
        <v>43530.093599537038</v>
      </c>
      <c r="K2380" s="2">
        <v>43537.093599537038</v>
      </c>
      <c r="L2380" s="2">
        <v>43536.093599537038</v>
      </c>
      <c r="M2380" s="1">
        <f>_xlfn.DAYS(Table1[[#This Row],[actual_delivery_date]],Table1[[#This Row],[dispatch_date]])</f>
        <v>7</v>
      </c>
      <c r="N2380">
        <v>49</v>
      </c>
      <c r="O2380">
        <f>Table1[[#This Row],[transit_storage_cost]] * (1-'What -if Analysis'!$D$26)</f>
        <v>49</v>
      </c>
      <c r="P2380">
        <v>114</v>
      </c>
      <c r="Q2380">
        <v>1012.5811707153916</v>
      </c>
    </row>
    <row r="2381" spans="1:17" x14ac:dyDescent="0.3">
      <c r="A2381">
        <v>15655</v>
      </c>
      <c r="B2381" s="1" t="s">
        <v>41</v>
      </c>
      <c r="C2381" s="1" t="s">
        <v>16</v>
      </c>
      <c r="D2381" s="1" t="s">
        <v>23</v>
      </c>
      <c r="E2381" s="1" t="s">
        <v>28</v>
      </c>
      <c r="F2381" s="1" t="s">
        <v>29</v>
      </c>
      <c r="G2381" s="1" t="s">
        <v>20</v>
      </c>
      <c r="H2381" t="s">
        <v>30</v>
      </c>
      <c r="I2381" s="1" t="s">
        <v>22</v>
      </c>
      <c r="J2381" s="2">
        <v>43530.094305555554</v>
      </c>
      <c r="K2381" s="2">
        <v>43537.094305555554</v>
      </c>
      <c r="L2381" s="2">
        <v>43534.094305555554</v>
      </c>
      <c r="M2381" s="1">
        <f>_xlfn.DAYS(Table1[[#This Row],[actual_delivery_date]],Table1[[#This Row],[dispatch_date]])</f>
        <v>7</v>
      </c>
      <c r="N2381">
        <v>31</v>
      </c>
      <c r="O2381">
        <f>Table1[[#This Row],[transit_storage_cost]] * (1-'What -if Analysis'!$D$26)</f>
        <v>31</v>
      </c>
      <c r="P2381">
        <v>124</v>
      </c>
      <c r="Q2381">
        <v>3468.2212872675705</v>
      </c>
    </row>
    <row r="2382" spans="1:17" x14ac:dyDescent="0.3">
      <c r="A2382">
        <v>578340</v>
      </c>
      <c r="B2382" s="1" t="s">
        <v>39</v>
      </c>
      <c r="C2382" s="1" t="s">
        <v>16</v>
      </c>
      <c r="D2382" s="1" t="s">
        <v>23</v>
      </c>
      <c r="E2382" s="1" t="s">
        <v>28</v>
      </c>
      <c r="F2382" s="1" t="s">
        <v>19</v>
      </c>
      <c r="G2382" s="1" t="s">
        <v>20</v>
      </c>
      <c r="H2382" t="s">
        <v>21</v>
      </c>
      <c r="I2382" s="1" t="s">
        <v>26</v>
      </c>
      <c r="J2382" s="2">
        <v>43531.098101851851</v>
      </c>
      <c r="K2382" s="2">
        <v>43537.098101851851</v>
      </c>
      <c r="L2382" s="2">
        <v>43536.098101851851</v>
      </c>
      <c r="M2382" s="1">
        <f>_xlfn.DAYS(Table1[[#This Row],[actual_delivery_date]],Table1[[#This Row],[dispatch_date]])</f>
        <v>6</v>
      </c>
      <c r="N2382">
        <v>49</v>
      </c>
      <c r="O2382">
        <f>Table1[[#This Row],[transit_storage_cost]] * (1-'What -if Analysis'!$D$26)</f>
        <v>49</v>
      </c>
      <c r="P2382">
        <v>129</v>
      </c>
      <c r="Q2382">
        <v>1113.4313607457195</v>
      </c>
    </row>
    <row r="2383" spans="1:17" x14ac:dyDescent="0.3">
      <c r="A2383">
        <v>765855</v>
      </c>
      <c r="B2383" s="1" t="s">
        <v>41</v>
      </c>
      <c r="C2383" s="1" t="s">
        <v>16</v>
      </c>
      <c r="D2383" s="1" t="s">
        <v>32</v>
      </c>
      <c r="E2383" s="1" t="s">
        <v>33</v>
      </c>
      <c r="F2383" s="1" t="s">
        <v>29</v>
      </c>
      <c r="G2383" s="1" t="s">
        <v>20</v>
      </c>
      <c r="H2383" t="s">
        <v>30</v>
      </c>
      <c r="I2383" s="1" t="s">
        <v>26</v>
      </c>
      <c r="J2383" s="2">
        <v>43532.099930555552</v>
      </c>
      <c r="K2383" s="2">
        <v>43537.099930555552</v>
      </c>
      <c r="L2383" s="2">
        <v>43535.099930555552</v>
      </c>
      <c r="M2383" s="1">
        <f>_xlfn.DAYS(Table1[[#This Row],[actual_delivery_date]],Table1[[#This Row],[dispatch_date]])</f>
        <v>5</v>
      </c>
      <c r="N2383">
        <v>31</v>
      </c>
      <c r="O2383">
        <f>Table1[[#This Row],[transit_storage_cost]] * (1-'What -if Analysis'!$D$26)</f>
        <v>31</v>
      </c>
      <c r="P2383">
        <v>114</v>
      </c>
      <c r="Q2383">
        <v>2715.3766746314723</v>
      </c>
    </row>
    <row r="2384" spans="1:17" x14ac:dyDescent="0.3">
      <c r="A2384">
        <v>283735</v>
      </c>
      <c r="B2384" s="1" t="s">
        <v>40</v>
      </c>
      <c r="C2384" s="1" t="s">
        <v>23</v>
      </c>
      <c r="D2384" s="1" t="s">
        <v>24</v>
      </c>
      <c r="E2384" s="1" t="s">
        <v>25</v>
      </c>
      <c r="F2384" s="1" t="s">
        <v>29</v>
      </c>
      <c r="G2384" s="1" t="s">
        <v>20</v>
      </c>
      <c r="H2384" t="s">
        <v>30</v>
      </c>
      <c r="I2384" s="1" t="s">
        <v>22</v>
      </c>
      <c r="J2384" s="2">
        <v>43534.101076388892</v>
      </c>
      <c r="K2384" s="2">
        <v>43537.101076388892</v>
      </c>
      <c r="L2384" s="2">
        <v>43537.101076388892</v>
      </c>
      <c r="M2384" s="1">
        <f>_xlfn.DAYS(Table1[[#This Row],[actual_delivery_date]],Table1[[#This Row],[dispatch_date]])</f>
        <v>3</v>
      </c>
      <c r="N2384">
        <v>25</v>
      </c>
      <c r="O2384">
        <f>Table1[[#This Row],[transit_storage_cost]] * (1-'What -if Analysis'!$D$26)</f>
        <v>25</v>
      </c>
      <c r="P2384">
        <v>122</v>
      </c>
      <c r="Q2384">
        <v>869.33478103801326</v>
      </c>
    </row>
    <row r="2385" spans="1:17" x14ac:dyDescent="0.3">
      <c r="A2385">
        <v>831916</v>
      </c>
      <c r="B2385" s="1" t="s">
        <v>37</v>
      </c>
      <c r="C2385" s="1" t="s">
        <v>16</v>
      </c>
      <c r="D2385" s="1" t="s">
        <v>24</v>
      </c>
      <c r="E2385" s="1" t="s">
        <v>25</v>
      </c>
      <c r="F2385" s="1" t="s">
        <v>19</v>
      </c>
      <c r="G2385" s="1" t="s">
        <v>20</v>
      </c>
      <c r="H2385" t="s">
        <v>21</v>
      </c>
      <c r="I2385" s="1" t="s">
        <v>22</v>
      </c>
      <c r="J2385" s="2">
        <v>43529.116909722223</v>
      </c>
      <c r="K2385" s="2">
        <v>43537.116909722223</v>
      </c>
      <c r="L2385" s="2">
        <v>43533.116909722223</v>
      </c>
      <c r="M2385" s="1">
        <f>_xlfn.DAYS(Table1[[#This Row],[actual_delivery_date]],Table1[[#This Row],[dispatch_date]])</f>
        <v>8</v>
      </c>
      <c r="N2385">
        <v>86</v>
      </c>
      <c r="O2385">
        <f>Table1[[#This Row],[transit_storage_cost]] * (1-'What -if Analysis'!$D$26)</f>
        <v>86</v>
      </c>
      <c r="P2385">
        <v>109</v>
      </c>
      <c r="Q2385">
        <v>2195.1234122075475</v>
      </c>
    </row>
    <row r="2386" spans="1:17" x14ac:dyDescent="0.3">
      <c r="A2386">
        <v>126668</v>
      </c>
      <c r="B2386" s="1" t="s">
        <v>39</v>
      </c>
      <c r="C2386" s="1" t="s">
        <v>23</v>
      </c>
      <c r="D2386" s="1" t="s">
        <v>24</v>
      </c>
      <c r="E2386" s="1" t="s">
        <v>25</v>
      </c>
      <c r="F2386" s="1" t="s">
        <v>19</v>
      </c>
      <c r="G2386" s="1" t="s">
        <v>20</v>
      </c>
      <c r="H2386" t="s">
        <v>21</v>
      </c>
      <c r="I2386" s="1" t="s">
        <v>22</v>
      </c>
      <c r="J2386" s="2">
        <v>43532.118935185186</v>
      </c>
      <c r="K2386" s="2">
        <v>43537.118935185186</v>
      </c>
      <c r="L2386" s="2">
        <v>43537.118935185186</v>
      </c>
      <c r="M2386" s="1">
        <f>_xlfn.DAYS(Table1[[#This Row],[actual_delivery_date]],Table1[[#This Row],[dispatch_date]])</f>
        <v>5</v>
      </c>
      <c r="N2386">
        <v>39</v>
      </c>
      <c r="O2386">
        <f>Table1[[#This Row],[transit_storage_cost]] * (1-'What -if Analysis'!$D$26)</f>
        <v>39</v>
      </c>
      <c r="P2386">
        <v>122</v>
      </c>
      <c r="Q2386">
        <v>873</v>
      </c>
    </row>
    <row r="2387" spans="1:17" x14ac:dyDescent="0.3">
      <c r="A2387">
        <v>472903</v>
      </c>
      <c r="B2387" s="1" t="s">
        <v>15</v>
      </c>
      <c r="C2387" s="1" t="s">
        <v>23</v>
      </c>
      <c r="D2387" s="1" t="s">
        <v>16</v>
      </c>
      <c r="E2387" s="1" t="s">
        <v>27</v>
      </c>
      <c r="F2387" s="1" t="s">
        <v>29</v>
      </c>
      <c r="G2387" s="1" t="s">
        <v>20</v>
      </c>
      <c r="H2387" t="s">
        <v>30</v>
      </c>
      <c r="I2387" s="1" t="s">
        <v>22</v>
      </c>
      <c r="J2387" s="2">
        <v>43533.122499999998</v>
      </c>
      <c r="K2387" s="2">
        <v>43537.122499999998</v>
      </c>
      <c r="L2387" s="2">
        <v>43536.122499999998</v>
      </c>
      <c r="M2387" s="1">
        <f>_xlfn.DAYS(Table1[[#This Row],[actual_delivery_date]],Table1[[#This Row],[dispatch_date]])</f>
        <v>4</v>
      </c>
      <c r="N2387">
        <v>42</v>
      </c>
      <c r="O2387">
        <f>Table1[[#This Row],[transit_storage_cost]] * (1-'What -if Analysis'!$D$26)</f>
        <v>42</v>
      </c>
      <c r="P2387">
        <v>121</v>
      </c>
      <c r="Q2387">
        <v>1933</v>
      </c>
    </row>
    <row r="2388" spans="1:17" x14ac:dyDescent="0.3">
      <c r="A2388">
        <v>268256</v>
      </c>
      <c r="B2388" s="1" t="s">
        <v>37</v>
      </c>
      <c r="C2388" s="1" t="s">
        <v>23</v>
      </c>
      <c r="D2388" s="1" t="s">
        <v>16</v>
      </c>
      <c r="E2388" s="1" t="s">
        <v>27</v>
      </c>
      <c r="F2388" s="1" t="s">
        <v>19</v>
      </c>
      <c r="G2388" s="1" t="s">
        <v>20</v>
      </c>
      <c r="H2388" t="s">
        <v>21</v>
      </c>
      <c r="I2388" s="1" t="s">
        <v>22</v>
      </c>
      <c r="J2388" s="2">
        <v>43532.132951388892</v>
      </c>
      <c r="K2388" s="2">
        <v>43537.132951388892</v>
      </c>
      <c r="L2388" s="2">
        <v>43538.132951388892</v>
      </c>
      <c r="M2388" s="1">
        <f>_xlfn.DAYS(Table1[[#This Row],[actual_delivery_date]],Table1[[#This Row],[dispatch_date]])</f>
        <v>5</v>
      </c>
      <c r="N2388">
        <v>68</v>
      </c>
      <c r="O2388">
        <f>Table1[[#This Row],[transit_storage_cost]] * (1-'What -if Analysis'!$D$26)</f>
        <v>68</v>
      </c>
      <c r="P2388">
        <v>106</v>
      </c>
      <c r="Q2388">
        <v>1111.1958866446437</v>
      </c>
    </row>
    <row r="2389" spans="1:17" x14ac:dyDescent="0.3">
      <c r="A2389">
        <v>670323</v>
      </c>
      <c r="B2389" s="1" t="s">
        <v>38</v>
      </c>
      <c r="C2389" s="1" t="s">
        <v>23</v>
      </c>
      <c r="D2389" s="1" t="s">
        <v>32</v>
      </c>
      <c r="E2389" s="1" t="s">
        <v>33</v>
      </c>
      <c r="F2389" s="1" t="s">
        <v>29</v>
      </c>
      <c r="G2389" s="1" t="s">
        <v>20</v>
      </c>
      <c r="H2389" t="s">
        <v>30</v>
      </c>
      <c r="I2389" s="1" t="s">
        <v>26</v>
      </c>
      <c r="J2389" s="2">
        <v>43532.133252314816</v>
      </c>
      <c r="K2389" s="2">
        <v>43537.133252314816</v>
      </c>
      <c r="L2389" s="2">
        <v>43539.133252314816</v>
      </c>
      <c r="M2389" s="1">
        <f>_xlfn.DAYS(Table1[[#This Row],[actual_delivery_date]],Table1[[#This Row],[dispatch_date]])</f>
        <v>5</v>
      </c>
      <c r="N2389">
        <v>28</v>
      </c>
      <c r="O2389">
        <f>Table1[[#This Row],[transit_storage_cost]] * (1-'What -if Analysis'!$D$26)</f>
        <v>28</v>
      </c>
      <c r="P2389">
        <v>110</v>
      </c>
      <c r="Q2389">
        <v>3407.8360711928408</v>
      </c>
    </row>
    <row r="2390" spans="1:17" x14ac:dyDescent="0.3">
      <c r="A2390">
        <v>729069</v>
      </c>
      <c r="B2390" s="1" t="s">
        <v>38</v>
      </c>
      <c r="C2390" s="1" t="s">
        <v>16</v>
      </c>
      <c r="D2390" s="1" t="s">
        <v>24</v>
      </c>
      <c r="E2390" s="1" t="s">
        <v>25</v>
      </c>
      <c r="F2390" s="1" t="s">
        <v>29</v>
      </c>
      <c r="G2390" s="1" t="s">
        <v>20</v>
      </c>
      <c r="H2390" t="s">
        <v>30</v>
      </c>
      <c r="I2390" s="1" t="s">
        <v>26</v>
      </c>
      <c r="J2390" s="2">
        <v>43533.137615740743</v>
      </c>
      <c r="K2390" s="2">
        <v>43537.137615740743</v>
      </c>
      <c r="L2390" s="2">
        <v>43540.137615740743</v>
      </c>
      <c r="M2390" s="1">
        <f>_xlfn.DAYS(Table1[[#This Row],[actual_delivery_date]],Table1[[#This Row],[dispatch_date]])</f>
        <v>4</v>
      </c>
      <c r="N2390">
        <v>39</v>
      </c>
      <c r="O2390">
        <f>Table1[[#This Row],[transit_storage_cost]] * (1-'What -if Analysis'!$D$26)</f>
        <v>39</v>
      </c>
      <c r="P2390">
        <v>123</v>
      </c>
      <c r="Q2390">
        <v>1747.1805656640176</v>
      </c>
    </row>
    <row r="2391" spans="1:17" x14ac:dyDescent="0.3">
      <c r="A2391">
        <v>152660</v>
      </c>
      <c r="B2391" s="1" t="s">
        <v>39</v>
      </c>
      <c r="C2391" s="1" t="s">
        <v>16</v>
      </c>
      <c r="D2391" s="1" t="s">
        <v>24</v>
      </c>
      <c r="E2391" s="1" t="s">
        <v>25</v>
      </c>
      <c r="F2391" s="1" t="s">
        <v>19</v>
      </c>
      <c r="G2391" s="1" t="s">
        <v>20</v>
      </c>
      <c r="H2391" t="s">
        <v>21</v>
      </c>
      <c r="I2391" s="1" t="s">
        <v>22</v>
      </c>
      <c r="J2391" s="2">
        <v>43530.137812499997</v>
      </c>
      <c r="K2391" s="2">
        <v>43537.137812499997</v>
      </c>
      <c r="L2391" s="2">
        <v>43536.137812499997</v>
      </c>
      <c r="M2391" s="1">
        <f>_xlfn.DAYS(Table1[[#This Row],[actual_delivery_date]],Table1[[#This Row],[dispatch_date]])</f>
        <v>7</v>
      </c>
      <c r="N2391">
        <v>66</v>
      </c>
      <c r="O2391">
        <f>Table1[[#This Row],[transit_storage_cost]] * (1-'What -if Analysis'!$D$26)</f>
        <v>66</v>
      </c>
      <c r="P2391">
        <v>101</v>
      </c>
      <c r="Q2391">
        <v>2507.6658633935931</v>
      </c>
    </row>
    <row r="2392" spans="1:17" x14ac:dyDescent="0.3">
      <c r="A2392">
        <v>515470</v>
      </c>
      <c r="B2392" s="1" t="s">
        <v>38</v>
      </c>
      <c r="C2392" s="1" t="s">
        <v>16</v>
      </c>
      <c r="D2392" s="1" t="s">
        <v>16</v>
      </c>
      <c r="E2392" s="1" t="s">
        <v>27</v>
      </c>
      <c r="F2392" s="1" t="s">
        <v>19</v>
      </c>
      <c r="G2392" s="1" t="s">
        <v>20</v>
      </c>
      <c r="H2392" t="s">
        <v>21</v>
      </c>
      <c r="I2392" s="1" t="s">
        <v>22</v>
      </c>
      <c r="J2392" s="2">
        <v>43533.137962962966</v>
      </c>
      <c r="K2392" s="2">
        <v>43537.137962962966</v>
      </c>
      <c r="L2392" s="2">
        <v>43539.137962962966</v>
      </c>
      <c r="M2392" s="1">
        <f>_xlfn.DAYS(Table1[[#This Row],[actual_delivery_date]],Table1[[#This Row],[dispatch_date]])</f>
        <v>4</v>
      </c>
      <c r="N2392">
        <v>0</v>
      </c>
      <c r="O2392">
        <f>Table1[[#This Row],[transit_storage_cost]] * (1-'What -if Analysis'!$D$26)</f>
        <v>0</v>
      </c>
      <c r="P2392">
        <v>105</v>
      </c>
      <c r="Q2392">
        <v>2087.2321932797531</v>
      </c>
    </row>
    <row r="2393" spans="1:17" x14ac:dyDescent="0.3">
      <c r="A2393">
        <v>383826</v>
      </c>
      <c r="B2393" s="1" t="s">
        <v>41</v>
      </c>
      <c r="C2393" s="1" t="s">
        <v>23</v>
      </c>
      <c r="D2393" s="1" t="s">
        <v>17</v>
      </c>
      <c r="E2393" s="1" t="s">
        <v>18</v>
      </c>
      <c r="F2393" s="1" t="s">
        <v>31</v>
      </c>
      <c r="G2393" s="1" t="s">
        <v>20</v>
      </c>
      <c r="H2393" t="s">
        <v>21</v>
      </c>
      <c r="I2393" s="1" t="s">
        <v>26</v>
      </c>
      <c r="J2393" s="2">
        <v>43530.141597222224</v>
      </c>
      <c r="K2393" s="2">
        <v>43537.141597222224</v>
      </c>
      <c r="L2393" s="2">
        <v>43536.141597222224</v>
      </c>
      <c r="M2393" s="1">
        <f>_xlfn.DAYS(Table1[[#This Row],[actual_delivery_date]],Table1[[#This Row],[dispatch_date]])</f>
        <v>7</v>
      </c>
      <c r="N2393">
        <v>38</v>
      </c>
      <c r="O2393">
        <f>Table1[[#This Row],[transit_storage_cost]] * (1-'What -if Analysis'!$D$26)</f>
        <v>38</v>
      </c>
      <c r="P2393">
        <v>111</v>
      </c>
      <c r="Q2393">
        <v>436.93</v>
      </c>
    </row>
    <row r="2394" spans="1:17" x14ac:dyDescent="0.3">
      <c r="A2394">
        <v>279435</v>
      </c>
      <c r="B2394" s="1" t="s">
        <v>37</v>
      </c>
      <c r="C2394" s="1" t="s">
        <v>16</v>
      </c>
      <c r="D2394" s="1" t="s">
        <v>17</v>
      </c>
      <c r="E2394" s="1" t="s">
        <v>18</v>
      </c>
      <c r="F2394" s="1" t="s">
        <v>19</v>
      </c>
      <c r="G2394" s="1" t="s">
        <v>20</v>
      </c>
      <c r="H2394" t="s">
        <v>30</v>
      </c>
      <c r="I2394" s="1" t="s">
        <v>26</v>
      </c>
      <c r="J2394" s="2">
        <v>43535.141701388886</v>
      </c>
      <c r="K2394" s="2">
        <v>43537.141701388886</v>
      </c>
      <c r="L2394" s="2">
        <v>43541.141701388886</v>
      </c>
      <c r="M2394" s="1">
        <f>_xlfn.DAYS(Table1[[#This Row],[actual_delivery_date]],Table1[[#This Row],[dispatch_date]])</f>
        <v>2</v>
      </c>
      <c r="N2394">
        <v>78</v>
      </c>
      <c r="O2394">
        <f>Table1[[#This Row],[transit_storage_cost]] * (1-'What -if Analysis'!$D$26)</f>
        <v>78</v>
      </c>
      <c r="P2394">
        <v>89</v>
      </c>
      <c r="Q2394">
        <v>818.85600266756637</v>
      </c>
    </row>
    <row r="2395" spans="1:17" x14ac:dyDescent="0.3">
      <c r="A2395">
        <v>292447</v>
      </c>
      <c r="B2395" s="1" t="s">
        <v>38</v>
      </c>
      <c r="C2395" s="1" t="s">
        <v>23</v>
      </c>
      <c r="D2395" s="1" t="s">
        <v>32</v>
      </c>
      <c r="E2395" s="1" t="s">
        <v>33</v>
      </c>
      <c r="F2395" s="1" t="s">
        <v>29</v>
      </c>
      <c r="G2395" s="1" t="s">
        <v>20</v>
      </c>
      <c r="H2395" t="s">
        <v>30</v>
      </c>
      <c r="I2395" s="1" t="s">
        <v>22</v>
      </c>
      <c r="J2395" s="2">
        <v>43531.143194444441</v>
      </c>
      <c r="K2395" s="2">
        <v>43537.143194444441</v>
      </c>
      <c r="L2395" s="2">
        <v>43535.143194444441</v>
      </c>
      <c r="M2395" s="1">
        <f>_xlfn.DAYS(Table1[[#This Row],[actual_delivery_date]],Table1[[#This Row],[dispatch_date]])</f>
        <v>6</v>
      </c>
      <c r="N2395">
        <v>25</v>
      </c>
      <c r="O2395">
        <f>Table1[[#This Row],[transit_storage_cost]] * (1-'What -if Analysis'!$D$26)</f>
        <v>25</v>
      </c>
      <c r="P2395">
        <v>114</v>
      </c>
      <c r="Q2395">
        <v>1513</v>
      </c>
    </row>
    <row r="2396" spans="1:17" x14ac:dyDescent="0.3">
      <c r="A2396">
        <v>259300</v>
      </c>
      <c r="B2396" s="1" t="s">
        <v>38</v>
      </c>
      <c r="C2396" s="1" t="s">
        <v>23</v>
      </c>
      <c r="D2396" s="1" t="s">
        <v>32</v>
      </c>
      <c r="E2396" s="1" t="s">
        <v>33</v>
      </c>
      <c r="F2396" s="1" t="s">
        <v>19</v>
      </c>
      <c r="G2396" s="1" t="s">
        <v>20</v>
      </c>
      <c r="H2396" t="s">
        <v>21</v>
      </c>
      <c r="I2396" s="1" t="s">
        <v>22</v>
      </c>
      <c r="J2396" s="2">
        <v>43533.149675925924</v>
      </c>
      <c r="K2396" s="2">
        <v>43537.149675925924</v>
      </c>
      <c r="L2396" s="2">
        <v>43538.149675925924</v>
      </c>
      <c r="M2396" s="1">
        <f>_xlfn.DAYS(Table1[[#This Row],[actual_delivery_date]],Table1[[#This Row],[dispatch_date]])</f>
        <v>4</v>
      </c>
      <c r="N2396">
        <v>48</v>
      </c>
      <c r="O2396">
        <f>Table1[[#This Row],[transit_storage_cost]] * (1-'What -if Analysis'!$D$26)</f>
        <v>48</v>
      </c>
      <c r="P2396">
        <v>115</v>
      </c>
      <c r="Q2396">
        <v>2452.689386337433</v>
      </c>
    </row>
    <row r="2397" spans="1:17" x14ac:dyDescent="0.3">
      <c r="A2397">
        <v>652316</v>
      </c>
      <c r="B2397" s="1" t="s">
        <v>40</v>
      </c>
      <c r="C2397" s="1" t="s">
        <v>16</v>
      </c>
      <c r="D2397" s="1" t="s">
        <v>32</v>
      </c>
      <c r="E2397" s="1" t="s">
        <v>33</v>
      </c>
      <c r="F2397" s="1" t="s">
        <v>19</v>
      </c>
      <c r="G2397" s="1" t="s">
        <v>20</v>
      </c>
      <c r="H2397" t="s">
        <v>21</v>
      </c>
      <c r="I2397" s="1" t="s">
        <v>22</v>
      </c>
      <c r="J2397" s="2">
        <v>43531.150092592594</v>
      </c>
      <c r="K2397" s="2">
        <v>43537.150092592594</v>
      </c>
      <c r="L2397" s="2">
        <v>43538.150092592594</v>
      </c>
      <c r="M2397" s="1">
        <f>_xlfn.DAYS(Table1[[#This Row],[actual_delivery_date]],Table1[[#This Row],[dispatch_date]])</f>
        <v>6</v>
      </c>
      <c r="N2397">
        <v>65</v>
      </c>
      <c r="O2397">
        <f>Table1[[#This Row],[transit_storage_cost]] * (1-'What -if Analysis'!$D$26)</f>
        <v>65</v>
      </c>
      <c r="P2397">
        <v>87</v>
      </c>
      <c r="Q2397">
        <v>1637.9869393098318</v>
      </c>
    </row>
    <row r="2398" spans="1:17" x14ac:dyDescent="0.3">
      <c r="A2398">
        <v>294657</v>
      </c>
      <c r="B2398" s="1" t="s">
        <v>38</v>
      </c>
      <c r="C2398" s="1" t="s">
        <v>16</v>
      </c>
      <c r="D2398" s="1" t="s">
        <v>16</v>
      </c>
      <c r="E2398" s="1" t="s">
        <v>27</v>
      </c>
      <c r="F2398" s="1" t="s">
        <v>29</v>
      </c>
      <c r="G2398" s="1" t="s">
        <v>20</v>
      </c>
      <c r="H2398" t="s">
        <v>30</v>
      </c>
      <c r="I2398" s="1" t="s">
        <v>26</v>
      </c>
      <c r="J2398" s="2">
        <v>43532.156828703701</v>
      </c>
      <c r="K2398" s="2">
        <v>43537.156828703701</v>
      </c>
      <c r="L2398" s="2">
        <v>43536.156828703701</v>
      </c>
      <c r="M2398" s="1">
        <f>_xlfn.DAYS(Table1[[#This Row],[actual_delivery_date]],Table1[[#This Row],[dispatch_date]])</f>
        <v>5</v>
      </c>
      <c r="N2398">
        <v>0</v>
      </c>
      <c r="O2398">
        <f>Table1[[#This Row],[transit_storage_cost]] * (1-'What -if Analysis'!$D$26)</f>
        <v>0</v>
      </c>
      <c r="P2398">
        <v>128</v>
      </c>
      <c r="Q2398">
        <v>1102</v>
      </c>
    </row>
    <row r="2399" spans="1:17" x14ac:dyDescent="0.3">
      <c r="A2399">
        <v>153422</v>
      </c>
      <c r="B2399" s="1" t="s">
        <v>38</v>
      </c>
      <c r="C2399" s="1" t="s">
        <v>23</v>
      </c>
      <c r="D2399" s="1" t="s">
        <v>16</v>
      </c>
      <c r="E2399" s="1" t="s">
        <v>27</v>
      </c>
      <c r="F2399" s="1" t="s">
        <v>19</v>
      </c>
      <c r="G2399" s="1" t="s">
        <v>20</v>
      </c>
      <c r="H2399" t="s">
        <v>21</v>
      </c>
      <c r="I2399" s="1" t="s">
        <v>22</v>
      </c>
      <c r="J2399" s="2">
        <v>43532.159490740742</v>
      </c>
      <c r="K2399" s="2">
        <v>43537.159490740742</v>
      </c>
      <c r="L2399" s="2">
        <v>43535.159490740742</v>
      </c>
      <c r="M2399" s="1">
        <f>_xlfn.DAYS(Table1[[#This Row],[actual_delivery_date]],Table1[[#This Row],[dispatch_date]])</f>
        <v>5</v>
      </c>
      <c r="N2399">
        <v>81</v>
      </c>
      <c r="O2399">
        <f>Table1[[#This Row],[transit_storage_cost]] * (1-'What -if Analysis'!$D$26)</f>
        <v>81</v>
      </c>
      <c r="P2399">
        <v>108</v>
      </c>
      <c r="Q2399">
        <v>3594.2636754188693</v>
      </c>
    </row>
    <row r="2400" spans="1:17" x14ac:dyDescent="0.3">
      <c r="A2400">
        <v>528265</v>
      </c>
      <c r="B2400" s="1" t="s">
        <v>40</v>
      </c>
      <c r="C2400" s="1" t="s">
        <v>16</v>
      </c>
      <c r="D2400" s="1" t="s">
        <v>23</v>
      </c>
      <c r="E2400" s="1" t="s">
        <v>28</v>
      </c>
      <c r="F2400" s="1" t="s">
        <v>29</v>
      </c>
      <c r="G2400" s="1" t="s">
        <v>20</v>
      </c>
      <c r="H2400" t="s">
        <v>30</v>
      </c>
      <c r="I2400" s="1" t="s">
        <v>22</v>
      </c>
      <c r="J2400" s="2">
        <v>43531.160069444442</v>
      </c>
      <c r="K2400" s="2">
        <v>43537.160069444442</v>
      </c>
      <c r="L2400" s="2">
        <v>43534.160069444442</v>
      </c>
      <c r="M2400" s="1">
        <f>_xlfn.DAYS(Table1[[#This Row],[actual_delivery_date]],Table1[[#This Row],[dispatch_date]])</f>
        <v>6</v>
      </c>
      <c r="N2400">
        <v>44</v>
      </c>
      <c r="O2400">
        <f>Table1[[#This Row],[transit_storage_cost]] * (1-'What -if Analysis'!$D$26)</f>
        <v>44</v>
      </c>
      <c r="P2400">
        <v>126</v>
      </c>
      <c r="Q2400">
        <v>3781.4322517664391</v>
      </c>
    </row>
    <row r="2401" spans="1:17" x14ac:dyDescent="0.3">
      <c r="A2401">
        <v>179056</v>
      </c>
      <c r="B2401" s="1" t="s">
        <v>15</v>
      </c>
      <c r="C2401" s="1" t="s">
        <v>16</v>
      </c>
      <c r="D2401" s="1" t="s">
        <v>23</v>
      </c>
      <c r="E2401" s="1" t="s">
        <v>28</v>
      </c>
      <c r="F2401" s="1" t="s">
        <v>19</v>
      </c>
      <c r="G2401" s="1" t="s">
        <v>20</v>
      </c>
      <c r="H2401" t="s">
        <v>21</v>
      </c>
      <c r="I2401" s="1" t="s">
        <v>22</v>
      </c>
      <c r="J2401" s="2">
        <v>43532.163402777776</v>
      </c>
      <c r="K2401" s="2">
        <v>43537.163402777776</v>
      </c>
      <c r="L2401" s="2">
        <v>43536.163402777776</v>
      </c>
      <c r="M2401" s="1">
        <f>_xlfn.DAYS(Table1[[#This Row],[actual_delivery_date]],Table1[[#This Row],[dispatch_date]])</f>
        <v>5</v>
      </c>
      <c r="N2401">
        <v>77</v>
      </c>
      <c r="O2401">
        <f>Table1[[#This Row],[transit_storage_cost]] * (1-'What -if Analysis'!$D$26)</f>
        <v>77</v>
      </c>
      <c r="P2401">
        <v>109</v>
      </c>
      <c r="Q2401">
        <v>2815.1887758523467</v>
      </c>
    </row>
    <row r="2402" spans="1:17" x14ac:dyDescent="0.3">
      <c r="A2402">
        <v>301178</v>
      </c>
      <c r="B2402" s="1" t="s">
        <v>38</v>
      </c>
      <c r="C2402" s="1" t="s">
        <v>16</v>
      </c>
      <c r="D2402" s="1" t="s">
        <v>23</v>
      </c>
      <c r="E2402" s="1" t="s">
        <v>28</v>
      </c>
      <c r="F2402" s="1" t="s">
        <v>31</v>
      </c>
      <c r="G2402" s="1" t="s">
        <v>20</v>
      </c>
      <c r="H2402" t="s">
        <v>21</v>
      </c>
      <c r="I2402" s="1" t="s">
        <v>22</v>
      </c>
      <c r="J2402" s="2">
        <v>43533.163738425923</v>
      </c>
      <c r="K2402" s="2">
        <v>43537.163738425923</v>
      </c>
      <c r="L2402" s="2">
        <v>43538.163738425923</v>
      </c>
      <c r="M2402" s="1">
        <f>_xlfn.DAYS(Table1[[#This Row],[actual_delivery_date]],Table1[[#This Row],[dispatch_date]])</f>
        <v>4</v>
      </c>
      <c r="N2402">
        <v>49</v>
      </c>
      <c r="O2402">
        <f>Table1[[#This Row],[transit_storage_cost]] * (1-'What -if Analysis'!$D$26)</f>
        <v>49</v>
      </c>
      <c r="P2402">
        <v>122</v>
      </c>
      <c r="Q2402">
        <v>2922</v>
      </c>
    </row>
    <row r="2403" spans="1:17" x14ac:dyDescent="0.3">
      <c r="A2403">
        <v>121040</v>
      </c>
      <c r="B2403" s="1" t="s">
        <v>41</v>
      </c>
      <c r="C2403" s="1" t="s">
        <v>16</v>
      </c>
      <c r="D2403" s="1" t="s">
        <v>24</v>
      </c>
      <c r="E2403" s="1" t="s">
        <v>25</v>
      </c>
      <c r="F2403" s="1" t="s">
        <v>19</v>
      </c>
      <c r="G2403" s="1" t="s">
        <v>20</v>
      </c>
      <c r="H2403" t="s">
        <v>21</v>
      </c>
      <c r="I2403" s="1" t="s">
        <v>22</v>
      </c>
      <c r="J2403" s="2">
        <v>43526.167870370373</v>
      </c>
      <c r="K2403" s="2">
        <v>43537.167870370373</v>
      </c>
      <c r="L2403" s="2">
        <v>43529.167870370373</v>
      </c>
      <c r="M2403" s="1">
        <f>_xlfn.DAYS(Table1[[#This Row],[actual_delivery_date]],Table1[[#This Row],[dispatch_date]])</f>
        <v>11</v>
      </c>
      <c r="N2403">
        <v>60</v>
      </c>
      <c r="O2403">
        <f>Table1[[#This Row],[transit_storage_cost]] * (1-'What -if Analysis'!$D$26)</f>
        <v>60</v>
      </c>
      <c r="P2403">
        <v>103</v>
      </c>
      <c r="Q2403">
        <v>2217.9110099178574</v>
      </c>
    </row>
    <row r="2404" spans="1:17" x14ac:dyDescent="0.3">
      <c r="A2404">
        <v>415090</v>
      </c>
      <c r="B2404" s="1" t="s">
        <v>37</v>
      </c>
      <c r="C2404" s="1" t="s">
        <v>16</v>
      </c>
      <c r="D2404" s="1" t="s">
        <v>16</v>
      </c>
      <c r="E2404" s="1" t="s">
        <v>27</v>
      </c>
      <c r="F2404" s="1" t="s">
        <v>31</v>
      </c>
      <c r="G2404" s="1" t="s">
        <v>20</v>
      </c>
      <c r="H2404" t="s">
        <v>21</v>
      </c>
      <c r="I2404" s="1" t="s">
        <v>22</v>
      </c>
      <c r="J2404" s="2">
        <v>43531.174143518518</v>
      </c>
      <c r="K2404" s="2">
        <v>43537.174143518518</v>
      </c>
      <c r="L2404" s="2">
        <v>43536.174143518518</v>
      </c>
      <c r="M2404" s="1">
        <f>_xlfn.DAYS(Table1[[#This Row],[actual_delivery_date]],Table1[[#This Row],[dispatch_date]])</f>
        <v>6</v>
      </c>
      <c r="N2404">
        <v>0</v>
      </c>
      <c r="O2404">
        <f>Table1[[#This Row],[transit_storage_cost]] * (1-'What -if Analysis'!$D$26)</f>
        <v>0</v>
      </c>
      <c r="P2404">
        <v>130</v>
      </c>
      <c r="Q2404">
        <v>2022.9819549575743</v>
      </c>
    </row>
    <row r="2405" spans="1:17" x14ac:dyDescent="0.3">
      <c r="A2405">
        <v>191631</v>
      </c>
      <c r="B2405" s="1" t="s">
        <v>37</v>
      </c>
      <c r="C2405" s="1" t="s">
        <v>23</v>
      </c>
      <c r="D2405" s="1" t="s">
        <v>17</v>
      </c>
      <c r="E2405" s="1" t="s">
        <v>18</v>
      </c>
      <c r="F2405" s="1" t="s">
        <v>29</v>
      </c>
      <c r="G2405" s="1" t="s">
        <v>20</v>
      </c>
      <c r="H2405" t="s">
        <v>30</v>
      </c>
      <c r="I2405" s="1" t="s">
        <v>26</v>
      </c>
      <c r="J2405" s="2">
        <v>43533.182638888888</v>
      </c>
      <c r="K2405" s="2">
        <v>43537.182638888888</v>
      </c>
      <c r="L2405" s="2">
        <v>43539.182638888888</v>
      </c>
      <c r="M2405" s="1">
        <f>_xlfn.DAYS(Table1[[#This Row],[actual_delivery_date]],Table1[[#This Row],[dispatch_date]])</f>
        <v>4</v>
      </c>
      <c r="N2405">
        <v>44</v>
      </c>
      <c r="O2405">
        <f>Table1[[#This Row],[transit_storage_cost]] * (1-'What -if Analysis'!$D$26)</f>
        <v>44</v>
      </c>
      <c r="P2405">
        <v>105</v>
      </c>
      <c r="Q2405">
        <v>2323.5631213022311</v>
      </c>
    </row>
    <row r="2406" spans="1:17" x14ac:dyDescent="0.3">
      <c r="A2406">
        <v>159296</v>
      </c>
      <c r="B2406" s="1" t="s">
        <v>41</v>
      </c>
      <c r="C2406" s="1" t="s">
        <v>16</v>
      </c>
      <c r="D2406" s="1" t="s">
        <v>32</v>
      </c>
      <c r="E2406" s="1" t="s">
        <v>33</v>
      </c>
      <c r="F2406" s="1" t="s">
        <v>19</v>
      </c>
      <c r="G2406" s="1" t="s">
        <v>20</v>
      </c>
      <c r="H2406" t="s">
        <v>21</v>
      </c>
      <c r="I2406" s="1" t="s">
        <v>22</v>
      </c>
      <c r="J2406" s="2">
        <v>43533.186388888891</v>
      </c>
      <c r="K2406" s="2">
        <v>43537.186388888891</v>
      </c>
      <c r="L2406" s="2">
        <v>43537.186388888891</v>
      </c>
      <c r="M2406" s="1">
        <f>_xlfn.DAYS(Table1[[#This Row],[actual_delivery_date]],Table1[[#This Row],[dispatch_date]])</f>
        <v>4</v>
      </c>
      <c r="N2406">
        <v>33</v>
      </c>
      <c r="O2406">
        <f>Table1[[#This Row],[transit_storage_cost]] * (1-'What -if Analysis'!$D$26)</f>
        <v>33</v>
      </c>
      <c r="P2406">
        <v>107</v>
      </c>
      <c r="Q2406">
        <v>909.77075274997947</v>
      </c>
    </row>
    <row r="2407" spans="1:17" x14ac:dyDescent="0.3">
      <c r="A2407">
        <v>261580</v>
      </c>
      <c r="B2407" s="1" t="s">
        <v>38</v>
      </c>
      <c r="C2407" s="1" t="s">
        <v>16</v>
      </c>
      <c r="D2407" s="1" t="s">
        <v>16</v>
      </c>
      <c r="E2407" s="1" t="s">
        <v>27</v>
      </c>
      <c r="F2407" s="1" t="s">
        <v>19</v>
      </c>
      <c r="G2407" s="1" t="s">
        <v>20</v>
      </c>
      <c r="H2407" t="s">
        <v>21</v>
      </c>
      <c r="I2407" s="1" t="s">
        <v>22</v>
      </c>
      <c r="J2407" s="2">
        <v>43532.186620370368</v>
      </c>
      <c r="K2407" s="2">
        <v>43537.186620370368</v>
      </c>
      <c r="L2407" s="2">
        <v>43538.186620370368</v>
      </c>
      <c r="M2407" s="1">
        <f>_xlfn.DAYS(Table1[[#This Row],[actual_delivery_date]],Table1[[#This Row],[dispatch_date]])</f>
        <v>5</v>
      </c>
      <c r="N2407">
        <v>0</v>
      </c>
      <c r="O2407">
        <f>Table1[[#This Row],[transit_storage_cost]] * (1-'What -if Analysis'!$D$26)</f>
        <v>0</v>
      </c>
      <c r="P2407">
        <v>105</v>
      </c>
      <c r="Q2407">
        <v>913.11684513007333</v>
      </c>
    </row>
    <row r="2408" spans="1:17" x14ac:dyDescent="0.3">
      <c r="A2408">
        <v>917459</v>
      </c>
      <c r="B2408" s="1" t="s">
        <v>38</v>
      </c>
      <c r="C2408" s="1" t="s">
        <v>16</v>
      </c>
      <c r="D2408" s="1" t="s">
        <v>16</v>
      </c>
      <c r="E2408" s="1" t="s">
        <v>27</v>
      </c>
      <c r="F2408" s="1" t="s">
        <v>19</v>
      </c>
      <c r="G2408" s="1" t="s">
        <v>20</v>
      </c>
      <c r="H2408" t="s">
        <v>30</v>
      </c>
      <c r="I2408" s="1" t="s">
        <v>22</v>
      </c>
      <c r="J2408" s="2">
        <v>43537.188506944447</v>
      </c>
      <c r="K2408" s="2">
        <v>43537.188506944447</v>
      </c>
      <c r="L2408" s="2">
        <v>43542.188506944447</v>
      </c>
      <c r="M2408" s="1">
        <f>_xlfn.DAYS(Table1[[#This Row],[actual_delivery_date]],Table1[[#This Row],[dispatch_date]])</f>
        <v>0</v>
      </c>
      <c r="N2408">
        <v>0</v>
      </c>
      <c r="O2408">
        <f>Table1[[#This Row],[transit_storage_cost]] * (1-'What -if Analysis'!$D$26)</f>
        <v>0</v>
      </c>
      <c r="P2408">
        <v>104</v>
      </c>
      <c r="Q2408">
        <v>2720.194092496607</v>
      </c>
    </row>
    <row r="2409" spans="1:17" x14ac:dyDescent="0.3">
      <c r="A2409">
        <v>893588</v>
      </c>
      <c r="B2409" s="1" t="s">
        <v>37</v>
      </c>
      <c r="C2409" s="1" t="s">
        <v>23</v>
      </c>
      <c r="D2409" s="1" t="s">
        <v>17</v>
      </c>
      <c r="E2409" s="1" t="s">
        <v>18</v>
      </c>
      <c r="F2409" s="1" t="s">
        <v>19</v>
      </c>
      <c r="G2409" s="1" t="s">
        <v>20</v>
      </c>
      <c r="H2409" t="s">
        <v>21</v>
      </c>
      <c r="I2409" s="1" t="s">
        <v>22</v>
      </c>
      <c r="J2409" s="2">
        <v>43535.189826388887</v>
      </c>
      <c r="K2409" s="2">
        <v>43537.189826388887</v>
      </c>
      <c r="L2409" s="2">
        <v>43540.189826388887</v>
      </c>
      <c r="M2409" s="1">
        <f>_xlfn.DAYS(Table1[[#This Row],[actual_delivery_date]],Table1[[#This Row],[dispatch_date]])</f>
        <v>2</v>
      </c>
      <c r="N2409">
        <v>35</v>
      </c>
      <c r="O2409">
        <f>Table1[[#This Row],[transit_storage_cost]] * (1-'What -if Analysis'!$D$26)</f>
        <v>35</v>
      </c>
      <c r="P2409">
        <v>112</v>
      </c>
      <c r="Q2409">
        <v>1963.5860886932485</v>
      </c>
    </row>
    <row r="2410" spans="1:17" x14ac:dyDescent="0.3">
      <c r="A2410">
        <v>758322</v>
      </c>
      <c r="B2410" s="1" t="s">
        <v>39</v>
      </c>
      <c r="C2410" s="1" t="s">
        <v>16</v>
      </c>
      <c r="D2410" s="1" t="s">
        <v>17</v>
      </c>
      <c r="E2410" s="1" t="s">
        <v>18</v>
      </c>
      <c r="F2410" s="1" t="s">
        <v>31</v>
      </c>
      <c r="G2410" s="1" t="s">
        <v>20</v>
      </c>
      <c r="H2410" t="s">
        <v>21</v>
      </c>
      <c r="I2410" s="1" t="s">
        <v>26</v>
      </c>
      <c r="J2410" s="2">
        <v>43533.196053240739</v>
      </c>
      <c r="K2410" s="2">
        <v>43537.196053240739</v>
      </c>
      <c r="L2410" s="2">
        <v>43539.196053240739</v>
      </c>
      <c r="M2410" s="1">
        <f>_xlfn.DAYS(Table1[[#This Row],[actual_delivery_date]],Table1[[#This Row],[dispatch_date]])</f>
        <v>4</v>
      </c>
      <c r="N2410">
        <v>49</v>
      </c>
      <c r="O2410">
        <f>Table1[[#This Row],[transit_storage_cost]] * (1-'What -if Analysis'!$D$26)</f>
        <v>49</v>
      </c>
      <c r="P2410">
        <v>114</v>
      </c>
      <c r="Q2410">
        <v>3606.4301741350073</v>
      </c>
    </row>
    <row r="2411" spans="1:17" x14ac:dyDescent="0.3">
      <c r="A2411">
        <v>58818</v>
      </c>
      <c r="B2411" s="1" t="s">
        <v>38</v>
      </c>
      <c r="C2411" s="1" t="s">
        <v>23</v>
      </c>
      <c r="D2411" s="1" t="s">
        <v>17</v>
      </c>
      <c r="E2411" s="1" t="s">
        <v>18</v>
      </c>
      <c r="F2411" s="1" t="s">
        <v>31</v>
      </c>
      <c r="G2411" s="1" t="s">
        <v>20</v>
      </c>
      <c r="H2411" t="s">
        <v>21</v>
      </c>
      <c r="I2411" s="1" t="s">
        <v>26</v>
      </c>
      <c r="J2411" s="2">
        <v>43530.197523148148</v>
      </c>
      <c r="K2411" s="2">
        <v>43537.197523148148</v>
      </c>
      <c r="L2411" s="2">
        <v>43534.197523148148</v>
      </c>
      <c r="M2411" s="1">
        <f>_xlfn.DAYS(Table1[[#This Row],[actual_delivery_date]],Table1[[#This Row],[dispatch_date]])</f>
        <v>7</v>
      </c>
      <c r="N2411">
        <v>42</v>
      </c>
      <c r="O2411">
        <f>Table1[[#This Row],[transit_storage_cost]] * (1-'What -if Analysis'!$D$26)</f>
        <v>42</v>
      </c>
      <c r="P2411">
        <v>114</v>
      </c>
      <c r="Q2411">
        <v>1864.1265064393335</v>
      </c>
    </row>
    <row r="2412" spans="1:17" x14ac:dyDescent="0.3">
      <c r="A2412">
        <v>186519</v>
      </c>
      <c r="B2412" s="1" t="s">
        <v>37</v>
      </c>
      <c r="C2412" s="1" t="s">
        <v>23</v>
      </c>
      <c r="D2412" s="1" t="s">
        <v>16</v>
      </c>
      <c r="E2412" s="1" t="s">
        <v>27</v>
      </c>
      <c r="F2412" s="1" t="s">
        <v>29</v>
      </c>
      <c r="G2412" s="1" t="s">
        <v>20</v>
      </c>
      <c r="H2412" t="s">
        <v>30</v>
      </c>
      <c r="I2412" s="1" t="s">
        <v>26</v>
      </c>
      <c r="J2412" s="2">
        <v>43533.202256944445</v>
      </c>
      <c r="K2412" s="2">
        <v>43537.202256944445</v>
      </c>
      <c r="L2412" s="2">
        <v>43538.202256944445</v>
      </c>
      <c r="M2412" s="1">
        <f>_xlfn.DAYS(Table1[[#This Row],[actual_delivery_date]],Table1[[#This Row],[dispatch_date]])</f>
        <v>4</v>
      </c>
      <c r="N2412">
        <v>35</v>
      </c>
      <c r="O2412">
        <f>Table1[[#This Row],[transit_storage_cost]] * (1-'What -if Analysis'!$D$26)</f>
        <v>35</v>
      </c>
      <c r="P2412">
        <v>127</v>
      </c>
      <c r="Q2412">
        <v>2940.9286407443005</v>
      </c>
    </row>
    <row r="2413" spans="1:17" x14ac:dyDescent="0.3">
      <c r="A2413">
        <v>522881</v>
      </c>
      <c r="B2413" s="1" t="s">
        <v>38</v>
      </c>
      <c r="C2413" s="1" t="s">
        <v>23</v>
      </c>
      <c r="D2413" s="1" t="s">
        <v>16</v>
      </c>
      <c r="E2413" s="1" t="s">
        <v>27</v>
      </c>
      <c r="F2413" s="1" t="s">
        <v>19</v>
      </c>
      <c r="G2413" s="1" t="s">
        <v>20</v>
      </c>
      <c r="H2413" t="s">
        <v>30</v>
      </c>
      <c r="I2413" s="1" t="s">
        <v>22</v>
      </c>
      <c r="J2413" s="2">
        <v>43535.202557870369</v>
      </c>
      <c r="K2413" s="2">
        <v>43537.202557870369</v>
      </c>
      <c r="L2413" s="2">
        <v>43542.202557870369</v>
      </c>
      <c r="M2413" s="1">
        <f>_xlfn.DAYS(Table1[[#This Row],[actual_delivery_date]],Table1[[#This Row],[dispatch_date]])</f>
        <v>2</v>
      </c>
      <c r="N2413">
        <v>69</v>
      </c>
      <c r="O2413">
        <f>Table1[[#This Row],[transit_storage_cost]] * (1-'What -if Analysis'!$D$26)</f>
        <v>69</v>
      </c>
      <c r="P2413">
        <v>108</v>
      </c>
      <c r="Q2413">
        <v>3549</v>
      </c>
    </row>
    <row r="2414" spans="1:17" x14ac:dyDescent="0.3">
      <c r="A2414">
        <v>721238</v>
      </c>
      <c r="B2414" s="1" t="s">
        <v>15</v>
      </c>
      <c r="C2414" s="1" t="s">
        <v>16</v>
      </c>
      <c r="D2414" s="1" t="s">
        <v>17</v>
      </c>
      <c r="E2414" s="1" t="s">
        <v>18</v>
      </c>
      <c r="F2414" s="1" t="s">
        <v>31</v>
      </c>
      <c r="G2414" s="1" t="s">
        <v>20</v>
      </c>
      <c r="H2414" t="s">
        <v>21</v>
      </c>
      <c r="I2414" s="1" t="s">
        <v>22</v>
      </c>
      <c r="J2414" s="2">
        <v>43533.204062500001</v>
      </c>
      <c r="K2414" s="2">
        <v>43537.204062500001</v>
      </c>
      <c r="L2414" s="2">
        <v>43537.204062500001</v>
      </c>
      <c r="M2414" s="1">
        <f>_xlfn.DAYS(Table1[[#This Row],[actual_delivery_date]],Table1[[#This Row],[dispatch_date]])</f>
        <v>4</v>
      </c>
      <c r="N2414">
        <v>47</v>
      </c>
      <c r="O2414">
        <f>Table1[[#This Row],[transit_storage_cost]] * (1-'What -if Analysis'!$D$26)</f>
        <v>47</v>
      </c>
      <c r="P2414">
        <v>113</v>
      </c>
      <c r="Q2414">
        <v>3159</v>
      </c>
    </row>
    <row r="2415" spans="1:17" x14ac:dyDescent="0.3">
      <c r="A2415">
        <v>385095</v>
      </c>
      <c r="B2415" s="1" t="s">
        <v>38</v>
      </c>
      <c r="C2415" s="1" t="s">
        <v>23</v>
      </c>
      <c r="D2415" s="1" t="s">
        <v>17</v>
      </c>
      <c r="E2415" s="1" t="s">
        <v>18</v>
      </c>
      <c r="F2415" s="1" t="s">
        <v>29</v>
      </c>
      <c r="G2415" s="1" t="s">
        <v>20</v>
      </c>
      <c r="H2415" t="s">
        <v>30</v>
      </c>
      <c r="I2415" s="1" t="s">
        <v>26</v>
      </c>
      <c r="J2415" s="2">
        <v>43533.209687499999</v>
      </c>
      <c r="K2415" s="2">
        <v>43537.209687499999</v>
      </c>
      <c r="L2415" s="2">
        <v>43536.209687499999</v>
      </c>
      <c r="M2415" s="1">
        <f>_xlfn.DAYS(Table1[[#This Row],[actual_delivery_date]],Table1[[#This Row],[dispatch_date]])</f>
        <v>4</v>
      </c>
      <c r="N2415">
        <v>35</v>
      </c>
      <c r="O2415">
        <f>Table1[[#This Row],[transit_storage_cost]] * (1-'What -if Analysis'!$D$26)</f>
        <v>35</v>
      </c>
      <c r="P2415">
        <v>108</v>
      </c>
      <c r="Q2415">
        <v>3098.1239858139179</v>
      </c>
    </row>
    <row r="2416" spans="1:17" x14ac:dyDescent="0.3">
      <c r="A2416">
        <v>164696</v>
      </c>
      <c r="B2416" s="1" t="s">
        <v>37</v>
      </c>
      <c r="C2416" s="1" t="s">
        <v>16</v>
      </c>
      <c r="D2416" s="1" t="s">
        <v>23</v>
      </c>
      <c r="E2416" s="1" t="s">
        <v>28</v>
      </c>
      <c r="F2416" s="1" t="s">
        <v>19</v>
      </c>
      <c r="G2416" s="1" t="s">
        <v>20</v>
      </c>
      <c r="H2416" t="s">
        <v>21</v>
      </c>
      <c r="I2416" s="1" t="s">
        <v>22</v>
      </c>
      <c r="J2416" s="2">
        <v>43535.2184837963</v>
      </c>
      <c r="K2416" s="2">
        <v>43537.2184837963</v>
      </c>
      <c r="L2416" s="2">
        <v>43542.2184837963</v>
      </c>
      <c r="M2416" s="1">
        <f>_xlfn.DAYS(Table1[[#This Row],[actual_delivery_date]],Table1[[#This Row],[dispatch_date]])</f>
        <v>2</v>
      </c>
      <c r="N2416">
        <v>73</v>
      </c>
      <c r="O2416">
        <f>Table1[[#This Row],[transit_storage_cost]] * (1-'What -if Analysis'!$D$26)</f>
        <v>73</v>
      </c>
      <c r="P2416">
        <v>108</v>
      </c>
      <c r="Q2416">
        <v>1005</v>
      </c>
    </row>
    <row r="2417" spans="1:17" x14ac:dyDescent="0.3">
      <c r="A2417">
        <v>256986</v>
      </c>
      <c r="B2417" s="1" t="s">
        <v>38</v>
      </c>
      <c r="C2417" s="1" t="s">
        <v>16</v>
      </c>
      <c r="D2417" s="1" t="s">
        <v>16</v>
      </c>
      <c r="E2417" s="1" t="s">
        <v>27</v>
      </c>
      <c r="F2417" s="1" t="s">
        <v>19</v>
      </c>
      <c r="G2417" s="1" t="s">
        <v>20</v>
      </c>
      <c r="H2417" t="s">
        <v>21</v>
      </c>
      <c r="I2417" s="1" t="s">
        <v>26</v>
      </c>
      <c r="J2417" s="2">
        <v>43536.230324074073</v>
      </c>
      <c r="K2417" s="2">
        <v>43537.230324074073</v>
      </c>
      <c r="L2417" s="2">
        <v>43542.230324074073</v>
      </c>
      <c r="M2417" s="1">
        <f>_xlfn.DAYS(Table1[[#This Row],[actual_delivery_date]],Table1[[#This Row],[dispatch_date]])</f>
        <v>1</v>
      </c>
      <c r="N2417">
        <v>0</v>
      </c>
      <c r="O2417">
        <f>Table1[[#This Row],[transit_storage_cost]] * (1-'What -if Analysis'!$D$26)</f>
        <v>0</v>
      </c>
      <c r="P2417">
        <v>106</v>
      </c>
      <c r="Q2417">
        <v>841.75518137592996</v>
      </c>
    </row>
    <row r="2418" spans="1:17" x14ac:dyDescent="0.3">
      <c r="A2418">
        <v>756998</v>
      </c>
      <c r="B2418" s="1" t="s">
        <v>41</v>
      </c>
      <c r="C2418" s="1" t="s">
        <v>16</v>
      </c>
      <c r="D2418" s="1" t="s">
        <v>24</v>
      </c>
      <c r="E2418" s="1" t="s">
        <v>25</v>
      </c>
      <c r="F2418" s="1" t="s">
        <v>31</v>
      </c>
      <c r="G2418" s="1" t="s">
        <v>20</v>
      </c>
      <c r="H2418" t="s">
        <v>21</v>
      </c>
      <c r="I2418" s="1" t="s">
        <v>22</v>
      </c>
      <c r="J2418" s="2">
        <v>43532.230694444443</v>
      </c>
      <c r="K2418" s="2">
        <v>43537.230694444443</v>
      </c>
      <c r="L2418" s="2">
        <v>43536.230694444443</v>
      </c>
      <c r="M2418" s="1">
        <f>_xlfn.DAYS(Table1[[#This Row],[actual_delivery_date]],Table1[[#This Row],[dispatch_date]])</f>
        <v>5</v>
      </c>
      <c r="N2418">
        <v>47</v>
      </c>
      <c r="O2418">
        <f>Table1[[#This Row],[transit_storage_cost]] * (1-'What -if Analysis'!$D$26)</f>
        <v>47</v>
      </c>
      <c r="P2418">
        <v>129</v>
      </c>
      <c r="Q2418">
        <v>2692.8254422241798</v>
      </c>
    </row>
    <row r="2419" spans="1:17" x14ac:dyDescent="0.3">
      <c r="A2419">
        <v>482733</v>
      </c>
      <c r="B2419" s="1" t="s">
        <v>38</v>
      </c>
      <c r="C2419" s="1" t="s">
        <v>16</v>
      </c>
      <c r="D2419" s="1" t="s">
        <v>17</v>
      </c>
      <c r="E2419" s="1" t="s">
        <v>18</v>
      </c>
      <c r="F2419" s="1" t="s">
        <v>29</v>
      </c>
      <c r="G2419" s="1" t="s">
        <v>20</v>
      </c>
      <c r="H2419" t="s">
        <v>30</v>
      </c>
      <c r="I2419" s="1" t="s">
        <v>26</v>
      </c>
      <c r="J2419" s="2">
        <v>43530.231388888889</v>
      </c>
      <c r="K2419" s="2">
        <v>43537.231388888889</v>
      </c>
      <c r="L2419" s="2">
        <v>43536.231388888889</v>
      </c>
      <c r="M2419" s="1">
        <f>_xlfn.DAYS(Table1[[#This Row],[actual_delivery_date]],Table1[[#This Row],[dispatch_date]])</f>
        <v>7</v>
      </c>
      <c r="N2419">
        <v>28</v>
      </c>
      <c r="O2419">
        <f>Table1[[#This Row],[transit_storage_cost]] * (1-'What -if Analysis'!$D$26)</f>
        <v>28</v>
      </c>
      <c r="P2419">
        <v>105</v>
      </c>
      <c r="Q2419">
        <v>1873.2521344824879</v>
      </c>
    </row>
    <row r="2420" spans="1:17" x14ac:dyDescent="0.3">
      <c r="A2420">
        <v>13723</v>
      </c>
      <c r="B2420" s="1" t="s">
        <v>37</v>
      </c>
      <c r="C2420" s="1" t="s">
        <v>16</v>
      </c>
      <c r="D2420" s="1" t="s">
        <v>17</v>
      </c>
      <c r="E2420" s="1" t="s">
        <v>18</v>
      </c>
      <c r="F2420" s="1" t="s">
        <v>29</v>
      </c>
      <c r="G2420" s="1" t="s">
        <v>20</v>
      </c>
      <c r="H2420" t="s">
        <v>30</v>
      </c>
      <c r="I2420" s="1" t="s">
        <v>22</v>
      </c>
      <c r="J2420" s="2">
        <v>43533.231412037036</v>
      </c>
      <c r="K2420" s="2">
        <v>43537.231412037036</v>
      </c>
      <c r="L2420" s="2">
        <v>43536.231412037036</v>
      </c>
      <c r="M2420" s="1">
        <f>_xlfn.DAYS(Table1[[#This Row],[actual_delivery_date]],Table1[[#This Row],[dispatch_date]])</f>
        <v>4</v>
      </c>
      <c r="N2420">
        <v>48</v>
      </c>
      <c r="O2420">
        <f>Table1[[#This Row],[transit_storage_cost]] * (1-'What -if Analysis'!$D$26)</f>
        <v>48</v>
      </c>
      <c r="P2420">
        <v>115</v>
      </c>
      <c r="Q2420">
        <v>1275.0814732536749</v>
      </c>
    </row>
    <row r="2421" spans="1:17" x14ac:dyDescent="0.3">
      <c r="A2421">
        <v>222135</v>
      </c>
      <c r="B2421" s="1" t="s">
        <v>38</v>
      </c>
      <c r="C2421" s="1" t="s">
        <v>23</v>
      </c>
      <c r="D2421" s="1" t="s">
        <v>17</v>
      </c>
      <c r="E2421" s="1" t="s">
        <v>18</v>
      </c>
      <c r="F2421" s="1" t="s">
        <v>29</v>
      </c>
      <c r="G2421" s="1" t="s">
        <v>20</v>
      </c>
      <c r="H2421" t="s">
        <v>30</v>
      </c>
      <c r="I2421" s="1" t="s">
        <v>26</v>
      </c>
      <c r="J2421" s="2">
        <v>43532.235312500001</v>
      </c>
      <c r="K2421" s="2">
        <v>43537.235312500001</v>
      </c>
      <c r="L2421" s="2">
        <v>43537.235312500001</v>
      </c>
      <c r="M2421" s="1">
        <f>_xlfn.DAYS(Table1[[#This Row],[actual_delivery_date]],Table1[[#This Row],[dispatch_date]])</f>
        <v>5</v>
      </c>
      <c r="N2421">
        <v>33</v>
      </c>
      <c r="O2421">
        <f>Table1[[#This Row],[transit_storage_cost]] * (1-'What -if Analysis'!$D$26)</f>
        <v>33</v>
      </c>
      <c r="P2421">
        <v>109</v>
      </c>
      <c r="Q2421">
        <v>3382</v>
      </c>
    </row>
    <row r="2422" spans="1:17" x14ac:dyDescent="0.3">
      <c r="A2422">
        <v>464672</v>
      </c>
      <c r="B2422" s="1" t="s">
        <v>38</v>
      </c>
      <c r="C2422" s="1" t="s">
        <v>23</v>
      </c>
      <c r="D2422" s="1" t="s">
        <v>32</v>
      </c>
      <c r="E2422" s="1" t="s">
        <v>33</v>
      </c>
      <c r="F2422" s="1" t="s">
        <v>19</v>
      </c>
      <c r="G2422" s="1" t="s">
        <v>20</v>
      </c>
      <c r="H2422" t="s">
        <v>21</v>
      </c>
      <c r="I2422" s="1" t="s">
        <v>22</v>
      </c>
      <c r="J2422" s="2">
        <v>43531.238032407404</v>
      </c>
      <c r="K2422" s="2">
        <v>43537.238032407404</v>
      </c>
      <c r="L2422" s="2">
        <v>43535.238032407404</v>
      </c>
      <c r="M2422" s="1">
        <f>_xlfn.DAYS(Table1[[#This Row],[actual_delivery_date]],Table1[[#This Row],[dispatch_date]])</f>
        <v>6</v>
      </c>
      <c r="N2422">
        <v>31</v>
      </c>
      <c r="O2422">
        <f>Table1[[#This Row],[transit_storage_cost]] * (1-'What -if Analysis'!$D$26)</f>
        <v>31</v>
      </c>
      <c r="P2422">
        <v>107</v>
      </c>
      <c r="Q2422">
        <v>2258.4357708909574</v>
      </c>
    </row>
    <row r="2423" spans="1:17" x14ac:dyDescent="0.3">
      <c r="A2423">
        <v>967561</v>
      </c>
      <c r="B2423" s="1" t="s">
        <v>41</v>
      </c>
      <c r="C2423" s="1" t="s">
        <v>23</v>
      </c>
      <c r="D2423" s="1" t="s">
        <v>16</v>
      </c>
      <c r="E2423" s="1" t="s">
        <v>27</v>
      </c>
      <c r="F2423" s="1" t="s">
        <v>29</v>
      </c>
      <c r="G2423" s="1" t="s">
        <v>20</v>
      </c>
      <c r="H2423" t="s">
        <v>34</v>
      </c>
      <c r="I2423" s="1" t="s">
        <v>22</v>
      </c>
      <c r="J2423" s="2">
        <v>43529.23982638889</v>
      </c>
      <c r="K2423" s="2">
        <v>43537.23982638889</v>
      </c>
      <c r="L2423" s="2">
        <v>43535.23982638889</v>
      </c>
      <c r="M2423" s="1">
        <f>_xlfn.DAYS(Table1[[#This Row],[actual_delivery_date]],Table1[[#This Row],[dispatch_date]])</f>
        <v>8</v>
      </c>
      <c r="N2423">
        <v>46</v>
      </c>
      <c r="O2423">
        <f>Table1[[#This Row],[transit_storage_cost]] * (1-'What -if Analysis'!$D$26)</f>
        <v>46</v>
      </c>
      <c r="P2423">
        <v>126</v>
      </c>
      <c r="Q2423">
        <v>3603.357404389405</v>
      </c>
    </row>
    <row r="2424" spans="1:17" x14ac:dyDescent="0.3">
      <c r="A2424">
        <v>797076</v>
      </c>
      <c r="B2424" s="1" t="s">
        <v>39</v>
      </c>
      <c r="C2424" s="1" t="s">
        <v>16</v>
      </c>
      <c r="D2424" s="1" t="s">
        <v>23</v>
      </c>
      <c r="E2424" s="1" t="s">
        <v>28</v>
      </c>
      <c r="F2424" s="1" t="s">
        <v>19</v>
      </c>
      <c r="G2424" s="1" t="s">
        <v>20</v>
      </c>
      <c r="H2424" t="s">
        <v>21</v>
      </c>
      <c r="I2424" s="1" t="s">
        <v>26</v>
      </c>
      <c r="J2424" s="2">
        <v>43534.239884259259</v>
      </c>
      <c r="K2424" s="2">
        <v>43537.239884259259</v>
      </c>
      <c r="L2424" s="2">
        <v>43537.239884259259</v>
      </c>
      <c r="M2424" s="1">
        <f>_xlfn.DAYS(Table1[[#This Row],[actual_delivery_date]],Table1[[#This Row],[dispatch_date]])</f>
        <v>3</v>
      </c>
      <c r="N2424">
        <v>62</v>
      </c>
      <c r="O2424">
        <f>Table1[[#This Row],[transit_storage_cost]] * (1-'What -if Analysis'!$D$26)</f>
        <v>62</v>
      </c>
      <c r="P2424">
        <v>108</v>
      </c>
      <c r="Q2424">
        <v>584</v>
      </c>
    </row>
    <row r="2425" spans="1:17" x14ac:dyDescent="0.3">
      <c r="A2425">
        <v>871201</v>
      </c>
      <c r="B2425" s="1" t="s">
        <v>38</v>
      </c>
      <c r="C2425" s="1" t="s">
        <v>23</v>
      </c>
      <c r="D2425" s="1" t="s">
        <v>24</v>
      </c>
      <c r="E2425" s="1" t="s">
        <v>25</v>
      </c>
      <c r="F2425" s="1" t="s">
        <v>29</v>
      </c>
      <c r="G2425" s="1" t="s">
        <v>20</v>
      </c>
      <c r="H2425" t="s">
        <v>30</v>
      </c>
      <c r="I2425" s="1" t="s">
        <v>22</v>
      </c>
      <c r="J2425" s="2">
        <v>43535.24</v>
      </c>
      <c r="K2425" s="2">
        <v>43537.24</v>
      </c>
      <c r="L2425" s="2">
        <v>43541.24</v>
      </c>
      <c r="M2425" s="1">
        <f>_xlfn.DAYS(Table1[[#This Row],[actual_delivery_date]],Table1[[#This Row],[dispatch_date]])</f>
        <v>2</v>
      </c>
      <c r="N2425">
        <v>35</v>
      </c>
      <c r="O2425">
        <f>Table1[[#This Row],[transit_storage_cost]] * (1-'What -if Analysis'!$D$26)</f>
        <v>35</v>
      </c>
      <c r="P2425">
        <v>123</v>
      </c>
      <c r="Q2425">
        <v>2582</v>
      </c>
    </row>
    <row r="2426" spans="1:17" x14ac:dyDescent="0.3">
      <c r="A2426">
        <v>89458</v>
      </c>
      <c r="B2426" s="1" t="s">
        <v>37</v>
      </c>
      <c r="C2426" s="1" t="s">
        <v>23</v>
      </c>
      <c r="D2426" s="1" t="s">
        <v>32</v>
      </c>
      <c r="E2426" s="1" t="s">
        <v>33</v>
      </c>
      <c r="F2426" s="1" t="s">
        <v>31</v>
      </c>
      <c r="G2426" s="1" t="s">
        <v>20</v>
      </c>
      <c r="H2426" t="s">
        <v>21</v>
      </c>
      <c r="I2426" s="1" t="s">
        <v>22</v>
      </c>
      <c r="J2426" s="2">
        <v>43535.245219907411</v>
      </c>
      <c r="K2426" s="2">
        <v>43537.245219907411</v>
      </c>
      <c r="L2426" s="2">
        <v>43541.245219907411</v>
      </c>
      <c r="M2426" s="1">
        <f>_xlfn.DAYS(Table1[[#This Row],[actual_delivery_date]],Table1[[#This Row],[dispatch_date]])</f>
        <v>2</v>
      </c>
      <c r="N2426">
        <v>36</v>
      </c>
      <c r="O2426">
        <f>Table1[[#This Row],[transit_storage_cost]] * (1-'What -if Analysis'!$D$26)</f>
        <v>36</v>
      </c>
      <c r="P2426">
        <v>112</v>
      </c>
      <c r="Q2426">
        <v>2005</v>
      </c>
    </row>
    <row r="2427" spans="1:17" x14ac:dyDescent="0.3">
      <c r="A2427">
        <v>521202</v>
      </c>
      <c r="B2427" s="1" t="s">
        <v>37</v>
      </c>
      <c r="C2427" s="1" t="s">
        <v>23</v>
      </c>
      <c r="D2427" s="1" t="s">
        <v>17</v>
      </c>
      <c r="E2427" s="1" t="s">
        <v>18</v>
      </c>
      <c r="F2427" s="1" t="s">
        <v>31</v>
      </c>
      <c r="G2427" s="1" t="s">
        <v>20</v>
      </c>
      <c r="H2427" t="s">
        <v>21</v>
      </c>
      <c r="I2427" s="1" t="s">
        <v>26</v>
      </c>
      <c r="J2427" s="2">
        <v>43534.262858796297</v>
      </c>
      <c r="K2427" s="2">
        <v>43537.262858796297</v>
      </c>
      <c r="L2427" s="2">
        <v>43540.262858796297</v>
      </c>
      <c r="M2427" s="1">
        <f>_xlfn.DAYS(Table1[[#This Row],[actual_delivery_date]],Table1[[#This Row],[dispatch_date]])</f>
        <v>3</v>
      </c>
      <c r="N2427">
        <v>41</v>
      </c>
      <c r="O2427">
        <f>Table1[[#This Row],[transit_storage_cost]] * (1-'What -if Analysis'!$D$26)</f>
        <v>41</v>
      </c>
      <c r="P2427">
        <v>112</v>
      </c>
      <c r="Q2427">
        <v>1177</v>
      </c>
    </row>
    <row r="2428" spans="1:17" x14ac:dyDescent="0.3">
      <c r="A2428">
        <v>528622</v>
      </c>
      <c r="B2428" s="1" t="s">
        <v>39</v>
      </c>
      <c r="C2428" s="1" t="s">
        <v>23</v>
      </c>
      <c r="D2428" s="1" t="s">
        <v>16</v>
      </c>
      <c r="E2428" s="1" t="s">
        <v>27</v>
      </c>
      <c r="F2428" s="1" t="s">
        <v>31</v>
      </c>
      <c r="G2428" s="1" t="s">
        <v>20</v>
      </c>
      <c r="H2428" t="s">
        <v>21</v>
      </c>
      <c r="I2428" s="1" t="s">
        <v>22</v>
      </c>
      <c r="J2428" s="2">
        <v>43529.264305555553</v>
      </c>
      <c r="K2428" s="2">
        <v>43537.264305555553</v>
      </c>
      <c r="L2428" s="2">
        <v>43534.264305555553</v>
      </c>
      <c r="M2428" s="1">
        <f>_xlfn.DAYS(Table1[[#This Row],[actual_delivery_date]],Table1[[#This Row],[dispatch_date]])</f>
        <v>8</v>
      </c>
      <c r="N2428">
        <v>42</v>
      </c>
      <c r="O2428">
        <f>Table1[[#This Row],[transit_storage_cost]] * (1-'What -if Analysis'!$D$26)</f>
        <v>42</v>
      </c>
      <c r="P2428">
        <v>127</v>
      </c>
      <c r="Q2428">
        <v>3269.6929532229483</v>
      </c>
    </row>
    <row r="2429" spans="1:17" x14ac:dyDescent="0.3">
      <c r="A2429">
        <v>282106</v>
      </c>
      <c r="B2429" s="1" t="s">
        <v>37</v>
      </c>
      <c r="C2429" s="1" t="s">
        <v>23</v>
      </c>
      <c r="D2429" s="1" t="s">
        <v>17</v>
      </c>
      <c r="E2429" s="1" t="s">
        <v>18</v>
      </c>
      <c r="F2429" s="1" t="s">
        <v>31</v>
      </c>
      <c r="G2429" s="1" t="s">
        <v>20</v>
      </c>
      <c r="H2429" t="s">
        <v>21</v>
      </c>
      <c r="I2429" s="1" t="s">
        <v>22</v>
      </c>
      <c r="J2429" s="2">
        <v>43529.274421296293</v>
      </c>
      <c r="K2429" s="2">
        <v>43537.274421296293</v>
      </c>
      <c r="L2429" s="2">
        <v>43534.274421296293</v>
      </c>
      <c r="M2429" s="1">
        <f>_xlfn.DAYS(Table1[[#This Row],[actual_delivery_date]],Table1[[#This Row],[dispatch_date]])</f>
        <v>8</v>
      </c>
      <c r="N2429">
        <v>27</v>
      </c>
      <c r="O2429">
        <f>Table1[[#This Row],[transit_storage_cost]] * (1-'What -if Analysis'!$D$26)</f>
        <v>27</v>
      </c>
      <c r="P2429">
        <v>109</v>
      </c>
      <c r="Q2429">
        <v>1355.7300123089781</v>
      </c>
    </row>
    <row r="2430" spans="1:17" x14ac:dyDescent="0.3">
      <c r="A2430">
        <v>948230</v>
      </c>
      <c r="B2430" s="1" t="s">
        <v>39</v>
      </c>
      <c r="C2430" s="1" t="s">
        <v>23</v>
      </c>
      <c r="D2430" s="1" t="s">
        <v>24</v>
      </c>
      <c r="E2430" s="1" t="s">
        <v>25</v>
      </c>
      <c r="F2430" s="1" t="s">
        <v>19</v>
      </c>
      <c r="G2430" s="1" t="s">
        <v>20</v>
      </c>
      <c r="H2430" t="s">
        <v>21</v>
      </c>
      <c r="I2430" s="1" t="s">
        <v>22</v>
      </c>
      <c r="J2430" s="2">
        <v>43530.278113425928</v>
      </c>
      <c r="K2430" s="2">
        <v>43537.278113425928</v>
      </c>
      <c r="L2430" s="2">
        <v>43537.278113425928</v>
      </c>
      <c r="M2430" s="1">
        <f>_xlfn.DAYS(Table1[[#This Row],[actual_delivery_date]],Table1[[#This Row],[dispatch_date]])</f>
        <v>7</v>
      </c>
      <c r="N2430">
        <v>70</v>
      </c>
      <c r="O2430">
        <f>Table1[[#This Row],[transit_storage_cost]] * (1-'What -if Analysis'!$D$26)</f>
        <v>70</v>
      </c>
      <c r="P2430">
        <v>106</v>
      </c>
      <c r="Q2430">
        <v>797</v>
      </c>
    </row>
    <row r="2431" spans="1:17" x14ac:dyDescent="0.3">
      <c r="A2431">
        <v>89234</v>
      </c>
      <c r="B2431" s="1" t="s">
        <v>37</v>
      </c>
      <c r="C2431" s="1" t="s">
        <v>23</v>
      </c>
      <c r="D2431" s="1" t="s">
        <v>16</v>
      </c>
      <c r="E2431" s="1" t="s">
        <v>27</v>
      </c>
      <c r="F2431" s="1" t="s">
        <v>31</v>
      </c>
      <c r="G2431" s="1" t="s">
        <v>20</v>
      </c>
      <c r="H2431" t="s">
        <v>21</v>
      </c>
      <c r="I2431" s="1" t="s">
        <v>22</v>
      </c>
      <c r="J2431" s="2">
        <v>43532.279687499999</v>
      </c>
      <c r="K2431" s="2">
        <v>43537.279687499999</v>
      </c>
      <c r="L2431" s="2">
        <v>43539.279687499999</v>
      </c>
      <c r="M2431" s="1">
        <f>_xlfn.DAYS(Table1[[#This Row],[actual_delivery_date]],Table1[[#This Row],[dispatch_date]])</f>
        <v>5</v>
      </c>
      <c r="N2431">
        <v>27</v>
      </c>
      <c r="O2431">
        <f>Table1[[#This Row],[transit_storage_cost]] * (1-'What -if Analysis'!$D$26)</f>
        <v>27</v>
      </c>
      <c r="P2431">
        <v>128</v>
      </c>
      <c r="Q2431">
        <v>1903.9028572802481</v>
      </c>
    </row>
    <row r="2432" spans="1:17" x14ac:dyDescent="0.3">
      <c r="A2432">
        <v>441004</v>
      </c>
      <c r="B2432" s="1" t="s">
        <v>38</v>
      </c>
      <c r="C2432" s="1" t="s">
        <v>16</v>
      </c>
      <c r="D2432" s="1" t="s">
        <v>16</v>
      </c>
      <c r="E2432" s="1" t="s">
        <v>27</v>
      </c>
      <c r="F2432" s="1" t="s">
        <v>19</v>
      </c>
      <c r="G2432" s="1" t="s">
        <v>20</v>
      </c>
      <c r="H2432" t="s">
        <v>21</v>
      </c>
      <c r="I2432" s="1" t="s">
        <v>22</v>
      </c>
      <c r="J2432" s="2">
        <v>43535.279907407406</v>
      </c>
      <c r="K2432" s="2">
        <v>43537.279907407406</v>
      </c>
      <c r="L2432" s="2">
        <v>43540.279907407406</v>
      </c>
      <c r="M2432" s="1">
        <f>_xlfn.DAYS(Table1[[#This Row],[actual_delivery_date]],Table1[[#This Row],[dispatch_date]])</f>
        <v>2</v>
      </c>
      <c r="N2432">
        <v>0</v>
      </c>
      <c r="O2432">
        <f>Table1[[#This Row],[transit_storage_cost]] * (1-'What -if Analysis'!$D$26)</f>
        <v>0</v>
      </c>
      <c r="P2432">
        <v>123</v>
      </c>
      <c r="Q2432">
        <v>3128.0635809081018</v>
      </c>
    </row>
    <row r="2433" spans="1:17" x14ac:dyDescent="0.3">
      <c r="A2433">
        <v>277097</v>
      </c>
      <c r="B2433" s="1" t="s">
        <v>37</v>
      </c>
      <c r="C2433" s="1" t="s">
        <v>23</v>
      </c>
      <c r="D2433" s="1" t="s">
        <v>32</v>
      </c>
      <c r="E2433" s="1" t="s">
        <v>33</v>
      </c>
      <c r="F2433" s="1" t="s">
        <v>29</v>
      </c>
      <c r="G2433" s="1" t="s">
        <v>20</v>
      </c>
      <c r="H2433" t="s">
        <v>30</v>
      </c>
      <c r="I2433" s="1" t="s">
        <v>22</v>
      </c>
      <c r="J2433" s="2">
        <v>43532.290011574078</v>
      </c>
      <c r="K2433" s="2">
        <v>43537.290011574078</v>
      </c>
      <c r="L2433" s="2">
        <v>43535.290011574078</v>
      </c>
      <c r="M2433" s="1">
        <f>_xlfn.DAYS(Table1[[#This Row],[actual_delivery_date]],Table1[[#This Row],[dispatch_date]])</f>
        <v>5</v>
      </c>
      <c r="N2433">
        <v>30</v>
      </c>
      <c r="O2433">
        <f>Table1[[#This Row],[transit_storage_cost]] * (1-'What -if Analysis'!$D$26)</f>
        <v>30</v>
      </c>
      <c r="P2433">
        <v>111</v>
      </c>
      <c r="Q2433">
        <v>1049.4925125170971</v>
      </c>
    </row>
    <row r="2434" spans="1:17" x14ac:dyDescent="0.3">
      <c r="A2434">
        <v>501102</v>
      </c>
      <c r="B2434" s="1" t="s">
        <v>38</v>
      </c>
      <c r="C2434" s="1" t="s">
        <v>16</v>
      </c>
      <c r="D2434" s="1" t="s">
        <v>16</v>
      </c>
      <c r="E2434" s="1" t="s">
        <v>27</v>
      </c>
      <c r="F2434" s="1" t="s">
        <v>31</v>
      </c>
      <c r="G2434" s="1" t="s">
        <v>20</v>
      </c>
      <c r="H2434" t="s">
        <v>21</v>
      </c>
      <c r="I2434" s="1" t="s">
        <v>26</v>
      </c>
      <c r="J2434" s="2">
        <v>43530.290752314817</v>
      </c>
      <c r="K2434" s="2">
        <v>43537.290752314817</v>
      </c>
      <c r="L2434" s="2">
        <v>43537.290752314817</v>
      </c>
      <c r="M2434" s="1">
        <f>_xlfn.DAYS(Table1[[#This Row],[actual_delivery_date]],Table1[[#This Row],[dispatch_date]])</f>
        <v>7</v>
      </c>
      <c r="N2434">
        <v>0</v>
      </c>
      <c r="O2434">
        <f>Table1[[#This Row],[transit_storage_cost]] * (1-'What -if Analysis'!$D$26)</f>
        <v>0</v>
      </c>
      <c r="P2434">
        <v>121</v>
      </c>
      <c r="Q2434">
        <v>1826.8185689835088</v>
      </c>
    </row>
    <row r="2435" spans="1:17" x14ac:dyDescent="0.3">
      <c r="A2435">
        <v>172323</v>
      </c>
      <c r="B2435" s="1" t="s">
        <v>37</v>
      </c>
      <c r="C2435" s="1" t="s">
        <v>23</v>
      </c>
      <c r="D2435" s="1" t="s">
        <v>17</v>
      </c>
      <c r="E2435" s="1" t="s">
        <v>18</v>
      </c>
      <c r="F2435" s="1" t="s">
        <v>29</v>
      </c>
      <c r="G2435" s="1" t="s">
        <v>20</v>
      </c>
      <c r="H2435" t="s">
        <v>30</v>
      </c>
      <c r="I2435" s="1" t="s">
        <v>26</v>
      </c>
      <c r="J2435" s="2">
        <v>43531.29241898148</v>
      </c>
      <c r="K2435" s="2">
        <v>43537.29241898148</v>
      </c>
      <c r="L2435" s="2">
        <v>43538.29241898148</v>
      </c>
      <c r="M2435" s="1">
        <f>_xlfn.DAYS(Table1[[#This Row],[actual_delivery_date]],Table1[[#This Row],[dispatch_date]])</f>
        <v>6</v>
      </c>
      <c r="N2435">
        <v>43</v>
      </c>
      <c r="O2435">
        <f>Table1[[#This Row],[transit_storage_cost]] * (1-'What -if Analysis'!$D$26)</f>
        <v>43</v>
      </c>
      <c r="P2435">
        <v>109</v>
      </c>
      <c r="Q2435">
        <v>3246.5191236123924</v>
      </c>
    </row>
    <row r="2436" spans="1:17" x14ac:dyDescent="0.3">
      <c r="A2436">
        <v>358816</v>
      </c>
      <c r="B2436" s="1" t="s">
        <v>37</v>
      </c>
      <c r="C2436" s="1" t="s">
        <v>23</v>
      </c>
      <c r="D2436" s="1" t="s">
        <v>16</v>
      </c>
      <c r="E2436" s="1" t="s">
        <v>27</v>
      </c>
      <c r="F2436" s="1" t="s">
        <v>19</v>
      </c>
      <c r="G2436" s="1" t="s">
        <v>20</v>
      </c>
      <c r="H2436" t="s">
        <v>21</v>
      </c>
      <c r="I2436" s="1" t="s">
        <v>22</v>
      </c>
      <c r="J2436" s="2">
        <v>43532.292858796296</v>
      </c>
      <c r="K2436" s="2">
        <v>43537.292858796296</v>
      </c>
      <c r="L2436" s="2">
        <v>43538.292858796296</v>
      </c>
      <c r="M2436" s="1">
        <f>_xlfn.DAYS(Table1[[#This Row],[actual_delivery_date]],Table1[[#This Row],[dispatch_date]])</f>
        <v>5</v>
      </c>
      <c r="N2436">
        <v>63</v>
      </c>
      <c r="O2436">
        <f>Table1[[#This Row],[transit_storage_cost]] * (1-'What -if Analysis'!$D$26)</f>
        <v>63</v>
      </c>
      <c r="P2436">
        <v>102</v>
      </c>
      <c r="Q2436">
        <v>3285.2963350625532</v>
      </c>
    </row>
    <row r="2437" spans="1:17" x14ac:dyDescent="0.3">
      <c r="A2437">
        <v>786746</v>
      </c>
      <c r="B2437" s="1" t="s">
        <v>37</v>
      </c>
      <c r="C2437" s="1" t="s">
        <v>16</v>
      </c>
      <c r="D2437" s="1" t="s">
        <v>17</v>
      </c>
      <c r="E2437" s="1" t="s">
        <v>18</v>
      </c>
      <c r="F2437" s="1" t="s">
        <v>31</v>
      </c>
      <c r="G2437" s="1" t="s">
        <v>20</v>
      </c>
      <c r="H2437" t="s">
        <v>21</v>
      </c>
      <c r="I2437" s="1" t="s">
        <v>22</v>
      </c>
      <c r="J2437" s="2">
        <v>43530.293668981481</v>
      </c>
      <c r="K2437" s="2">
        <v>43537.293668981481</v>
      </c>
      <c r="L2437" s="2">
        <v>43537.293668981481</v>
      </c>
      <c r="M2437" s="1">
        <f>_xlfn.DAYS(Table1[[#This Row],[actual_delivery_date]],Table1[[#This Row],[dispatch_date]])</f>
        <v>7</v>
      </c>
      <c r="N2437">
        <v>50</v>
      </c>
      <c r="O2437">
        <f>Table1[[#This Row],[transit_storage_cost]] * (1-'What -if Analysis'!$D$26)</f>
        <v>50</v>
      </c>
      <c r="P2437">
        <v>107</v>
      </c>
      <c r="Q2437">
        <v>1260.2488990596246</v>
      </c>
    </row>
    <row r="2438" spans="1:17" x14ac:dyDescent="0.3">
      <c r="A2438">
        <v>25342</v>
      </c>
      <c r="B2438" s="1" t="s">
        <v>37</v>
      </c>
      <c r="C2438" s="1" t="s">
        <v>16</v>
      </c>
      <c r="D2438" s="1" t="s">
        <v>24</v>
      </c>
      <c r="E2438" s="1" t="s">
        <v>25</v>
      </c>
      <c r="F2438" s="1" t="s">
        <v>31</v>
      </c>
      <c r="G2438" s="1" t="s">
        <v>20</v>
      </c>
      <c r="H2438" t="s">
        <v>21</v>
      </c>
      <c r="I2438" s="1" t="s">
        <v>22</v>
      </c>
      <c r="J2438" s="2">
        <v>43530.29488425926</v>
      </c>
      <c r="K2438" s="2">
        <v>43537.29488425926</v>
      </c>
      <c r="L2438" s="2">
        <v>43533.29488425926</v>
      </c>
      <c r="M2438" s="1">
        <f>_xlfn.DAYS(Table1[[#This Row],[actual_delivery_date]],Table1[[#This Row],[dispatch_date]])</f>
        <v>7</v>
      </c>
      <c r="N2438">
        <v>32</v>
      </c>
      <c r="O2438">
        <f>Table1[[#This Row],[transit_storage_cost]] * (1-'What -if Analysis'!$D$26)</f>
        <v>32</v>
      </c>
      <c r="P2438">
        <v>122</v>
      </c>
      <c r="Q2438">
        <v>542.0546730858149</v>
      </c>
    </row>
    <row r="2439" spans="1:17" x14ac:dyDescent="0.3">
      <c r="A2439">
        <v>63214</v>
      </c>
      <c r="B2439" s="1" t="s">
        <v>39</v>
      </c>
      <c r="C2439" s="1" t="s">
        <v>16</v>
      </c>
      <c r="D2439" s="1" t="s">
        <v>16</v>
      </c>
      <c r="E2439" s="1" t="s">
        <v>27</v>
      </c>
      <c r="F2439" s="1" t="s">
        <v>19</v>
      </c>
      <c r="G2439" s="1" t="s">
        <v>20</v>
      </c>
      <c r="H2439" t="s">
        <v>21</v>
      </c>
      <c r="I2439" s="1" t="s">
        <v>22</v>
      </c>
      <c r="J2439" s="2">
        <v>43537.295717592591</v>
      </c>
      <c r="K2439" s="2">
        <v>43537.295717592591</v>
      </c>
      <c r="L2439" s="2">
        <v>43544.295717592591</v>
      </c>
      <c r="M2439" s="1">
        <f>_xlfn.DAYS(Table1[[#This Row],[actual_delivery_date]],Table1[[#This Row],[dispatch_date]])</f>
        <v>0</v>
      </c>
      <c r="N2439">
        <v>0</v>
      </c>
      <c r="O2439">
        <f>Table1[[#This Row],[transit_storage_cost]] * (1-'What -if Analysis'!$D$26)</f>
        <v>0</v>
      </c>
      <c r="P2439">
        <v>101</v>
      </c>
      <c r="Q2439">
        <v>1518</v>
      </c>
    </row>
    <row r="2440" spans="1:17" x14ac:dyDescent="0.3">
      <c r="A2440">
        <v>89855</v>
      </c>
      <c r="B2440" s="1" t="s">
        <v>41</v>
      </c>
      <c r="C2440" s="1" t="s">
        <v>23</v>
      </c>
      <c r="D2440" s="1" t="s">
        <v>17</v>
      </c>
      <c r="E2440" s="1" t="s">
        <v>18</v>
      </c>
      <c r="F2440" s="1" t="s">
        <v>29</v>
      </c>
      <c r="G2440" s="1" t="s">
        <v>20</v>
      </c>
      <c r="H2440" t="s">
        <v>30</v>
      </c>
      <c r="I2440" s="1" t="s">
        <v>22</v>
      </c>
      <c r="J2440" s="2">
        <v>43531.298842592594</v>
      </c>
      <c r="K2440" s="2">
        <v>43537.298842592594</v>
      </c>
      <c r="L2440" s="2">
        <v>43535.298842592594</v>
      </c>
      <c r="M2440" s="1">
        <f>_xlfn.DAYS(Table1[[#This Row],[actual_delivery_date]],Table1[[#This Row],[dispatch_date]])</f>
        <v>6</v>
      </c>
      <c r="N2440">
        <v>42</v>
      </c>
      <c r="O2440">
        <f>Table1[[#This Row],[transit_storage_cost]] * (1-'What -if Analysis'!$D$26)</f>
        <v>42</v>
      </c>
      <c r="P2440">
        <v>111</v>
      </c>
      <c r="Q2440">
        <v>2940.6946443029624</v>
      </c>
    </row>
    <row r="2441" spans="1:17" x14ac:dyDescent="0.3">
      <c r="A2441">
        <v>903545</v>
      </c>
      <c r="B2441" s="1" t="s">
        <v>37</v>
      </c>
      <c r="C2441" s="1" t="s">
        <v>16</v>
      </c>
      <c r="D2441" s="1" t="s">
        <v>23</v>
      </c>
      <c r="E2441" s="1" t="s">
        <v>28</v>
      </c>
      <c r="F2441" s="1" t="s">
        <v>29</v>
      </c>
      <c r="G2441" s="1" t="s">
        <v>20</v>
      </c>
      <c r="H2441" t="s">
        <v>30</v>
      </c>
      <c r="I2441" s="1" t="s">
        <v>22</v>
      </c>
      <c r="J2441" s="2">
        <v>43533.299490740741</v>
      </c>
      <c r="K2441" s="2">
        <v>43537.299490740741</v>
      </c>
      <c r="L2441" s="2">
        <v>43538.299490740741</v>
      </c>
      <c r="M2441" s="1">
        <f>_xlfn.DAYS(Table1[[#This Row],[actual_delivery_date]],Table1[[#This Row],[dispatch_date]])</f>
        <v>4</v>
      </c>
      <c r="N2441">
        <v>42</v>
      </c>
      <c r="O2441">
        <f>Table1[[#This Row],[transit_storage_cost]] * (1-'What -if Analysis'!$D$26)</f>
        <v>42</v>
      </c>
      <c r="P2441">
        <v>126</v>
      </c>
      <c r="Q2441">
        <v>1807.629155512438</v>
      </c>
    </row>
    <row r="2442" spans="1:17" x14ac:dyDescent="0.3">
      <c r="A2442">
        <v>121407</v>
      </c>
      <c r="B2442" s="1" t="s">
        <v>39</v>
      </c>
      <c r="C2442" s="1" t="s">
        <v>23</v>
      </c>
      <c r="D2442" s="1" t="s">
        <v>32</v>
      </c>
      <c r="E2442" s="1" t="s">
        <v>33</v>
      </c>
      <c r="F2442" s="1" t="s">
        <v>29</v>
      </c>
      <c r="G2442" s="1" t="s">
        <v>20</v>
      </c>
      <c r="H2442" t="s">
        <v>30</v>
      </c>
      <c r="I2442" s="1" t="s">
        <v>26</v>
      </c>
      <c r="J2442" s="2">
        <v>43535.300659722219</v>
      </c>
      <c r="K2442" s="2">
        <v>43537.300659722219</v>
      </c>
      <c r="L2442" s="2">
        <v>43539.300659722219</v>
      </c>
      <c r="M2442" s="1">
        <f>_xlfn.DAYS(Table1[[#This Row],[actual_delivery_date]],Table1[[#This Row],[dispatch_date]])</f>
        <v>2</v>
      </c>
      <c r="N2442">
        <v>34</v>
      </c>
      <c r="O2442">
        <f>Table1[[#This Row],[transit_storage_cost]] * (1-'What -if Analysis'!$D$26)</f>
        <v>34</v>
      </c>
      <c r="P2442">
        <v>110</v>
      </c>
      <c r="Q2442">
        <v>1511.862928973231</v>
      </c>
    </row>
    <row r="2443" spans="1:17" x14ac:dyDescent="0.3">
      <c r="A2443">
        <v>472187</v>
      </c>
      <c r="B2443" s="1" t="s">
        <v>37</v>
      </c>
      <c r="C2443" s="1" t="s">
        <v>16</v>
      </c>
      <c r="D2443" s="1" t="s">
        <v>32</v>
      </c>
      <c r="E2443" s="1" t="s">
        <v>33</v>
      </c>
      <c r="F2443" s="1" t="s">
        <v>29</v>
      </c>
      <c r="G2443" s="1" t="s">
        <v>20</v>
      </c>
      <c r="H2443" t="s">
        <v>30</v>
      </c>
      <c r="I2443" s="1" t="s">
        <v>22</v>
      </c>
      <c r="J2443" s="2">
        <v>43530.305648148147</v>
      </c>
      <c r="K2443" s="2">
        <v>43537.305648148147</v>
      </c>
      <c r="L2443" s="2">
        <v>43536.305648148147</v>
      </c>
      <c r="M2443" s="1">
        <f>_xlfn.DAYS(Table1[[#This Row],[actual_delivery_date]],Table1[[#This Row],[dispatch_date]])</f>
        <v>7</v>
      </c>
      <c r="N2443">
        <v>29</v>
      </c>
      <c r="O2443">
        <f>Table1[[#This Row],[transit_storage_cost]] * (1-'What -if Analysis'!$D$26)</f>
        <v>29</v>
      </c>
      <c r="P2443">
        <v>106</v>
      </c>
      <c r="Q2443">
        <v>3154</v>
      </c>
    </row>
    <row r="2444" spans="1:17" x14ac:dyDescent="0.3">
      <c r="A2444">
        <v>911833</v>
      </c>
      <c r="B2444" s="1" t="s">
        <v>38</v>
      </c>
      <c r="C2444" s="1" t="s">
        <v>16</v>
      </c>
      <c r="D2444" s="1" t="s">
        <v>17</v>
      </c>
      <c r="E2444" s="1" t="s">
        <v>18</v>
      </c>
      <c r="F2444" s="1" t="s">
        <v>29</v>
      </c>
      <c r="G2444" s="1" t="s">
        <v>20</v>
      </c>
      <c r="H2444" t="s">
        <v>30</v>
      </c>
      <c r="I2444" s="1" t="s">
        <v>22</v>
      </c>
      <c r="J2444" s="2">
        <v>43530.307662037034</v>
      </c>
      <c r="K2444" s="2">
        <v>43537.307662037034</v>
      </c>
      <c r="L2444" s="2">
        <v>43533.307662037034</v>
      </c>
      <c r="M2444" s="1">
        <f>_xlfn.DAYS(Table1[[#This Row],[actual_delivery_date]],Table1[[#This Row],[dispatch_date]])</f>
        <v>7</v>
      </c>
      <c r="N2444">
        <v>32</v>
      </c>
      <c r="O2444">
        <f>Table1[[#This Row],[transit_storage_cost]] * (1-'What -if Analysis'!$D$26)</f>
        <v>32</v>
      </c>
      <c r="P2444">
        <v>110</v>
      </c>
      <c r="Q2444">
        <v>2089.0156455846677</v>
      </c>
    </row>
    <row r="2445" spans="1:17" x14ac:dyDescent="0.3">
      <c r="A2445">
        <v>667736</v>
      </c>
      <c r="B2445" s="1" t="s">
        <v>15</v>
      </c>
      <c r="C2445" s="1" t="s">
        <v>16</v>
      </c>
      <c r="D2445" s="1" t="s">
        <v>17</v>
      </c>
      <c r="E2445" s="1" t="s">
        <v>18</v>
      </c>
      <c r="F2445" s="1" t="s">
        <v>19</v>
      </c>
      <c r="G2445" s="1" t="s">
        <v>20</v>
      </c>
      <c r="H2445" t="s">
        <v>21</v>
      </c>
      <c r="I2445" s="1" t="s">
        <v>22</v>
      </c>
      <c r="J2445" s="2">
        <v>43535.307986111111</v>
      </c>
      <c r="K2445" s="2">
        <v>43537.307986111111</v>
      </c>
      <c r="L2445" s="2">
        <v>43541.307986111111</v>
      </c>
      <c r="M2445" s="1">
        <f>_xlfn.DAYS(Table1[[#This Row],[actual_delivery_date]],Table1[[#This Row],[dispatch_date]])</f>
        <v>2</v>
      </c>
      <c r="N2445">
        <v>42</v>
      </c>
      <c r="O2445">
        <f>Table1[[#This Row],[transit_storage_cost]] * (1-'What -if Analysis'!$D$26)</f>
        <v>42</v>
      </c>
      <c r="P2445">
        <v>110</v>
      </c>
      <c r="Q2445">
        <v>1187.6131629124347</v>
      </c>
    </row>
    <row r="2446" spans="1:17" x14ac:dyDescent="0.3">
      <c r="A2446">
        <v>731387</v>
      </c>
      <c r="B2446" s="1" t="s">
        <v>40</v>
      </c>
      <c r="C2446" s="1" t="s">
        <v>23</v>
      </c>
      <c r="D2446" s="1" t="s">
        <v>24</v>
      </c>
      <c r="E2446" s="1" t="s">
        <v>25</v>
      </c>
      <c r="F2446" s="1" t="s">
        <v>29</v>
      </c>
      <c r="G2446" s="1" t="s">
        <v>20</v>
      </c>
      <c r="H2446" t="s">
        <v>30</v>
      </c>
      <c r="I2446" s="1" t="s">
        <v>22</v>
      </c>
      <c r="J2446" s="2">
        <v>43535.308321759258</v>
      </c>
      <c r="K2446" s="2">
        <v>43537.308321759258</v>
      </c>
      <c r="L2446" s="2">
        <v>43542.308321759258</v>
      </c>
      <c r="M2446" s="1">
        <f>_xlfn.DAYS(Table1[[#This Row],[actual_delivery_date]],Table1[[#This Row],[dispatch_date]])</f>
        <v>2</v>
      </c>
      <c r="N2446">
        <v>26</v>
      </c>
      <c r="O2446">
        <f>Table1[[#This Row],[transit_storage_cost]] * (1-'What -if Analysis'!$D$26)</f>
        <v>26</v>
      </c>
      <c r="P2446">
        <v>129</v>
      </c>
      <c r="Q2446">
        <v>385.98914346964455</v>
      </c>
    </row>
    <row r="2447" spans="1:17" x14ac:dyDescent="0.3">
      <c r="A2447">
        <v>550959</v>
      </c>
      <c r="B2447" s="1" t="s">
        <v>15</v>
      </c>
      <c r="C2447" s="1" t="s">
        <v>23</v>
      </c>
      <c r="D2447" s="1" t="s">
        <v>23</v>
      </c>
      <c r="E2447" s="1" t="s">
        <v>28</v>
      </c>
      <c r="F2447" s="1" t="s">
        <v>29</v>
      </c>
      <c r="G2447" s="1" t="s">
        <v>20</v>
      </c>
      <c r="H2447" t="s">
        <v>30</v>
      </c>
      <c r="I2447" s="1" t="s">
        <v>26</v>
      </c>
      <c r="J2447" s="2">
        <v>43537.311944444446</v>
      </c>
      <c r="K2447" s="2">
        <v>43537.311944444446</v>
      </c>
      <c r="L2447" s="2">
        <v>43540.311944444446</v>
      </c>
      <c r="M2447" s="1">
        <f>_xlfn.DAYS(Table1[[#This Row],[actual_delivery_date]],Table1[[#This Row],[dispatch_date]])</f>
        <v>0</v>
      </c>
      <c r="N2447">
        <v>0</v>
      </c>
      <c r="O2447">
        <f>Table1[[#This Row],[transit_storage_cost]] * (1-'What -if Analysis'!$D$26)</f>
        <v>0</v>
      </c>
      <c r="P2447">
        <v>123</v>
      </c>
      <c r="Q2447">
        <v>3711.6134250993473</v>
      </c>
    </row>
    <row r="2448" spans="1:17" x14ac:dyDescent="0.3">
      <c r="A2448">
        <v>283205</v>
      </c>
      <c r="B2448" s="1" t="s">
        <v>40</v>
      </c>
      <c r="C2448" s="1" t="s">
        <v>23</v>
      </c>
      <c r="D2448" s="1" t="s">
        <v>32</v>
      </c>
      <c r="E2448" s="1" t="s">
        <v>33</v>
      </c>
      <c r="F2448" s="1" t="s">
        <v>29</v>
      </c>
      <c r="G2448" s="1" t="s">
        <v>20</v>
      </c>
      <c r="H2448" t="s">
        <v>30</v>
      </c>
      <c r="I2448" s="1" t="s">
        <v>22</v>
      </c>
      <c r="J2448" s="2">
        <v>43531.312222222223</v>
      </c>
      <c r="K2448" s="2">
        <v>43537.312222222223</v>
      </c>
      <c r="L2448" s="2">
        <v>43535.312222222223</v>
      </c>
      <c r="M2448" s="1">
        <f>_xlfn.DAYS(Table1[[#This Row],[actual_delivery_date]],Table1[[#This Row],[dispatch_date]])</f>
        <v>6</v>
      </c>
      <c r="N2448">
        <v>50</v>
      </c>
      <c r="O2448">
        <f>Table1[[#This Row],[transit_storage_cost]] * (1-'What -if Analysis'!$D$26)</f>
        <v>50</v>
      </c>
      <c r="P2448">
        <v>115</v>
      </c>
      <c r="Q2448">
        <v>3755.1922326582817</v>
      </c>
    </row>
    <row r="2449" spans="1:17" x14ac:dyDescent="0.3">
      <c r="A2449">
        <v>341561</v>
      </c>
      <c r="B2449" s="1" t="s">
        <v>37</v>
      </c>
      <c r="C2449" s="1" t="s">
        <v>23</v>
      </c>
      <c r="D2449" s="1" t="s">
        <v>32</v>
      </c>
      <c r="E2449" s="1" t="s">
        <v>33</v>
      </c>
      <c r="F2449" s="1" t="s">
        <v>29</v>
      </c>
      <c r="G2449" s="1" t="s">
        <v>20</v>
      </c>
      <c r="H2449" t="s">
        <v>30</v>
      </c>
      <c r="I2449" s="1" t="s">
        <v>22</v>
      </c>
      <c r="J2449" s="2">
        <v>43535.315347222226</v>
      </c>
      <c r="K2449" s="2">
        <v>43537.315347222226</v>
      </c>
      <c r="L2449" s="2">
        <v>43539.315347222226</v>
      </c>
      <c r="M2449" s="1">
        <f>_xlfn.DAYS(Table1[[#This Row],[actual_delivery_date]],Table1[[#This Row],[dispatch_date]])</f>
        <v>2</v>
      </c>
      <c r="N2449">
        <v>43</v>
      </c>
      <c r="O2449">
        <f>Table1[[#This Row],[transit_storage_cost]] * (1-'What -if Analysis'!$D$26)</f>
        <v>43</v>
      </c>
      <c r="P2449">
        <v>113</v>
      </c>
      <c r="Q2449">
        <v>3170.0995659397058</v>
      </c>
    </row>
    <row r="2450" spans="1:17" x14ac:dyDescent="0.3">
      <c r="A2450">
        <v>41358</v>
      </c>
      <c r="B2450" s="1" t="s">
        <v>41</v>
      </c>
      <c r="C2450" s="1" t="s">
        <v>23</v>
      </c>
      <c r="D2450" s="1" t="s">
        <v>16</v>
      </c>
      <c r="E2450" s="1" t="s">
        <v>27</v>
      </c>
      <c r="F2450" s="1" t="s">
        <v>19</v>
      </c>
      <c r="G2450" s="1" t="s">
        <v>20</v>
      </c>
      <c r="H2450" t="s">
        <v>21</v>
      </c>
      <c r="I2450" s="1" t="s">
        <v>26</v>
      </c>
      <c r="J2450" s="2">
        <v>43531.318668981483</v>
      </c>
      <c r="K2450" s="2">
        <v>43537.318668981483</v>
      </c>
      <c r="L2450" s="2">
        <v>43534.318668981483</v>
      </c>
      <c r="M2450" s="1">
        <f>_xlfn.DAYS(Table1[[#This Row],[actual_delivery_date]],Table1[[#This Row],[dispatch_date]])</f>
        <v>6</v>
      </c>
      <c r="N2450">
        <v>60</v>
      </c>
      <c r="O2450">
        <f>Table1[[#This Row],[transit_storage_cost]] * (1-'What -if Analysis'!$D$26)</f>
        <v>60</v>
      </c>
      <c r="P2450">
        <v>105</v>
      </c>
      <c r="Q2450">
        <v>2411.7562286003122</v>
      </c>
    </row>
    <row r="2451" spans="1:17" x14ac:dyDescent="0.3">
      <c r="A2451">
        <v>593652</v>
      </c>
      <c r="B2451" s="1" t="s">
        <v>37</v>
      </c>
      <c r="C2451" s="1" t="s">
        <v>23</v>
      </c>
      <c r="D2451" s="1" t="s">
        <v>23</v>
      </c>
      <c r="E2451" s="1" t="s">
        <v>28</v>
      </c>
      <c r="F2451" s="1" t="s">
        <v>19</v>
      </c>
      <c r="G2451" s="1" t="s">
        <v>20</v>
      </c>
      <c r="H2451" t="s">
        <v>21</v>
      </c>
      <c r="I2451" s="1" t="s">
        <v>26</v>
      </c>
      <c r="J2451" s="2">
        <v>43536.3205787037</v>
      </c>
      <c r="K2451" s="2">
        <v>43537.3205787037</v>
      </c>
      <c r="L2451" s="2">
        <v>43541.3205787037</v>
      </c>
      <c r="M2451" s="1">
        <f>_xlfn.DAYS(Table1[[#This Row],[actual_delivery_date]],Table1[[#This Row],[dispatch_date]])</f>
        <v>1</v>
      </c>
      <c r="N2451">
        <v>0</v>
      </c>
      <c r="O2451">
        <f>Table1[[#This Row],[transit_storage_cost]] * (1-'What -if Analysis'!$D$26)</f>
        <v>0</v>
      </c>
      <c r="P2451">
        <v>127</v>
      </c>
      <c r="Q2451">
        <v>1052.4429818056915</v>
      </c>
    </row>
    <row r="2452" spans="1:17" x14ac:dyDescent="0.3">
      <c r="A2452">
        <v>750733</v>
      </c>
      <c r="B2452" s="1" t="s">
        <v>39</v>
      </c>
      <c r="C2452" s="1" t="s">
        <v>16</v>
      </c>
      <c r="D2452" s="1" t="s">
        <v>16</v>
      </c>
      <c r="E2452" s="1" t="s">
        <v>27</v>
      </c>
      <c r="F2452" s="1" t="s">
        <v>29</v>
      </c>
      <c r="G2452" s="1" t="s">
        <v>20</v>
      </c>
      <c r="H2452" t="s">
        <v>30</v>
      </c>
      <c r="I2452" s="1" t="s">
        <v>22</v>
      </c>
      <c r="J2452" s="2">
        <v>43531.323159722226</v>
      </c>
      <c r="K2452" s="2">
        <v>43537.323159722226</v>
      </c>
      <c r="L2452" s="2">
        <v>43537.323159722226</v>
      </c>
      <c r="M2452" s="1">
        <f>_xlfn.DAYS(Table1[[#This Row],[actual_delivery_date]],Table1[[#This Row],[dispatch_date]])</f>
        <v>6</v>
      </c>
      <c r="N2452">
        <v>0</v>
      </c>
      <c r="O2452">
        <f>Table1[[#This Row],[transit_storage_cost]] * (1-'What -if Analysis'!$D$26)</f>
        <v>0</v>
      </c>
      <c r="P2452">
        <v>127</v>
      </c>
      <c r="Q2452">
        <v>412.71376096657571</v>
      </c>
    </row>
    <row r="2453" spans="1:17" x14ac:dyDescent="0.3">
      <c r="A2453">
        <v>61820</v>
      </c>
      <c r="B2453" s="1" t="s">
        <v>40</v>
      </c>
      <c r="C2453" s="1" t="s">
        <v>16</v>
      </c>
      <c r="D2453" s="1" t="s">
        <v>23</v>
      </c>
      <c r="E2453" s="1" t="s">
        <v>28</v>
      </c>
      <c r="F2453" s="1" t="s">
        <v>19</v>
      </c>
      <c r="G2453" s="1" t="s">
        <v>20</v>
      </c>
      <c r="H2453" t="s">
        <v>21</v>
      </c>
      <c r="I2453" s="1" t="s">
        <v>22</v>
      </c>
      <c r="J2453" s="2">
        <v>43532.324155092596</v>
      </c>
      <c r="K2453" s="2">
        <v>43537.324155092596</v>
      </c>
      <c r="L2453" s="2">
        <v>43539.324155092596</v>
      </c>
      <c r="M2453" s="1">
        <f>_xlfn.DAYS(Table1[[#This Row],[actual_delivery_date]],Table1[[#This Row],[dispatch_date]])</f>
        <v>5</v>
      </c>
      <c r="N2453">
        <v>87</v>
      </c>
      <c r="O2453">
        <f>Table1[[#This Row],[transit_storage_cost]] * (1-'What -if Analysis'!$D$26)</f>
        <v>87</v>
      </c>
      <c r="P2453">
        <v>107</v>
      </c>
      <c r="Q2453">
        <v>1768.0861921477408</v>
      </c>
    </row>
    <row r="2454" spans="1:17" x14ac:dyDescent="0.3">
      <c r="A2454">
        <v>929509</v>
      </c>
      <c r="B2454" s="1" t="s">
        <v>38</v>
      </c>
      <c r="C2454" s="1" t="s">
        <v>16</v>
      </c>
      <c r="D2454" s="1" t="s">
        <v>16</v>
      </c>
      <c r="E2454" s="1" t="s">
        <v>27</v>
      </c>
      <c r="F2454" s="1" t="s">
        <v>19</v>
      </c>
      <c r="G2454" s="1" t="s">
        <v>20</v>
      </c>
      <c r="H2454" t="s">
        <v>34</v>
      </c>
      <c r="I2454" s="1" t="s">
        <v>22</v>
      </c>
      <c r="J2454" s="2">
        <v>43534.32675925926</v>
      </c>
      <c r="K2454" s="2">
        <v>43537.32675925926</v>
      </c>
      <c r="L2454" s="2">
        <v>43541.32675925926</v>
      </c>
      <c r="M2454" s="1">
        <f>_xlfn.DAYS(Table1[[#This Row],[actual_delivery_date]],Table1[[#This Row],[dispatch_date]])</f>
        <v>3</v>
      </c>
      <c r="N2454">
        <v>0</v>
      </c>
      <c r="O2454">
        <f>Table1[[#This Row],[transit_storage_cost]] * (1-'What -if Analysis'!$D$26)</f>
        <v>0</v>
      </c>
      <c r="P2454">
        <v>107</v>
      </c>
      <c r="Q2454">
        <v>372.35909703798598</v>
      </c>
    </row>
    <row r="2455" spans="1:17" x14ac:dyDescent="0.3">
      <c r="A2455">
        <v>265692</v>
      </c>
      <c r="B2455" s="1" t="s">
        <v>37</v>
      </c>
      <c r="C2455" s="1" t="s">
        <v>23</v>
      </c>
      <c r="D2455" s="1" t="s">
        <v>17</v>
      </c>
      <c r="E2455" s="1" t="s">
        <v>18</v>
      </c>
      <c r="F2455" s="1" t="s">
        <v>19</v>
      </c>
      <c r="G2455" s="1" t="s">
        <v>20</v>
      </c>
      <c r="H2455" t="s">
        <v>21</v>
      </c>
      <c r="I2455" s="1" t="s">
        <v>26</v>
      </c>
      <c r="J2455" s="2">
        <v>43534.329699074071</v>
      </c>
      <c r="K2455" s="2">
        <v>43537.329699074071</v>
      </c>
      <c r="L2455" s="2">
        <v>43540.329699074071</v>
      </c>
      <c r="M2455" s="1">
        <f>_xlfn.DAYS(Table1[[#This Row],[actual_delivery_date]],Table1[[#This Row],[dispatch_date]])</f>
        <v>3</v>
      </c>
      <c r="N2455">
        <v>29</v>
      </c>
      <c r="O2455">
        <f>Table1[[#This Row],[transit_storage_cost]] * (1-'What -if Analysis'!$D$26)</f>
        <v>29</v>
      </c>
      <c r="P2455">
        <v>108</v>
      </c>
      <c r="Q2455">
        <v>3467</v>
      </c>
    </row>
    <row r="2456" spans="1:17" x14ac:dyDescent="0.3">
      <c r="A2456">
        <v>36066</v>
      </c>
      <c r="B2456" s="1" t="s">
        <v>40</v>
      </c>
      <c r="C2456" s="1" t="s">
        <v>23</v>
      </c>
      <c r="D2456" s="1" t="s">
        <v>16</v>
      </c>
      <c r="E2456" s="1" t="s">
        <v>27</v>
      </c>
      <c r="F2456" s="1" t="s">
        <v>31</v>
      </c>
      <c r="G2456" s="1" t="s">
        <v>20</v>
      </c>
      <c r="H2456" t="s">
        <v>21</v>
      </c>
      <c r="I2456" s="1" t="s">
        <v>26</v>
      </c>
      <c r="J2456" s="2">
        <v>43533.33148148148</v>
      </c>
      <c r="K2456" s="2">
        <v>43537.33148148148</v>
      </c>
      <c r="L2456" s="2">
        <v>43539.33148148148</v>
      </c>
      <c r="M2456" s="1">
        <f>_xlfn.DAYS(Table1[[#This Row],[actual_delivery_date]],Table1[[#This Row],[dispatch_date]])</f>
        <v>4</v>
      </c>
      <c r="N2456">
        <v>42</v>
      </c>
      <c r="O2456">
        <f>Table1[[#This Row],[transit_storage_cost]] * (1-'What -if Analysis'!$D$26)</f>
        <v>42</v>
      </c>
      <c r="P2456">
        <v>121</v>
      </c>
      <c r="Q2456">
        <v>1165</v>
      </c>
    </row>
    <row r="2457" spans="1:17" x14ac:dyDescent="0.3">
      <c r="A2457">
        <v>69589</v>
      </c>
      <c r="B2457" s="1" t="s">
        <v>15</v>
      </c>
      <c r="C2457" s="1" t="s">
        <v>16</v>
      </c>
      <c r="D2457" s="1" t="s">
        <v>23</v>
      </c>
      <c r="E2457" s="1" t="s">
        <v>28</v>
      </c>
      <c r="F2457" s="1" t="s">
        <v>29</v>
      </c>
      <c r="G2457" s="1" t="s">
        <v>20</v>
      </c>
      <c r="H2457" t="s">
        <v>30</v>
      </c>
      <c r="I2457" s="1" t="s">
        <v>22</v>
      </c>
      <c r="J2457" s="2">
        <v>43531.332395833335</v>
      </c>
      <c r="K2457" s="2">
        <v>43537.332395833335</v>
      </c>
      <c r="L2457" s="2">
        <v>43536.332395833335</v>
      </c>
      <c r="M2457" s="1">
        <f>_xlfn.DAYS(Table1[[#This Row],[actual_delivery_date]],Table1[[#This Row],[dispatch_date]])</f>
        <v>6</v>
      </c>
      <c r="N2457">
        <v>48</v>
      </c>
      <c r="O2457">
        <f>Table1[[#This Row],[transit_storage_cost]] * (1-'What -if Analysis'!$D$26)</f>
        <v>48</v>
      </c>
      <c r="P2457">
        <v>128</v>
      </c>
      <c r="Q2457">
        <v>1976.486791781361</v>
      </c>
    </row>
    <row r="2458" spans="1:17" x14ac:dyDescent="0.3">
      <c r="A2458">
        <v>566161</v>
      </c>
      <c r="B2458" s="1" t="s">
        <v>37</v>
      </c>
      <c r="C2458" s="1" t="s">
        <v>23</v>
      </c>
      <c r="D2458" s="1" t="s">
        <v>32</v>
      </c>
      <c r="E2458" s="1" t="s">
        <v>33</v>
      </c>
      <c r="F2458" s="1" t="s">
        <v>29</v>
      </c>
      <c r="G2458" s="1" t="s">
        <v>20</v>
      </c>
      <c r="H2458" t="s">
        <v>30</v>
      </c>
      <c r="I2458" s="1" t="s">
        <v>22</v>
      </c>
      <c r="J2458" s="2">
        <v>43530.336030092592</v>
      </c>
      <c r="K2458" s="2">
        <v>43537.336030092592</v>
      </c>
      <c r="L2458" s="2">
        <v>43534.336030092592</v>
      </c>
      <c r="M2458" s="1">
        <f>_xlfn.DAYS(Table1[[#This Row],[actual_delivery_date]],Table1[[#This Row],[dispatch_date]])</f>
        <v>7</v>
      </c>
      <c r="N2458">
        <v>48</v>
      </c>
      <c r="O2458">
        <f>Table1[[#This Row],[transit_storage_cost]] * (1-'What -if Analysis'!$D$26)</f>
        <v>48</v>
      </c>
      <c r="P2458">
        <v>113</v>
      </c>
      <c r="Q2458">
        <v>1232</v>
      </c>
    </row>
    <row r="2459" spans="1:17" x14ac:dyDescent="0.3">
      <c r="A2459">
        <v>264283</v>
      </c>
      <c r="B2459" s="1" t="s">
        <v>37</v>
      </c>
      <c r="C2459" s="1" t="s">
        <v>16</v>
      </c>
      <c r="D2459" s="1" t="s">
        <v>17</v>
      </c>
      <c r="E2459" s="1" t="s">
        <v>18</v>
      </c>
      <c r="F2459" s="1" t="s">
        <v>19</v>
      </c>
      <c r="G2459" s="1" t="s">
        <v>20</v>
      </c>
      <c r="H2459" t="s">
        <v>30</v>
      </c>
      <c r="I2459" s="1" t="s">
        <v>22</v>
      </c>
      <c r="J2459" s="2">
        <v>43535.33866898148</v>
      </c>
      <c r="K2459" s="2">
        <v>43537.33866898148</v>
      </c>
      <c r="L2459" s="2">
        <v>43538.33866898148</v>
      </c>
      <c r="M2459" s="1">
        <f>_xlfn.DAYS(Table1[[#This Row],[actual_delivery_date]],Table1[[#This Row],[dispatch_date]])</f>
        <v>2</v>
      </c>
      <c r="N2459">
        <v>75</v>
      </c>
      <c r="O2459">
        <f>Table1[[#This Row],[transit_storage_cost]] * (1-'What -if Analysis'!$D$26)</f>
        <v>75</v>
      </c>
      <c r="P2459">
        <v>95</v>
      </c>
      <c r="Q2459">
        <v>1723.9075871921348</v>
      </c>
    </row>
    <row r="2460" spans="1:17" x14ac:dyDescent="0.3">
      <c r="A2460">
        <v>385820</v>
      </c>
      <c r="B2460" s="1" t="s">
        <v>37</v>
      </c>
      <c r="C2460" s="1" t="s">
        <v>23</v>
      </c>
      <c r="D2460" s="1" t="s">
        <v>17</v>
      </c>
      <c r="E2460" s="1" t="s">
        <v>18</v>
      </c>
      <c r="F2460" s="1" t="s">
        <v>19</v>
      </c>
      <c r="G2460" s="1" t="s">
        <v>20</v>
      </c>
      <c r="H2460" t="s">
        <v>21</v>
      </c>
      <c r="I2460" s="1" t="s">
        <v>22</v>
      </c>
      <c r="J2460" s="2">
        <v>43531.341134259259</v>
      </c>
      <c r="K2460" s="2">
        <v>43537.341134259259</v>
      </c>
      <c r="L2460" s="2">
        <v>43537.341134259259</v>
      </c>
      <c r="M2460" s="1">
        <f>_xlfn.DAYS(Table1[[#This Row],[actual_delivery_date]],Table1[[#This Row],[dispatch_date]])</f>
        <v>6</v>
      </c>
      <c r="N2460">
        <v>37</v>
      </c>
      <c r="O2460">
        <f>Table1[[#This Row],[transit_storage_cost]] * (1-'What -if Analysis'!$D$26)</f>
        <v>37</v>
      </c>
      <c r="P2460">
        <v>111</v>
      </c>
      <c r="Q2460">
        <v>2574.7060877145486</v>
      </c>
    </row>
    <row r="2461" spans="1:17" x14ac:dyDescent="0.3">
      <c r="A2461">
        <v>950428</v>
      </c>
      <c r="B2461" s="1" t="s">
        <v>39</v>
      </c>
      <c r="C2461" s="1" t="s">
        <v>16</v>
      </c>
      <c r="D2461" s="1" t="s">
        <v>32</v>
      </c>
      <c r="E2461" s="1" t="s">
        <v>33</v>
      </c>
      <c r="F2461" s="1" t="s">
        <v>19</v>
      </c>
      <c r="G2461" s="1" t="s">
        <v>20</v>
      </c>
      <c r="H2461" t="s">
        <v>21</v>
      </c>
      <c r="I2461" s="1" t="s">
        <v>22</v>
      </c>
      <c r="J2461" s="2">
        <v>43529.346921296295</v>
      </c>
      <c r="K2461" s="2">
        <v>43537.346921296295</v>
      </c>
      <c r="L2461" s="2">
        <v>43533.346921296295</v>
      </c>
      <c r="M2461" s="1">
        <f>_xlfn.DAYS(Table1[[#This Row],[actual_delivery_date]],Table1[[#This Row],[dispatch_date]])</f>
        <v>8</v>
      </c>
      <c r="N2461">
        <v>40</v>
      </c>
      <c r="O2461">
        <f>Table1[[#This Row],[transit_storage_cost]] * (1-'What -if Analysis'!$D$26)</f>
        <v>40</v>
      </c>
      <c r="P2461">
        <v>110</v>
      </c>
      <c r="Q2461">
        <v>584.81396261625559</v>
      </c>
    </row>
    <row r="2462" spans="1:17" x14ac:dyDescent="0.3">
      <c r="A2462">
        <v>909853</v>
      </c>
      <c r="B2462" s="1" t="s">
        <v>37</v>
      </c>
      <c r="C2462" s="1" t="s">
        <v>16</v>
      </c>
      <c r="D2462" s="1" t="s">
        <v>17</v>
      </c>
      <c r="E2462" s="1" t="s">
        <v>18</v>
      </c>
      <c r="F2462" s="1" t="s">
        <v>29</v>
      </c>
      <c r="G2462" s="1" t="s">
        <v>20</v>
      </c>
      <c r="H2462" t="s">
        <v>34</v>
      </c>
      <c r="I2462" s="1" t="s">
        <v>22</v>
      </c>
      <c r="J2462" s="2">
        <v>43534.354120370372</v>
      </c>
      <c r="K2462" s="2">
        <v>43537.354120370372</v>
      </c>
      <c r="L2462" s="2">
        <v>43537.354120370372</v>
      </c>
      <c r="M2462" s="1">
        <f>_xlfn.DAYS(Table1[[#This Row],[actual_delivery_date]],Table1[[#This Row],[dispatch_date]])</f>
        <v>3</v>
      </c>
      <c r="N2462">
        <v>33</v>
      </c>
      <c r="O2462">
        <f>Table1[[#This Row],[transit_storage_cost]] * (1-'What -if Analysis'!$D$26)</f>
        <v>33</v>
      </c>
      <c r="P2462">
        <v>111</v>
      </c>
      <c r="Q2462">
        <v>615.87014535204423</v>
      </c>
    </row>
    <row r="2463" spans="1:17" x14ac:dyDescent="0.3">
      <c r="A2463">
        <v>59928</v>
      </c>
      <c r="B2463" s="1" t="s">
        <v>41</v>
      </c>
      <c r="C2463" s="1" t="s">
        <v>23</v>
      </c>
      <c r="D2463" s="1" t="s">
        <v>16</v>
      </c>
      <c r="E2463" s="1" t="s">
        <v>27</v>
      </c>
      <c r="F2463" s="1" t="s">
        <v>19</v>
      </c>
      <c r="G2463" s="1" t="s">
        <v>20</v>
      </c>
      <c r="H2463" t="s">
        <v>21</v>
      </c>
      <c r="I2463" s="1" t="s">
        <v>26</v>
      </c>
      <c r="J2463" s="2">
        <v>43531.358344907407</v>
      </c>
      <c r="K2463" s="2">
        <v>43537.358344907407</v>
      </c>
      <c r="L2463" s="2">
        <v>43538.358344907407</v>
      </c>
      <c r="M2463" s="1">
        <f>_xlfn.DAYS(Table1[[#This Row],[actual_delivery_date]],Table1[[#This Row],[dispatch_date]])</f>
        <v>6</v>
      </c>
      <c r="N2463">
        <v>32</v>
      </c>
      <c r="O2463">
        <f>Table1[[#This Row],[transit_storage_cost]] * (1-'What -if Analysis'!$D$26)</f>
        <v>32</v>
      </c>
      <c r="P2463">
        <v>128</v>
      </c>
      <c r="Q2463">
        <v>2110.1922578469157</v>
      </c>
    </row>
    <row r="2464" spans="1:17" x14ac:dyDescent="0.3">
      <c r="A2464">
        <v>725208</v>
      </c>
      <c r="B2464" s="1" t="s">
        <v>38</v>
      </c>
      <c r="C2464" s="1" t="s">
        <v>23</v>
      </c>
      <c r="D2464" s="1" t="s">
        <v>32</v>
      </c>
      <c r="E2464" s="1" t="s">
        <v>33</v>
      </c>
      <c r="F2464" s="1" t="s">
        <v>19</v>
      </c>
      <c r="G2464" s="1" t="s">
        <v>36</v>
      </c>
      <c r="H2464" t="s">
        <v>21</v>
      </c>
      <c r="I2464" s="1" t="s">
        <v>26</v>
      </c>
      <c r="J2464" s="2">
        <v>43531.361354166664</v>
      </c>
      <c r="K2464" s="2">
        <v>43537.361354166664</v>
      </c>
      <c r="L2464" s="2">
        <v>43538.361354166664</v>
      </c>
      <c r="M2464" s="1">
        <f>_xlfn.DAYS(Table1[[#This Row],[actual_delivery_date]],Table1[[#This Row],[dispatch_date]])</f>
        <v>6</v>
      </c>
      <c r="N2464">
        <v>0</v>
      </c>
      <c r="O2464">
        <f>Table1[[#This Row],[transit_storage_cost]] * (1-'What -if Analysis'!$D$26)</f>
        <v>0</v>
      </c>
      <c r="P2464">
        <v>93</v>
      </c>
      <c r="Q2464">
        <v>3073.9820441182451</v>
      </c>
    </row>
    <row r="2465" spans="1:17" x14ac:dyDescent="0.3">
      <c r="A2465">
        <v>163328</v>
      </c>
      <c r="B2465" s="1" t="s">
        <v>15</v>
      </c>
      <c r="C2465" s="1" t="s">
        <v>23</v>
      </c>
      <c r="D2465" s="1" t="s">
        <v>16</v>
      </c>
      <c r="E2465" s="1" t="s">
        <v>27</v>
      </c>
      <c r="F2465" s="1" t="s">
        <v>19</v>
      </c>
      <c r="G2465" s="1" t="s">
        <v>20</v>
      </c>
      <c r="H2465" t="s">
        <v>21</v>
      </c>
      <c r="I2465" s="1" t="s">
        <v>22</v>
      </c>
      <c r="J2465" s="2">
        <v>43533.361400462964</v>
      </c>
      <c r="K2465" s="2">
        <v>43537.361400462964</v>
      </c>
      <c r="L2465" s="2">
        <v>43538.361400462964</v>
      </c>
      <c r="M2465" s="1">
        <f>_xlfn.DAYS(Table1[[#This Row],[actual_delivery_date]],Table1[[#This Row],[dispatch_date]])</f>
        <v>4</v>
      </c>
      <c r="N2465">
        <v>46</v>
      </c>
      <c r="O2465">
        <f>Table1[[#This Row],[transit_storage_cost]] * (1-'What -if Analysis'!$D$26)</f>
        <v>46</v>
      </c>
      <c r="P2465">
        <v>123</v>
      </c>
      <c r="Q2465">
        <v>2295</v>
      </c>
    </row>
    <row r="2466" spans="1:17" x14ac:dyDescent="0.3">
      <c r="A2466">
        <v>966853</v>
      </c>
      <c r="B2466" s="1" t="s">
        <v>39</v>
      </c>
      <c r="C2466" s="1" t="s">
        <v>16</v>
      </c>
      <c r="D2466" s="1" t="s">
        <v>17</v>
      </c>
      <c r="E2466" s="1" t="s">
        <v>18</v>
      </c>
      <c r="F2466" s="1" t="s">
        <v>29</v>
      </c>
      <c r="G2466" s="1" t="s">
        <v>20</v>
      </c>
      <c r="H2466" t="s">
        <v>30</v>
      </c>
      <c r="I2466" s="1" t="s">
        <v>22</v>
      </c>
      <c r="J2466" s="2">
        <v>43528.364791666667</v>
      </c>
      <c r="K2466" s="2">
        <v>43537.364791666667</v>
      </c>
      <c r="L2466" s="2">
        <v>43531.364791666667</v>
      </c>
      <c r="M2466" s="1">
        <f>_xlfn.DAYS(Table1[[#This Row],[actual_delivery_date]],Table1[[#This Row],[dispatch_date]])</f>
        <v>9</v>
      </c>
      <c r="N2466">
        <v>30</v>
      </c>
      <c r="O2466">
        <f>Table1[[#This Row],[transit_storage_cost]] * (1-'What -if Analysis'!$D$26)</f>
        <v>30</v>
      </c>
      <c r="P2466">
        <v>110</v>
      </c>
      <c r="Q2466">
        <v>890.35608791381389</v>
      </c>
    </row>
    <row r="2467" spans="1:17" x14ac:dyDescent="0.3">
      <c r="A2467">
        <v>240427</v>
      </c>
      <c r="B2467" s="1" t="s">
        <v>37</v>
      </c>
      <c r="C2467" s="1" t="s">
        <v>16</v>
      </c>
      <c r="D2467" s="1" t="s">
        <v>32</v>
      </c>
      <c r="E2467" s="1" t="s">
        <v>33</v>
      </c>
      <c r="F2467" s="1" t="s">
        <v>29</v>
      </c>
      <c r="G2467" s="1" t="s">
        <v>20</v>
      </c>
      <c r="H2467" t="s">
        <v>30</v>
      </c>
      <c r="I2467" s="1" t="s">
        <v>22</v>
      </c>
      <c r="J2467" s="2">
        <v>43533.370763888888</v>
      </c>
      <c r="K2467" s="2">
        <v>43537.370763888888</v>
      </c>
      <c r="L2467" s="2">
        <v>43537.370763888888</v>
      </c>
      <c r="M2467" s="1">
        <f>_xlfn.DAYS(Table1[[#This Row],[actual_delivery_date]],Table1[[#This Row],[dispatch_date]])</f>
        <v>4</v>
      </c>
      <c r="N2467">
        <v>50</v>
      </c>
      <c r="O2467">
        <f>Table1[[#This Row],[transit_storage_cost]] * (1-'What -if Analysis'!$D$26)</f>
        <v>50</v>
      </c>
      <c r="P2467">
        <v>109</v>
      </c>
      <c r="Q2467">
        <v>235</v>
      </c>
    </row>
    <row r="2468" spans="1:17" x14ac:dyDescent="0.3">
      <c r="A2468">
        <v>465970</v>
      </c>
      <c r="B2468" s="1" t="s">
        <v>38</v>
      </c>
      <c r="C2468" s="1" t="s">
        <v>16</v>
      </c>
      <c r="D2468" s="1" t="s">
        <v>23</v>
      </c>
      <c r="E2468" s="1" t="s">
        <v>28</v>
      </c>
      <c r="F2468" s="1" t="s">
        <v>31</v>
      </c>
      <c r="G2468" s="1" t="s">
        <v>20</v>
      </c>
      <c r="H2468" t="s">
        <v>21</v>
      </c>
      <c r="I2468" s="1" t="s">
        <v>22</v>
      </c>
      <c r="J2468" s="2">
        <v>43529.374155092592</v>
      </c>
      <c r="K2468" s="2">
        <v>43537.374155092592</v>
      </c>
      <c r="L2468" s="2">
        <v>43532.374155092592</v>
      </c>
      <c r="M2468" s="1">
        <f>_xlfn.DAYS(Table1[[#This Row],[actual_delivery_date]],Table1[[#This Row],[dispatch_date]])</f>
        <v>8</v>
      </c>
      <c r="N2468">
        <v>41</v>
      </c>
      <c r="O2468">
        <f>Table1[[#This Row],[transit_storage_cost]] * (1-'What -if Analysis'!$D$26)</f>
        <v>41</v>
      </c>
      <c r="P2468">
        <v>121</v>
      </c>
      <c r="Q2468">
        <v>675.63951860817463</v>
      </c>
    </row>
    <row r="2469" spans="1:17" x14ac:dyDescent="0.3">
      <c r="A2469">
        <v>28426</v>
      </c>
      <c r="B2469" s="1" t="s">
        <v>38</v>
      </c>
      <c r="C2469" s="1" t="s">
        <v>16</v>
      </c>
      <c r="D2469" s="1" t="s">
        <v>17</v>
      </c>
      <c r="E2469" s="1" t="s">
        <v>18</v>
      </c>
      <c r="F2469" s="1" t="s">
        <v>19</v>
      </c>
      <c r="G2469" s="1" t="s">
        <v>20</v>
      </c>
      <c r="H2469" t="s">
        <v>21</v>
      </c>
      <c r="I2469" s="1" t="s">
        <v>22</v>
      </c>
      <c r="J2469" s="2">
        <v>43535.37704861111</v>
      </c>
      <c r="K2469" s="2">
        <v>43537.37704861111</v>
      </c>
      <c r="L2469" s="2">
        <v>43542.37704861111</v>
      </c>
      <c r="M2469" s="1">
        <f>_xlfn.DAYS(Table1[[#This Row],[actual_delivery_date]],Table1[[#This Row],[dispatch_date]])</f>
        <v>2</v>
      </c>
      <c r="N2469">
        <v>64</v>
      </c>
      <c r="O2469">
        <f>Table1[[#This Row],[transit_storage_cost]] * (1-'What -if Analysis'!$D$26)</f>
        <v>64</v>
      </c>
      <c r="P2469">
        <v>89</v>
      </c>
      <c r="Q2469">
        <v>716.34905296684497</v>
      </c>
    </row>
    <row r="2470" spans="1:17" x14ac:dyDescent="0.3">
      <c r="A2470">
        <v>760072</v>
      </c>
      <c r="B2470" s="1" t="s">
        <v>40</v>
      </c>
      <c r="C2470" s="1" t="s">
        <v>16</v>
      </c>
      <c r="D2470" s="1" t="s">
        <v>23</v>
      </c>
      <c r="E2470" s="1" t="s">
        <v>28</v>
      </c>
      <c r="F2470" s="1" t="s">
        <v>19</v>
      </c>
      <c r="G2470" s="1" t="s">
        <v>20</v>
      </c>
      <c r="H2470" t="s">
        <v>21</v>
      </c>
      <c r="I2470" s="1" t="s">
        <v>22</v>
      </c>
      <c r="J2470" s="2">
        <v>43532.377141203702</v>
      </c>
      <c r="K2470" s="2">
        <v>43537.377141203702</v>
      </c>
      <c r="L2470" s="2">
        <v>43536.377141203702</v>
      </c>
      <c r="M2470" s="1">
        <f>_xlfn.DAYS(Table1[[#This Row],[actual_delivery_date]],Table1[[#This Row],[dispatch_date]])</f>
        <v>5</v>
      </c>
      <c r="N2470">
        <v>77</v>
      </c>
      <c r="O2470">
        <f>Table1[[#This Row],[transit_storage_cost]] * (1-'What -if Analysis'!$D$26)</f>
        <v>77</v>
      </c>
      <c r="P2470">
        <v>108</v>
      </c>
      <c r="Q2470">
        <v>361</v>
      </c>
    </row>
    <row r="2471" spans="1:17" x14ac:dyDescent="0.3">
      <c r="A2471">
        <v>924400</v>
      </c>
      <c r="B2471" s="1" t="s">
        <v>15</v>
      </c>
      <c r="C2471" s="1" t="s">
        <v>23</v>
      </c>
      <c r="D2471" s="1" t="s">
        <v>17</v>
      </c>
      <c r="E2471" s="1" t="s">
        <v>18</v>
      </c>
      <c r="F2471" s="1" t="s">
        <v>19</v>
      </c>
      <c r="G2471" s="1" t="s">
        <v>36</v>
      </c>
      <c r="H2471" t="s">
        <v>21</v>
      </c>
      <c r="I2471" s="1" t="s">
        <v>22</v>
      </c>
      <c r="J2471" s="2">
        <v>43535.37773148148</v>
      </c>
      <c r="K2471" s="2">
        <v>43537.37773148148</v>
      </c>
      <c r="L2471" s="2">
        <v>43540.37773148148</v>
      </c>
      <c r="M2471" s="1">
        <f>_xlfn.DAYS(Table1[[#This Row],[actual_delivery_date]],Table1[[#This Row],[dispatch_date]])</f>
        <v>2</v>
      </c>
      <c r="N2471">
        <v>31</v>
      </c>
      <c r="O2471">
        <f>Table1[[#This Row],[transit_storage_cost]] * (1-'What -if Analysis'!$D$26)</f>
        <v>31</v>
      </c>
      <c r="P2471">
        <v>107</v>
      </c>
      <c r="Q2471">
        <v>1266.7644612831184</v>
      </c>
    </row>
    <row r="2472" spans="1:17" x14ac:dyDescent="0.3">
      <c r="A2472">
        <v>19848</v>
      </c>
      <c r="B2472" s="1" t="s">
        <v>37</v>
      </c>
      <c r="C2472" s="1" t="s">
        <v>23</v>
      </c>
      <c r="D2472" s="1" t="s">
        <v>17</v>
      </c>
      <c r="E2472" s="1" t="s">
        <v>18</v>
      </c>
      <c r="F2472" s="1" t="s">
        <v>19</v>
      </c>
      <c r="G2472" s="1" t="s">
        <v>20</v>
      </c>
      <c r="H2472" t="s">
        <v>21</v>
      </c>
      <c r="I2472" s="1" t="s">
        <v>26</v>
      </c>
      <c r="J2472" s="2">
        <v>43535.379131944443</v>
      </c>
      <c r="K2472" s="2">
        <v>43537.379131944443</v>
      </c>
      <c r="L2472" s="2">
        <v>43541.379131944443</v>
      </c>
      <c r="M2472" s="1">
        <f>_xlfn.DAYS(Table1[[#This Row],[actual_delivery_date]],Table1[[#This Row],[dispatch_date]])</f>
        <v>2</v>
      </c>
      <c r="N2472">
        <v>47</v>
      </c>
      <c r="O2472">
        <f>Table1[[#This Row],[transit_storage_cost]] * (1-'What -if Analysis'!$D$26)</f>
        <v>47</v>
      </c>
      <c r="P2472">
        <v>109</v>
      </c>
      <c r="Q2472">
        <v>780.73729157703292</v>
      </c>
    </row>
    <row r="2473" spans="1:17" x14ac:dyDescent="0.3">
      <c r="A2473">
        <v>250782</v>
      </c>
      <c r="B2473" s="1" t="s">
        <v>38</v>
      </c>
      <c r="C2473" s="1" t="s">
        <v>16</v>
      </c>
      <c r="D2473" s="1" t="s">
        <v>24</v>
      </c>
      <c r="E2473" s="1" t="s">
        <v>25</v>
      </c>
      <c r="F2473" s="1" t="s">
        <v>19</v>
      </c>
      <c r="G2473" s="1" t="s">
        <v>20</v>
      </c>
      <c r="H2473" t="s">
        <v>21</v>
      </c>
      <c r="I2473" s="1" t="s">
        <v>26</v>
      </c>
      <c r="J2473" s="2">
        <v>43526.381342592591</v>
      </c>
      <c r="K2473" s="2">
        <v>43537.381342592591</v>
      </c>
      <c r="L2473" s="2">
        <v>43531.381342592591</v>
      </c>
      <c r="M2473" s="1">
        <f>_xlfn.DAYS(Table1[[#This Row],[actual_delivery_date]],Table1[[#This Row],[dispatch_date]])</f>
        <v>11</v>
      </c>
      <c r="N2473">
        <v>80</v>
      </c>
      <c r="O2473">
        <f>Table1[[#This Row],[transit_storage_cost]] * (1-'What -if Analysis'!$D$26)</f>
        <v>80</v>
      </c>
      <c r="P2473">
        <v>101</v>
      </c>
      <c r="Q2473">
        <v>2160.1799999999998</v>
      </c>
    </row>
    <row r="2474" spans="1:17" x14ac:dyDescent="0.3">
      <c r="A2474">
        <v>994134</v>
      </c>
      <c r="B2474" s="1" t="s">
        <v>37</v>
      </c>
      <c r="C2474" s="1" t="s">
        <v>23</v>
      </c>
      <c r="D2474" s="1" t="s">
        <v>23</v>
      </c>
      <c r="E2474" s="1" t="s">
        <v>28</v>
      </c>
      <c r="F2474" s="1" t="s">
        <v>31</v>
      </c>
      <c r="G2474" s="1" t="s">
        <v>20</v>
      </c>
      <c r="H2474" t="s">
        <v>21</v>
      </c>
      <c r="I2474" s="1" t="s">
        <v>26</v>
      </c>
      <c r="J2474" s="2">
        <v>43533.381689814814</v>
      </c>
      <c r="K2474" s="2">
        <v>43537.381689814814</v>
      </c>
      <c r="L2474" s="2">
        <v>43539.381689814814</v>
      </c>
      <c r="M2474" s="1">
        <f>_xlfn.DAYS(Table1[[#This Row],[actual_delivery_date]],Table1[[#This Row],[dispatch_date]])</f>
        <v>4</v>
      </c>
      <c r="N2474">
        <v>0</v>
      </c>
      <c r="O2474">
        <f>Table1[[#This Row],[transit_storage_cost]] * (1-'What -if Analysis'!$D$26)</f>
        <v>0</v>
      </c>
      <c r="P2474">
        <v>126</v>
      </c>
      <c r="Q2474">
        <v>2344.1579573408026</v>
      </c>
    </row>
    <row r="2475" spans="1:17" x14ac:dyDescent="0.3">
      <c r="A2475">
        <v>783391</v>
      </c>
      <c r="B2475" s="1" t="s">
        <v>41</v>
      </c>
      <c r="C2475" s="1" t="s">
        <v>16</v>
      </c>
      <c r="D2475" s="1" t="s">
        <v>32</v>
      </c>
      <c r="E2475" s="1" t="s">
        <v>33</v>
      </c>
      <c r="F2475" s="1" t="s">
        <v>19</v>
      </c>
      <c r="G2475" s="1" t="s">
        <v>20</v>
      </c>
      <c r="H2475" t="s">
        <v>34</v>
      </c>
      <c r="I2475" s="1" t="s">
        <v>22</v>
      </c>
      <c r="J2475" s="2">
        <v>43529.382349537038</v>
      </c>
      <c r="K2475" s="2">
        <v>43537.382349537038</v>
      </c>
      <c r="L2475" s="2">
        <v>43536.382349537038</v>
      </c>
      <c r="M2475" s="1">
        <f>_xlfn.DAYS(Table1[[#This Row],[actual_delivery_date]],Table1[[#This Row],[dispatch_date]])</f>
        <v>8</v>
      </c>
      <c r="N2475">
        <v>78</v>
      </c>
      <c r="O2475">
        <f>Table1[[#This Row],[transit_storage_cost]] * (1-'What -if Analysis'!$D$26)</f>
        <v>78</v>
      </c>
      <c r="P2475">
        <v>95</v>
      </c>
      <c r="Q2475">
        <v>3095.6224330753557</v>
      </c>
    </row>
    <row r="2476" spans="1:17" x14ac:dyDescent="0.3">
      <c r="A2476">
        <v>521074</v>
      </c>
      <c r="B2476" s="1" t="s">
        <v>37</v>
      </c>
      <c r="C2476" s="1" t="s">
        <v>23</v>
      </c>
      <c r="D2476" s="1" t="s">
        <v>32</v>
      </c>
      <c r="E2476" s="1" t="s">
        <v>33</v>
      </c>
      <c r="F2476" s="1" t="s">
        <v>31</v>
      </c>
      <c r="G2476" s="1" t="s">
        <v>20</v>
      </c>
      <c r="H2476" t="s">
        <v>21</v>
      </c>
      <c r="I2476" s="1" t="s">
        <v>22</v>
      </c>
      <c r="J2476" s="2">
        <v>43534.383344907408</v>
      </c>
      <c r="K2476" s="2">
        <v>43537.383344907408</v>
      </c>
      <c r="L2476" s="2">
        <v>43539.383344907408</v>
      </c>
      <c r="M2476" s="1">
        <f>_xlfn.DAYS(Table1[[#This Row],[actual_delivery_date]],Table1[[#This Row],[dispatch_date]])</f>
        <v>3</v>
      </c>
      <c r="N2476">
        <v>36</v>
      </c>
      <c r="O2476">
        <f>Table1[[#This Row],[transit_storage_cost]] * (1-'What -if Analysis'!$D$26)</f>
        <v>36</v>
      </c>
      <c r="P2476">
        <v>107</v>
      </c>
      <c r="Q2476">
        <v>1594.5324041368794</v>
      </c>
    </row>
    <row r="2477" spans="1:17" x14ac:dyDescent="0.3">
      <c r="A2477">
        <v>898396</v>
      </c>
      <c r="B2477" s="1" t="s">
        <v>40</v>
      </c>
      <c r="C2477" s="1" t="s">
        <v>16</v>
      </c>
      <c r="D2477" s="1" t="s">
        <v>23</v>
      </c>
      <c r="E2477" s="1" t="s">
        <v>28</v>
      </c>
      <c r="F2477" s="1" t="s">
        <v>19</v>
      </c>
      <c r="G2477" s="1" t="s">
        <v>36</v>
      </c>
      <c r="H2477" t="s">
        <v>21</v>
      </c>
      <c r="I2477" s="1" t="s">
        <v>22</v>
      </c>
      <c r="J2477" s="2">
        <v>43531.400925925926</v>
      </c>
      <c r="K2477" s="2">
        <v>43537.400925925926</v>
      </c>
      <c r="L2477" s="2">
        <v>43537.400925925926</v>
      </c>
      <c r="M2477" s="1">
        <f>_xlfn.DAYS(Table1[[#This Row],[actual_delivery_date]],Table1[[#This Row],[dispatch_date]])</f>
        <v>6</v>
      </c>
      <c r="N2477">
        <v>48</v>
      </c>
      <c r="O2477">
        <f>Table1[[#This Row],[transit_storage_cost]] * (1-'What -if Analysis'!$D$26)</f>
        <v>48</v>
      </c>
      <c r="P2477">
        <v>125</v>
      </c>
      <c r="Q2477">
        <v>1091</v>
      </c>
    </row>
    <row r="2478" spans="1:17" x14ac:dyDescent="0.3">
      <c r="A2478">
        <v>744793</v>
      </c>
      <c r="B2478" s="1" t="s">
        <v>38</v>
      </c>
      <c r="C2478" s="1" t="s">
        <v>23</v>
      </c>
      <c r="D2478" s="1" t="s">
        <v>16</v>
      </c>
      <c r="E2478" s="1" t="s">
        <v>27</v>
      </c>
      <c r="F2478" s="1" t="s">
        <v>19</v>
      </c>
      <c r="G2478" s="1" t="s">
        <v>20</v>
      </c>
      <c r="H2478" t="s">
        <v>34</v>
      </c>
      <c r="I2478" s="1" t="s">
        <v>22</v>
      </c>
      <c r="J2478" s="2">
        <v>43535.402824074074</v>
      </c>
      <c r="K2478" s="2">
        <v>43537.402824074074</v>
      </c>
      <c r="L2478" s="2">
        <v>43540.402824074074</v>
      </c>
      <c r="M2478" s="1">
        <f>_xlfn.DAYS(Table1[[#This Row],[actual_delivery_date]],Table1[[#This Row],[dispatch_date]])</f>
        <v>2</v>
      </c>
      <c r="N2478">
        <v>71</v>
      </c>
      <c r="O2478">
        <f>Table1[[#This Row],[transit_storage_cost]] * (1-'What -if Analysis'!$D$26)</f>
        <v>71</v>
      </c>
      <c r="P2478">
        <v>103</v>
      </c>
      <c r="Q2478">
        <v>2825.2546893785761</v>
      </c>
    </row>
    <row r="2479" spans="1:17" x14ac:dyDescent="0.3">
      <c r="A2479">
        <v>123963</v>
      </c>
      <c r="B2479" s="1" t="s">
        <v>38</v>
      </c>
      <c r="C2479" s="1" t="s">
        <v>23</v>
      </c>
      <c r="D2479" s="1" t="s">
        <v>24</v>
      </c>
      <c r="E2479" s="1" t="s">
        <v>25</v>
      </c>
      <c r="F2479" s="1" t="s">
        <v>19</v>
      </c>
      <c r="G2479" s="1" t="s">
        <v>20</v>
      </c>
      <c r="H2479" t="s">
        <v>34</v>
      </c>
      <c r="I2479" s="1" t="s">
        <v>26</v>
      </c>
      <c r="J2479" s="2">
        <v>43527.412569444445</v>
      </c>
      <c r="K2479" s="2">
        <v>43537.412569444445</v>
      </c>
      <c r="L2479" s="2">
        <v>43530.412569444445</v>
      </c>
      <c r="M2479" s="1">
        <f>_xlfn.DAYS(Table1[[#This Row],[actual_delivery_date]],Table1[[#This Row],[dispatch_date]])</f>
        <v>10</v>
      </c>
      <c r="N2479">
        <v>78</v>
      </c>
      <c r="O2479">
        <f>Table1[[#This Row],[transit_storage_cost]] * (1-'What -if Analysis'!$D$26)</f>
        <v>78</v>
      </c>
      <c r="P2479">
        <v>103</v>
      </c>
      <c r="Q2479">
        <v>2955.18</v>
      </c>
    </row>
    <row r="2480" spans="1:17" x14ac:dyDescent="0.3">
      <c r="A2480">
        <v>667529</v>
      </c>
      <c r="B2480" s="1" t="s">
        <v>37</v>
      </c>
      <c r="C2480" s="1" t="s">
        <v>23</v>
      </c>
      <c r="D2480" s="1" t="s">
        <v>23</v>
      </c>
      <c r="E2480" s="1" t="s">
        <v>28</v>
      </c>
      <c r="F2480" s="1" t="s">
        <v>29</v>
      </c>
      <c r="G2480" s="1" t="s">
        <v>20</v>
      </c>
      <c r="H2480" t="s">
        <v>30</v>
      </c>
      <c r="I2480" s="1" t="s">
        <v>22</v>
      </c>
      <c r="J2480" s="2">
        <v>43531.412662037037</v>
      </c>
      <c r="K2480" s="2">
        <v>43537.412662037037</v>
      </c>
      <c r="L2480" s="2">
        <v>43535.412662037037</v>
      </c>
      <c r="M2480" s="1">
        <f>_xlfn.DAYS(Table1[[#This Row],[actual_delivery_date]],Table1[[#This Row],[dispatch_date]])</f>
        <v>6</v>
      </c>
      <c r="N2480">
        <v>0</v>
      </c>
      <c r="O2480">
        <f>Table1[[#This Row],[transit_storage_cost]] * (1-'What -if Analysis'!$D$26)</f>
        <v>0</v>
      </c>
      <c r="P2480">
        <v>122</v>
      </c>
      <c r="Q2480">
        <v>462.69802772985093</v>
      </c>
    </row>
    <row r="2481" spans="1:17" x14ac:dyDescent="0.3">
      <c r="A2481">
        <v>854642</v>
      </c>
      <c r="B2481" s="1" t="s">
        <v>39</v>
      </c>
      <c r="C2481" s="1" t="s">
        <v>16</v>
      </c>
      <c r="D2481" s="1" t="s">
        <v>23</v>
      </c>
      <c r="E2481" s="1" t="s">
        <v>28</v>
      </c>
      <c r="F2481" s="1" t="s">
        <v>31</v>
      </c>
      <c r="G2481" s="1" t="s">
        <v>20</v>
      </c>
      <c r="H2481" t="s">
        <v>21</v>
      </c>
      <c r="I2481" s="1" t="s">
        <v>22</v>
      </c>
      <c r="J2481" s="2">
        <v>43532.415497685186</v>
      </c>
      <c r="K2481" s="2">
        <v>43537.415497685186</v>
      </c>
      <c r="L2481" s="2">
        <v>43535.415497685186</v>
      </c>
      <c r="M2481" s="1">
        <f>_xlfn.DAYS(Table1[[#This Row],[actual_delivery_date]],Table1[[#This Row],[dispatch_date]])</f>
        <v>5</v>
      </c>
      <c r="N2481">
        <v>37</v>
      </c>
      <c r="O2481">
        <f>Table1[[#This Row],[transit_storage_cost]] * (1-'What -if Analysis'!$D$26)</f>
        <v>37</v>
      </c>
      <c r="P2481">
        <v>123</v>
      </c>
      <c r="Q2481">
        <v>1915.9695304368693</v>
      </c>
    </row>
    <row r="2482" spans="1:17" x14ac:dyDescent="0.3">
      <c r="A2482">
        <v>767592</v>
      </c>
      <c r="B2482" s="1" t="s">
        <v>41</v>
      </c>
      <c r="C2482" s="1" t="s">
        <v>23</v>
      </c>
      <c r="D2482" s="1" t="s">
        <v>32</v>
      </c>
      <c r="E2482" s="1" t="s">
        <v>33</v>
      </c>
      <c r="F2482" s="1" t="s">
        <v>19</v>
      </c>
      <c r="G2482" s="1" t="s">
        <v>20</v>
      </c>
      <c r="H2482" t="s">
        <v>21</v>
      </c>
      <c r="I2482" s="1" t="s">
        <v>26</v>
      </c>
      <c r="J2482" s="2">
        <v>43530.417638888888</v>
      </c>
      <c r="K2482" s="2">
        <v>43537.417638888888</v>
      </c>
      <c r="L2482" s="2">
        <v>43533.417638888888</v>
      </c>
      <c r="M2482" s="1">
        <f>_xlfn.DAYS(Table1[[#This Row],[actual_delivery_date]],Table1[[#This Row],[dispatch_date]])</f>
        <v>7</v>
      </c>
      <c r="N2482">
        <v>77</v>
      </c>
      <c r="O2482">
        <f>Table1[[#This Row],[transit_storage_cost]] * (1-'What -if Analysis'!$D$26)</f>
        <v>77</v>
      </c>
      <c r="P2482">
        <v>91</v>
      </c>
      <c r="Q2482">
        <v>3165.3310761873513</v>
      </c>
    </row>
    <row r="2483" spans="1:17" x14ac:dyDescent="0.3">
      <c r="A2483">
        <v>520194</v>
      </c>
      <c r="B2483" s="1" t="s">
        <v>38</v>
      </c>
      <c r="C2483" s="1" t="s">
        <v>23</v>
      </c>
      <c r="D2483" s="1" t="s">
        <v>24</v>
      </c>
      <c r="E2483" s="1" t="s">
        <v>25</v>
      </c>
      <c r="F2483" s="1" t="s">
        <v>19</v>
      </c>
      <c r="G2483" s="1" t="s">
        <v>20</v>
      </c>
      <c r="H2483" t="s">
        <v>21</v>
      </c>
      <c r="I2483" s="1" t="s">
        <v>26</v>
      </c>
      <c r="J2483" s="2">
        <v>43528.418402777781</v>
      </c>
      <c r="K2483" s="2">
        <v>43537.418402777781</v>
      </c>
      <c r="L2483" s="2">
        <v>43534.418402777781</v>
      </c>
      <c r="M2483" s="1">
        <f>_xlfn.DAYS(Table1[[#This Row],[actual_delivery_date]],Table1[[#This Row],[dispatch_date]])</f>
        <v>9</v>
      </c>
      <c r="N2483">
        <v>79</v>
      </c>
      <c r="O2483">
        <f>Table1[[#This Row],[transit_storage_cost]] * (1-'What -if Analysis'!$D$26)</f>
        <v>79</v>
      </c>
      <c r="P2483">
        <v>107</v>
      </c>
      <c r="Q2483">
        <v>1610.15</v>
      </c>
    </row>
    <row r="2484" spans="1:17" x14ac:dyDescent="0.3">
      <c r="A2484">
        <v>616469</v>
      </c>
      <c r="B2484" s="1" t="s">
        <v>41</v>
      </c>
      <c r="C2484" s="1" t="s">
        <v>16</v>
      </c>
      <c r="D2484" s="1" t="s">
        <v>17</v>
      </c>
      <c r="E2484" s="1" t="s">
        <v>18</v>
      </c>
      <c r="F2484" s="1" t="s">
        <v>29</v>
      </c>
      <c r="G2484" s="1" t="s">
        <v>20</v>
      </c>
      <c r="H2484" t="s">
        <v>34</v>
      </c>
      <c r="I2484" s="1" t="s">
        <v>22</v>
      </c>
      <c r="J2484" s="2">
        <v>43532.420578703706</v>
      </c>
      <c r="K2484" s="2">
        <v>43537.420578703706</v>
      </c>
      <c r="L2484" s="2">
        <v>43538.420578703706</v>
      </c>
      <c r="M2484" s="1">
        <f>_xlfn.DAYS(Table1[[#This Row],[actual_delivery_date]],Table1[[#This Row],[dispatch_date]])</f>
        <v>5</v>
      </c>
      <c r="N2484">
        <v>35</v>
      </c>
      <c r="O2484">
        <f>Table1[[#This Row],[transit_storage_cost]] * (1-'What -if Analysis'!$D$26)</f>
        <v>35</v>
      </c>
      <c r="P2484">
        <v>110</v>
      </c>
      <c r="Q2484">
        <v>3161.2992548020534</v>
      </c>
    </row>
    <row r="2485" spans="1:17" x14ac:dyDescent="0.3">
      <c r="A2485">
        <v>517727</v>
      </c>
      <c r="B2485" s="1" t="s">
        <v>40</v>
      </c>
      <c r="C2485" s="1" t="s">
        <v>16</v>
      </c>
      <c r="D2485" s="1" t="s">
        <v>17</v>
      </c>
      <c r="E2485" s="1" t="s">
        <v>18</v>
      </c>
      <c r="F2485" s="1" t="s">
        <v>29</v>
      </c>
      <c r="G2485" s="1" t="s">
        <v>20</v>
      </c>
      <c r="H2485" t="s">
        <v>34</v>
      </c>
      <c r="I2485" s="1" t="s">
        <v>22</v>
      </c>
      <c r="J2485" s="2">
        <v>43531.423449074071</v>
      </c>
      <c r="K2485" s="2">
        <v>43537.423449074071</v>
      </c>
      <c r="L2485" s="2">
        <v>43537.423449074071</v>
      </c>
      <c r="M2485" s="1">
        <f>_xlfn.DAYS(Table1[[#This Row],[actual_delivery_date]],Table1[[#This Row],[dispatch_date]])</f>
        <v>6</v>
      </c>
      <c r="N2485">
        <v>42</v>
      </c>
      <c r="O2485">
        <f>Table1[[#This Row],[transit_storage_cost]] * (1-'What -if Analysis'!$D$26)</f>
        <v>42</v>
      </c>
      <c r="P2485">
        <v>106</v>
      </c>
      <c r="Q2485">
        <v>546.22252538637076</v>
      </c>
    </row>
    <row r="2486" spans="1:17" x14ac:dyDescent="0.3">
      <c r="A2486">
        <v>980413</v>
      </c>
      <c r="B2486" s="1" t="s">
        <v>37</v>
      </c>
      <c r="C2486" s="1" t="s">
        <v>16</v>
      </c>
      <c r="D2486" s="1" t="s">
        <v>23</v>
      </c>
      <c r="E2486" s="1" t="s">
        <v>28</v>
      </c>
      <c r="F2486" s="1" t="s">
        <v>19</v>
      </c>
      <c r="G2486" s="1" t="s">
        <v>20</v>
      </c>
      <c r="H2486" t="s">
        <v>34</v>
      </c>
      <c r="I2486" s="1" t="s">
        <v>22</v>
      </c>
      <c r="J2486" s="2">
        <v>43534.428298611114</v>
      </c>
      <c r="K2486" s="2">
        <v>43537.428298611114</v>
      </c>
      <c r="L2486" s="2">
        <v>43540.428298611114</v>
      </c>
      <c r="M2486" s="1">
        <f>_xlfn.DAYS(Table1[[#This Row],[actual_delivery_date]],Table1[[#This Row],[dispatch_date]])</f>
        <v>3</v>
      </c>
      <c r="N2486">
        <v>81</v>
      </c>
      <c r="O2486">
        <f>Table1[[#This Row],[transit_storage_cost]] * (1-'What -if Analysis'!$D$26)</f>
        <v>81</v>
      </c>
      <c r="P2486">
        <v>102</v>
      </c>
      <c r="Q2486">
        <v>1855.9404255516183</v>
      </c>
    </row>
    <row r="2487" spans="1:17" x14ac:dyDescent="0.3">
      <c r="A2487">
        <v>477274</v>
      </c>
      <c r="B2487" s="1" t="s">
        <v>39</v>
      </c>
      <c r="C2487" s="1" t="s">
        <v>16</v>
      </c>
      <c r="D2487" s="1" t="s">
        <v>17</v>
      </c>
      <c r="E2487" s="1" t="s">
        <v>18</v>
      </c>
      <c r="F2487" s="1" t="s">
        <v>31</v>
      </c>
      <c r="G2487" s="1" t="s">
        <v>20</v>
      </c>
      <c r="H2487" t="s">
        <v>21</v>
      </c>
      <c r="I2487" s="1" t="s">
        <v>22</v>
      </c>
      <c r="J2487" s="2">
        <v>43533.431087962963</v>
      </c>
      <c r="K2487" s="2">
        <v>43537.431087962963</v>
      </c>
      <c r="L2487" s="2">
        <v>43539.431087962963</v>
      </c>
      <c r="M2487" s="1">
        <f>_xlfn.DAYS(Table1[[#This Row],[actual_delivery_date]],Table1[[#This Row],[dispatch_date]])</f>
        <v>4</v>
      </c>
      <c r="N2487">
        <v>25</v>
      </c>
      <c r="O2487">
        <f>Table1[[#This Row],[transit_storage_cost]] * (1-'What -if Analysis'!$D$26)</f>
        <v>25</v>
      </c>
      <c r="P2487">
        <v>113</v>
      </c>
      <c r="Q2487">
        <v>1343.3161410297014</v>
      </c>
    </row>
    <row r="2488" spans="1:17" x14ac:dyDescent="0.3">
      <c r="A2488">
        <v>712046</v>
      </c>
      <c r="B2488" s="1" t="s">
        <v>37</v>
      </c>
      <c r="C2488" s="1" t="s">
        <v>16</v>
      </c>
      <c r="D2488" s="1" t="s">
        <v>24</v>
      </c>
      <c r="E2488" s="1" t="s">
        <v>25</v>
      </c>
      <c r="F2488" s="1" t="s">
        <v>19</v>
      </c>
      <c r="G2488" s="1" t="s">
        <v>20</v>
      </c>
      <c r="H2488" t="s">
        <v>21</v>
      </c>
      <c r="I2488" s="1" t="s">
        <v>22</v>
      </c>
      <c r="J2488" s="2">
        <v>43528.435115740744</v>
      </c>
      <c r="K2488" s="2">
        <v>43537.435115740744</v>
      </c>
      <c r="L2488" s="2">
        <v>43533.435115740744</v>
      </c>
      <c r="M2488" s="1">
        <f>_xlfn.DAYS(Table1[[#This Row],[actual_delivery_date]],Table1[[#This Row],[dispatch_date]])</f>
        <v>9</v>
      </c>
      <c r="N2488">
        <v>86</v>
      </c>
      <c r="O2488">
        <f>Table1[[#This Row],[transit_storage_cost]] * (1-'What -if Analysis'!$D$26)</f>
        <v>86</v>
      </c>
      <c r="P2488">
        <v>101</v>
      </c>
      <c r="Q2488">
        <v>1243.5411041613695</v>
      </c>
    </row>
    <row r="2489" spans="1:17" x14ac:dyDescent="0.3">
      <c r="A2489">
        <v>644659</v>
      </c>
      <c r="B2489" s="1" t="s">
        <v>38</v>
      </c>
      <c r="C2489" s="1" t="s">
        <v>23</v>
      </c>
      <c r="D2489" s="1" t="s">
        <v>32</v>
      </c>
      <c r="E2489" s="1" t="s">
        <v>33</v>
      </c>
      <c r="F2489" s="1" t="s">
        <v>29</v>
      </c>
      <c r="G2489" s="1" t="s">
        <v>20</v>
      </c>
      <c r="H2489" t="s">
        <v>30</v>
      </c>
      <c r="I2489" s="1" t="s">
        <v>22</v>
      </c>
      <c r="J2489" s="2">
        <v>43530.435659722221</v>
      </c>
      <c r="K2489" s="2">
        <v>43537.435659722221</v>
      </c>
      <c r="L2489" s="2">
        <v>43534.435659722221</v>
      </c>
      <c r="M2489" s="1">
        <f>_xlfn.DAYS(Table1[[#This Row],[actual_delivery_date]],Table1[[#This Row],[dispatch_date]])</f>
        <v>7</v>
      </c>
      <c r="N2489">
        <v>42</v>
      </c>
      <c r="O2489">
        <f>Table1[[#This Row],[transit_storage_cost]] * (1-'What -if Analysis'!$D$26)</f>
        <v>42</v>
      </c>
      <c r="P2489">
        <v>107</v>
      </c>
      <c r="Q2489">
        <v>1133.825709612265</v>
      </c>
    </row>
    <row r="2490" spans="1:17" x14ac:dyDescent="0.3">
      <c r="A2490">
        <v>288278</v>
      </c>
      <c r="B2490" s="1" t="s">
        <v>38</v>
      </c>
      <c r="C2490" s="1" t="s">
        <v>16</v>
      </c>
      <c r="D2490" s="1" t="s">
        <v>16</v>
      </c>
      <c r="E2490" s="1" t="s">
        <v>27</v>
      </c>
      <c r="F2490" s="1" t="s">
        <v>19</v>
      </c>
      <c r="G2490" s="1" t="s">
        <v>20</v>
      </c>
      <c r="H2490" t="s">
        <v>21</v>
      </c>
      <c r="I2490" s="1" t="s">
        <v>22</v>
      </c>
      <c r="J2490" s="2">
        <v>43537.438449074078</v>
      </c>
      <c r="K2490" s="2">
        <v>43537.438449074078</v>
      </c>
      <c r="L2490" s="2">
        <v>43540.438449074078</v>
      </c>
      <c r="M2490" s="1">
        <f>_xlfn.DAYS(Table1[[#This Row],[actual_delivery_date]],Table1[[#This Row],[dispatch_date]])</f>
        <v>0</v>
      </c>
      <c r="N2490">
        <v>0</v>
      </c>
      <c r="O2490">
        <f>Table1[[#This Row],[transit_storage_cost]] * (1-'What -if Analysis'!$D$26)</f>
        <v>0</v>
      </c>
      <c r="P2490">
        <v>100</v>
      </c>
      <c r="Q2490">
        <v>1614</v>
      </c>
    </row>
    <row r="2491" spans="1:17" x14ac:dyDescent="0.3">
      <c r="A2491">
        <v>514063</v>
      </c>
      <c r="B2491" s="1" t="s">
        <v>38</v>
      </c>
      <c r="C2491" s="1" t="s">
        <v>16</v>
      </c>
      <c r="D2491" s="1" t="s">
        <v>17</v>
      </c>
      <c r="E2491" s="1" t="s">
        <v>18</v>
      </c>
      <c r="F2491" s="1" t="s">
        <v>29</v>
      </c>
      <c r="G2491" s="1" t="s">
        <v>20</v>
      </c>
      <c r="H2491" t="s">
        <v>30</v>
      </c>
      <c r="I2491" s="1" t="s">
        <v>22</v>
      </c>
      <c r="J2491" s="2">
        <v>43528.448564814818</v>
      </c>
      <c r="K2491" s="2">
        <v>43537.448564814818</v>
      </c>
      <c r="L2491" s="2">
        <v>43531.448564814818</v>
      </c>
      <c r="M2491" s="1">
        <f>_xlfn.DAYS(Table1[[#This Row],[actual_delivery_date]],Table1[[#This Row],[dispatch_date]])</f>
        <v>9</v>
      </c>
      <c r="N2491">
        <v>30</v>
      </c>
      <c r="O2491">
        <f>Table1[[#This Row],[transit_storage_cost]] * (1-'What -if Analysis'!$D$26)</f>
        <v>30</v>
      </c>
      <c r="P2491">
        <v>110</v>
      </c>
      <c r="Q2491">
        <v>550.30847211460832</v>
      </c>
    </row>
    <row r="2492" spans="1:17" x14ac:dyDescent="0.3">
      <c r="A2492">
        <v>167513</v>
      </c>
      <c r="B2492" s="1" t="s">
        <v>41</v>
      </c>
      <c r="C2492" s="1" t="s">
        <v>16</v>
      </c>
      <c r="D2492" s="1" t="s">
        <v>17</v>
      </c>
      <c r="E2492" s="1" t="s">
        <v>18</v>
      </c>
      <c r="F2492" s="1" t="s">
        <v>19</v>
      </c>
      <c r="G2492" s="1" t="s">
        <v>20</v>
      </c>
      <c r="H2492" t="s">
        <v>30</v>
      </c>
      <c r="I2492" s="1" t="s">
        <v>22</v>
      </c>
      <c r="J2492" s="2">
        <v>43534.450185185182</v>
      </c>
      <c r="K2492" s="2">
        <v>43537.450185185182</v>
      </c>
      <c r="L2492" s="2">
        <v>43538.450185185182</v>
      </c>
      <c r="M2492" s="1">
        <f>_xlfn.DAYS(Table1[[#This Row],[actual_delivery_date]],Table1[[#This Row],[dispatch_date]])</f>
        <v>3</v>
      </c>
      <c r="N2492">
        <v>79</v>
      </c>
      <c r="O2492">
        <f>Table1[[#This Row],[transit_storage_cost]] * (1-'What -if Analysis'!$D$26)</f>
        <v>79</v>
      </c>
      <c r="P2492">
        <v>94</v>
      </c>
      <c r="Q2492">
        <v>1224.4836845653019</v>
      </c>
    </row>
    <row r="2493" spans="1:17" x14ac:dyDescent="0.3">
      <c r="A2493">
        <v>369239</v>
      </c>
      <c r="B2493" s="1" t="s">
        <v>40</v>
      </c>
      <c r="C2493" s="1" t="s">
        <v>16</v>
      </c>
      <c r="D2493" s="1" t="s">
        <v>17</v>
      </c>
      <c r="E2493" s="1" t="s">
        <v>18</v>
      </c>
      <c r="F2493" s="1" t="s">
        <v>29</v>
      </c>
      <c r="G2493" s="1" t="s">
        <v>20</v>
      </c>
      <c r="H2493" t="s">
        <v>30</v>
      </c>
      <c r="I2493" s="1" t="s">
        <v>22</v>
      </c>
      <c r="J2493" s="2">
        <v>43530.450914351852</v>
      </c>
      <c r="K2493" s="2">
        <v>43537.450914351852</v>
      </c>
      <c r="L2493" s="2">
        <v>43536.450914351852</v>
      </c>
      <c r="M2493" s="1">
        <f>_xlfn.DAYS(Table1[[#This Row],[actual_delivery_date]],Table1[[#This Row],[dispatch_date]])</f>
        <v>7</v>
      </c>
      <c r="N2493">
        <v>35</v>
      </c>
      <c r="O2493">
        <f>Table1[[#This Row],[transit_storage_cost]] * (1-'What -if Analysis'!$D$26)</f>
        <v>35</v>
      </c>
      <c r="P2493">
        <v>112</v>
      </c>
      <c r="Q2493">
        <v>1490.9883194226177</v>
      </c>
    </row>
    <row r="2494" spans="1:17" x14ac:dyDescent="0.3">
      <c r="A2494">
        <v>286888</v>
      </c>
      <c r="B2494" s="1" t="s">
        <v>38</v>
      </c>
      <c r="C2494" s="1" t="s">
        <v>23</v>
      </c>
      <c r="D2494" s="1" t="s">
        <v>17</v>
      </c>
      <c r="E2494" s="1" t="s">
        <v>18</v>
      </c>
      <c r="F2494" s="1" t="s">
        <v>19</v>
      </c>
      <c r="G2494" s="1" t="s">
        <v>20</v>
      </c>
      <c r="H2494" t="s">
        <v>21</v>
      </c>
      <c r="I2494" s="1" t="s">
        <v>22</v>
      </c>
      <c r="J2494" s="2">
        <v>43532.452268518522</v>
      </c>
      <c r="K2494" s="2">
        <v>43537.452268518522</v>
      </c>
      <c r="L2494" s="2">
        <v>43538.452268518522</v>
      </c>
      <c r="M2494" s="1">
        <f>_xlfn.DAYS(Table1[[#This Row],[actual_delivery_date]],Table1[[#This Row],[dispatch_date]])</f>
        <v>5</v>
      </c>
      <c r="N2494">
        <v>44</v>
      </c>
      <c r="O2494">
        <f>Table1[[#This Row],[transit_storage_cost]] * (1-'What -if Analysis'!$D$26)</f>
        <v>44</v>
      </c>
      <c r="P2494">
        <v>108</v>
      </c>
      <c r="Q2494">
        <v>3812.3346189585686</v>
      </c>
    </row>
    <row r="2495" spans="1:17" x14ac:dyDescent="0.3">
      <c r="A2495">
        <v>688858</v>
      </c>
      <c r="B2495" s="1" t="s">
        <v>38</v>
      </c>
      <c r="C2495" s="1" t="s">
        <v>23</v>
      </c>
      <c r="D2495" s="1" t="s">
        <v>24</v>
      </c>
      <c r="E2495" s="1" t="s">
        <v>25</v>
      </c>
      <c r="F2495" s="1" t="s">
        <v>31</v>
      </c>
      <c r="G2495" s="1" t="s">
        <v>20</v>
      </c>
      <c r="H2495" t="s">
        <v>21</v>
      </c>
      <c r="I2495" s="1" t="s">
        <v>22</v>
      </c>
      <c r="J2495" s="2">
        <v>43534.457476851851</v>
      </c>
      <c r="K2495" s="2">
        <v>43537.457476851851</v>
      </c>
      <c r="L2495" s="2">
        <v>43537.457476851851</v>
      </c>
      <c r="M2495" s="1">
        <f>_xlfn.DAYS(Table1[[#This Row],[actual_delivery_date]],Table1[[#This Row],[dispatch_date]])</f>
        <v>3</v>
      </c>
      <c r="N2495">
        <v>30</v>
      </c>
      <c r="O2495">
        <f>Table1[[#This Row],[transit_storage_cost]] * (1-'What -if Analysis'!$D$26)</f>
        <v>30</v>
      </c>
      <c r="P2495">
        <v>124</v>
      </c>
      <c r="Q2495">
        <v>901.86501877205012</v>
      </c>
    </row>
    <row r="2496" spans="1:17" x14ac:dyDescent="0.3">
      <c r="A2496">
        <v>704023</v>
      </c>
      <c r="B2496" s="1" t="s">
        <v>37</v>
      </c>
      <c r="C2496" s="1" t="s">
        <v>23</v>
      </c>
      <c r="D2496" s="1" t="s">
        <v>23</v>
      </c>
      <c r="E2496" s="1" t="s">
        <v>28</v>
      </c>
      <c r="F2496" s="1" t="s">
        <v>29</v>
      </c>
      <c r="G2496" s="1" t="s">
        <v>20</v>
      </c>
      <c r="H2496" t="s">
        <v>30</v>
      </c>
      <c r="I2496" s="1" t="s">
        <v>22</v>
      </c>
      <c r="J2496" s="2">
        <v>43536.462025462963</v>
      </c>
      <c r="K2496" s="2">
        <v>43537.462025462963</v>
      </c>
      <c r="L2496" s="2">
        <v>43540.462025462963</v>
      </c>
      <c r="M2496" s="1">
        <f>_xlfn.DAYS(Table1[[#This Row],[actual_delivery_date]],Table1[[#This Row],[dispatch_date]])</f>
        <v>1</v>
      </c>
      <c r="N2496">
        <v>0</v>
      </c>
      <c r="O2496">
        <f>Table1[[#This Row],[transit_storage_cost]] * (1-'What -if Analysis'!$D$26)</f>
        <v>0</v>
      </c>
      <c r="P2496">
        <v>129</v>
      </c>
      <c r="Q2496">
        <v>2678.0171420584129</v>
      </c>
    </row>
    <row r="2497" spans="1:17" x14ac:dyDescent="0.3">
      <c r="A2497">
        <v>211991</v>
      </c>
      <c r="B2497" s="1" t="s">
        <v>39</v>
      </c>
      <c r="C2497" s="1" t="s">
        <v>16</v>
      </c>
      <c r="D2497" s="1" t="s">
        <v>16</v>
      </c>
      <c r="E2497" s="1" t="s">
        <v>27</v>
      </c>
      <c r="F2497" s="1" t="s">
        <v>19</v>
      </c>
      <c r="G2497" s="1" t="s">
        <v>20</v>
      </c>
      <c r="H2497" t="s">
        <v>30</v>
      </c>
      <c r="I2497" s="1" t="s">
        <v>22</v>
      </c>
      <c r="J2497" s="2">
        <v>43537.463113425925</v>
      </c>
      <c r="K2497" s="2">
        <v>43537.463113425925</v>
      </c>
      <c r="L2497" s="2">
        <v>43543.463113425925</v>
      </c>
      <c r="M2497" s="1">
        <f>_xlfn.DAYS(Table1[[#This Row],[actual_delivery_date]],Table1[[#This Row],[dispatch_date]])</f>
        <v>0</v>
      </c>
      <c r="N2497">
        <v>0</v>
      </c>
      <c r="O2497">
        <f>Table1[[#This Row],[transit_storage_cost]] * (1-'What -if Analysis'!$D$26)</f>
        <v>0</v>
      </c>
      <c r="P2497">
        <v>106</v>
      </c>
      <c r="Q2497">
        <v>3820.2599014886705</v>
      </c>
    </row>
    <row r="2498" spans="1:17" x14ac:dyDescent="0.3">
      <c r="A2498">
        <v>217101</v>
      </c>
      <c r="B2498" s="1" t="s">
        <v>38</v>
      </c>
      <c r="C2498" s="1" t="s">
        <v>23</v>
      </c>
      <c r="D2498" s="1" t="s">
        <v>23</v>
      </c>
      <c r="E2498" s="1" t="s">
        <v>28</v>
      </c>
      <c r="F2498" s="1" t="s">
        <v>19</v>
      </c>
      <c r="G2498" s="1" t="s">
        <v>20</v>
      </c>
      <c r="H2498" t="s">
        <v>30</v>
      </c>
      <c r="I2498" s="1" t="s">
        <v>26</v>
      </c>
      <c r="J2498" s="2">
        <v>43536.464895833335</v>
      </c>
      <c r="K2498" s="2">
        <v>43537.464895833335</v>
      </c>
      <c r="L2498" s="2">
        <v>43540.464895833335</v>
      </c>
      <c r="M2498" s="1">
        <f>_xlfn.DAYS(Table1[[#This Row],[actual_delivery_date]],Table1[[#This Row],[dispatch_date]])</f>
        <v>1</v>
      </c>
      <c r="N2498">
        <v>0</v>
      </c>
      <c r="O2498">
        <f>Table1[[#This Row],[transit_storage_cost]] * (1-'What -if Analysis'!$D$26)</f>
        <v>0</v>
      </c>
      <c r="P2498">
        <v>101</v>
      </c>
      <c r="Q2498">
        <v>1491.9895888771214</v>
      </c>
    </row>
    <row r="2499" spans="1:17" x14ac:dyDescent="0.3">
      <c r="A2499">
        <v>923489</v>
      </c>
      <c r="B2499" s="1" t="s">
        <v>40</v>
      </c>
      <c r="C2499" s="1" t="s">
        <v>16</v>
      </c>
      <c r="D2499" s="1" t="s">
        <v>16</v>
      </c>
      <c r="E2499" s="1" t="s">
        <v>27</v>
      </c>
      <c r="F2499" s="1" t="s">
        <v>29</v>
      </c>
      <c r="G2499" s="1" t="s">
        <v>20</v>
      </c>
      <c r="H2499" t="s">
        <v>34</v>
      </c>
      <c r="I2499" s="1" t="s">
        <v>22</v>
      </c>
      <c r="J2499" s="2">
        <v>43534.468506944446</v>
      </c>
      <c r="K2499" s="2">
        <v>43537.468506944446</v>
      </c>
      <c r="L2499" s="2">
        <v>43539.468506944446</v>
      </c>
      <c r="M2499" s="1">
        <f>_xlfn.DAYS(Table1[[#This Row],[actual_delivery_date]],Table1[[#This Row],[dispatch_date]])</f>
        <v>3</v>
      </c>
      <c r="N2499">
        <v>0</v>
      </c>
      <c r="O2499">
        <f>Table1[[#This Row],[transit_storage_cost]] * (1-'What -if Analysis'!$D$26)</f>
        <v>0</v>
      </c>
      <c r="P2499">
        <v>120</v>
      </c>
      <c r="Q2499">
        <v>1536</v>
      </c>
    </row>
    <row r="2500" spans="1:17" x14ac:dyDescent="0.3">
      <c r="A2500">
        <v>915235</v>
      </c>
      <c r="B2500" s="1" t="s">
        <v>37</v>
      </c>
      <c r="C2500" s="1" t="s">
        <v>16</v>
      </c>
      <c r="D2500" s="1" t="s">
        <v>16</v>
      </c>
      <c r="E2500" s="1" t="s">
        <v>27</v>
      </c>
      <c r="F2500" s="1" t="s">
        <v>29</v>
      </c>
      <c r="G2500" s="1" t="s">
        <v>20</v>
      </c>
      <c r="H2500" t="s">
        <v>30</v>
      </c>
      <c r="I2500" s="1" t="s">
        <v>22</v>
      </c>
      <c r="J2500" s="2">
        <v>43534.469907407409</v>
      </c>
      <c r="K2500" s="2">
        <v>43537.469907407409</v>
      </c>
      <c r="L2500" s="2">
        <v>43538.469907407409</v>
      </c>
      <c r="M2500" s="1">
        <f>_xlfn.DAYS(Table1[[#This Row],[actual_delivery_date]],Table1[[#This Row],[dispatch_date]])</f>
        <v>3</v>
      </c>
      <c r="N2500">
        <v>0</v>
      </c>
      <c r="O2500">
        <f>Table1[[#This Row],[transit_storage_cost]] * (1-'What -if Analysis'!$D$26)</f>
        <v>0</v>
      </c>
      <c r="P2500">
        <v>122</v>
      </c>
      <c r="Q2500">
        <v>2901</v>
      </c>
    </row>
    <row r="2501" spans="1:17" x14ac:dyDescent="0.3">
      <c r="A2501">
        <v>742656</v>
      </c>
      <c r="B2501" s="1" t="s">
        <v>39</v>
      </c>
      <c r="C2501" s="1" t="s">
        <v>16</v>
      </c>
      <c r="D2501" s="1" t="s">
        <v>17</v>
      </c>
      <c r="E2501" s="1" t="s">
        <v>18</v>
      </c>
      <c r="F2501" s="1" t="s">
        <v>19</v>
      </c>
      <c r="G2501" s="1" t="s">
        <v>20</v>
      </c>
      <c r="H2501" t="s">
        <v>21</v>
      </c>
      <c r="I2501" s="1" t="s">
        <v>26</v>
      </c>
      <c r="J2501" s="2">
        <v>43535.472824074073</v>
      </c>
      <c r="K2501" s="2">
        <v>43537.472824074073</v>
      </c>
      <c r="L2501" s="2">
        <v>43539.472824074073</v>
      </c>
      <c r="M2501" s="1">
        <f>_xlfn.DAYS(Table1[[#This Row],[actual_delivery_date]],Table1[[#This Row],[dispatch_date]])</f>
        <v>2</v>
      </c>
      <c r="N2501">
        <v>31</v>
      </c>
      <c r="O2501">
        <f>Table1[[#This Row],[transit_storage_cost]] * (1-'What -if Analysis'!$D$26)</f>
        <v>31</v>
      </c>
      <c r="P2501">
        <v>110</v>
      </c>
      <c r="Q2501">
        <v>1239.4363818505803</v>
      </c>
    </row>
    <row r="2502" spans="1:17" x14ac:dyDescent="0.3">
      <c r="A2502">
        <v>841339</v>
      </c>
      <c r="B2502" s="1" t="s">
        <v>39</v>
      </c>
      <c r="C2502" s="1" t="s">
        <v>23</v>
      </c>
      <c r="D2502" s="1" t="s">
        <v>16</v>
      </c>
      <c r="E2502" s="1" t="s">
        <v>27</v>
      </c>
      <c r="F2502" s="1" t="s">
        <v>29</v>
      </c>
      <c r="G2502" s="1" t="s">
        <v>20</v>
      </c>
      <c r="H2502" t="s">
        <v>30</v>
      </c>
      <c r="I2502" s="1" t="s">
        <v>22</v>
      </c>
      <c r="J2502" s="2">
        <v>43529.475312499999</v>
      </c>
      <c r="K2502" s="2">
        <v>43537.475312499999</v>
      </c>
      <c r="L2502" s="2">
        <v>43533.475312499999</v>
      </c>
      <c r="M2502" s="1">
        <f>_xlfn.DAYS(Table1[[#This Row],[actual_delivery_date]],Table1[[#This Row],[dispatch_date]])</f>
        <v>8</v>
      </c>
      <c r="N2502">
        <v>35</v>
      </c>
      <c r="O2502">
        <f>Table1[[#This Row],[transit_storage_cost]] * (1-'What -if Analysis'!$D$26)</f>
        <v>35</v>
      </c>
      <c r="P2502">
        <v>122</v>
      </c>
      <c r="Q2502">
        <v>1480.3234605239873</v>
      </c>
    </row>
    <row r="2503" spans="1:17" x14ac:dyDescent="0.3">
      <c r="A2503">
        <v>332995</v>
      </c>
      <c r="B2503" s="1" t="s">
        <v>37</v>
      </c>
      <c r="C2503" s="1" t="s">
        <v>16</v>
      </c>
      <c r="D2503" s="1" t="s">
        <v>16</v>
      </c>
      <c r="E2503" s="1" t="s">
        <v>27</v>
      </c>
      <c r="F2503" s="1" t="s">
        <v>19</v>
      </c>
      <c r="G2503" s="1" t="s">
        <v>20</v>
      </c>
      <c r="H2503" t="s">
        <v>30</v>
      </c>
      <c r="I2503" s="1" t="s">
        <v>22</v>
      </c>
      <c r="J2503" s="2">
        <v>43536.479826388888</v>
      </c>
      <c r="K2503" s="2">
        <v>43537.479826388888</v>
      </c>
      <c r="L2503" s="2">
        <v>43543.479826388888</v>
      </c>
      <c r="M2503" s="1">
        <f>_xlfn.DAYS(Table1[[#This Row],[actual_delivery_date]],Table1[[#This Row],[dispatch_date]])</f>
        <v>1</v>
      </c>
      <c r="N2503">
        <v>0</v>
      </c>
      <c r="O2503">
        <f>Table1[[#This Row],[transit_storage_cost]] * (1-'What -if Analysis'!$D$26)</f>
        <v>0</v>
      </c>
      <c r="P2503">
        <v>104</v>
      </c>
      <c r="Q2503">
        <v>2528.8510394388964</v>
      </c>
    </row>
    <row r="2504" spans="1:17" x14ac:dyDescent="0.3">
      <c r="A2504">
        <v>856179</v>
      </c>
      <c r="B2504" s="1" t="s">
        <v>38</v>
      </c>
      <c r="C2504" s="1" t="s">
        <v>16</v>
      </c>
      <c r="D2504" s="1" t="s">
        <v>17</v>
      </c>
      <c r="E2504" s="1" t="s">
        <v>18</v>
      </c>
      <c r="F2504" s="1" t="s">
        <v>19</v>
      </c>
      <c r="G2504" s="1" t="s">
        <v>20</v>
      </c>
      <c r="H2504" t="s">
        <v>30</v>
      </c>
      <c r="I2504" s="1" t="s">
        <v>26</v>
      </c>
      <c r="J2504" s="2">
        <v>43534.480428240742</v>
      </c>
      <c r="K2504" s="2">
        <v>43537.480428240742</v>
      </c>
      <c r="L2504" s="2">
        <v>43540.480428240742</v>
      </c>
      <c r="M2504" s="1">
        <f>_xlfn.DAYS(Table1[[#This Row],[actual_delivery_date]],Table1[[#This Row],[dispatch_date]])</f>
        <v>3</v>
      </c>
      <c r="N2504">
        <v>80</v>
      </c>
      <c r="O2504">
        <f>Table1[[#This Row],[transit_storage_cost]] * (1-'What -if Analysis'!$D$26)</f>
        <v>80</v>
      </c>
      <c r="P2504">
        <v>92</v>
      </c>
      <c r="Q2504">
        <v>308</v>
      </c>
    </row>
    <row r="2505" spans="1:17" x14ac:dyDescent="0.3">
      <c r="A2505">
        <v>305739</v>
      </c>
      <c r="B2505" s="1" t="s">
        <v>38</v>
      </c>
      <c r="C2505" s="1" t="s">
        <v>16</v>
      </c>
      <c r="D2505" s="1" t="s">
        <v>17</v>
      </c>
      <c r="E2505" s="1" t="s">
        <v>18</v>
      </c>
      <c r="F2505" s="1" t="s">
        <v>29</v>
      </c>
      <c r="G2505" s="1" t="s">
        <v>20</v>
      </c>
      <c r="H2505" t="s">
        <v>34</v>
      </c>
      <c r="I2505" s="1" t="s">
        <v>26</v>
      </c>
      <c r="J2505" s="2">
        <v>43529.482638888891</v>
      </c>
      <c r="K2505" s="2">
        <v>43537.482638888891</v>
      </c>
      <c r="L2505" s="2">
        <v>43532.482638888891</v>
      </c>
      <c r="M2505" s="1">
        <f>_xlfn.DAYS(Table1[[#This Row],[actual_delivery_date]],Table1[[#This Row],[dispatch_date]])</f>
        <v>8</v>
      </c>
      <c r="N2505">
        <v>25</v>
      </c>
      <c r="O2505">
        <f>Table1[[#This Row],[transit_storage_cost]] * (1-'What -if Analysis'!$D$26)</f>
        <v>25</v>
      </c>
      <c r="P2505">
        <v>114</v>
      </c>
      <c r="Q2505">
        <v>2471.5</v>
      </c>
    </row>
    <row r="2506" spans="1:17" x14ac:dyDescent="0.3">
      <c r="A2506">
        <v>182660</v>
      </c>
      <c r="B2506" s="1" t="s">
        <v>40</v>
      </c>
      <c r="C2506" s="1" t="s">
        <v>16</v>
      </c>
      <c r="D2506" s="1" t="s">
        <v>23</v>
      </c>
      <c r="E2506" s="1" t="s">
        <v>28</v>
      </c>
      <c r="F2506" s="1" t="s">
        <v>19</v>
      </c>
      <c r="G2506" s="1" t="s">
        <v>20</v>
      </c>
      <c r="H2506" t="s">
        <v>21</v>
      </c>
      <c r="I2506" s="1" t="s">
        <v>22</v>
      </c>
      <c r="J2506" s="2">
        <v>43532.483229166668</v>
      </c>
      <c r="K2506" s="2">
        <v>43537.483229166668</v>
      </c>
      <c r="L2506" s="2">
        <v>43535.483229166668</v>
      </c>
      <c r="M2506" s="1">
        <f>_xlfn.DAYS(Table1[[#This Row],[actual_delivery_date]],Table1[[#This Row],[dispatch_date]])</f>
        <v>5</v>
      </c>
      <c r="N2506">
        <v>25</v>
      </c>
      <c r="O2506">
        <f>Table1[[#This Row],[transit_storage_cost]] * (1-'What -if Analysis'!$D$26)</f>
        <v>25</v>
      </c>
      <c r="P2506">
        <v>126</v>
      </c>
      <c r="Q2506">
        <v>893.86022805031075</v>
      </c>
    </row>
    <row r="2507" spans="1:17" x14ac:dyDescent="0.3">
      <c r="A2507">
        <v>207180</v>
      </c>
      <c r="B2507" s="1" t="s">
        <v>38</v>
      </c>
      <c r="C2507" s="1" t="s">
        <v>16</v>
      </c>
      <c r="D2507" s="1" t="s">
        <v>23</v>
      </c>
      <c r="E2507" s="1" t="s">
        <v>28</v>
      </c>
      <c r="F2507" s="1" t="s">
        <v>19</v>
      </c>
      <c r="G2507" s="1" t="s">
        <v>20</v>
      </c>
      <c r="H2507" t="s">
        <v>21</v>
      </c>
      <c r="I2507" s="1" t="s">
        <v>26</v>
      </c>
      <c r="J2507" s="2">
        <v>43535.492615740739</v>
      </c>
      <c r="K2507" s="2">
        <v>43537.492615740739</v>
      </c>
      <c r="L2507" s="2">
        <v>43539.492615740739</v>
      </c>
      <c r="M2507" s="1">
        <f>_xlfn.DAYS(Table1[[#This Row],[actual_delivery_date]],Table1[[#This Row],[dispatch_date]])</f>
        <v>2</v>
      </c>
      <c r="N2507">
        <v>58</v>
      </c>
      <c r="O2507">
        <f>Table1[[#This Row],[transit_storage_cost]] * (1-'What -if Analysis'!$D$26)</f>
        <v>58</v>
      </c>
      <c r="P2507">
        <v>102</v>
      </c>
      <c r="Q2507">
        <v>1172.8636076134342</v>
      </c>
    </row>
    <row r="2508" spans="1:17" x14ac:dyDescent="0.3">
      <c r="A2508">
        <v>998219</v>
      </c>
      <c r="B2508" s="1" t="s">
        <v>37</v>
      </c>
      <c r="C2508" s="1" t="s">
        <v>23</v>
      </c>
      <c r="D2508" s="1" t="s">
        <v>24</v>
      </c>
      <c r="E2508" s="1" t="s">
        <v>25</v>
      </c>
      <c r="F2508" s="1" t="s">
        <v>19</v>
      </c>
      <c r="G2508" s="1" t="s">
        <v>20</v>
      </c>
      <c r="H2508" t="s">
        <v>30</v>
      </c>
      <c r="I2508" s="1" t="s">
        <v>22</v>
      </c>
      <c r="J2508" s="2">
        <v>43527.498599537037</v>
      </c>
      <c r="K2508" s="2">
        <v>43537.498599537037</v>
      </c>
      <c r="L2508" s="2">
        <v>43530.498599537037</v>
      </c>
      <c r="M2508" s="1">
        <f>_xlfn.DAYS(Table1[[#This Row],[actual_delivery_date]],Table1[[#This Row],[dispatch_date]])</f>
        <v>10</v>
      </c>
      <c r="N2508">
        <v>76</v>
      </c>
      <c r="O2508">
        <f>Table1[[#This Row],[transit_storage_cost]] * (1-'What -if Analysis'!$D$26)</f>
        <v>76</v>
      </c>
      <c r="P2508">
        <v>110</v>
      </c>
      <c r="Q2508">
        <v>3260.0710217457622</v>
      </c>
    </row>
    <row r="2509" spans="1:17" x14ac:dyDescent="0.3">
      <c r="A2509">
        <v>906334</v>
      </c>
      <c r="B2509" s="1" t="s">
        <v>39</v>
      </c>
      <c r="C2509" s="1" t="s">
        <v>23</v>
      </c>
      <c r="D2509" s="1" t="s">
        <v>23</v>
      </c>
      <c r="E2509" s="1" t="s">
        <v>28</v>
      </c>
      <c r="F2509" s="1" t="s">
        <v>31</v>
      </c>
      <c r="G2509" s="1" t="s">
        <v>20</v>
      </c>
      <c r="H2509" t="s">
        <v>21</v>
      </c>
      <c r="I2509" s="1" t="s">
        <v>22</v>
      </c>
      <c r="J2509" s="2">
        <v>43533.498773148145</v>
      </c>
      <c r="K2509" s="2">
        <v>43537.498773148145</v>
      </c>
      <c r="L2509" s="2">
        <v>43536.498773148145</v>
      </c>
      <c r="M2509" s="1">
        <f>_xlfn.DAYS(Table1[[#This Row],[actual_delivery_date]],Table1[[#This Row],[dispatch_date]])</f>
        <v>4</v>
      </c>
      <c r="N2509">
        <v>0</v>
      </c>
      <c r="O2509">
        <f>Table1[[#This Row],[transit_storage_cost]] * (1-'What -if Analysis'!$D$26)</f>
        <v>0</v>
      </c>
      <c r="P2509">
        <v>123</v>
      </c>
      <c r="Q2509">
        <v>1003</v>
      </c>
    </row>
    <row r="2510" spans="1:17" x14ac:dyDescent="0.3">
      <c r="A2510">
        <v>852412</v>
      </c>
      <c r="B2510" s="1" t="s">
        <v>37</v>
      </c>
      <c r="C2510" s="1" t="s">
        <v>16</v>
      </c>
      <c r="D2510" s="1" t="s">
        <v>17</v>
      </c>
      <c r="E2510" s="1" t="s">
        <v>18</v>
      </c>
      <c r="F2510" s="1" t="s">
        <v>19</v>
      </c>
      <c r="G2510" s="1" t="s">
        <v>20</v>
      </c>
      <c r="H2510" t="s">
        <v>21</v>
      </c>
      <c r="I2510" s="1" t="s">
        <v>22</v>
      </c>
      <c r="J2510" s="2">
        <v>43534.501516203702</v>
      </c>
      <c r="K2510" s="2">
        <v>43537.501516203702</v>
      </c>
      <c r="L2510" s="2">
        <v>43540.501516203702</v>
      </c>
      <c r="M2510" s="1">
        <f>_xlfn.DAYS(Table1[[#This Row],[actual_delivery_date]],Table1[[#This Row],[dispatch_date]])</f>
        <v>3</v>
      </c>
      <c r="N2510">
        <v>27</v>
      </c>
      <c r="O2510">
        <f>Table1[[#This Row],[transit_storage_cost]] * (1-'What -if Analysis'!$D$26)</f>
        <v>27</v>
      </c>
      <c r="P2510">
        <v>114</v>
      </c>
      <c r="Q2510">
        <v>926.83005703399499</v>
      </c>
    </row>
    <row r="2511" spans="1:17" x14ac:dyDescent="0.3">
      <c r="A2511">
        <v>452160</v>
      </c>
      <c r="B2511" s="1" t="s">
        <v>40</v>
      </c>
      <c r="C2511" s="1" t="s">
        <v>16</v>
      </c>
      <c r="D2511" s="1" t="s">
        <v>16</v>
      </c>
      <c r="E2511" s="1" t="s">
        <v>27</v>
      </c>
      <c r="F2511" s="1" t="s">
        <v>19</v>
      </c>
      <c r="G2511" s="1" t="s">
        <v>20</v>
      </c>
      <c r="H2511" t="s">
        <v>21</v>
      </c>
      <c r="I2511" s="1" t="s">
        <v>26</v>
      </c>
      <c r="J2511" s="2">
        <v>43533.502442129633</v>
      </c>
      <c r="K2511" s="2">
        <v>43537.502442129633</v>
      </c>
      <c r="L2511" s="2">
        <v>43540.502442129633</v>
      </c>
      <c r="M2511" s="1">
        <f>_xlfn.DAYS(Table1[[#This Row],[actual_delivery_date]],Table1[[#This Row],[dispatch_date]])</f>
        <v>4</v>
      </c>
      <c r="N2511">
        <v>0</v>
      </c>
      <c r="O2511">
        <f>Table1[[#This Row],[transit_storage_cost]] * (1-'What -if Analysis'!$D$26)</f>
        <v>0</v>
      </c>
      <c r="P2511">
        <v>109</v>
      </c>
      <c r="Q2511">
        <v>687</v>
      </c>
    </row>
    <row r="2512" spans="1:17" x14ac:dyDescent="0.3">
      <c r="A2512">
        <v>149340</v>
      </c>
      <c r="B2512" s="1" t="s">
        <v>38</v>
      </c>
      <c r="C2512" s="1" t="s">
        <v>16</v>
      </c>
      <c r="D2512" s="1" t="s">
        <v>17</v>
      </c>
      <c r="E2512" s="1" t="s">
        <v>18</v>
      </c>
      <c r="F2512" s="1" t="s">
        <v>19</v>
      </c>
      <c r="G2512" s="1" t="s">
        <v>20</v>
      </c>
      <c r="H2512" t="s">
        <v>21</v>
      </c>
      <c r="I2512" s="1" t="s">
        <v>26</v>
      </c>
      <c r="J2512" s="2">
        <v>43533.512430555558</v>
      </c>
      <c r="K2512" s="2">
        <v>43537.512430555558</v>
      </c>
      <c r="L2512" s="2">
        <v>43538.512430555558</v>
      </c>
      <c r="M2512" s="1">
        <f>_xlfn.DAYS(Table1[[#This Row],[actual_delivery_date]],Table1[[#This Row],[dispatch_date]])</f>
        <v>4</v>
      </c>
      <c r="N2512">
        <v>25</v>
      </c>
      <c r="O2512">
        <f>Table1[[#This Row],[transit_storage_cost]] * (1-'What -if Analysis'!$D$26)</f>
        <v>25</v>
      </c>
      <c r="P2512">
        <v>108</v>
      </c>
      <c r="Q2512">
        <v>762.48338185975103</v>
      </c>
    </row>
    <row r="2513" spans="1:17" x14ac:dyDescent="0.3">
      <c r="A2513">
        <v>504319</v>
      </c>
      <c r="B2513" s="1" t="s">
        <v>41</v>
      </c>
      <c r="C2513" s="1" t="s">
        <v>16</v>
      </c>
      <c r="D2513" s="1" t="s">
        <v>17</v>
      </c>
      <c r="E2513" s="1" t="s">
        <v>18</v>
      </c>
      <c r="F2513" s="1" t="s">
        <v>29</v>
      </c>
      <c r="G2513" s="1" t="s">
        <v>20</v>
      </c>
      <c r="H2513" t="s">
        <v>30</v>
      </c>
      <c r="I2513" s="1" t="s">
        <v>22</v>
      </c>
      <c r="J2513" s="2">
        <v>43533.513101851851</v>
      </c>
      <c r="K2513" s="2">
        <v>43537.513101851851</v>
      </c>
      <c r="L2513" s="2">
        <v>43538.513101851851</v>
      </c>
      <c r="M2513" s="1">
        <f>_xlfn.DAYS(Table1[[#This Row],[actual_delivery_date]],Table1[[#This Row],[dispatch_date]])</f>
        <v>4</v>
      </c>
      <c r="N2513">
        <v>50</v>
      </c>
      <c r="O2513">
        <f>Table1[[#This Row],[transit_storage_cost]] * (1-'What -if Analysis'!$D$26)</f>
        <v>50</v>
      </c>
      <c r="P2513">
        <v>111</v>
      </c>
      <c r="Q2513">
        <v>445</v>
      </c>
    </row>
    <row r="2514" spans="1:17" x14ac:dyDescent="0.3">
      <c r="A2514">
        <v>521507</v>
      </c>
      <c r="B2514" s="1" t="s">
        <v>15</v>
      </c>
      <c r="C2514" s="1" t="s">
        <v>16</v>
      </c>
      <c r="D2514" s="1" t="s">
        <v>24</v>
      </c>
      <c r="E2514" s="1" t="s">
        <v>25</v>
      </c>
      <c r="F2514" s="1" t="s">
        <v>29</v>
      </c>
      <c r="G2514" s="1" t="s">
        <v>20</v>
      </c>
      <c r="H2514" t="s">
        <v>34</v>
      </c>
      <c r="I2514" s="1" t="s">
        <v>22</v>
      </c>
      <c r="J2514" s="2">
        <v>43533.522685185184</v>
      </c>
      <c r="K2514" s="2">
        <v>43537.522685185184</v>
      </c>
      <c r="L2514" s="2">
        <v>43540.522685185184</v>
      </c>
      <c r="M2514" s="1">
        <f>_xlfn.DAYS(Table1[[#This Row],[actual_delivery_date]],Table1[[#This Row],[dispatch_date]])</f>
        <v>4</v>
      </c>
      <c r="N2514">
        <v>31</v>
      </c>
      <c r="O2514">
        <f>Table1[[#This Row],[transit_storage_cost]] * (1-'What -if Analysis'!$D$26)</f>
        <v>31</v>
      </c>
      <c r="P2514">
        <v>126</v>
      </c>
      <c r="Q2514">
        <v>1305.5297830923521</v>
      </c>
    </row>
    <row r="2515" spans="1:17" x14ac:dyDescent="0.3">
      <c r="A2515">
        <v>60442</v>
      </c>
      <c r="B2515" s="1" t="s">
        <v>39</v>
      </c>
      <c r="C2515" s="1" t="s">
        <v>16</v>
      </c>
      <c r="D2515" s="1" t="s">
        <v>16</v>
      </c>
      <c r="E2515" s="1" t="s">
        <v>27</v>
      </c>
      <c r="F2515" s="1" t="s">
        <v>31</v>
      </c>
      <c r="G2515" s="1" t="s">
        <v>20</v>
      </c>
      <c r="H2515" t="s">
        <v>21</v>
      </c>
      <c r="I2515" s="1" t="s">
        <v>22</v>
      </c>
      <c r="J2515" s="2">
        <v>43536.524652777778</v>
      </c>
      <c r="K2515" s="2">
        <v>43537.524652777778</v>
      </c>
      <c r="L2515" s="2">
        <v>43543.524652777778</v>
      </c>
      <c r="M2515" s="1">
        <f>_xlfn.DAYS(Table1[[#This Row],[actual_delivery_date]],Table1[[#This Row],[dispatch_date]])</f>
        <v>1</v>
      </c>
      <c r="N2515">
        <v>0</v>
      </c>
      <c r="O2515">
        <f>Table1[[#This Row],[transit_storage_cost]] * (1-'What -if Analysis'!$D$26)</f>
        <v>0</v>
      </c>
      <c r="P2515">
        <v>128</v>
      </c>
      <c r="Q2515">
        <v>3055.0211221924674</v>
      </c>
    </row>
    <row r="2516" spans="1:17" x14ac:dyDescent="0.3">
      <c r="A2516">
        <v>654204</v>
      </c>
      <c r="B2516" s="1" t="s">
        <v>39</v>
      </c>
      <c r="C2516" s="1" t="s">
        <v>16</v>
      </c>
      <c r="D2516" s="1" t="s">
        <v>24</v>
      </c>
      <c r="E2516" s="1" t="s">
        <v>25</v>
      </c>
      <c r="F2516" s="1" t="s">
        <v>19</v>
      </c>
      <c r="G2516" s="1" t="s">
        <v>20</v>
      </c>
      <c r="H2516" t="s">
        <v>21</v>
      </c>
      <c r="I2516" s="1" t="s">
        <v>26</v>
      </c>
      <c r="J2516" s="2">
        <v>43531.532685185186</v>
      </c>
      <c r="K2516" s="2">
        <v>43537.532685185186</v>
      </c>
      <c r="L2516" s="2">
        <v>43535.532685185186</v>
      </c>
      <c r="M2516" s="1">
        <f>_xlfn.DAYS(Table1[[#This Row],[actual_delivery_date]],Table1[[#This Row],[dispatch_date]])</f>
        <v>6</v>
      </c>
      <c r="N2516">
        <v>25</v>
      </c>
      <c r="O2516">
        <f>Table1[[#This Row],[transit_storage_cost]] * (1-'What -if Analysis'!$D$26)</f>
        <v>25</v>
      </c>
      <c r="P2516">
        <v>121</v>
      </c>
      <c r="Q2516">
        <v>3591</v>
      </c>
    </row>
    <row r="2517" spans="1:17" x14ac:dyDescent="0.3">
      <c r="A2517">
        <v>117498</v>
      </c>
      <c r="B2517" s="1" t="s">
        <v>38</v>
      </c>
      <c r="C2517" s="1" t="s">
        <v>23</v>
      </c>
      <c r="D2517" s="1" t="s">
        <v>17</v>
      </c>
      <c r="E2517" s="1" t="s">
        <v>18</v>
      </c>
      <c r="F2517" s="1" t="s">
        <v>31</v>
      </c>
      <c r="G2517" s="1" t="s">
        <v>20</v>
      </c>
      <c r="H2517" t="s">
        <v>21</v>
      </c>
      <c r="I2517" s="1" t="s">
        <v>26</v>
      </c>
      <c r="J2517" s="2">
        <v>43528.541203703702</v>
      </c>
      <c r="K2517" s="2">
        <v>43537.541203703702</v>
      </c>
      <c r="L2517" s="2">
        <v>43533.541203703702</v>
      </c>
      <c r="M2517" s="1">
        <f>_xlfn.DAYS(Table1[[#This Row],[actual_delivery_date]],Table1[[#This Row],[dispatch_date]])</f>
        <v>9</v>
      </c>
      <c r="N2517">
        <v>35</v>
      </c>
      <c r="O2517">
        <f>Table1[[#This Row],[transit_storage_cost]] * (1-'What -if Analysis'!$D$26)</f>
        <v>35</v>
      </c>
      <c r="P2517">
        <v>110</v>
      </c>
      <c r="Q2517">
        <v>181.51</v>
      </c>
    </row>
    <row r="2518" spans="1:17" x14ac:dyDescent="0.3">
      <c r="A2518">
        <v>552021</v>
      </c>
      <c r="B2518" s="1" t="s">
        <v>39</v>
      </c>
      <c r="C2518" s="1" t="s">
        <v>16</v>
      </c>
      <c r="D2518" s="1" t="s">
        <v>32</v>
      </c>
      <c r="E2518" s="1" t="s">
        <v>33</v>
      </c>
      <c r="F2518" s="1" t="s">
        <v>29</v>
      </c>
      <c r="G2518" s="1" t="s">
        <v>20</v>
      </c>
      <c r="H2518" t="s">
        <v>30</v>
      </c>
      <c r="I2518" s="1" t="s">
        <v>26</v>
      </c>
      <c r="J2518" s="2">
        <v>43531.544861111113</v>
      </c>
      <c r="K2518" s="2">
        <v>43537.544861111113</v>
      </c>
      <c r="L2518" s="2">
        <v>43535.544861111113</v>
      </c>
      <c r="M2518" s="1">
        <f>_xlfn.DAYS(Table1[[#This Row],[actual_delivery_date]],Table1[[#This Row],[dispatch_date]])</f>
        <v>6</v>
      </c>
      <c r="N2518">
        <v>32</v>
      </c>
      <c r="O2518">
        <f>Table1[[#This Row],[transit_storage_cost]] * (1-'What -if Analysis'!$D$26)</f>
        <v>32</v>
      </c>
      <c r="P2518">
        <v>112</v>
      </c>
      <c r="Q2518">
        <v>3499.9407681466391</v>
      </c>
    </row>
    <row r="2519" spans="1:17" x14ac:dyDescent="0.3">
      <c r="A2519">
        <v>261023</v>
      </c>
      <c r="B2519" s="1" t="s">
        <v>41</v>
      </c>
      <c r="C2519" s="1" t="s">
        <v>16</v>
      </c>
      <c r="D2519" s="1" t="s">
        <v>16</v>
      </c>
      <c r="E2519" s="1" t="s">
        <v>27</v>
      </c>
      <c r="F2519" s="1" t="s">
        <v>19</v>
      </c>
      <c r="G2519" s="1" t="s">
        <v>20</v>
      </c>
      <c r="H2519" t="s">
        <v>34</v>
      </c>
      <c r="I2519" s="1" t="s">
        <v>22</v>
      </c>
      <c r="J2519" s="2">
        <v>43535.547210648147</v>
      </c>
      <c r="K2519" s="2">
        <v>43537.547210648147</v>
      </c>
      <c r="L2519" s="2">
        <v>43540.547210648147</v>
      </c>
      <c r="M2519" s="1">
        <f>_xlfn.DAYS(Table1[[#This Row],[actual_delivery_date]],Table1[[#This Row],[dispatch_date]])</f>
        <v>2</v>
      </c>
      <c r="N2519">
        <v>0</v>
      </c>
      <c r="O2519">
        <f>Table1[[#This Row],[transit_storage_cost]] * (1-'What -if Analysis'!$D$26)</f>
        <v>0</v>
      </c>
      <c r="P2519">
        <v>102</v>
      </c>
      <c r="Q2519">
        <v>2589</v>
      </c>
    </row>
    <row r="2520" spans="1:17" x14ac:dyDescent="0.3">
      <c r="A2520">
        <v>942368</v>
      </c>
      <c r="B2520" s="1" t="s">
        <v>41</v>
      </c>
      <c r="C2520" s="1" t="s">
        <v>16</v>
      </c>
      <c r="D2520" s="1" t="s">
        <v>23</v>
      </c>
      <c r="E2520" s="1" t="s">
        <v>28</v>
      </c>
      <c r="F2520" s="1" t="s">
        <v>19</v>
      </c>
      <c r="G2520" s="1" t="s">
        <v>20</v>
      </c>
      <c r="H2520" t="s">
        <v>21</v>
      </c>
      <c r="I2520" s="1" t="s">
        <v>22</v>
      </c>
      <c r="J2520" s="2">
        <v>43535.55641203704</v>
      </c>
      <c r="K2520" s="2">
        <v>43537.55641203704</v>
      </c>
      <c r="L2520" s="2">
        <v>43540.55641203704</v>
      </c>
      <c r="M2520" s="1">
        <f>_xlfn.DAYS(Table1[[#This Row],[actual_delivery_date]],Table1[[#This Row],[dispatch_date]])</f>
        <v>2</v>
      </c>
      <c r="N2520">
        <v>85</v>
      </c>
      <c r="O2520">
        <f>Table1[[#This Row],[transit_storage_cost]] * (1-'What -if Analysis'!$D$26)</f>
        <v>85</v>
      </c>
      <c r="P2520">
        <v>109</v>
      </c>
      <c r="Q2520">
        <v>2108.4312677687417</v>
      </c>
    </row>
    <row r="2521" spans="1:17" x14ac:dyDescent="0.3">
      <c r="A2521">
        <v>641326</v>
      </c>
      <c r="B2521" s="1" t="s">
        <v>39</v>
      </c>
      <c r="C2521" s="1" t="s">
        <v>16</v>
      </c>
      <c r="D2521" s="1" t="s">
        <v>24</v>
      </c>
      <c r="E2521" s="1" t="s">
        <v>25</v>
      </c>
      <c r="F2521" s="1" t="s">
        <v>19</v>
      </c>
      <c r="G2521" s="1" t="s">
        <v>20</v>
      </c>
      <c r="H2521" t="s">
        <v>21</v>
      </c>
      <c r="I2521" s="1" t="s">
        <v>22</v>
      </c>
      <c r="J2521" s="2">
        <v>43532.557719907411</v>
      </c>
      <c r="K2521" s="2">
        <v>43537.557719907411</v>
      </c>
      <c r="L2521" s="2">
        <v>43535.557719907411</v>
      </c>
      <c r="M2521" s="1">
        <f>_xlfn.DAYS(Table1[[#This Row],[actual_delivery_date]],Table1[[#This Row],[dispatch_date]])</f>
        <v>5</v>
      </c>
      <c r="N2521">
        <v>65</v>
      </c>
      <c r="O2521">
        <f>Table1[[#This Row],[transit_storage_cost]] * (1-'What -if Analysis'!$D$26)</f>
        <v>65</v>
      </c>
      <c r="P2521">
        <v>101</v>
      </c>
      <c r="Q2521">
        <v>2323.2095368371938</v>
      </c>
    </row>
    <row r="2522" spans="1:17" x14ac:dyDescent="0.3">
      <c r="A2522">
        <v>134157</v>
      </c>
      <c r="B2522" s="1" t="s">
        <v>38</v>
      </c>
      <c r="C2522" s="1" t="s">
        <v>16</v>
      </c>
      <c r="D2522" s="1" t="s">
        <v>32</v>
      </c>
      <c r="E2522" s="1" t="s">
        <v>33</v>
      </c>
      <c r="F2522" s="1" t="s">
        <v>19</v>
      </c>
      <c r="G2522" s="1" t="s">
        <v>20</v>
      </c>
      <c r="H2522" t="s">
        <v>30</v>
      </c>
      <c r="I2522" s="1" t="s">
        <v>26</v>
      </c>
      <c r="J2522" s="2">
        <v>43528.560289351852</v>
      </c>
      <c r="K2522" s="2">
        <v>43537.560289351852</v>
      </c>
      <c r="L2522" s="2">
        <v>43531.560289351852</v>
      </c>
      <c r="M2522" s="1">
        <f>_xlfn.DAYS(Table1[[#This Row],[actual_delivery_date]],Table1[[#This Row],[dispatch_date]])</f>
        <v>9</v>
      </c>
      <c r="N2522">
        <v>88</v>
      </c>
      <c r="O2522">
        <f>Table1[[#This Row],[transit_storage_cost]] * (1-'What -if Analysis'!$D$26)</f>
        <v>88</v>
      </c>
      <c r="P2522">
        <v>93</v>
      </c>
      <c r="Q2522">
        <v>472.88</v>
      </c>
    </row>
    <row r="2523" spans="1:17" x14ac:dyDescent="0.3">
      <c r="A2523">
        <v>926500</v>
      </c>
      <c r="B2523" s="1" t="s">
        <v>38</v>
      </c>
      <c r="C2523" s="1" t="s">
        <v>16</v>
      </c>
      <c r="D2523" s="1" t="s">
        <v>17</v>
      </c>
      <c r="E2523" s="1" t="s">
        <v>18</v>
      </c>
      <c r="F2523" s="1" t="s">
        <v>19</v>
      </c>
      <c r="G2523" s="1" t="s">
        <v>20</v>
      </c>
      <c r="H2523" t="s">
        <v>21</v>
      </c>
      <c r="I2523" s="1" t="s">
        <v>22</v>
      </c>
      <c r="J2523" s="2">
        <v>43532.561863425923</v>
      </c>
      <c r="K2523" s="2">
        <v>43537.561863425923</v>
      </c>
      <c r="L2523" s="2">
        <v>43535.561863425923</v>
      </c>
      <c r="M2523" s="1">
        <f>_xlfn.DAYS(Table1[[#This Row],[actual_delivery_date]],Table1[[#This Row],[dispatch_date]])</f>
        <v>5</v>
      </c>
      <c r="N2523">
        <v>34</v>
      </c>
      <c r="O2523">
        <f>Table1[[#This Row],[transit_storage_cost]] * (1-'What -if Analysis'!$D$26)</f>
        <v>34</v>
      </c>
      <c r="P2523">
        <v>114</v>
      </c>
      <c r="Q2523">
        <v>2880</v>
      </c>
    </row>
    <row r="2524" spans="1:17" x14ac:dyDescent="0.3">
      <c r="A2524">
        <v>908850</v>
      </c>
      <c r="B2524" s="1" t="s">
        <v>38</v>
      </c>
      <c r="C2524" s="1" t="s">
        <v>23</v>
      </c>
      <c r="D2524" s="1" t="s">
        <v>32</v>
      </c>
      <c r="E2524" s="1" t="s">
        <v>33</v>
      </c>
      <c r="F2524" s="1" t="s">
        <v>19</v>
      </c>
      <c r="G2524" s="1" t="s">
        <v>20</v>
      </c>
      <c r="H2524" t="s">
        <v>21</v>
      </c>
      <c r="I2524" s="1" t="s">
        <v>26</v>
      </c>
      <c r="J2524" s="2">
        <v>43532.562673611108</v>
      </c>
      <c r="K2524" s="2">
        <v>43537.562673611108</v>
      </c>
      <c r="L2524" s="2">
        <v>43538.562673611108</v>
      </c>
      <c r="M2524" s="1">
        <f>_xlfn.DAYS(Table1[[#This Row],[actual_delivery_date]],Table1[[#This Row],[dispatch_date]])</f>
        <v>5</v>
      </c>
      <c r="N2524">
        <v>62</v>
      </c>
      <c r="O2524">
        <f>Table1[[#This Row],[transit_storage_cost]] * (1-'What -if Analysis'!$D$26)</f>
        <v>62</v>
      </c>
      <c r="P2524">
        <v>88</v>
      </c>
      <c r="Q2524">
        <v>1024.629040905314</v>
      </c>
    </row>
    <row r="2525" spans="1:17" x14ac:dyDescent="0.3">
      <c r="A2525">
        <v>488519</v>
      </c>
      <c r="B2525" s="1" t="s">
        <v>37</v>
      </c>
      <c r="C2525" s="1" t="s">
        <v>23</v>
      </c>
      <c r="D2525" s="1" t="s">
        <v>32</v>
      </c>
      <c r="E2525" s="1" t="s">
        <v>33</v>
      </c>
      <c r="F2525" s="1" t="s">
        <v>29</v>
      </c>
      <c r="G2525" s="1" t="s">
        <v>20</v>
      </c>
      <c r="H2525" t="s">
        <v>30</v>
      </c>
      <c r="I2525" s="1" t="s">
        <v>22</v>
      </c>
      <c r="J2525" s="2">
        <v>43535.562881944446</v>
      </c>
      <c r="K2525" s="2">
        <v>43537.562881944446</v>
      </c>
      <c r="L2525" s="2">
        <v>43538.562881944446</v>
      </c>
      <c r="M2525" s="1">
        <f>_xlfn.DAYS(Table1[[#This Row],[actual_delivery_date]],Table1[[#This Row],[dispatch_date]])</f>
        <v>2</v>
      </c>
      <c r="N2525">
        <v>42</v>
      </c>
      <c r="O2525">
        <f>Table1[[#This Row],[transit_storage_cost]] * (1-'What -if Analysis'!$D$26)</f>
        <v>42</v>
      </c>
      <c r="P2525">
        <v>114</v>
      </c>
      <c r="Q2525">
        <v>1999</v>
      </c>
    </row>
    <row r="2526" spans="1:17" x14ac:dyDescent="0.3">
      <c r="A2526">
        <v>320776</v>
      </c>
      <c r="B2526" s="1" t="s">
        <v>41</v>
      </c>
      <c r="C2526" s="1" t="s">
        <v>16</v>
      </c>
      <c r="D2526" s="1" t="s">
        <v>23</v>
      </c>
      <c r="E2526" s="1" t="s">
        <v>28</v>
      </c>
      <c r="F2526" s="1" t="s">
        <v>19</v>
      </c>
      <c r="G2526" s="1" t="s">
        <v>20</v>
      </c>
      <c r="H2526" t="s">
        <v>21</v>
      </c>
      <c r="I2526" s="1" t="s">
        <v>22</v>
      </c>
      <c r="J2526" s="2">
        <v>43532.56318287037</v>
      </c>
      <c r="K2526" s="2">
        <v>43537.56318287037</v>
      </c>
      <c r="L2526" s="2">
        <v>43538.56318287037</v>
      </c>
      <c r="M2526" s="1">
        <f>_xlfn.DAYS(Table1[[#This Row],[actual_delivery_date]],Table1[[#This Row],[dispatch_date]])</f>
        <v>5</v>
      </c>
      <c r="N2526">
        <v>28</v>
      </c>
      <c r="O2526">
        <f>Table1[[#This Row],[transit_storage_cost]] * (1-'What -if Analysis'!$D$26)</f>
        <v>28</v>
      </c>
      <c r="P2526">
        <v>128</v>
      </c>
      <c r="Q2526">
        <v>2863.415150794634</v>
      </c>
    </row>
    <row r="2527" spans="1:17" x14ac:dyDescent="0.3">
      <c r="A2527">
        <v>235854</v>
      </c>
      <c r="B2527" s="1" t="s">
        <v>38</v>
      </c>
      <c r="C2527" s="1" t="s">
        <v>16</v>
      </c>
      <c r="D2527" s="1" t="s">
        <v>16</v>
      </c>
      <c r="E2527" s="1" t="s">
        <v>27</v>
      </c>
      <c r="F2527" s="1" t="s">
        <v>19</v>
      </c>
      <c r="G2527" s="1" t="s">
        <v>20</v>
      </c>
      <c r="H2527" t="s">
        <v>21</v>
      </c>
      <c r="I2527" s="1" t="s">
        <v>26</v>
      </c>
      <c r="J2527" s="2">
        <v>43536.565000000002</v>
      </c>
      <c r="K2527" s="2">
        <v>43537.565000000002</v>
      </c>
      <c r="L2527" s="2">
        <v>43541.565000000002</v>
      </c>
      <c r="M2527" s="1">
        <f>_xlfn.DAYS(Table1[[#This Row],[actual_delivery_date]],Table1[[#This Row],[dispatch_date]])</f>
        <v>1</v>
      </c>
      <c r="N2527">
        <v>0</v>
      </c>
      <c r="O2527">
        <f>Table1[[#This Row],[transit_storage_cost]] * (1-'What -if Analysis'!$D$26)</f>
        <v>0</v>
      </c>
      <c r="P2527">
        <v>109</v>
      </c>
      <c r="Q2527">
        <v>1703</v>
      </c>
    </row>
    <row r="2528" spans="1:17" x14ac:dyDescent="0.3">
      <c r="A2528">
        <v>563606</v>
      </c>
      <c r="B2528" s="1" t="s">
        <v>38</v>
      </c>
      <c r="C2528" s="1" t="s">
        <v>23</v>
      </c>
      <c r="D2528" s="1" t="s">
        <v>32</v>
      </c>
      <c r="E2528" s="1" t="s">
        <v>33</v>
      </c>
      <c r="F2528" s="1" t="s">
        <v>31</v>
      </c>
      <c r="G2528" s="1" t="s">
        <v>20</v>
      </c>
      <c r="H2528" t="s">
        <v>21</v>
      </c>
      <c r="I2528" s="1" t="s">
        <v>22</v>
      </c>
      <c r="J2528" s="2">
        <v>43531.574363425927</v>
      </c>
      <c r="K2528" s="2">
        <v>43537.574363425927</v>
      </c>
      <c r="L2528" s="2">
        <v>43537.574363425927</v>
      </c>
      <c r="M2528" s="1">
        <f>_xlfn.DAYS(Table1[[#This Row],[actual_delivery_date]],Table1[[#This Row],[dispatch_date]])</f>
        <v>6</v>
      </c>
      <c r="N2528">
        <v>45</v>
      </c>
      <c r="O2528">
        <f>Table1[[#This Row],[transit_storage_cost]] * (1-'What -if Analysis'!$D$26)</f>
        <v>45</v>
      </c>
      <c r="P2528">
        <v>107</v>
      </c>
      <c r="Q2528">
        <v>413.0848149658143</v>
      </c>
    </row>
    <row r="2529" spans="1:17" x14ac:dyDescent="0.3">
      <c r="A2529">
        <v>778219</v>
      </c>
      <c r="B2529" s="1" t="s">
        <v>37</v>
      </c>
      <c r="C2529" s="1" t="s">
        <v>16</v>
      </c>
      <c r="D2529" s="1" t="s">
        <v>16</v>
      </c>
      <c r="E2529" s="1" t="s">
        <v>27</v>
      </c>
      <c r="F2529" s="1" t="s">
        <v>19</v>
      </c>
      <c r="G2529" s="1" t="s">
        <v>20</v>
      </c>
      <c r="H2529" t="s">
        <v>30</v>
      </c>
      <c r="I2529" s="1" t="s">
        <v>22</v>
      </c>
      <c r="J2529" s="2">
        <v>43537.581377314818</v>
      </c>
      <c r="K2529" s="2">
        <v>43537.581377314818</v>
      </c>
      <c r="L2529" s="2">
        <v>43544.581377314818</v>
      </c>
      <c r="M2529" s="1">
        <f>_xlfn.DAYS(Table1[[#This Row],[actual_delivery_date]],Table1[[#This Row],[dispatch_date]])</f>
        <v>0</v>
      </c>
      <c r="N2529">
        <v>0</v>
      </c>
      <c r="O2529">
        <f>Table1[[#This Row],[transit_storage_cost]] * (1-'What -if Analysis'!$D$26)</f>
        <v>0</v>
      </c>
      <c r="P2529">
        <v>101</v>
      </c>
      <c r="Q2529">
        <v>3103.1337374114278</v>
      </c>
    </row>
    <row r="2530" spans="1:17" x14ac:dyDescent="0.3">
      <c r="A2530">
        <v>119319</v>
      </c>
      <c r="B2530" s="1" t="s">
        <v>39</v>
      </c>
      <c r="C2530" s="1" t="s">
        <v>23</v>
      </c>
      <c r="D2530" s="1" t="s">
        <v>17</v>
      </c>
      <c r="E2530" s="1" t="s">
        <v>18</v>
      </c>
      <c r="F2530" s="1" t="s">
        <v>29</v>
      </c>
      <c r="G2530" s="1" t="s">
        <v>20</v>
      </c>
      <c r="H2530" t="s">
        <v>30</v>
      </c>
      <c r="I2530" s="1" t="s">
        <v>26</v>
      </c>
      <c r="J2530" s="2">
        <v>43533.582615740743</v>
      </c>
      <c r="K2530" s="2">
        <v>43537.582615740743</v>
      </c>
      <c r="L2530" s="2">
        <v>43540.582615740743</v>
      </c>
      <c r="M2530" s="1">
        <f>_xlfn.DAYS(Table1[[#This Row],[actual_delivery_date]],Table1[[#This Row],[dispatch_date]])</f>
        <v>4</v>
      </c>
      <c r="N2530">
        <v>35</v>
      </c>
      <c r="O2530">
        <f>Table1[[#This Row],[transit_storage_cost]] * (1-'What -if Analysis'!$D$26)</f>
        <v>35</v>
      </c>
      <c r="P2530">
        <v>111</v>
      </c>
      <c r="Q2530">
        <v>1560</v>
      </c>
    </row>
    <row r="2531" spans="1:17" x14ac:dyDescent="0.3">
      <c r="A2531">
        <v>738437</v>
      </c>
      <c r="B2531" s="1" t="s">
        <v>37</v>
      </c>
      <c r="C2531" s="1" t="s">
        <v>16</v>
      </c>
      <c r="D2531" s="1" t="s">
        <v>32</v>
      </c>
      <c r="E2531" s="1" t="s">
        <v>33</v>
      </c>
      <c r="F2531" s="1" t="s">
        <v>29</v>
      </c>
      <c r="G2531" s="1" t="s">
        <v>20</v>
      </c>
      <c r="H2531" t="s">
        <v>34</v>
      </c>
      <c r="I2531" s="1" t="s">
        <v>22</v>
      </c>
      <c r="J2531" s="2">
        <v>43535.587719907409</v>
      </c>
      <c r="K2531" s="2">
        <v>43537.587719907409</v>
      </c>
      <c r="L2531" s="2">
        <v>43540.587719907409</v>
      </c>
      <c r="M2531" s="1">
        <f>_xlfn.DAYS(Table1[[#This Row],[actual_delivery_date]],Table1[[#This Row],[dispatch_date]])</f>
        <v>2</v>
      </c>
      <c r="N2531">
        <v>33</v>
      </c>
      <c r="O2531">
        <f>Table1[[#This Row],[transit_storage_cost]] * (1-'What -if Analysis'!$D$26)</f>
        <v>33</v>
      </c>
      <c r="P2531">
        <v>106</v>
      </c>
      <c r="Q2531">
        <v>1048.9472619526796</v>
      </c>
    </row>
    <row r="2532" spans="1:17" x14ac:dyDescent="0.3">
      <c r="A2532">
        <v>487146</v>
      </c>
      <c r="B2532" s="1" t="s">
        <v>39</v>
      </c>
      <c r="C2532" s="1" t="s">
        <v>16</v>
      </c>
      <c r="D2532" s="1" t="s">
        <v>23</v>
      </c>
      <c r="E2532" s="1" t="s">
        <v>28</v>
      </c>
      <c r="F2532" s="1" t="s">
        <v>19</v>
      </c>
      <c r="G2532" s="1" t="s">
        <v>20</v>
      </c>
      <c r="H2532" t="s">
        <v>21</v>
      </c>
      <c r="I2532" s="1" t="s">
        <v>26</v>
      </c>
      <c r="J2532" s="2">
        <v>43533.590763888889</v>
      </c>
      <c r="K2532" s="2">
        <v>43537.590763888889</v>
      </c>
      <c r="L2532" s="2">
        <v>43538.590763888889</v>
      </c>
      <c r="M2532" s="1">
        <f>_xlfn.DAYS(Table1[[#This Row],[actual_delivery_date]],Table1[[#This Row],[dispatch_date]])</f>
        <v>4</v>
      </c>
      <c r="N2532">
        <v>68</v>
      </c>
      <c r="O2532">
        <f>Table1[[#This Row],[transit_storage_cost]] * (1-'What -if Analysis'!$D$26)</f>
        <v>68</v>
      </c>
      <c r="P2532">
        <v>109</v>
      </c>
      <c r="Q2532">
        <v>1349.8485457276738</v>
      </c>
    </row>
    <row r="2533" spans="1:17" x14ac:dyDescent="0.3">
      <c r="A2533">
        <v>134013</v>
      </c>
      <c r="B2533" s="1" t="s">
        <v>37</v>
      </c>
      <c r="C2533" s="1" t="s">
        <v>16</v>
      </c>
      <c r="D2533" s="1" t="s">
        <v>24</v>
      </c>
      <c r="E2533" s="1" t="s">
        <v>25</v>
      </c>
      <c r="F2533" s="1" t="s">
        <v>19</v>
      </c>
      <c r="G2533" s="1" t="s">
        <v>20</v>
      </c>
      <c r="H2533" t="s">
        <v>30</v>
      </c>
      <c r="I2533" s="1" t="s">
        <v>26</v>
      </c>
      <c r="J2533" s="2">
        <v>43529.59171296296</v>
      </c>
      <c r="K2533" s="2">
        <v>43537.59171296296</v>
      </c>
      <c r="L2533" s="2">
        <v>43533.59171296296</v>
      </c>
      <c r="M2533" s="1">
        <f>_xlfn.DAYS(Table1[[#This Row],[actual_delivery_date]],Table1[[#This Row],[dispatch_date]])</f>
        <v>8</v>
      </c>
      <c r="N2533">
        <v>84</v>
      </c>
      <c r="O2533">
        <f>Table1[[#This Row],[transit_storage_cost]] * (1-'What -if Analysis'!$D$26)</f>
        <v>84</v>
      </c>
      <c r="P2533">
        <v>104</v>
      </c>
      <c r="Q2533">
        <v>3298.54</v>
      </c>
    </row>
    <row r="2534" spans="1:17" x14ac:dyDescent="0.3">
      <c r="A2534">
        <v>931422</v>
      </c>
      <c r="B2534" s="1" t="s">
        <v>15</v>
      </c>
      <c r="C2534" s="1" t="s">
        <v>16</v>
      </c>
      <c r="D2534" s="1" t="s">
        <v>17</v>
      </c>
      <c r="E2534" s="1" t="s">
        <v>18</v>
      </c>
      <c r="F2534" s="1" t="s">
        <v>31</v>
      </c>
      <c r="G2534" s="1" t="s">
        <v>20</v>
      </c>
      <c r="H2534" t="s">
        <v>21</v>
      </c>
      <c r="I2534" s="1" t="s">
        <v>26</v>
      </c>
      <c r="J2534" s="2">
        <v>43530.593877314815</v>
      </c>
      <c r="K2534" s="2">
        <v>43537.593877314815</v>
      </c>
      <c r="L2534" s="2">
        <v>43535.593877314815</v>
      </c>
      <c r="M2534" s="1">
        <f>_xlfn.DAYS(Table1[[#This Row],[actual_delivery_date]],Table1[[#This Row],[dispatch_date]])</f>
        <v>7</v>
      </c>
      <c r="N2534">
        <v>44</v>
      </c>
      <c r="O2534">
        <f>Table1[[#This Row],[transit_storage_cost]] * (1-'What -if Analysis'!$D$26)</f>
        <v>44</v>
      </c>
      <c r="P2534">
        <v>114</v>
      </c>
      <c r="Q2534">
        <v>626.28362946567449</v>
      </c>
    </row>
    <row r="2535" spans="1:17" x14ac:dyDescent="0.3">
      <c r="A2535">
        <v>837509</v>
      </c>
      <c r="B2535" s="1" t="s">
        <v>38</v>
      </c>
      <c r="C2535" s="1" t="s">
        <v>16</v>
      </c>
      <c r="D2535" s="1" t="s">
        <v>16</v>
      </c>
      <c r="E2535" s="1" t="s">
        <v>27</v>
      </c>
      <c r="F2535" s="1" t="s">
        <v>29</v>
      </c>
      <c r="G2535" s="1" t="s">
        <v>20</v>
      </c>
      <c r="H2535" t="s">
        <v>30</v>
      </c>
      <c r="I2535" s="1" t="s">
        <v>22</v>
      </c>
      <c r="J2535" s="2">
        <v>43536.595949074072</v>
      </c>
      <c r="K2535" s="2">
        <v>43537.595949074072</v>
      </c>
      <c r="L2535" s="2">
        <v>43540.595949074072</v>
      </c>
      <c r="M2535" s="1">
        <f>_xlfn.DAYS(Table1[[#This Row],[actual_delivery_date]],Table1[[#This Row],[dispatch_date]])</f>
        <v>1</v>
      </c>
      <c r="N2535">
        <v>0</v>
      </c>
      <c r="O2535">
        <f>Table1[[#This Row],[transit_storage_cost]] * (1-'What -if Analysis'!$D$26)</f>
        <v>0</v>
      </c>
      <c r="P2535">
        <v>121</v>
      </c>
      <c r="Q2535">
        <v>3587</v>
      </c>
    </row>
    <row r="2536" spans="1:17" x14ac:dyDescent="0.3">
      <c r="A2536">
        <v>541647</v>
      </c>
      <c r="B2536" s="1" t="s">
        <v>38</v>
      </c>
      <c r="C2536" s="1" t="s">
        <v>16</v>
      </c>
      <c r="D2536" s="1" t="s">
        <v>16</v>
      </c>
      <c r="E2536" s="1" t="s">
        <v>27</v>
      </c>
      <c r="F2536" s="1" t="s">
        <v>29</v>
      </c>
      <c r="G2536" s="1" t="s">
        <v>20</v>
      </c>
      <c r="H2536" t="s">
        <v>30</v>
      </c>
      <c r="I2536" s="1" t="s">
        <v>26</v>
      </c>
      <c r="J2536" s="2">
        <v>43533.599479166667</v>
      </c>
      <c r="K2536" s="2">
        <v>43537.599479166667</v>
      </c>
      <c r="L2536" s="2">
        <v>43540.599479166667</v>
      </c>
      <c r="M2536" s="1">
        <f>_xlfn.DAYS(Table1[[#This Row],[actual_delivery_date]],Table1[[#This Row],[dispatch_date]])</f>
        <v>4</v>
      </c>
      <c r="N2536">
        <v>0</v>
      </c>
      <c r="O2536">
        <f>Table1[[#This Row],[transit_storage_cost]] * (1-'What -if Analysis'!$D$26)</f>
        <v>0</v>
      </c>
      <c r="P2536">
        <v>126</v>
      </c>
      <c r="Q2536">
        <v>3580.936883875238</v>
      </c>
    </row>
    <row r="2537" spans="1:17" x14ac:dyDescent="0.3">
      <c r="A2537">
        <v>139384</v>
      </c>
      <c r="B2537" s="1" t="s">
        <v>38</v>
      </c>
      <c r="C2537" s="1" t="s">
        <v>23</v>
      </c>
      <c r="D2537" s="1" t="s">
        <v>23</v>
      </c>
      <c r="E2537" s="1" t="s">
        <v>28</v>
      </c>
      <c r="F2537" s="1" t="s">
        <v>19</v>
      </c>
      <c r="G2537" s="1" t="s">
        <v>20</v>
      </c>
      <c r="H2537" t="s">
        <v>21</v>
      </c>
      <c r="I2537" s="1" t="s">
        <v>22</v>
      </c>
      <c r="J2537" s="2">
        <v>43536.601342592592</v>
      </c>
      <c r="K2537" s="2">
        <v>43537.601342592592</v>
      </c>
      <c r="L2537" s="2">
        <v>43542.601342592592</v>
      </c>
      <c r="M2537" s="1">
        <f>_xlfn.DAYS(Table1[[#This Row],[actual_delivery_date]],Table1[[#This Row],[dispatch_date]])</f>
        <v>1</v>
      </c>
      <c r="N2537">
        <v>0</v>
      </c>
      <c r="O2537">
        <f>Table1[[#This Row],[transit_storage_cost]] * (1-'What -if Analysis'!$D$26)</f>
        <v>0</v>
      </c>
      <c r="P2537">
        <v>124</v>
      </c>
      <c r="Q2537">
        <v>2751</v>
      </c>
    </row>
    <row r="2538" spans="1:17" x14ac:dyDescent="0.3">
      <c r="A2538">
        <v>32766</v>
      </c>
      <c r="B2538" s="1" t="s">
        <v>41</v>
      </c>
      <c r="C2538" s="1" t="s">
        <v>23</v>
      </c>
      <c r="D2538" s="1" t="s">
        <v>16</v>
      </c>
      <c r="E2538" s="1" t="s">
        <v>27</v>
      </c>
      <c r="F2538" s="1" t="s">
        <v>31</v>
      </c>
      <c r="G2538" s="1" t="s">
        <v>20</v>
      </c>
      <c r="H2538" t="s">
        <v>21</v>
      </c>
      <c r="I2538" s="1" t="s">
        <v>26</v>
      </c>
      <c r="J2538" s="2">
        <v>43533.60328703704</v>
      </c>
      <c r="K2538" s="2">
        <v>43537.60328703704</v>
      </c>
      <c r="L2538" s="2">
        <v>43540.60328703704</v>
      </c>
      <c r="M2538" s="1">
        <f>_xlfn.DAYS(Table1[[#This Row],[actual_delivery_date]],Table1[[#This Row],[dispatch_date]])</f>
        <v>4</v>
      </c>
      <c r="N2538">
        <v>31</v>
      </c>
      <c r="O2538">
        <f>Table1[[#This Row],[transit_storage_cost]] * (1-'What -if Analysis'!$D$26)</f>
        <v>31</v>
      </c>
      <c r="P2538">
        <v>120</v>
      </c>
      <c r="Q2538">
        <v>515.43763687718399</v>
      </c>
    </row>
    <row r="2539" spans="1:17" x14ac:dyDescent="0.3">
      <c r="A2539">
        <v>294190</v>
      </c>
      <c r="B2539" s="1" t="s">
        <v>15</v>
      </c>
      <c r="C2539" s="1" t="s">
        <v>23</v>
      </c>
      <c r="D2539" s="1" t="s">
        <v>23</v>
      </c>
      <c r="E2539" s="1" t="s">
        <v>28</v>
      </c>
      <c r="F2539" s="1" t="s">
        <v>31</v>
      </c>
      <c r="G2539" s="1" t="s">
        <v>20</v>
      </c>
      <c r="H2539" t="s">
        <v>21</v>
      </c>
      <c r="I2539" s="1" t="s">
        <v>22</v>
      </c>
      <c r="J2539" s="2">
        <v>43535.610173611109</v>
      </c>
      <c r="K2539" s="2">
        <v>43537.610173611109</v>
      </c>
      <c r="L2539" s="2">
        <v>43541.610173611109</v>
      </c>
      <c r="M2539" s="1">
        <f>_xlfn.DAYS(Table1[[#This Row],[actual_delivery_date]],Table1[[#This Row],[dispatch_date]])</f>
        <v>2</v>
      </c>
      <c r="N2539">
        <v>0</v>
      </c>
      <c r="O2539">
        <f>Table1[[#This Row],[transit_storage_cost]] * (1-'What -if Analysis'!$D$26)</f>
        <v>0</v>
      </c>
      <c r="P2539">
        <v>121</v>
      </c>
      <c r="Q2539">
        <v>1574.637798089756</v>
      </c>
    </row>
    <row r="2540" spans="1:17" x14ac:dyDescent="0.3">
      <c r="A2540">
        <v>412909</v>
      </c>
      <c r="B2540" s="1" t="s">
        <v>40</v>
      </c>
      <c r="C2540" s="1" t="s">
        <v>16</v>
      </c>
      <c r="D2540" s="1" t="s">
        <v>23</v>
      </c>
      <c r="E2540" s="1" t="s">
        <v>28</v>
      </c>
      <c r="F2540" s="1" t="s">
        <v>29</v>
      </c>
      <c r="G2540" s="1" t="s">
        <v>36</v>
      </c>
      <c r="H2540" t="s">
        <v>34</v>
      </c>
      <c r="I2540" s="1" t="s">
        <v>22</v>
      </c>
      <c r="J2540" s="2">
        <v>43528.611493055556</v>
      </c>
      <c r="K2540" s="2">
        <v>43537.611493055556</v>
      </c>
      <c r="L2540" s="2">
        <v>43535.611493055556</v>
      </c>
      <c r="M2540" s="1">
        <f>_xlfn.DAYS(Table1[[#This Row],[actual_delivery_date]],Table1[[#This Row],[dispatch_date]])</f>
        <v>9</v>
      </c>
      <c r="N2540">
        <v>38</v>
      </c>
      <c r="O2540">
        <f>Table1[[#This Row],[transit_storage_cost]] * (1-'What -if Analysis'!$D$26)</f>
        <v>38</v>
      </c>
      <c r="P2540">
        <v>124</v>
      </c>
      <c r="Q2540">
        <v>929</v>
      </c>
    </row>
    <row r="2541" spans="1:17" x14ac:dyDescent="0.3">
      <c r="A2541">
        <v>110957</v>
      </c>
      <c r="B2541" s="1" t="s">
        <v>37</v>
      </c>
      <c r="C2541" s="1" t="s">
        <v>16</v>
      </c>
      <c r="D2541" s="1" t="s">
        <v>17</v>
      </c>
      <c r="E2541" s="1" t="s">
        <v>18</v>
      </c>
      <c r="F2541" s="1" t="s">
        <v>29</v>
      </c>
      <c r="G2541" s="1" t="s">
        <v>20</v>
      </c>
      <c r="H2541" t="s">
        <v>34</v>
      </c>
      <c r="I2541" s="1" t="s">
        <v>22</v>
      </c>
      <c r="J2541" s="2">
        <v>43533.614432870374</v>
      </c>
      <c r="K2541" s="2">
        <v>43537.614432870374</v>
      </c>
      <c r="L2541" s="2">
        <v>43538.614432870374</v>
      </c>
      <c r="M2541" s="1">
        <f>_xlfn.DAYS(Table1[[#This Row],[actual_delivery_date]],Table1[[#This Row],[dispatch_date]])</f>
        <v>4</v>
      </c>
      <c r="N2541">
        <v>47</v>
      </c>
      <c r="O2541">
        <f>Table1[[#This Row],[transit_storage_cost]] * (1-'What -if Analysis'!$D$26)</f>
        <v>47</v>
      </c>
      <c r="P2541">
        <v>108</v>
      </c>
      <c r="Q2541">
        <v>2136.2075230428377</v>
      </c>
    </row>
    <row r="2542" spans="1:17" x14ac:dyDescent="0.3">
      <c r="A2542">
        <v>507779</v>
      </c>
      <c r="B2542" s="1" t="s">
        <v>37</v>
      </c>
      <c r="C2542" s="1" t="s">
        <v>23</v>
      </c>
      <c r="D2542" s="1" t="s">
        <v>23</v>
      </c>
      <c r="E2542" s="1" t="s">
        <v>28</v>
      </c>
      <c r="F2542" s="1" t="s">
        <v>29</v>
      </c>
      <c r="G2542" s="1" t="s">
        <v>20</v>
      </c>
      <c r="H2542" t="s">
        <v>30</v>
      </c>
      <c r="I2542" s="1" t="s">
        <v>22</v>
      </c>
      <c r="J2542" s="2">
        <v>43531.615798611114</v>
      </c>
      <c r="K2542" s="2">
        <v>43537.615798611114</v>
      </c>
      <c r="L2542" s="2">
        <v>43535.615798611114</v>
      </c>
      <c r="M2542" s="1">
        <f>_xlfn.DAYS(Table1[[#This Row],[actual_delivery_date]],Table1[[#This Row],[dispatch_date]])</f>
        <v>6</v>
      </c>
      <c r="N2542">
        <v>0</v>
      </c>
      <c r="O2542">
        <f>Table1[[#This Row],[transit_storage_cost]] * (1-'What -if Analysis'!$D$26)</f>
        <v>0</v>
      </c>
      <c r="P2542">
        <v>122</v>
      </c>
      <c r="Q2542">
        <v>1171.2864726513781</v>
      </c>
    </row>
    <row r="2543" spans="1:17" x14ac:dyDescent="0.3">
      <c r="A2543">
        <v>730307</v>
      </c>
      <c r="B2543" s="1" t="s">
        <v>39</v>
      </c>
      <c r="C2543" s="1" t="s">
        <v>16</v>
      </c>
      <c r="D2543" s="1" t="s">
        <v>23</v>
      </c>
      <c r="E2543" s="1" t="s">
        <v>28</v>
      </c>
      <c r="F2543" s="1" t="s">
        <v>29</v>
      </c>
      <c r="G2543" s="1" t="s">
        <v>20</v>
      </c>
      <c r="H2543" t="s">
        <v>30</v>
      </c>
      <c r="I2543" s="1" t="s">
        <v>22</v>
      </c>
      <c r="J2543" s="2">
        <v>43530.619016203702</v>
      </c>
      <c r="K2543" s="2">
        <v>43537.619016203702</v>
      </c>
      <c r="L2543" s="2">
        <v>43534.619016203702</v>
      </c>
      <c r="M2543" s="1">
        <f>_xlfn.DAYS(Table1[[#This Row],[actual_delivery_date]],Table1[[#This Row],[dispatch_date]])</f>
        <v>7</v>
      </c>
      <c r="N2543">
        <v>47</v>
      </c>
      <c r="O2543">
        <f>Table1[[#This Row],[transit_storage_cost]] * (1-'What -if Analysis'!$D$26)</f>
        <v>47</v>
      </c>
      <c r="P2543">
        <v>127</v>
      </c>
      <c r="Q2543">
        <v>2020.4009612632267</v>
      </c>
    </row>
    <row r="2544" spans="1:17" x14ac:dyDescent="0.3">
      <c r="A2544">
        <v>358164</v>
      </c>
      <c r="B2544" s="1" t="s">
        <v>38</v>
      </c>
      <c r="C2544" s="1" t="s">
        <v>23</v>
      </c>
      <c r="D2544" s="1" t="s">
        <v>23</v>
      </c>
      <c r="E2544" s="1" t="s">
        <v>28</v>
      </c>
      <c r="F2544" s="1" t="s">
        <v>19</v>
      </c>
      <c r="G2544" s="1" t="s">
        <v>20</v>
      </c>
      <c r="H2544" t="s">
        <v>21</v>
      </c>
      <c r="I2544" s="1" t="s">
        <v>26</v>
      </c>
      <c r="J2544" s="2">
        <v>43535.62090277778</v>
      </c>
      <c r="K2544" s="2">
        <v>43537.62090277778</v>
      </c>
      <c r="L2544" s="2">
        <v>43541.62090277778</v>
      </c>
      <c r="M2544" s="1">
        <f>_xlfn.DAYS(Table1[[#This Row],[actual_delivery_date]],Table1[[#This Row],[dispatch_date]])</f>
        <v>2</v>
      </c>
      <c r="N2544">
        <v>0</v>
      </c>
      <c r="O2544">
        <f>Table1[[#This Row],[transit_storage_cost]] * (1-'What -if Analysis'!$D$26)</f>
        <v>0</v>
      </c>
      <c r="P2544">
        <v>126</v>
      </c>
      <c r="Q2544">
        <v>664</v>
      </c>
    </row>
    <row r="2545" spans="1:17" x14ac:dyDescent="0.3">
      <c r="A2545">
        <v>351704</v>
      </c>
      <c r="B2545" s="1" t="s">
        <v>37</v>
      </c>
      <c r="C2545" s="1" t="s">
        <v>23</v>
      </c>
      <c r="D2545" s="1" t="s">
        <v>23</v>
      </c>
      <c r="E2545" s="1" t="s">
        <v>28</v>
      </c>
      <c r="F2545" s="1" t="s">
        <v>19</v>
      </c>
      <c r="G2545" s="1" t="s">
        <v>20</v>
      </c>
      <c r="H2545" t="s">
        <v>21</v>
      </c>
      <c r="I2545" s="1" t="s">
        <v>22</v>
      </c>
      <c r="J2545" s="2">
        <v>43537.625347222223</v>
      </c>
      <c r="K2545" s="2">
        <v>43537.625347222223</v>
      </c>
      <c r="L2545" s="2">
        <v>43543.625347222223</v>
      </c>
      <c r="M2545" s="1">
        <f>_xlfn.DAYS(Table1[[#This Row],[actual_delivery_date]],Table1[[#This Row],[dispatch_date]])</f>
        <v>0</v>
      </c>
      <c r="N2545">
        <v>0</v>
      </c>
      <c r="O2545">
        <f>Table1[[#This Row],[transit_storage_cost]] * (1-'What -if Analysis'!$D$26)</f>
        <v>0</v>
      </c>
      <c r="P2545">
        <v>129</v>
      </c>
      <c r="Q2545">
        <v>519</v>
      </c>
    </row>
    <row r="2546" spans="1:17" x14ac:dyDescent="0.3">
      <c r="A2546">
        <v>213101</v>
      </c>
      <c r="B2546" s="1" t="s">
        <v>41</v>
      </c>
      <c r="C2546" s="1" t="s">
        <v>16</v>
      </c>
      <c r="D2546" s="1" t="s">
        <v>17</v>
      </c>
      <c r="E2546" s="1" t="s">
        <v>18</v>
      </c>
      <c r="F2546" s="1" t="s">
        <v>29</v>
      </c>
      <c r="G2546" s="1" t="s">
        <v>20</v>
      </c>
      <c r="H2546" t="s">
        <v>34</v>
      </c>
      <c r="I2546" s="1" t="s">
        <v>22</v>
      </c>
      <c r="J2546" s="2">
        <v>43534.633055555554</v>
      </c>
      <c r="K2546" s="2">
        <v>43537.633055555554</v>
      </c>
      <c r="L2546" s="2">
        <v>43540.633055555554</v>
      </c>
      <c r="M2546" s="1">
        <f>_xlfn.DAYS(Table1[[#This Row],[actual_delivery_date]],Table1[[#This Row],[dispatch_date]])</f>
        <v>3</v>
      </c>
      <c r="N2546">
        <v>49</v>
      </c>
      <c r="O2546">
        <f>Table1[[#This Row],[transit_storage_cost]] * (1-'What -if Analysis'!$D$26)</f>
        <v>49</v>
      </c>
      <c r="P2546">
        <v>109</v>
      </c>
      <c r="Q2546">
        <v>1327</v>
      </c>
    </row>
    <row r="2547" spans="1:17" x14ac:dyDescent="0.3">
      <c r="A2547">
        <v>865226</v>
      </c>
      <c r="B2547" s="1" t="s">
        <v>40</v>
      </c>
      <c r="C2547" s="1" t="s">
        <v>23</v>
      </c>
      <c r="D2547" s="1" t="s">
        <v>17</v>
      </c>
      <c r="E2547" s="1" t="s">
        <v>18</v>
      </c>
      <c r="F2547" s="1" t="s">
        <v>19</v>
      </c>
      <c r="G2547" s="1" t="s">
        <v>20</v>
      </c>
      <c r="H2547" t="s">
        <v>21</v>
      </c>
      <c r="I2547" s="1" t="s">
        <v>22</v>
      </c>
      <c r="J2547" s="2">
        <v>43531.639351851853</v>
      </c>
      <c r="K2547" s="2">
        <v>43537.639351851853</v>
      </c>
      <c r="L2547" s="2">
        <v>43534.639351851853</v>
      </c>
      <c r="M2547" s="1">
        <f>_xlfn.DAYS(Table1[[#This Row],[actual_delivery_date]],Table1[[#This Row],[dispatch_date]])</f>
        <v>6</v>
      </c>
      <c r="N2547">
        <v>79</v>
      </c>
      <c r="O2547">
        <f>Table1[[#This Row],[transit_storage_cost]] * (1-'What -if Analysis'!$D$26)</f>
        <v>79</v>
      </c>
      <c r="P2547">
        <v>89</v>
      </c>
      <c r="Q2547">
        <v>1071.0790339293712</v>
      </c>
    </row>
    <row r="2548" spans="1:17" x14ac:dyDescent="0.3">
      <c r="A2548">
        <v>12670</v>
      </c>
      <c r="B2548" s="1" t="s">
        <v>41</v>
      </c>
      <c r="C2548" s="1" t="s">
        <v>16</v>
      </c>
      <c r="D2548" s="1" t="s">
        <v>16</v>
      </c>
      <c r="E2548" s="1" t="s">
        <v>27</v>
      </c>
      <c r="F2548" s="1" t="s">
        <v>31</v>
      </c>
      <c r="G2548" s="1" t="s">
        <v>20</v>
      </c>
      <c r="H2548" t="s">
        <v>21</v>
      </c>
      <c r="I2548" s="1" t="s">
        <v>22</v>
      </c>
      <c r="J2548" s="2">
        <v>43531.639351851853</v>
      </c>
      <c r="K2548" s="2">
        <v>43537.639351851853</v>
      </c>
      <c r="L2548" s="2">
        <v>43538.639351851853</v>
      </c>
      <c r="M2548" s="1">
        <f>_xlfn.DAYS(Table1[[#This Row],[actual_delivery_date]],Table1[[#This Row],[dispatch_date]])</f>
        <v>6</v>
      </c>
      <c r="N2548">
        <v>0</v>
      </c>
      <c r="O2548">
        <f>Table1[[#This Row],[transit_storage_cost]] * (1-'What -if Analysis'!$D$26)</f>
        <v>0</v>
      </c>
      <c r="P2548">
        <v>123</v>
      </c>
      <c r="Q2548">
        <v>2858.3930361836947</v>
      </c>
    </row>
    <row r="2549" spans="1:17" x14ac:dyDescent="0.3">
      <c r="A2549">
        <v>329381</v>
      </c>
      <c r="B2549" s="1" t="s">
        <v>41</v>
      </c>
      <c r="C2549" s="1" t="s">
        <v>23</v>
      </c>
      <c r="D2549" s="1" t="s">
        <v>32</v>
      </c>
      <c r="E2549" s="1" t="s">
        <v>33</v>
      </c>
      <c r="F2549" s="1" t="s">
        <v>29</v>
      </c>
      <c r="G2549" s="1" t="s">
        <v>20</v>
      </c>
      <c r="H2549" t="s">
        <v>30</v>
      </c>
      <c r="I2549" s="1" t="s">
        <v>22</v>
      </c>
      <c r="J2549" s="2">
        <v>43532.640486111108</v>
      </c>
      <c r="K2549" s="2">
        <v>43537.640486111108</v>
      </c>
      <c r="L2549" s="2">
        <v>43538.640486111108</v>
      </c>
      <c r="M2549" s="1">
        <f>_xlfn.DAYS(Table1[[#This Row],[actual_delivery_date]],Table1[[#This Row],[dispatch_date]])</f>
        <v>5</v>
      </c>
      <c r="N2549">
        <v>32</v>
      </c>
      <c r="O2549">
        <f>Table1[[#This Row],[transit_storage_cost]] * (1-'What -if Analysis'!$D$26)</f>
        <v>32</v>
      </c>
      <c r="P2549">
        <v>111</v>
      </c>
      <c r="Q2549">
        <v>3416.5978453790808</v>
      </c>
    </row>
    <row r="2550" spans="1:17" x14ac:dyDescent="0.3">
      <c r="A2550">
        <v>563767</v>
      </c>
      <c r="B2550" s="1" t="s">
        <v>37</v>
      </c>
      <c r="C2550" s="1" t="s">
        <v>23</v>
      </c>
      <c r="D2550" s="1" t="s">
        <v>17</v>
      </c>
      <c r="E2550" s="1" t="s">
        <v>18</v>
      </c>
      <c r="F2550" s="1" t="s">
        <v>19</v>
      </c>
      <c r="G2550" s="1" t="s">
        <v>20</v>
      </c>
      <c r="H2550" t="s">
        <v>30</v>
      </c>
      <c r="I2550" s="1" t="s">
        <v>22</v>
      </c>
      <c r="J2550" s="2">
        <v>43531.644479166665</v>
      </c>
      <c r="K2550" s="2">
        <v>43537.644479166665</v>
      </c>
      <c r="L2550" s="2">
        <v>43538.644479166665</v>
      </c>
      <c r="M2550" s="1">
        <f>_xlfn.DAYS(Table1[[#This Row],[actual_delivery_date]],Table1[[#This Row],[dispatch_date]])</f>
        <v>6</v>
      </c>
      <c r="N2550">
        <v>74</v>
      </c>
      <c r="O2550">
        <f>Table1[[#This Row],[transit_storage_cost]] * (1-'What -if Analysis'!$D$26)</f>
        <v>74</v>
      </c>
      <c r="P2550">
        <v>88</v>
      </c>
      <c r="Q2550">
        <v>1575.6480938995326</v>
      </c>
    </row>
    <row r="2551" spans="1:17" x14ac:dyDescent="0.3">
      <c r="A2551">
        <v>529715</v>
      </c>
      <c r="B2551" s="1" t="s">
        <v>40</v>
      </c>
      <c r="C2551" s="1" t="s">
        <v>16</v>
      </c>
      <c r="D2551" s="1" t="s">
        <v>17</v>
      </c>
      <c r="E2551" s="1" t="s">
        <v>18</v>
      </c>
      <c r="F2551" s="1" t="s">
        <v>29</v>
      </c>
      <c r="G2551" s="1" t="s">
        <v>20</v>
      </c>
      <c r="H2551" t="s">
        <v>30</v>
      </c>
      <c r="I2551" s="1" t="s">
        <v>22</v>
      </c>
      <c r="J2551" s="2">
        <v>43530.653877314813</v>
      </c>
      <c r="K2551" s="2">
        <v>43537.653877314813</v>
      </c>
      <c r="L2551" s="2">
        <v>43537.653877314813</v>
      </c>
      <c r="M2551" s="1">
        <f>_xlfn.DAYS(Table1[[#This Row],[actual_delivery_date]],Table1[[#This Row],[dispatch_date]])</f>
        <v>7</v>
      </c>
      <c r="N2551">
        <v>39</v>
      </c>
      <c r="O2551">
        <f>Table1[[#This Row],[transit_storage_cost]] * (1-'What -if Analysis'!$D$26)</f>
        <v>39</v>
      </c>
      <c r="P2551">
        <v>107</v>
      </c>
      <c r="Q2551">
        <v>553</v>
      </c>
    </row>
    <row r="2552" spans="1:17" x14ac:dyDescent="0.3">
      <c r="A2552">
        <v>323403</v>
      </c>
      <c r="B2552" s="1" t="s">
        <v>38</v>
      </c>
      <c r="C2552" s="1" t="s">
        <v>16</v>
      </c>
      <c r="D2552" s="1" t="s">
        <v>16</v>
      </c>
      <c r="E2552" s="1" t="s">
        <v>27</v>
      </c>
      <c r="F2552" s="1" t="s">
        <v>29</v>
      </c>
      <c r="G2552" s="1" t="s">
        <v>20</v>
      </c>
      <c r="H2552" t="s">
        <v>30</v>
      </c>
      <c r="I2552" s="1" t="s">
        <v>26</v>
      </c>
      <c r="J2552" s="2">
        <v>43530.656099537038</v>
      </c>
      <c r="K2552" s="2">
        <v>43537.656099537038</v>
      </c>
      <c r="L2552" s="2">
        <v>43535.656099537038</v>
      </c>
      <c r="M2552" s="1">
        <f>_xlfn.DAYS(Table1[[#This Row],[actual_delivery_date]],Table1[[#This Row],[dispatch_date]])</f>
        <v>7</v>
      </c>
      <c r="N2552">
        <v>0</v>
      </c>
      <c r="O2552">
        <f>Table1[[#This Row],[transit_storage_cost]] * (1-'What -if Analysis'!$D$26)</f>
        <v>0</v>
      </c>
      <c r="P2552">
        <v>129</v>
      </c>
      <c r="Q2552">
        <v>2850.987738147584</v>
      </c>
    </row>
    <row r="2553" spans="1:17" x14ac:dyDescent="0.3">
      <c r="A2553">
        <v>522236</v>
      </c>
      <c r="B2553" s="1" t="s">
        <v>15</v>
      </c>
      <c r="C2553" s="1" t="s">
        <v>16</v>
      </c>
      <c r="D2553" s="1" t="s">
        <v>23</v>
      </c>
      <c r="E2553" s="1" t="s">
        <v>28</v>
      </c>
      <c r="F2553" s="1" t="s">
        <v>19</v>
      </c>
      <c r="G2553" s="1" t="s">
        <v>20</v>
      </c>
      <c r="H2553" t="s">
        <v>21</v>
      </c>
      <c r="I2553" s="1" t="s">
        <v>22</v>
      </c>
      <c r="J2553" s="2">
        <v>43533.659849537034</v>
      </c>
      <c r="K2553" s="2">
        <v>43537.659849537034</v>
      </c>
      <c r="L2553" s="2">
        <v>43537.659849537034</v>
      </c>
      <c r="M2553" s="1">
        <f>_xlfn.DAYS(Table1[[#This Row],[actual_delivery_date]],Table1[[#This Row],[dispatch_date]])</f>
        <v>4</v>
      </c>
      <c r="N2553">
        <v>50</v>
      </c>
      <c r="O2553">
        <f>Table1[[#This Row],[transit_storage_cost]] * (1-'What -if Analysis'!$D$26)</f>
        <v>50</v>
      </c>
      <c r="P2553">
        <v>120</v>
      </c>
      <c r="Q2553">
        <v>1472</v>
      </c>
    </row>
    <row r="2554" spans="1:17" x14ac:dyDescent="0.3">
      <c r="A2554">
        <v>786948</v>
      </c>
      <c r="B2554" s="1" t="s">
        <v>41</v>
      </c>
      <c r="C2554" s="1" t="s">
        <v>16</v>
      </c>
      <c r="D2554" s="1" t="s">
        <v>24</v>
      </c>
      <c r="E2554" s="1" t="s">
        <v>25</v>
      </c>
      <c r="F2554" s="1" t="s">
        <v>19</v>
      </c>
      <c r="G2554" s="1" t="s">
        <v>20</v>
      </c>
      <c r="H2554" t="s">
        <v>21</v>
      </c>
      <c r="I2554" s="1" t="s">
        <v>26</v>
      </c>
      <c r="J2554" s="2">
        <v>43528.659872685188</v>
      </c>
      <c r="K2554" s="2">
        <v>43537.659872685188</v>
      </c>
      <c r="L2554" s="2">
        <v>43531.659872685188</v>
      </c>
      <c r="M2554" s="1">
        <f>_xlfn.DAYS(Table1[[#This Row],[actual_delivery_date]],Table1[[#This Row],[dispatch_date]])</f>
        <v>9</v>
      </c>
      <c r="N2554">
        <v>31</v>
      </c>
      <c r="O2554">
        <f>Table1[[#This Row],[transit_storage_cost]] * (1-'What -if Analysis'!$D$26)</f>
        <v>31</v>
      </c>
      <c r="P2554">
        <v>125</v>
      </c>
      <c r="Q2554">
        <v>2426.2199999999998</v>
      </c>
    </row>
    <row r="2555" spans="1:17" x14ac:dyDescent="0.3">
      <c r="A2555">
        <v>551803</v>
      </c>
      <c r="B2555" s="1" t="s">
        <v>37</v>
      </c>
      <c r="C2555" s="1" t="s">
        <v>16</v>
      </c>
      <c r="D2555" s="1" t="s">
        <v>32</v>
      </c>
      <c r="E2555" s="1" t="s">
        <v>33</v>
      </c>
      <c r="F2555" s="1" t="s">
        <v>29</v>
      </c>
      <c r="G2555" s="1" t="s">
        <v>20</v>
      </c>
      <c r="H2555" t="s">
        <v>34</v>
      </c>
      <c r="I2555" s="1" t="s">
        <v>22</v>
      </c>
      <c r="J2555" s="2">
        <v>43532.663217592592</v>
      </c>
      <c r="K2555" s="2">
        <v>43537.663217592592</v>
      </c>
      <c r="L2555" s="2">
        <v>43538.663217592592</v>
      </c>
      <c r="M2555" s="1">
        <f>_xlfn.DAYS(Table1[[#This Row],[actual_delivery_date]],Table1[[#This Row],[dispatch_date]])</f>
        <v>5</v>
      </c>
      <c r="N2555">
        <v>37</v>
      </c>
      <c r="O2555">
        <f>Table1[[#This Row],[transit_storage_cost]] * (1-'What -if Analysis'!$D$26)</f>
        <v>37</v>
      </c>
      <c r="P2555">
        <v>112</v>
      </c>
      <c r="Q2555">
        <v>622.55968410323408</v>
      </c>
    </row>
    <row r="2556" spans="1:17" x14ac:dyDescent="0.3">
      <c r="A2556">
        <v>727736</v>
      </c>
      <c r="B2556" s="1" t="s">
        <v>37</v>
      </c>
      <c r="C2556" s="1" t="s">
        <v>16</v>
      </c>
      <c r="D2556" s="1" t="s">
        <v>16</v>
      </c>
      <c r="E2556" s="1" t="s">
        <v>27</v>
      </c>
      <c r="F2556" s="1" t="s">
        <v>19</v>
      </c>
      <c r="G2556" s="1" t="s">
        <v>20</v>
      </c>
      <c r="H2556" t="s">
        <v>21</v>
      </c>
      <c r="I2556" s="1" t="s">
        <v>22</v>
      </c>
      <c r="J2556" s="2">
        <v>43533.664687500001</v>
      </c>
      <c r="K2556" s="2">
        <v>43537.664687500001</v>
      </c>
      <c r="L2556" s="2">
        <v>43536.664687500001</v>
      </c>
      <c r="M2556" s="1">
        <f>_xlfn.DAYS(Table1[[#This Row],[actual_delivery_date]],Table1[[#This Row],[dispatch_date]])</f>
        <v>4</v>
      </c>
      <c r="N2556">
        <v>0</v>
      </c>
      <c r="O2556">
        <f>Table1[[#This Row],[transit_storage_cost]] * (1-'What -if Analysis'!$D$26)</f>
        <v>0</v>
      </c>
      <c r="P2556">
        <v>105</v>
      </c>
      <c r="Q2556">
        <v>2464.816116230827</v>
      </c>
    </row>
    <row r="2557" spans="1:17" x14ac:dyDescent="0.3">
      <c r="A2557">
        <v>127131</v>
      </c>
      <c r="B2557" s="1" t="s">
        <v>39</v>
      </c>
      <c r="C2557" s="1" t="s">
        <v>16</v>
      </c>
      <c r="D2557" s="1" t="s">
        <v>23</v>
      </c>
      <c r="E2557" s="1" t="s">
        <v>28</v>
      </c>
      <c r="F2557" s="1" t="s">
        <v>29</v>
      </c>
      <c r="G2557" s="1" t="s">
        <v>20</v>
      </c>
      <c r="H2557" t="s">
        <v>30</v>
      </c>
      <c r="I2557" s="1" t="s">
        <v>26</v>
      </c>
      <c r="J2557" s="2">
        <v>43533.668738425928</v>
      </c>
      <c r="K2557" s="2">
        <v>43537.668738425928</v>
      </c>
      <c r="L2557" s="2">
        <v>43539.668738425928</v>
      </c>
      <c r="M2557" s="1">
        <f>_xlfn.DAYS(Table1[[#This Row],[actual_delivery_date]],Table1[[#This Row],[dispatch_date]])</f>
        <v>4</v>
      </c>
      <c r="N2557">
        <v>37</v>
      </c>
      <c r="O2557">
        <f>Table1[[#This Row],[transit_storage_cost]] * (1-'What -if Analysis'!$D$26)</f>
        <v>37</v>
      </c>
      <c r="P2557">
        <v>121</v>
      </c>
      <c r="Q2557">
        <v>2808.0363948624527</v>
      </c>
    </row>
    <row r="2558" spans="1:17" x14ac:dyDescent="0.3">
      <c r="A2558">
        <v>920173</v>
      </c>
      <c r="B2558" s="1" t="s">
        <v>41</v>
      </c>
      <c r="C2558" s="1" t="s">
        <v>23</v>
      </c>
      <c r="D2558" s="1" t="s">
        <v>17</v>
      </c>
      <c r="E2558" s="1" t="s">
        <v>18</v>
      </c>
      <c r="F2558" s="1" t="s">
        <v>29</v>
      </c>
      <c r="G2558" s="1" t="s">
        <v>20</v>
      </c>
      <c r="H2558" t="s">
        <v>30</v>
      </c>
      <c r="I2558" s="1" t="s">
        <v>22</v>
      </c>
      <c r="J2558" s="2">
        <v>43531.669166666667</v>
      </c>
      <c r="K2558" s="2">
        <v>43537.669166666667</v>
      </c>
      <c r="L2558" s="2">
        <v>43536.669166666667</v>
      </c>
      <c r="M2558" s="1">
        <f>_xlfn.DAYS(Table1[[#This Row],[actual_delivery_date]],Table1[[#This Row],[dispatch_date]])</f>
        <v>6</v>
      </c>
      <c r="N2558">
        <v>30</v>
      </c>
      <c r="O2558">
        <f>Table1[[#This Row],[transit_storage_cost]] * (1-'What -if Analysis'!$D$26)</f>
        <v>30</v>
      </c>
      <c r="P2558">
        <v>107</v>
      </c>
      <c r="Q2558">
        <v>1259</v>
      </c>
    </row>
    <row r="2559" spans="1:17" x14ac:dyDescent="0.3">
      <c r="A2559">
        <v>95723</v>
      </c>
      <c r="B2559" s="1" t="s">
        <v>37</v>
      </c>
      <c r="C2559" s="1" t="s">
        <v>16</v>
      </c>
      <c r="D2559" s="1" t="s">
        <v>17</v>
      </c>
      <c r="E2559" s="1" t="s">
        <v>18</v>
      </c>
      <c r="F2559" s="1" t="s">
        <v>29</v>
      </c>
      <c r="G2559" s="1" t="s">
        <v>20</v>
      </c>
      <c r="H2559" t="s">
        <v>30</v>
      </c>
      <c r="I2559" s="1" t="s">
        <v>22</v>
      </c>
      <c r="J2559" s="2">
        <v>43529.670532407406</v>
      </c>
      <c r="K2559" s="2">
        <v>43537.670532407406</v>
      </c>
      <c r="L2559" s="2">
        <v>43533.670532407406</v>
      </c>
      <c r="M2559" s="1">
        <f>_xlfn.DAYS(Table1[[#This Row],[actual_delivery_date]],Table1[[#This Row],[dispatch_date]])</f>
        <v>8</v>
      </c>
      <c r="N2559">
        <v>29</v>
      </c>
      <c r="O2559">
        <f>Table1[[#This Row],[transit_storage_cost]] * (1-'What -if Analysis'!$D$26)</f>
        <v>29</v>
      </c>
      <c r="P2559">
        <v>108</v>
      </c>
      <c r="Q2559">
        <v>2328.7299699943865</v>
      </c>
    </row>
    <row r="2560" spans="1:17" x14ac:dyDescent="0.3">
      <c r="A2560">
        <v>836401</v>
      </c>
      <c r="B2560" s="1" t="s">
        <v>39</v>
      </c>
      <c r="C2560" s="1" t="s">
        <v>16</v>
      </c>
      <c r="D2560" s="1" t="s">
        <v>17</v>
      </c>
      <c r="E2560" s="1" t="s">
        <v>18</v>
      </c>
      <c r="F2560" s="1" t="s">
        <v>19</v>
      </c>
      <c r="G2560" s="1" t="s">
        <v>20</v>
      </c>
      <c r="H2560" t="s">
        <v>30</v>
      </c>
      <c r="I2560" s="1" t="s">
        <v>22</v>
      </c>
      <c r="J2560" s="2">
        <v>43532.675567129627</v>
      </c>
      <c r="K2560" s="2">
        <v>43537.675567129627</v>
      </c>
      <c r="L2560" s="2">
        <v>43537.675567129627</v>
      </c>
      <c r="M2560" s="1">
        <f>_xlfn.DAYS(Table1[[#This Row],[actual_delivery_date]],Table1[[#This Row],[dispatch_date]])</f>
        <v>5</v>
      </c>
      <c r="N2560">
        <v>74</v>
      </c>
      <c r="O2560">
        <f>Table1[[#This Row],[transit_storage_cost]] * (1-'What -if Analysis'!$D$26)</f>
        <v>74</v>
      </c>
      <c r="P2560">
        <v>89</v>
      </c>
      <c r="Q2560">
        <v>2626</v>
      </c>
    </row>
    <row r="2561" spans="1:17" x14ac:dyDescent="0.3">
      <c r="A2561">
        <v>830552</v>
      </c>
      <c r="B2561" s="1" t="s">
        <v>15</v>
      </c>
      <c r="C2561" s="1" t="s">
        <v>23</v>
      </c>
      <c r="D2561" s="1" t="s">
        <v>23</v>
      </c>
      <c r="E2561" s="1" t="s">
        <v>28</v>
      </c>
      <c r="F2561" s="1" t="s">
        <v>19</v>
      </c>
      <c r="G2561" s="1" t="s">
        <v>20</v>
      </c>
      <c r="H2561" t="s">
        <v>21</v>
      </c>
      <c r="I2561" s="1" t="s">
        <v>22</v>
      </c>
      <c r="J2561" s="2">
        <v>43535.685624999998</v>
      </c>
      <c r="K2561" s="2">
        <v>43537.685624999998</v>
      </c>
      <c r="L2561" s="2">
        <v>43542.685624999998</v>
      </c>
      <c r="M2561" s="1">
        <f>_xlfn.DAYS(Table1[[#This Row],[actual_delivery_date]],Table1[[#This Row],[dispatch_date]])</f>
        <v>2</v>
      </c>
      <c r="N2561">
        <v>0</v>
      </c>
      <c r="O2561">
        <f>Table1[[#This Row],[transit_storage_cost]] * (1-'What -if Analysis'!$D$26)</f>
        <v>0</v>
      </c>
      <c r="P2561">
        <v>124</v>
      </c>
      <c r="Q2561">
        <v>3166.4648137813442</v>
      </c>
    </row>
    <row r="2562" spans="1:17" x14ac:dyDescent="0.3">
      <c r="A2562">
        <v>460308</v>
      </c>
      <c r="B2562" s="1" t="s">
        <v>39</v>
      </c>
      <c r="C2562" s="1" t="s">
        <v>23</v>
      </c>
      <c r="D2562" s="1" t="s">
        <v>23</v>
      </c>
      <c r="E2562" s="1" t="s">
        <v>28</v>
      </c>
      <c r="F2562" s="1" t="s">
        <v>19</v>
      </c>
      <c r="G2562" s="1" t="s">
        <v>20</v>
      </c>
      <c r="H2562" t="s">
        <v>21</v>
      </c>
      <c r="I2562" s="1" t="s">
        <v>26</v>
      </c>
      <c r="J2562" s="2">
        <v>43532.687743055554</v>
      </c>
      <c r="K2562" s="2">
        <v>43537.687743055554</v>
      </c>
      <c r="L2562" s="2">
        <v>43536.687743055554</v>
      </c>
      <c r="M2562" s="1">
        <f>_xlfn.DAYS(Table1[[#This Row],[actual_delivery_date]],Table1[[#This Row],[dispatch_date]])</f>
        <v>5</v>
      </c>
      <c r="N2562">
        <v>0</v>
      </c>
      <c r="O2562">
        <f>Table1[[#This Row],[transit_storage_cost]] * (1-'What -if Analysis'!$D$26)</f>
        <v>0</v>
      </c>
      <c r="P2562">
        <v>126</v>
      </c>
      <c r="Q2562">
        <v>1147.0586259371269</v>
      </c>
    </row>
    <row r="2563" spans="1:17" x14ac:dyDescent="0.3">
      <c r="A2563">
        <v>596503</v>
      </c>
      <c r="B2563" s="1" t="s">
        <v>38</v>
      </c>
      <c r="C2563" s="1" t="s">
        <v>23</v>
      </c>
      <c r="D2563" s="1" t="s">
        <v>16</v>
      </c>
      <c r="E2563" s="1" t="s">
        <v>27</v>
      </c>
      <c r="F2563" s="1" t="s">
        <v>29</v>
      </c>
      <c r="G2563" s="1" t="s">
        <v>36</v>
      </c>
      <c r="H2563" t="s">
        <v>30</v>
      </c>
      <c r="I2563" s="1" t="s">
        <v>22</v>
      </c>
      <c r="J2563" s="2">
        <v>43531.696782407409</v>
      </c>
      <c r="K2563" s="2">
        <v>43537.696782407409</v>
      </c>
      <c r="L2563" s="2">
        <v>43538.696782407409</v>
      </c>
      <c r="M2563" s="1">
        <f>_xlfn.DAYS(Table1[[#This Row],[actual_delivery_date]],Table1[[#This Row],[dispatch_date]])</f>
        <v>6</v>
      </c>
      <c r="N2563">
        <v>29</v>
      </c>
      <c r="O2563">
        <f>Table1[[#This Row],[transit_storage_cost]] * (1-'What -if Analysis'!$D$26)</f>
        <v>29</v>
      </c>
      <c r="P2563">
        <v>121</v>
      </c>
      <c r="Q2563">
        <v>2118.9965528759303</v>
      </c>
    </row>
    <row r="2564" spans="1:17" x14ac:dyDescent="0.3">
      <c r="A2564">
        <v>103691</v>
      </c>
      <c r="B2564" s="1" t="s">
        <v>37</v>
      </c>
      <c r="C2564" s="1" t="s">
        <v>23</v>
      </c>
      <c r="D2564" s="1" t="s">
        <v>24</v>
      </c>
      <c r="E2564" s="1" t="s">
        <v>25</v>
      </c>
      <c r="F2564" s="1" t="s">
        <v>19</v>
      </c>
      <c r="G2564" s="1" t="s">
        <v>20</v>
      </c>
      <c r="H2564" t="s">
        <v>34</v>
      </c>
      <c r="I2564" s="1" t="s">
        <v>22</v>
      </c>
      <c r="J2564" s="2">
        <v>43530.702534722222</v>
      </c>
      <c r="K2564" s="2">
        <v>43537.702534722222</v>
      </c>
      <c r="L2564" s="2">
        <v>43533.702534722222</v>
      </c>
      <c r="M2564" s="1">
        <f>_xlfn.DAYS(Table1[[#This Row],[actual_delivery_date]],Table1[[#This Row],[dispatch_date]])</f>
        <v>7</v>
      </c>
      <c r="N2564">
        <v>60</v>
      </c>
      <c r="O2564">
        <f>Table1[[#This Row],[transit_storage_cost]] * (1-'What -if Analysis'!$D$26)</f>
        <v>60</v>
      </c>
      <c r="P2564">
        <v>105</v>
      </c>
      <c r="Q2564">
        <v>2581</v>
      </c>
    </row>
    <row r="2565" spans="1:17" x14ac:dyDescent="0.3">
      <c r="A2565">
        <v>580318</v>
      </c>
      <c r="B2565" s="1" t="s">
        <v>40</v>
      </c>
      <c r="C2565" s="1" t="s">
        <v>23</v>
      </c>
      <c r="D2565" s="1" t="s">
        <v>17</v>
      </c>
      <c r="E2565" s="1" t="s">
        <v>18</v>
      </c>
      <c r="F2565" s="1" t="s">
        <v>31</v>
      </c>
      <c r="G2565" s="1" t="s">
        <v>20</v>
      </c>
      <c r="H2565" t="s">
        <v>21</v>
      </c>
      <c r="I2565" s="1" t="s">
        <v>22</v>
      </c>
      <c r="J2565" s="2">
        <v>43529.713425925926</v>
      </c>
      <c r="K2565" s="2">
        <v>43537.713425925926</v>
      </c>
      <c r="L2565" s="2">
        <v>43532.713425925926</v>
      </c>
      <c r="M2565" s="1">
        <f>_xlfn.DAYS(Table1[[#This Row],[actual_delivery_date]],Table1[[#This Row],[dispatch_date]])</f>
        <v>8</v>
      </c>
      <c r="N2565">
        <v>34</v>
      </c>
      <c r="O2565">
        <f>Table1[[#This Row],[transit_storage_cost]] * (1-'What -if Analysis'!$D$26)</f>
        <v>34</v>
      </c>
      <c r="P2565">
        <v>109</v>
      </c>
      <c r="Q2565">
        <v>3810.8933726126538</v>
      </c>
    </row>
    <row r="2566" spans="1:17" x14ac:dyDescent="0.3">
      <c r="A2566">
        <v>369872</v>
      </c>
      <c r="B2566" s="1" t="s">
        <v>38</v>
      </c>
      <c r="C2566" s="1" t="s">
        <v>23</v>
      </c>
      <c r="D2566" s="1" t="s">
        <v>17</v>
      </c>
      <c r="E2566" s="1" t="s">
        <v>18</v>
      </c>
      <c r="F2566" s="1" t="s">
        <v>19</v>
      </c>
      <c r="G2566" s="1" t="s">
        <v>20</v>
      </c>
      <c r="H2566" t="s">
        <v>21</v>
      </c>
      <c r="I2566" s="1" t="s">
        <v>22</v>
      </c>
      <c r="J2566" s="2">
        <v>43535.719375000001</v>
      </c>
      <c r="K2566" s="2">
        <v>43537.719375000001</v>
      </c>
      <c r="L2566" s="2">
        <v>43540.719375000001</v>
      </c>
      <c r="M2566" s="1">
        <f>_xlfn.DAYS(Table1[[#This Row],[actual_delivery_date]],Table1[[#This Row],[dispatch_date]])</f>
        <v>2</v>
      </c>
      <c r="N2566">
        <v>38</v>
      </c>
      <c r="O2566">
        <f>Table1[[#This Row],[transit_storage_cost]] * (1-'What -if Analysis'!$D$26)</f>
        <v>38</v>
      </c>
      <c r="P2566">
        <v>111</v>
      </c>
      <c r="Q2566">
        <v>775.32363395587515</v>
      </c>
    </row>
    <row r="2567" spans="1:17" x14ac:dyDescent="0.3">
      <c r="A2567">
        <v>921593</v>
      </c>
      <c r="B2567" s="1" t="s">
        <v>37</v>
      </c>
      <c r="C2567" s="1" t="s">
        <v>16</v>
      </c>
      <c r="D2567" s="1" t="s">
        <v>23</v>
      </c>
      <c r="E2567" s="1" t="s">
        <v>28</v>
      </c>
      <c r="F2567" s="1" t="s">
        <v>29</v>
      </c>
      <c r="G2567" s="1" t="s">
        <v>20</v>
      </c>
      <c r="H2567" t="s">
        <v>30</v>
      </c>
      <c r="I2567" s="1" t="s">
        <v>22</v>
      </c>
      <c r="J2567" s="2">
        <v>43531.726724537039</v>
      </c>
      <c r="K2567" s="2">
        <v>43537.726724537039</v>
      </c>
      <c r="L2567" s="2">
        <v>43534.726724537039</v>
      </c>
      <c r="M2567" s="1">
        <f>_xlfn.DAYS(Table1[[#This Row],[actual_delivery_date]],Table1[[#This Row],[dispatch_date]])</f>
        <v>6</v>
      </c>
      <c r="N2567">
        <v>36</v>
      </c>
      <c r="O2567">
        <f>Table1[[#This Row],[transit_storage_cost]] * (1-'What -if Analysis'!$D$26)</f>
        <v>36</v>
      </c>
      <c r="P2567">
        <v>129</v>
      </c>
      <c r="Q2567">
        <v>2092.3009796203673</v>
      </c>
    </row>
    <row r="2568" spans="1:17" x14ac:dyDescent="0.3">
      <c r="A2568">
        <v>645576</v>
      </c>
      <c r="B2568" s="1" t="s">
        <v>37</v>
      </c>
      <c r="C2568" s="1" t="s">
        <v>16</v>
      </c>
      <c r="D2568" s="1" t="s">
        <v>32</v>
      </c>
      <c r="E2568" s="1" t="s">
        <v>33</v>
      </c>
      <c r="F2568" s="1" t="s">
        <v>19</v>
      </c>
      <c r="G2568" s="1" t="s">
        <v>20</v>
      </c>
      <c r="H2568" t="s">
        <v>21</v>
      </c>
      <c r="I2568" s="1" t="s">
        <v>26</v>
      </c>
      <c r="J2568" s="2">
        <v>43533.727210648147</v>
      </c>
      <c r="K2568" s="2">
        <v>43537.727210648147</v>
      </c>
      <c r="L2568" s="2">
        <v>43536.727210648147</v>
      </c>
      <c r="M2568" s="1">
        <f>_xlfn.DAYS(Table1[[#This Row],[actual_delivery_date]],Table1[[#This Row],[dispatch_date]])</f>
        <v>4</v>
      </c>
      <c r="N2568">
        <v>35</v>
      </c>
      <c r="O2568">
        <f>Table1[[#This Row],[transit_storage_cost]] * (1-'What -if Analysis'!$D$26)</f>
        <v>35</v>
      </c>
      <c r="P2568">
        <v>107</v>
      </c>
      <c r="Q2568">
        <v>1924.3759482014041</v>
      </c>
    </row>
    <row r="2569" spans="1:17" x14ac:dyDescent="0.3">
      <c r="A2569">
        <v>97447</v>
      </c>
      <c r="B2569" s="1" t="s">
        <v>39</v>
      </c>
      <c r="C2569" s="1" t="s">
        <v>23</v>
      </c>
      <c r="D2569" s="1" t="s">
        <v>17</v>
      </c>
      <c r="E2569" s="1" t="s">
        <v>18</v>
      </c>
      <c r="F2569" s="1" t="s">
        <v>29</v>
      </c>
      <c r="G2569" s="1" t="s">
        <v>20</v>
      </c>
      <c r="H2569" t="s">
        <v>34</v>
      </c>
      <c r="I2569" s="1" t="s">
        <v>22</v>
      </c>
      <c r="J2569" s="2">
        <v>43533.743576388886</v>
      </c>
      <c r="K2569" s="2">
        <v>43537.743576388886</v>
      </c>
      <c r="L2569" s="2">
        <v>43536.743576388886</v>
      </c>
      <c r="M2569" s="1">
        <f>_xlfn.DAYS(Table1[[#This Row],[actual_delivery_date]],Table1[[#This Row],[dispatch_date]])</f>
        <v>4</v>
      </c>
      <c r="N2569">
        <v>38</v>
      </c>
      <c r="O2569">
        <f>Table1[[#This Row],[transit_storage_cost]] * (1-'What -if Analysis'!$D$26)</f>
        <v>38</v>
      </c>
      <c r="P2569">
        <v>109</v>
      </c>
      <c r="Q2569">
        <v>3108.4626883820697</v>
      </c>
    </row>
    <row r="2570" spans="1:17" x14ac:dyDescent="0.3">
      <c r="A2570">
        <v>562703</v>
      </c>
      <c r="B2570" s="1" t="s">
        <v>39</v>
      </c>
      <c r="C2570" s="1" t="s">
        <v>16</v>
      </c>
      <c r="D2570" s="1" t="s">
        <v>16</v>
      </c>
      <c r="E2570" s="1" t="s">
        <v>27</v>
      </c>
      <c r="F2570" s="1" t="s">
        <v>29</v>
      </c>
      <c r="G2570" s="1" t="s">
        <v>20</v>
      </c>
      <c r="H2570" t="s">
        <v>30</v>
      </c>
      <c r="I2570" s="1" t="s">
        <v>22</v>
      </c>
      <c r="J2570" s="2">
        <v>43530.745671296296</v>
      </c>
      <c r="K2570" s="2">
        <v>43537.745671296296</v>
      </c>
      <c r="L2570" s="2">
        <v>43534.745671296296</v>
      </c>
      <c r="M2570" s="1">
        <f>_xlfn.DAYS(Table1[[#This Row],[actual_delivery_date]],Table1[[#This Row],[dispatch_date]])</f>
        <v>7</v>
      </c>
      <c r="N2570">
        <v>0</v>
      </c>
      <c r="O2570">
        <f>Table1[[#This Row],[transit_storage_cost]] * (1-'What -if Analysis'!$D$26)</f>
        <v>0</v>
      </c>
      <c r="P2570">
        <v>123</v>
      </c>
      <c r="Q2570">
        <v>1587.7298735328825</v>
      </c>
    </row>
    <row r="2571" spans="1:17" x14ac:dyDescent="0.3">
      <c r="A2571">
        <v>536779</v>
      </c>
      <c r="B2571" s="1" t="s">
        <v>37</v>
      </c>
      <c r="C2571" s="1" t="s">
        <v>16</v>
      </c>
      <c r="D2571" s="1" t="s">
        <v>23</v>
      </c>
      <c r="E2571" s="1" t="s">
        <v>28</v>
      </c>
      <c r="F2571" s="1" t="s">
        <v>29</v>
      </c>
      <c r="G2571" s="1" t="s">
        <v>20</v>
      </c>
      <c r="H2571" t="s">
        <v>30</v>
      </c>
      <c r="I2571" s="1" t="s">
        <v>22</v>
      </c>
      <c r="J2571" s="2">
        <v>43529.751712962963</v>
      </c>
      <c r="K2571" s="2">
        <v>43537.751712962963</v>
      </c>
      <c r="L2571" s="2">
        <v>43532.751712962963</v>
      </c>
      <c r="M2571" s="1">
        <f>_xlfn.DAYS(Table1[[#This Row],[actual_delivery_date]],Table1[[#This Row],[dispatch_date]])</f>
        <v>8</v>
      </c>
      <c r="N2571">
        <v>45</v>
      </c>
      <c r="O2571">
        <f>Table1[[#This Row],[transit_storage_cost]] * (1-'What -if Analysis'!$D$26)</f>
        <v>45</v>
      </c>
      <c r="P2571">
        <v>121</v>
      </c>
      <c r="Q2571">
        <v>3044.1765851859632</v>
      </c>
    </row>
    <row r="2572" spans="1:17" x14ac:dyDescent="0.3">
      <c r="A2572">
        <v>318709</v>
      </c>
      <c r="B2572" s="1" t="s">
        <v>38</v>
      </c>
      <c r="C2572" s="1" t="s">
        <v>23</v>
      </c>
      <c r="D2572" s="1" t="s">
        <v>32</v>
      </c>
      <c r="E2572" s="1" t="s">
        <v>33</v>
      </c>
      <c r="F2572" s="1" t="s">
        <v>29</v>
      </c>
      <c r="G2572" s="1" t="s">
        <v>20</v>
      </c>
      <c r="H2572" t="s">
        <v>30</v>
      </c>
      <c r="I2572" s="1" t="s">
        <v>22</v>
      </c>
      <c r="J2572" s="2">
        <v>43533.757569444446</v>
      </c>
      <c r="K2572" s="2">
        <v>43537.757569444446</v>
      </c>
      <c r="L2572" s="2">
        <v>43540.757569444446</v>
      </c>
      <c r="M2572" s="1">
        <f>_xlfn.DAYS(Table1[[#This Row],[actual_delivery_date]],Table1[[#This Row],[dispatch_date]])</f>
        <v>4</v>
      </c>
      <c r="N2572">
        <v>37</v>
      </c>
      <c r="O2572">
        <f>Table1[[#This Row],[transit_storage_cost]] * (1-'What -if Analysis'!$D$26)</f>
        <v>37</v>
      </c>
      <c r="P2572">
        <v>111</v>
      </c>
      <c r="Q2572">
        <v>587.13529660816994</v>
      </c>
    </row>
    <row r="2573" spans="1:17" x14ac:dyDescent="0.3">
      <c r="A2573">
        <v>851653</v>
      </c>
      <c r="B2573" s="1" t="s">
        <v>38</v>
      </c>
      <c r="C2573" s="1" t="s">
        <v>23</v>
      </c>
      <c r="D2573" s="1" t="s">
        <v>16</v>
      </c>
      <c r="E2573" s="1" t="s">
        <v>27</v>
      </c>
      <c r="F2573" s="1" t="s">
        <v>29</v>
      </c>
      <c r="G2573" s="1" t="s">
        <v>36</v>
      </c>
      <c r="H2573" t="s">
        <v>30</v>
      </c>
      <c r="I2573" s="1" t="s">
        <v>22</v>
      </c>
      <c r="J2573" s="2">
        <v>43530.763287037036</v>
      </c>
      <c r="K2573" s="2">
        <v>43537.763287037036</v>
      </c>
      <c r="L2573" s="2">
        <v>43537.763287037036</v>
      </c>
      <c r="M2573" s="1">
        <f>_xlfn.DAYS(Table1[[#This Row],[actual_delivery_date]],Table1[[#This Row],[dispatch_date]])</f>
        <v>7</v>
      </c>
      <c r="N2573">
        <v>50</v>
      </c>
      <c r="O2573">
        <f>Table1[[#This Row],[transit_storage_cost]] * (1-'What -if Analysis'!$D$26)</f>
        <v>50</v>
      </c>
      <c r="P2573">
        <v>123</v>
      </c>
      <c r="Q2573">
        <v>1110.4892710200895</v>
      </c>
    </row>
    <row r="2574" spans="1:17" x14ac:dyDescent="0.3">
      <c r="A2574">
        <v>248972</v>
      </c>
      <c r="B2574" s="1" t="s">
        <v>41</v>
      </c>
      <c r="C2574" s="1" t="s">
        <v>16</v>
      </c>
      <c r="D2574" s="1" t="s">
        <v>17</v>
      </c>
      <c r="E2574" s="1" t="s">
        <v>18</v>
      </c>
      <c r="F2574" s="1" t="s">
        <v>19</v>
      </c>
      <c r="G2574" s="1" t="s">
        <v>20</v>
      </c>
      <c r="H2574" t="s">
        <v>21</v>
      </c>
      <c r="I2574" s="1" t="s">
        <v>22</v>
      </c>
      <c r="J2574" s="2">
        <v>43534.764965277776</v>
      </c>
      <c r="K2574" s="2">
        <v>43537.764965277776</v>
      </c>
      <c r="L2574" s="2">
        <v>43539.764965277776</v>
      </c>
      <c r="M2574" s="1">
        <f>_xlfn.DAYS(Table1[[#This Row],[actual_delivery_date]],Table1[[#This Row],[dispatch_date]])</f>
        <v>3</v>
      </c>
      <c r="N2574">
        <v>48</v>
      </c>
      <c r="O2574">
        <f>Table1[[#This Row],[transit_storage_cost]] * (1-'What -if Analysis'!$D$26)</f>
        <v>48</v>
      </c>
      <c r="P2574">
        <v>108</v>
      </c>
      <c r="Q2574">
        <v>1737.7976155552053</v>
      </c>
    </row>
    <row r="2575" spans="1:17" x14ac:dyDescent="0.3">
      <c r="A2575">
        <v>100665</v>
      </c>
      <c r="B2575" s="1" t="s">
        <v>41</v>
      </c>
      <c r="C2575" s="1" t="s">
        <v>16</v>
      </c>
      <c r="D2575" s="1" t="s">
        <v>16</v>
      </c>
      <c r="E2575" s="1" t="s">
        <v>27</v>
      </c>
      <c r="F2575" s="1" t="s">
        <v>29</v>
      </c>
      <c r="G2575" s="1" t="s">
        <v>20</v>
      </c>
      <c r="H2575" t="s">
        <v>30</v>
      </c>
      <c r="I2575" s="1" t="s">
        <v>26</v>
      </c>
      <c r="J2575" s="2">
        <v>43531.765648148146</v>
      </c>
      <c r="K2575" s="2">
        <v>43537.765648148146</v>
      </c>
      <c r="L2575" s="2">
        <v>43538.765648148146</v>
      </c>
      <c r="M2575" s="1">
        <f>_xlfn.DAYS(Table1[[#This Row],[actual_delivery_date]],Table1[[#This Row],[dispatch_date]])</f>
        <v>6</v>
      </c>
      <c r="N2575">
        <v>0</v>
      </c>
      <c r="O2575">
        <f>Table1[[#This Row],[transit_storage_cost]] * (1-'What -if Analysis'!$D$26)</f>
        <v>0</v>
      </c>
      <c r="P2575">
        <v>121</v>
      </c>
      <c r="Q2575">
        <v>2525</v>
      </c>
    </row>
    <row r="2576" spans="1:17" x14ac:dyDescent="0.3">
      <c r="A2576">
        <v>223679</v>
      </c>
      <c r="B2576" s="1" t="s">
        <v>41</v>
      </c>
      <c r="C2576" s="1" t="s">
        <v>16</v>
      </c>
      <c r="D2576" s="1" t="s">
        <v>16</v>
      </c>
      <c r="E2576" s="1" t="s">
        <v>27</v>
      </c>
      <c r="F2576" s="1" t="s">
        <v>19</v>
      </c>
      <c r="G2576" s="1" t="s">
        <v>20</v>
      </c>
      <c r="H2576" t="s">
        <v>30</v>
      </c>
      <c r="I2576" s="1" t="s">
        <v>22</v>
      </c>
      <c r="J2576" s="2">
        <v>43534.768321759257</v>
      </c>
      <c r="K2576" s="2">
        <v>43537.768321759257</v>
      </c>
      <c r="L2576" s="2">
        <v>43538.768321759257</v>
      </c>
      <c r="M2576" s="1">
        <f>_xlfn.DAYS(Table1[[#This Row],[actual_delivery_date]],Table1[[#This Row],[dispatch_date]])</f>
        <v>3</v>
      </c>
      <c r="N2576">
        <v>0</v>
      </c>
      <c r="O2576">
        <f>Table1[[#This Row],[transit_storage_cost]] * (1-'What -if Analysis'!$D$26)</f>
        <v>0</v>
      </c>
      <c r="P2576">
        <v>102</v>
      </c>
      <c r="Q2576">
        <v>1319.6119446921373</v>
      </c>
    </row>
    <row r="2577" spans="1:17" x14ac:dyDescent="0.3">
      <c r="A2577">
        <v>691427</v>
      </c>
      <c r="B2577" s="1" t="s">
        <v>37</v>
      </c>
      <c r="C2577" s="1" t="s">
        <v>16</v>
      </c>
      <c r="D2577" s="1" t="s">
        <v>23</v>
      </c>
      <c r="E2577" s="1" t="s">
        <v>28</v>
      </c>
      <c r="F2577" s="1" t="s">
        <v>19</v>
      </c>
      <c r="G2577" s="1" t="s">
        <v>20</v>
      </c>
      <c r="H2577" t="s">
        <v>30</v>
      </c>
      <c r="I2577" s="1" t="s">
        <v>22</v>
      </c>
      <c r="J2577" s="2">
        <v>43535.769305555557</v>
      </c>
      <c r="K2577" s="2">
        <v>43537.769305555557</v>
      </c>
      <c r="L2577" s="2">
        <v>43542.769305555557</v>
      </c>
      <c r="M2577" s="1">
        <f>_xlfn.DAYS(Table1[[#This Row],[actual_delivery_date]],Table1[[#This Row],[dispatch_date]])</f>
        <v>2</v>
      </c>
      <c r="N2577">
        <v>81</v>
      </c>
      <c r="O2577">
        <f>Table1[[#This Row],[transit_storage_cost]] * (1-'What -if Analysis'!$D$26)</f>
        <v>81</v>
      </c>
      <c r="P2577">
        <v>101</v>
      </c>
      <c r="Q2577">
        <v>1650</v>
      </c>
    </row>
    <row r="2578" spans="1:17" x14ac:dyDescent="0.3">
      <c r="A2578">
        <v>51751</v>
      </c>
      <c r="B2578" s="1" t="s">
        <v>37</v>
      </c>
      <c r="C2578" s="1" t="s">
        <v>23</v>
      </c>
      <c r="D2578" s="1" t="s">
        <v>17</v>
      </c>
      <c r="E2578" s="1" t="s">
        <v>18</v>
      </c>
      <c r="F2578" s="1" t="s">
        <v>29</v>
      </c>
      <c r="G2578" s="1" t="s">
        <v>20</v>
      </c>
      <c r="H2578" t="s">
        <v>34</v>
      </c>
      <c r="I2578" s="1" t="s">
        <v>22</v>
      </c>
      <c r="J2578" s="2">
        <v>43533.770868055559</v>
      </c>
      <c r="K2578" s="2">
        <v>43537.770868055559</v>
      </c>
      <c r="L2578" s="2">
        <v>43536.770868055559</v>
      </c>
      <c r="M2578" s="1">
        <f>_xlfn.DAYS(Table1[[#This Row],[actual_delivery_date]],Table1[[#This Row],[dispatch_date]])</f>
        <v>4</v>
      </c>
      <c r="N2578">
        <v>48</v>
      </c>
      <c r="O2578">
        <f>Table1[[#This Row],[transit_storage_cost]] * (1-'What -if Analysis'!$D$26)</f>
        <v>48</v>
      </c>
      <c r="P2578">
        <v>113</v>
      </c>
      <c r="Q2578">
        <v>1082.4260856587878</v>
      </c>
    </row>
    <row r="2579" spans="1:17" x14ac:dyDescent="0.3">
      <c r="A2579">
        <v>887955</v>
      </c>
      <c r="B2579" s="1" t="s">
        <v>40</v>
      </c>
      <c r="C2579" s="1" t="s">
        <v>16</v>
      </c>
      <c r="D2579" s="1" t="s">
        <v>16</v>
      </c>
      <c r="E2579" s="1" t="s">
        <v>27</v>
      </c>
      <c r="F2579" s="1" t="s">
        <v>29</v>
      </c>
      <c r="G2579" s="1" t="s">
        <v>20</v>
      </c>
      <c r="H2579" t="s">
        <v>30</v>
      </c>
      <c r="I2579" s="1" t="s">
        <v>26</v>
      </c>
      <c r="J2579" s="2">
        <v>43536.776712962965</v>
      </c>
      <c r="K2579" s="2">
        <v>43537.776712962965</v>
      </c>
      <c r="L2579" s="2">
        <v>43540.776712962965</v>
      </c>
      <c r="M2579" s="1">
        <f>_xlfn.DAYS(Table1[[#This Row],[actual_delivery_date]],Table1[[#This Row],[dispatch_date]])</f>
        <v>1</v>
      </c>
      <c r="N2579">
        <v>0</v>
      </c>
      <c r="O2579">
        <f>Table1[[#This Row],[transit_storage_cost]] * (1-'What -if Analysis'!$D$26)</f>
        <v>0</v>
      </c>
      <c r="P2579">
        <v>124</v>
      </c>
      <c r="Q2579">
        <v>3033.1121460143495</v>
      </c>
    </row>
    <row r="2580" spans="1:17" x14ac:dyDescent="0.3">
      <c r="A2580">
        <v>234524</v>
      </c>
      <c r="B2580" s="1" t="s">
        <v>38</v>
      </c>
      <c r="C2580" s="1" t="s">
        <v>23</v>
      </c>
      <c r="D2580" s="1" t="s">
        <v>16</v>
      </c>
      <c r="E2580" s="1" t="s">
        <v>27</v>
      </c>
      <c r="F2580" s="1" t="s">
        <v>19</v>
      </c>
      <c r="G2580" s="1" t="s">
        <v>20</v>
      </c>
      <c r="H2580" t="s">
        <v>21</v>
      </c>
      <c r="I2580" s="1" t="s">
        <v>22</v>
      </c>
      <c r="J2580" s="2">
        <v>43535.779803240737</v>
      </c>
      <c r="K2580" s="2">
        <v>43537.779803240737</v>
      </c>
      <c r="L2580" s="2">
        <v>43539.779803240737</v>
      </c>
      <c r="M2580" s="1">
        <f>_xlfn.DAYS(Table1[[#This Row],[actual_delivery_date]],Table1[[#This Row],[dispatch_date]])</f>
        <v>2</v>
      </c>
      <c r="N2580">
        <v>76</v>
      </c>
      <c r="O2580">
        <f>Table1[[#This Row],[transit_storage_cost]] * (1-'What -if Analysis'!$D$26)</f>
        <v>76</v>
      </c>
      <c r="P2580">
        <v>106</v>
      </c>
      <c r="Q2580">
        <v>728.30552355319708</v>
      </c>
    </row>
    <row r="2581" spans="1:17" x14ac:dyDescent="0.3">
      <c r="A2581">
        <v>322261</v>
      </c>
      <c r="B2581" s="1" t="s">
        <v>38</v>
      </c>
      <c r="C2581" s="1" t="s">
        <v>23</v>
      </c>
      <c r="D2581" s="1" t="s">
        <v>32</v>
      </c>
      <c r="E2581" s="1" t="s">
        <v>33</v>
      </c>
      <c r="F2581" s="1" t="s">
        <v>29</v>
      </c>
      <c r="G2581" s="1" t="s">
        <v>20</v>
      </c>
      <c r="H2581" t="s">
        <v>30</v>
      </c>
      <c r="I2581" s="1" t="s">
        <v>22</v>
      </c>
      <c r="J2581" s="2">
        <v>43535.782118055555</v>
      </c>
      <c r="K2581" s="2">
        <v>43537.782118055555</v>
      </c>
      <c r="L2581" s="2">
        <v>43542.782118055555</v>
      </c>
      <c r="M2581" s="1">
        <f>_xlfn.DAYS(Table1[[#This Row],[actual_delivery_date]],Table1[[#This Row],[dispatch_date]])</f>
        <v>2</v>
      </c>
      <c r="N2581">
        <v>27</v>
      </c>
      <c r="O2581">
        <f>Table1[[#This Row],[transit_storage_cost]] * (1-'What -if Analysis'!$D$26)</f>
        <v>27</v>
      </c>
      <c r="P2581">
        <v>111</v>
      </c>
      <c r="Q2581">
        <v>2412.5445109924121</v>
      </c>
    </row>
    <row r="2582" spans="1:17" x14ac:dyDescent="0.3">
      <c r="A2582">
        <v>178263</v>
      </c>
      <c r="B2582" s="1" t="s">
        <v>39</v>
      </c>
      <c r="C2582" s="1" t="s">
        <v>23</v>
      </c>
      <c r="D2582" s="1" t="s">
        <v>17</v>
      </c>
      <c r="E2582" s="1" t="s">
        <v>18</v>
      </c>
      <c r="F2582" s="1" t="s">
        <v>29</v>
      </c>
      <c r="G2582" s="1" t="s">
        <v>20</v>
      </c>
      <c r="H2582" t="s">
        <v>30</v>
      </c>
      <c r="I2582" s="1" t="s">
        <v>26</v>
      </c>
      <c r="J2582" s="2">
        <v>43534.785810185182</v>
      </c>
      <c r="K2582" s="2">
        <v>43537.785810185182</v>
      </c>
      <c r="L2582" s="2">
        <v>43538.785810185182</v>
      </c>
      <c r="M2582" s="1">
        <f>_xlfn.DAYS(Table1[[#This Row],[actual_delivery_date]],Table1[[#This Row],[dispatch_date]])</f>
        <v>3</v>
      </c>
      <c r="N2582">
        <v>40</v>
      </c>
      <c r="O2582">
        <f>Table1[[#This Row],[transit_storage_cost]] * (1-'What -if Analysis'!$D$26)</f>
        <v>40</v>
      </c>
      <c r="P2582">
        <v>106</v>
      </c>
      <c r="Q2582">
        <v>3298</v>
      </c>
    </row>
    <row r="2583" spans="1:17" x14ac:dyDescent="0.3">
      <c r="A2583">
        <v>176110</v>
      </c>
      <c r="B2583" s="1" t="s">
        <v>41</v>
      </c>
      <c r="C2583" s="1" t="s">
        <v>23</v>
      </c>
      <c r="D2583" s="1" t="s">
        <v>16</v>
      </c>
      <c r="E2583" s="1" t="s">
        <v>27</v>
      </c>
      <c r="F2583" s="1" t="s">
        <v>19</v>
      </c>
      <c r="G2583" s="1" t="s">
        <v>20</v>
      </c>
      <c r="H2583" t="s">
        <v>21</v>
      </c>
      <c r="I2583" s="1" t="s">
        <v>22</v>
      </c>
      <c r="J2583" s="2">
        <v>43535.79178240741</v>
      </c>
      <c r="K2583" s="2">
        <v>43537.79178240741</v>
      </c>
      <c r="L2583" s="2">
        <v>43538.79178240741</v>
      </c>
      <c r="M2583" s="1">
        <f>_xlfn.DAYS(Table1[[#This Row],[actual_delivery_date]],Table1[[#This Row],[dispatch_date]])</f>
        <v>2</v>
      </c>
      <c r="N2583">
        <v>68</v>
      </c>
      <c r="O2583">
        <f>Table1[[#This Row],[transit_storage_cost]] * (1-'What -if Analysis'!$D$26)</f>
        <v>68</v>
      </c>
      <c r="P2583">
        <v>105</v>
      </c>
      <c r="Q2583">
        <v>2845.9959652881384</v>
      </c>
    </row>
    <row r="2584" spans="1:17" x14ac:dyDescent="0.3">
      <c r="A2584">
        <v>685596</v>
      </c>
      <c r="B2584" s="1" t="s">
        <v>38</v>
      </c>
      <c r="C2584" s="1" t="s">
        <v>16</v>
      </c>
      <c r="D2584" s="1" t="s">
        <v>23</v>
      </c>
      <c r="E2584" s="1" t="s">
        <v>28</v>
      </c>
      <c r="F2584" s="1" t="s">
        <v>19</v>
      </c>
      <c r="G2584" s="1" t="s">
        <v>20</v>
      </c>
      <c r="H2584" t="s">
        <v>21</v>
      </c>
      <c r="I2584" s="1" t="s">
        <v>26</v>
      </c>
      <c r="J2584" s="2">
        <v>43532.793344907404</v>
      </c>
      <c r="K2584" s="2">
        <v>43537.793344907404</v>
      </c>
      <c r="L2584" s="2">
        <v>43538.793344907404</v>
      </c>
      <c r="M2584" s="1">
        <f>_xlfn.DAYS(Table1[[#This Row],[actual_delivery_date]],Table1[[#This Row],[dispatch_date]])</f>
        <v>5</v>
      </c>
      <c r="N2584">
        <v>85</v>
      </c>
      <c r="O2584">
        <f>Table1[[#This Row],[transit_storage_cost]] * (1-'What -if Analysis'!$D$26)</f>
        <v>85</v>
      </c>
      <c r="P2584">
        <v>100</v>
      </c>
      <c r="Q2584">
        <v>2983</v>
      </c>
    </row>
    <row r="2585" spans="1:17" x14ac:dyDescent="0.3">
      <c r="A2585">
        <v>222492</v>
      </c>
      <c r="B2585" s="1" t="s">
        <v>38</v>
      </c>
      <c r="C2585" s="1" t="s">
        <v>23</v>
      </c>
      <c r="D2585" s="1" t="s">
        <v>16</v>
      </c>
      <c r="E2585" s="1" t="s">
        <v>27</v>
      </c>
      <c r="F2585" s="1" t="s">
        <v>19</v>
      </c>
      <c r="G2585" s="1" t="s">
        <v>20</v>
      </c>
      <c r="H2585" t="s">
        <v>21</v>
      </c>
      <c r="I2585" s="1" t="s">
        <v>26</v>
      </c>
      <c r="J2585" s="2">
        <v>43534.795624999999</v>
      </c>
      <c r="K2585" s="2">
        <v>43537.795624999999</v>
      </c>
      <c r="L2585" s="2">
        <v>43540.795624999999</v>
      </c>
      <c r="M2585" s="1">
        <f>_xlfn.DAYS(Table1[[#This Row],[actual_delivery_date]],Table1[[#This Row],[dispatch_date]])</f>
        <v>3</v>
      </c>
      <c r="N2585">
        <v>33</v>
      </c>
      <c r="O2585">
        <f>Table1[[#This Row],[transit_storage_cost]] * (1-'What -if Analysis'!$D$26)</f>
        <v>33</v>
      </c>
      <c r="P2585">
        <v>128</v>
      </c>
      <c r="Q2585">
        <v>420</v>
      </c>
    </row>
    <row r="2586" spans="1:17" x14ac:dyDescent="0.3">
      <c r="A2586">
        <v>504213</v>
      </c>
      <c r="B2586" s="1" t="s">
        <v>38</v>
      </c>
      <c r="C2586" s="1" t="s">
        <v>16</v>
      </c>
      <c r="D2586" s="1" t="s">
        <v>23</v>
      </c>
      <c r="E2586" s="1" t="s">
        <v>28</v>
      </c>
      <c r="F2586" s="1" t="s">
        <v>29</v>
      </c>
      <c r="G2586" s="1" t="s">
        <v>20</v>
      </c>
      <c r="H2586" t="s">
        <v>30</v>
      </c>
      <c r="I2586" s="1" t="s">
        <v>26</v>
      </c>
      <c r="J2586" s="2">
        <v>43530.798310185186</v>
      </c>
      <c r="K2586" s="2">
        <v>43537.798310185186</v>
      </c>
      <c r="L2586" s="2">
        <v>43536.798310185186</v>
      </c>
      <c r="M2586" s="1">
        <f>_xlfn.DAYS(Table1[[#This Row],[actual_delivery_date]],Table1[[#This Row],[dispatch_date]])</f>
        <v>7</v>
      </c>
      <c r="N2586">
        <v>33</v>
      </c>
      <c r="O2586">
        <f>Table1[[#This Row],[transit_storage_cost]] * (1-'What -if Analysis'!$D$26)</f>
        <v>33</v>
      </c>
      <c r="P2586">
        <v>123</v>
      </c>
      <c r="Q2586">
        <v>2778.1390049501206</v>
      </c>
    </row>
    <row r="2587" spans="1:17" x14ac:dyDescent="0.3">
      <c r="A2587">
        <v>779884</v>
      </c>
      <c r="B2587" s="1" t="s">
        <v>15</v>
      </c>
      <c r="C2587" s="1" t="s">
        <v>23</v>
      </c>
      <c r="D2587" s="1" t="s">
        <v>24</v>
      </c>
      <c r="E2587" s="1" t="s">
        <v>25</v>
      </c>
      <c r="F2587" s="1" t="s">
        <v>19</v>
      </c>
      <c r="G2587" s="1" t="s">
        <v>20</v>
      </c>
      <c r="H2587" t="s">
        <v>21</v>
      </c>
      <c r="I2587" s="1" t="s">
        <v>22</v>
      </c>
      <c r="J2587" s="2">
        <v>43533.802685185183</v>
      </c>
      <c r="K2587" s="2">
        <v>43537.802685185183</v>
      </c>
      <c r="L2587" s="2">
        <v>43540.802685185183</v>
      </c>
      <c r="M2587" s="1">
        <f>_xlfn.DAYS(Table1[[#This Row],[actual_delivery_date]],Table1[[#This Row],[dispatch_date]])</f>
        <v>4</v>
      </c>
      <c r="N2587">
        <v>41</v>
      </c>
      <c r="O2587">
        <f>Table1[[#This Row],[transit_storage_cost]] * (1-'What -if Analysis'!$D$26)</f>
        <v>41</v>
      </c>
      <c r="P2587">
        <v>122</v>
      </c>
      <c r="Q2587">
        <v>1807.8127304269897</v>
      </c>
    </row>
    <row r="2588" spans="1:17" x14ac:dyDescent="0.3">
      <c r="A2588">
        <v>969003</v>
      </c>
      <c r="B2588" s="1" t="s">
        <v>40</v>
      </c>
      <c r="C2588" s="1" t="s">
        <v>16</v>
      </c>
      <c r="D2588" s="1" t="s">
        <v>17</v>
      </c>
      <c r="E2588" s="1" t="s">
        <v>18</v>
      </c>
      <c r="F2588" s="1" t="s">
        <v>29</v>
      </c>
      <c r="G2588" s="1" t="s">
        <v>20</v>
      </c>
      <c r="H2588" t="s">
        <v>34</v>
      </c>
      <c r="I2588" s="1" t="s">
        <v>26</v>
      </c>
      <c r="J2588" s="2">
        <v>43531.80673611111</v>
      </c>
      <c r="K2588" s="2">
        <v>43537.80673611111</v>
      </c>
      <c r="L2588" s="2">
        <v>43534.80673611111</v>
      </c>
      <c r="M2588" s="1">
        <f>_xlfn.DAYS(Table1[[#This Row],[actual_delivery_date]],Table1[[#This Row],[dispatch_date]])</f>
        <v>6</v>
      </c>
      <c r="N2588">
        <v>40</v>
      </c>
      <c r="O2588">
        <f>Table1[[#This Row],[transit_storage_cost]] * (1-'What -if Analysis'!$D$26)</f>
        <v>40</v>
      </c>
      <c r="P2588">
        <v>108</v>
      </c>
      <c r="Q2588">
        <v>1489.5549702156356</v>
      </c>
    </row>
    <row r="2589" spans="1:17" x14ac:dyDescent="0.3">
      <c r="A2589">
        <v>925382</v>
      </c>
      <c r="B2589" s="1" t="s">
        <v>41</v>
      </c>
      <c r="C2589" s="1" t="s">
        <v>16</v>
      </c>
      <c r="D2589" s="1" t="s">
        <v>24</v>
      </c>
      <c r="E2589" s="1" t="s">
        <v>25</v>
      </c>
      <c r="F2589" s="1" t="s">
        <v>31</v>
      </c>
      <c r="G2589" s="1" t="s">
        <v>20</v>
      </c>
      <c r="H2589" t="s">
        <v>21</v>
      </c>
      <c r="I2589" s="1" t="s">
        <v>22</v>
      </c>
      <c r="J2589" s="2">
        <v>43530.807824074072</v>
      </c>
      <c r="K2589" s="2">
        <v>43537.807824074072</v>
      </c>
      <c r="L2589" s="2">
        <v>43537.807824074072</v>
      </c>
      <c r="M2589" s="1">
        <f>_xlfn.DAYS(Table1[[#This Row],[actual_delivery_date]],Table1[[#This Row],[dispatch_date]])</f>
        <v>7</v>
      </c>
      <c r="N2589">
        <v>29</v>
      </c>
      <c r="O2589">
        <f>Table1[[#This Row],[transit_storage_cost]] * (1-'What -if Analysis'!$D$26)</f>
        <v>29</v>
      </c>
      <c r="P2589">
        <v>126</v>
      </c>
      <c r="Q2589">
        <v>2980.141509707656</v>
      </c>
    </row>
    <row r="2590" spans="1:17" x14ac:dyDescent="0.3">
      <c r="A2590">
        <v>493740</v>
      </c>
      <c r="B2590" s="1" t="s">
        <v>37</v>
      </c>
      <c r="C2590" s="1" t="s">
        <v>23</v>
      </c>
      <c r="D2590" s="1" t="s">
        <v>17</v>
      </c>
      <c r="E2590" s="1" t="s">
        <v>18</v>
      </c>
      <c r="F2590" s="1" t="s">
        <v>19</v>
      </c>
      <c r="G2590" s="1" t="s">
        <v>20</v>
      </c>
      <c r="H2590" t="s">
        <v>21</v>
      </c>
      <c r="I2590" s="1" t="s">
        <v>26</v>
      </c>
      <c r="J2590" s="2">
        <v>43535.810752314814</v>
      </c>
      <c r="K2590" s="2">
        <v>43537.810752314814</v>
      </c>
      <c r="L2590" s="2">
        <v>43541.810752314814</v>
      </c>
      <c r="M2590" s="1">
        <f>_xlfn.DAYS(Table1[[#This Row],[actual_delivery_date]],Table1[[#This Row],[dispatch_date]])</f>
        <v>2</v>
      </c>
      <c r="N2590">
        <v>48</v>
      </c>
      <c r="O2590">
        <f>Table1[[#This Row],[transit_storage_cost]] * (1-'What -if Analysis'!$D$26)</f>
        <v>48</v>
      </c>
      <c r="P2590">
        <v>106</v>
      </c>
      <c r="Q2590">
        <v>1595</v>
      </c>
    </row>
    <row r="2591" spans="1:17" x14ac:dyDescent="0.3">
      <c r="A2591">
        <v>538832</v>
      </c>
      <c r="B2591" s="1" t="s">
        <v>38</v>
      </c>
      <c r="C2591" s="1" t="s">
        <v>16</v>
      </c>
      <c r="D2591" s="1" t="s">
        <v>23</v>
      </c>
      <c r="E2591" s="1" t="s">
        <v>28</v>
      </c>
      <c r="F2591" s="1" t="s">
        <v>19</v>
      </c>
      <c r="G2591" s="1" t="s">
        <v>20</v>
      </c>
      <c r="H2591" t="s">
        <v>21</v>
      </c>
      <c r="I2591" s="1" t="s">
        <v>22</v>
      </c>
      <c r="J2591" s="2">
        <v>43535.817824074074</v>
      </c>
      <c r="K2591" s="2">
        <v>43537.817824074074</v>
      </c>
      <c r="L2591" s="2">
        <v>43541.817824074074</v>
      </c>
      <c r="M2591" s="1">
        <f>_xlfn.DAYS(Table1[[#This Row],[actual_delivery_date]],Table1[[#This Row],[dispatch_date]])</f>
        <v>2</v>
      </c>
      <c r="N2591">
        <v>40</v>
      </c>
      <c r="O2591">
        <f>Table1[[#This Row],[transit_storage_cost]] * (1-'What -if Analysis'!$D$26)</f>
        <v>40</v>
      </c>
      <c r="P2591">
        <v>130</v>
      </c>
      <c r="Q2591">
        <v>3254.0606758790386</v>
      </c>
    </row>
    <row r="2592" spans="1:17" x14ac:dyDescent="0.3">
      <c r="A2592">
        <v>598863</v>
      </c>
      <c r="B2592" s="1" t="s">
        <v>40</v>
      </c>
      <c r="C2592" s="1" t="s">
        <v>23</v>
      </c>
      <c r="D2592" s="1" t="s">
        <v>16</v>
      </c>
      <c r="E2592" s="1" t="s">
        <v>27</v>
      </c>
      <c r="F2592" s="1" t="s">
        <v>29</v>
      </c>
      <c r="G2592" s="1" t="s">
        <v>20</v>
      </c>
      <c r="H2592" t="s">
        <v>30</v>
      </c>
      <c r="I2592" s="1" t="s">
        <v>26</v>
      </c>
      <c r="J2592" s="2">
        <v>43533.825613425928</v>
      </c>
      <c r="K2592" s="2">
        <v>43537.825613425928</v>
      </c>
      <c r="L2592" s="2">
        <v>43537.825613425928</v>
      </c>
      <c r="M2592" s="1">
        <f>_xlfn.DAYS(Table1[[#This Row],[actual_delivery_date]],Table1[[#This Row],[dispatch_date]])</f>
        <v>4</v>
      </c>
      <c r="N2592">
        <v>48</v>
      </c>
      <c r="O2592">
        <f>Table1[[#This Row],[transit_storage_cost]] * (1-'What -if Analysis'!$D$26)</f>
        <v>48</v>
      </c>
      <c r="P2592">
        <v>123</v>
      </c>
      <c r="Q2592">
        <v>608.70659101698493</v>
      </c>
    </row>
    <row r="2593" spans="1:17" x14ac:dyDescent="0.3">
      <c r="A2593">
        <v>190170</v>
      </c>
      <c r="B2593" s="1" t="s">
        <v>38</v>
      </c>
      <c r="C2593" s="1" t="s">
        <v>23</v>
      </c>
      <c r="D2593" s="1" t="s">
        <v>17</v>
      </c>
      <c r="E2593" s="1" t="s">
        <v>18</v>
      </c>
      <c r="F2593" s="1" t="s">
        <v>31</v>
      </c>
      <c r="G2593" s="1" t="s">
        <v>20</v>
      </c>
      <c r="H2593" t="s">
        <v>21</v>
      </c>
      <c r="I2593" s="1" t="s">
        <v>26</v>
      </c>
      <c r="J2593" s="2">
        <v>43532.832013888888</v>
      </c>
      <c r="K2593" s="2">
        <v>43537.832013888888</v>
      </c>
      <c r="L2593" s="2">
        <v>43537.832013888888</v>
      </c>
      <c r="M2593" s="1">
        <f>_xlfn.DAYS(Table1[[#This Row],[actual_delivery_date]],Table1[[#This Row],[dispatch_date]])</f>
        <v>5</v>
      </c>
      <c r="N2593">
        <v>33</v>
      </c>
      <c r="O2593">
        <f>Table1[[#This Row],[transit_storage_cost]] * (1-'What -if Analysis'!$D$26)</f>
        <v>33</v>
      </c>
      <c r="P2593">
        <v>106</v>
      </c>
      <c r="Q2593">
        <v>1019</v>
      </c>
    </row>
    <row r="2594" spans="1:17" x14ac:dyDescent="0.3">
      <c r="A2594">
        <v>179688</v>
      </c>
      <c r="B2594" s="1" t="s">
        <v>41</v>
      </c>
      <c r="C2594" s="1" t="s">
        <v>16</v>
      </c>
      <c r="D2594" s="1" t="s">
        <v>17</v>
      </c>
      <c r="E2594" s="1" t="s">
        <v>18</v>
      </c>
      <c r="F2594" s="1" t="s">
        <v>19</v>
      </c>
      <c r="G2594" s="1" t="s">
        <v>20</v>
      </c>
      <c r="H2594" t="s">
        <v>21</v>
      </c>
      <c r="I2594" s="1" t="s">
        <v>26</v>
      </c>
      <c r="J2594" s="2">
        <v>43535.837824074071</v>
      </c>
      <c r="K2594" s="2">
        <v>43537.837824074071</v>
      </c>
      <c r="L2594" s="2">
        <v>43538.837824074071</v>
      </c>
      <c r="M2594" s="1">
        <f>_xlfn.DAYS(Table1[[#This Row],[actual_delivery_date]],Table1[[#This Row],[dispatch_date]])</f>
        <v>2</v>
      </c>
      <c r="N2594">
        <v>34</v>
      </c>
      <c r="O2594">
        <f>Table1[[#This Row],[transit_storage_cost]] * (1-'What -if Analysis'!$D$26)</f>
        <v>34</v>
      </c>
      <c r="P2594">
        <v>107</v>
      </c>
      <c r="Q2594">
        <v>520.37832161134907</v>
      </c>
    </row>
    <row r="2595" spans="1:17" x14ac:dyDescent="0.3">
      <c r="A2595">
        <v>833340</v>
      </c>
      <c r="B2595" s="1" t="s">
        <v>39</v>
      </c>
      <c r="C2595" s="1" t="s">
        <v>16</v>
      </c>
      <c r="D2595" s="1" t="s">
        <v>16</v>
      </c>
      <c r="E2595" s="1" t="s">
        <v>27</v>
      </c>
      <c r="F2595" s="1" t="s">
        <v>19</v>
      </c>
      <c r="G2595" s="1" t="s">
        <v>20</v>
      </c>
      <c r="H2595" t="s">
        <v>21</v>
      </c>
      <c r="I2595" s="1" t="s">
        <v>26</v>
      </c>
      <c r="J2595" s="2">
        <v>43535.848923611113</v>
      </c>
      <c r="K2595" s="2">
        <v>43537.848923611113</v>
      </c>
      <c r="L2595" s="2">
        <v>43540.848923611113</v>
      </c>
      <c r="M2595" s="1">
        <f>_xlfn.DAYS(Table1[[#This Row],[actual_delivery_date]],Table1[[#This Row],[dispatch_date]])</f>
        <v>2</v>
      </c>
      <c r="N2595">
        <v>0</v>
      </c>
      <c r="O2595">
        <f>Table1[[#This Row],[transit_storage_cost]] * (1-'What -if Analysis'!$D$26)</f>
        <v>0</v>
      </c>
      <c r="P2595">
        <v>128</v>
      </c>
      <c r="Q2595">
        <v>2876</v>
      </c>
    </row>
    <row r="2596" spans="1:17" x14ac:dyDescent="0.3">
      <c r="A2596">
        <v>680202</v>
      </c>
      <c r="B2596" s="1" t="s">
        <v>38</v>
      </c>
      <c r="C2596" s="1" t="s">
        <v>23</v>
      </c>
      <c r="D2596" s="1" t="s">
        <v>24</v>
      </c>
      <c r="E2596" s="1" t="s">
        <v>25</v>
      </c>
      <c r="F2596" s="1" t="s">
        <v>31</v>
      </c>
      <c r="G2596" s="1" t="s">
        <v>20</v>
      </c>
      <c r="H2596" t="s">
        <v>21</v>
      </c>
      <c r="I2596" s="1" t="s">
        <v>26</v>
      </c>
      <c r="J2596" s="2">
        <v>43535.849976851852</v>
      </c>
      <c r="K2596" s="2">
        <v>43537.849976851852</v>
      </c>
      <c r="L2596" s="2">
        <v>43539.849976851852</v>
      </c>
      <c r="M2596" s="1">
        <f>_xlfn.DAYS(Table1[[#This Row],[actual_delivery_date]],Table1[[#This Row],[dispatch_date]])</f>
        <v>2</v>
      </c>
      <c r="N2596">
        <v>40</v>
      </c>
      <c r="O2596">
        <f>Table1[[#This Row],[transit_storage_cost]] * (1-'What -if Analysis'!$D$26)</f>
        <v>40</v>
      </c>
      <c r="P2596">
        <v>120</v>
      </c>
      <c r="Q2596">
        <v>3621.985049072252</v>
      </c>
    </row>
    <row r="2597" spans="1:17" x14ac:dyDescent="0.3">
      <c r="A2597">
        <v>831859</v>
      </c>
      <c r="B2597" s="1" t="s">
        <v>40</v>
      </c>
      <c r="C2597" s="1" t="s">
        <v>16</v>
      </c>
      <c r="D2597" s="1" t="s">
        <v>24</v>
      </c>
      <c r="E2597" s="1" t="s">
        <v>25</v>
      </c>
      <c r="F2597" s="1" t="s">
        <v>29</v>
      </c>
      <c r="G2597" s="1" t="s">
        <v>20</v>
      </c>
      <c r="H2597" t="s">
        <v>34</v>
      </c>
      <c r="I2597" s="1" t="s">
        <v>22</v>
      </c>
      <c r="J2597" s="2">
        <v>43530.850324074076</v>
      </c>
      <c r="K2597" s="2">
        <v>43537.850324074076</v>
      </c>
      <c r="L2597" s="2">
        <v>43537.850324074076</v>
      </c>
      <c r="M2597" s="1">
        <f>_xlfn.DAYS(Table1[[#This Row],[actual_delivery_date]],Table1[[#This Row],[dispatch_date]])</f>
        <v>7</v>
      </c>
      <c r="N2597">
        <v>48</v>
      </c>
      <c r="O2597">
        <f>Table1[[#This Row],[transit_storage_cost]] * (1-'What -if Analysis'!$D$26)</f>
        <v>48</v>
      </c>
      <c r="P2597">
        <v>121</v>
      </c>
      <c r="Q2597">
        <v>1577.6135196181681</v>
      </c>
    </row>
    <row r="2598" spans="1:17" x14ac:dyDescent="0.3">
      <c r="A2598">
        <v>813346</v>
      </c>
      <c r="B2598" s="1" t="s">
        <v>40</v>
      </c>
      <c r="C2598" s="1" t="s">
        <v>16</v>
      </c>
      <c r="D2598" s="1" t="s">
        <v>23</v>
      </c>
      <c r="E2598" s="1" t="s">
        <v>28</v>
      </c>
      <c r="F2598" s="1" t="s">
        <v>31</v>
      </c>
      <c r="G2598" s="1" t="s">
        <v>20</v>
      </c>
      <c r="H2598" t="s">
        <v>21</v>
      </c>
      <c r="I2598" s="1" t="s">
        <v>22</v>
      </c>
      <c r="J2598" s="2">
        <v>43533.851493055554</v>
      </c>
      <c r="K2598" s="2">
        <v>43537.851493055554</v>
      </c>
      <c r="L2598" s="2">
        <v>43539.851493055554</v>
      </c>
      <c r="M2598" s="1">
        <f>_xlfn.DAYS(Table1[[#This Row],[actual_delivery_date]],Table1[[#This Row],[dispatch_date]])</f>
        <v>4</v>
      </c>
      <c r="N2598">
        <v>25</v>
      </c>
      <c r="O2598">
        <f>Table1[[#This Row],[transit_storage_cost]] * (1-'What -if Analysis'!$D$26)</f>
        <v>25</v>
      </c>
      <c r="P2598">
        <v>129</v>
      </c>
      <c r="Q2598">
        <v>1311</v>
      </c>
    </row>
    <row r="2599" spans="1:17" x14ac:dyDescent="0.3">
      <c r="A2599">
        <v>340379</v>
      </c>
      <c r="B2599" s="1" t="s">
        <v>38</v>
      </c>
      <c r="C2599" s="1" t="s">
        <v>23</v>
      </c>
      <c r="D2599" s="1" t="s">
        <v>16</v>
      </c>
      <c r="E2599" s="1" t="s">
        <v>27</v>
      </c>
      <c r="F2599" s="1" t="s">
        <v>29</v>
      </c>
      <c r="G2599" s="1" t="s">
        <v>20</v>
      </c>
      <c r="H2599" t="s">
        <v>30</v>
      </c>
      <c r="I2599" s="1" t="s">
        <v>22</v>
      </c>
      <c r="J2599" s="2">
        <v>43531.85365740741</v>
      </c>
      <c r="K2599" s="2">
        <v>43537.85365740741</v>
      </c>
      <c r="L2599" s="2">
        <v>43535.85365740741</v>
      </c>
      <c r="M2599" s="1">
        <f>_xlfn.DAYS(Table1[[#This Row],[actual_delivery_date]],Table1[[#This Row],[dispatch_date]])</f>
        <v>6</v>
      </c>
      <c r="N2599">
        <v>38</v>
      </c>
      <c r="O2599">
        <f>Table1[[#This Row],[transit_storage_cost]] * (1-'What -if Analysis'!$D$26)</f>
        <v>38</v>
      </c>
      <c r="P2599">
        <v>129</v>
      </c>
      <c r="Q2599">
        <v>2078.2487996184359</v>
      </c>
    </row>
    <row r="2600" spans="1:17" x14ac:dyDescent="0.3">
      <c r="A2600">
        <v>135287</v>
      </c>
      <c r="B2600" s="1" t="s">
        <v>41</v>
      </c>
      <c r="C2600" s="1" t="s">
        <v>23</v>
      </c>
      <c r="D2600" s="1" t="s">
        <v>16</v>
      </c>
      <c r="E2600" s="1" t="s">
        <v>27</v>
      </c>
      <c r="F2600" s="1" t="s">
        <v>19</v>
      </c>
      <c r="G2600" s="1" t="s">
        <v>20</v>
      </c>
      <c r="H2600" t="s">
        <v>30</v>
      </c>
      <c r="I2600" s="1" t="s">
        <v>22</v>
      </c>
      <c r="J2600" s="2">
        <v>43531.854120370372</v>
      </c>
      <c r="K2600" s="2">
        <v>43537.854120370372</v>
      </c>
      <c r="L2600" s="2">
        <v>43535.854120370372</v>
      </c>
      <c r="M2600" s="1">
        <f>_xlfn.DAYS(Table1[[#This Row],[actual_delivery_date]],Table1[[#This Row],[dispatch_date]])</f>
        <v>6</v>
      </c>
      <c r="N2600">
        <v>68</v>
      </c>
      <c r="O2600">
        <f>Table1[[#This Row],[transit_storage_cost]] * (1-'What -if Analysis'!$D$26)</f>
        <v>68</v>
      </c>
      <c r="P2600">
        <v>103</v>
      </c>
      <c r="Q2600">
        <v>3455.8089500377</v>
      </c>
    </row>
    <row r="2601" spans="1:17" x14ac:dyDescent="0.3">
      <c r="A2601">
        <v>157671</v>
      </c>
      <c r="B2601" s="1" t="s">
        <v>41</v>
      </c>
      <c r="C2601" s="1" t="s">
        <v>16</v>
      </c>
      <c r="D2601" s="1" t="s">
        <v>17</v>
      </c>
      <c r="E2601" s="1" t="s">
        <v>18</v>
      </c>
      <c r="F2601" s="1" t="s">
        <v>19</v>
      </c>
      <c r="G2601" s="1" t="s">
        <v>20</v>
      </c>
      <c r="H2601" t="s">
        <v>30</v>
      </c>
      <c r="I2601" s="1" t="s">
        <v>26</v>
      </c>
      <c r="J2601" s="2">
        <v>43532.856446759259</v>
      </c>
      <c r="K2601" s="2">
        <v>43537.856446759259</v>
      </c>
      <c r="L2601" s="2">
        <v>43535.856446759259</v>
      </c>
      <c r="M2601" s="1">
        <f>_xlfn.DAYS(Table1[[#This Row],[actual_delivery_date]],Table1[[#This Row],[dispatch_date]])</f>
        <v>5</v>
      </c>
      <c r="N2601">
        <v>79</v>
      </c>
      <c r="O2601">
        <f>Table1[[#This Row],[transit_storage_cost]] * (1-'What -if Analysis'!$D$26)</f>
        <v>79</v>
      </c>
      <c r="P2601">
        <v>86</v>
      </c>
      <c r="Q2601">
        <v>1283.0449544630055</v>
      </c>
    </row>
    <row r="2602" spans="1:17" x14ac:dyDescent="0.3">
      <c r="A2602">
        <v>618430</v>
      </c>
      <c r="B2602" s="1" t="s">
        <v>37</v>
      </c>
      <c r="C2602" s="1" t="s">
        <v>16</v>
      </c>
      <c r="D2602" s="1" t="s">
        <v>24</v>
      </c>
      <c r="E2602" s="1" t="s">
        <v>25</v>
      </c>
      <c r="F2602" s="1" t="s">
        <v>19</v>
      </c>
      <c r="G2602" s="1" t="s">
        <v>20</v>
      </c>
      <c r="H2602" t="s">
        <v>21</v>
      </c>
      <c r="I2602" s="1" t="s">
        <v>22</v>
      </c>
      <c r="J2602" s="2">
        <v>43528.856828703705</v>
      </c>
      <c r="K2602" s="2">
        <v>43537.856828703705</v>
      </c>
      <c r="L2602" s="2">
        <v>43532.856828703705</v>
      </c>
      <c r="M2602" s="1">
        <f>_xlfn.DAYS(Table1[[#This Row],[actual_delivery_date]],Table1[[#This Row],[dispatch_date]])</f>
        <v>9</v>
      </c>
      <c r="N2602">
        <v>59</v>
      </c>
      <c r="O2602">
        <f>Table1[[#This Row],[transit_storage_cost]] * (1-'What -if Analysis'!$D$26)</f>
        <v>59</v>
      </c>
      <c r="P2602">
        <v>101</v>
      </c>
      <c r="Q2602">
        <v>1955.3413376399239</v>
      </c>
    </row>
    <row r="2603" spans="1:17" x14ac:dyDescent="0.3">
      <c r="A2603">
        <v>991544</v>
      </c>
      <c r="B2603" s="1" t="s">
        <v>37</v>
      </c>
      <c r="C2603" s="1" t="s">
        <v>16</v>
      </c>
      <c r="D2603" s="1" t="s">
        <v>16</v>
      </c>
      <c r="E2603" s="1" t="s">
        <v>27</v>
      </c>
      <c r="F2603" s="1" t="s">
        <v>19</v>
      </c>
      <c r="G2603" s="1" t="s">
        <v>20</v>
      </c>
      <c r="H2603" t="s">
        <v>21</v>
      </c>
      <c r="I2603" s="1" t="s">
        <v>22</v>
      </c>
      <c r="J2603" s="2">
        <v>43534.859201388892</v>
      </c>
      <c r="K2603" s="2">
        <v>43537.859201388892</v>
      </c>
      <c r="L2603" s="2">
        <v>43539.859201388892</v>
      </c>
      <c r="M2603" s="1">
        <f>_xlfn.DAYS(Table1[[#This Row],[actual_delivery_date]],Table1[[#This Row],[dispatch_date]])</f>
        <v>3</v>
      </c>
      <c r="N2603">
        <v>0</v>
      </c>
      <c r="O2603">
        <f>Table1[[#This Row],[transit_storage_cost]] * (1-'What -if Analysis'!$D$26)</f>
        <v>0</v>
      </c>
      <c r="P2603">
        <v>124</v>
      </c>
      <c r="Q2603">
        <v>1464.9925696506464</v>
      </c>
    </row>
    <row r="2604" spans="1:17" x14ac:dyDescent="0.3">
      <c r="A2604">
        <v>756375</v>
      </c>
      <c r="B2604" s="1" t="s">
        <v>38</v>
      </c>
      <c r="C2604" s="1" t="s">
        <v>23</v>
      </c>
      <c r="D2604" s="1" t="s">
        <v>17</v>
      </c>
      <c r="E2604" s="1" t="s">
        <v>18</v>
      </c>
      <c r="F2604" s="1" t="s">
        <v>29</v>
      </c>
      <c r="G2604" s="1" t="s">
        <v>20</v>
      </c>
      <c r="H2604" t="s">
        <v>30</v>
      </c>
      <c r="I2604" s="1" t="s">
        <v>26</v>
      </c>
      <c r="J2604" s="2">
        <v>43533.861238425925</v>
      </c>
      <c r="K2604" s="2">
        <v>43537.861238425925</v>
      </c>
      <c r="L2604" s="2">
        <v>43540.861238425925</v>
      </c>
      <c r="M2604" s="1">
        <f>_xlfn.DAYS(Table1[[#This Row],[actual_delivery_date]],Table1[[#This Row],[dispatch_date]])</f>
        <v>4</v>
      </c>
      <c r="N2604">
        <v>44</v>
      </c>
      <c r="O2604">
        <f>Table1[[#This Row],[transit_storage_cost]] * (1-'What -if Analysis'!$D$26)</f>
        <v>44</v>
      </c>
      <c r="P2604">
        <v>112</v>
      </c>
      <c r="Q2604">
        <v>3174</v>
      </c>
    </row>
    <row r="2605" spans="1:17" x14ac:dyDescent="0.3">
      <c r="A2605">
        <v>160621</v>
      </c>
      <c r="B2605" s="1" t="s">
        <v>41</v>
      </c>
      <c r="C2605" s="1" t="s">
        <v>23</v>
      </c>
      <c r="D2605" s="1" t="s">
        <v>17</v>
      </c>
      <c r="E2605" s="1" t="s">
        <v>18</v>
      </c>
      <c r="F2605" s="1" t="s">
        <v>29</v>
      </c>
      <c r="G2605" s="1" t="s">
        <v>20</v>
      </c>
      <c r="H2605" t="s">
        <v>30</v>
      </c>
      <c r="I2605" s="1" t="s">
        <v>22</v>
      </c>
      <c r="J2605" s="2">
        <v>43534.861319444448</v>
      </c>
      <c r="K2605" s="2">
        <v>43537.861319444448</v>
      </c>
      <c r="L2605" s="2">
        <v>43539.861319444448</v>
      </c>
      <c r="M2605" s="1">
        <f>_xlfn.DAYS(Table1[[#This Row],[actual_delivery_date]],Table1[[#This Row],[dispatch_date]])</f>
        <v>3</v>
      </c>
      <c r="N2605">
        <v>27</v>
      </c>
      <c r="O2605">
        <f>Table1[[#This Row],[transit_storage_cost]] * (1-'What -if Analysis'!$D$26)</f>
        <v>27</v>
      </c>
      <c r="P2605">
        <v>107</v>
      </c>
      <c r="Q2605">
        <v>521.46765794128362</v>
      </c>
    </row>
    <row r="2606" spans="1:17" x14ac:dyDescent="0.3">
      <c r="A2606">
        <v>306207</v>
      </c>
      <c r="B2606" s="1" t="s">
        <v>38</v>
      </c>
      <c r="C2606" s="1" t="s">
        <v>16</v>
      </c>
      <c r="D2606" s="1" t="s">
        <v>16</v>
      </c>
      <c r="E2606" s="1" t="s">
        <v>27</v>
      </c>
      <c r="F2606" s="1" t="s">
        <v>19</v>
      </c>
      <c r="G2606" s="1" t="s">
        <v>20</v>
      </c>
      <c r="H2606" t="s">
        <v>30</v>
      </c>
      <c r="I2606" s="1" t="s">
        <v>26</v>
      </c>
      <c r="J2606" s="2">
        <v>43536.865266203706</v>
      </c>
      <c r="K2606" s="2">
        <v>43537.865266203706</v>
      </c>
      <c r="L2606" s="2">
        <v>43541.865266203706</v>
      </c>
      <c r="M2606" s="1">
        <f>_xlfn.DAYS(Table1[[#This Row],[actual_delivery_date]],Table1[[#This Row],[dispatch_date]])</f>
        <v>1</v>
      </c>
      <c r="N2606">
        <v>0</v>
      </c>
      <c r="O2606">
        <f>Table1[[#This Row],[transit_storage_cost]] * (1-'What -if Analysis'!$D$26)</f>
        <v>0</v>
      </c>
      <c r="P2606">
        <v>103</v>
      </c>
      <c r="Q2606">
        <v>952</v>
      </c>
    </row>
    <row r="2607" spans="1:17" x14ac:dyDescent="0.3">
      <c r="A2607">
        <v>778341</v>
      </c>
      <c r="B2607" s="1" t="s">
        <v>37</v>
      </c>
      <c r="C2607" s="1" t="s">
        <v>16</v>
      </c>
      <c r="D2607" s="1" t="s">
        <v>17</v>
      </c>
      <c r="E2607" s="1" t="s">
        <v>18</v>
      </c>
      <c r="F2607" s="1" t="s">
        <v>19</v>
      </c>
      <c r="G2607" s="1" t="s">
        <v>20</v>
      </c>
      <c r="H2607" t="s">
        <v>30</v>
      </c>
      <c r="I2607" s="1" t="s">
        <v>26</v>
      </c>
      <c r="J2607" s="2">
        <v>43535.866759259261</v>
      </c>
      <c r="K2607" s="2">
        <v>43537.866759259261</v>
      </c>
      <c r="L2607" s="2">
        <v>43540.866759259261</v>
      </c>
      <c r="M2607" s="1">
        <f>_xlfn.DAYS(Table1[[#This Row],[actual_delivery_date]],Table1[[#This Row],[dispatch_date]])</f>
        <v>2</v>
      </c>
      <c r="N2607">
        <v>74</v>
      </c>
      <c r="O2607">
        <f>Table1[[#This Row],[transit_storage_cost]] * (1-'What -if Analysis'!$D$26)</f>
        <v>74</v>
      </c>
      <c r="P2607">
        <v>92</v>
      </c>
      <c r="Q2607">
        <v>2698.9469218405793</v>
      </c>
    </row>
    <row r="2608" spans="1:17" x14ac:dyDescent="0.3">
      <c r="A2608">
        <v>131236</v>
      </c>
      <c r="B2608" s="1" t="s">
        <v>41</v>
      </c>
      <c r="C2608" s="1" t="s">
        <v>16</v>
      </c>
      <c r="D2608" s="1" t="s">
        <v>17</v>
      </c>
      <c r="E2608" s="1" t="s">
        <v>18</v>
      </c>
      <c r="F2608" s="1" t="s">
        <v>19</v>
      </c>
      <c r="G2608" s="1" t="s">
        <v>20</v>
      </c>
      <c r="H2608" t="s">
        <v>21</v>
      </c>
      <c r="I2608" s="1" t="s">
        <v>22</v>
      </c>
      <c r="J2608" s="2">
        <v>43531.867685185185</v>
      </c>
      <c r="K2608" s="2">
        <v>43537.867685185185</v>
      </c>
      <c r="L2608" s="2">
        <v>43536.867685185185</v>
      </c>
      <c r="M2608" s="1">
        <f>_xlfn.DAYS(Table1[[#This Row],[actual_delivery_date]],Table1[[#This Row],[dispatch_date]])</f>
        <v>6</v>
      </c>
      <c r="N2608">
        <v>9999</v>
      </c>
      <c r="O2608">
        <f>Table1[[#This Row],[transit_storage_cost]] * (1-'What -if Analysis'!$D$26)</f>
        <v>9999</v>
      </c>
      <c r="P2608">
        <v>107</v>
      </c>
      <c r="Q2608">
        <v>2522.985838071153</v>
      </c>
    </row>
    <row r="2609" spans="1:17" x14ac:dyDescent="0.3">
      <c r="A2609">
        <v>763493</v>
      </c>
      <c r="B2609" s="1" t="s">
        <v>39</v>
      </c>
      <c r="C2609" s="1" t="s">
        <v>23</v>
      </c>
      <c r="D2609" s="1" t="s">
        <v>16</v>
      </c>
      <c r="E2609" s="1" t="s">
        <v>27</v>
      </c>
      <c r="F2609" s="1" t="s">
        <v>29</v>
      </c>
      <c r="G2609" s="1" t="s">
        <v>20</v>
      </c>
      <c r="H2609" t="s">
        <v>30</v>
      </c>
      <c r="I2609" s="1" t="s">
        <v>22</v>
      </c>
      <c r="J2609" s="2">
        <v>43531.868773148148</v>
      </c>
      <c r="K2609" s="2">
        <v>43537.868773148148</v>
      </c>
      <c r="L2609" s="2">
        <v>43537.868773148148</v>
      </c>
      <c r="M2609" s="1">
        <f>_xlfn.DAYS(Table1[[#This Row],[actual_delivery_date]],Table1[[#This Row],[dispatch_date]])</f>
        <v>6</v>
      </c>
      <c r="N2609">
        <v>41</v>
      </c>
      <c r="O2609">
        <f>Table1[[#This Row],[transit_storage_cost]] * (1-'What -if Analysis'!$D$26)</f>
        <v>41</v>
      </c>
      <c r="P2609">
        <v>129</v>
      </c>
      <c r="Q2609">
        <v>2937.5357692796379</v>
      </c>
    </row>
    <row r="2610" spans="1:17" x14ac:dyDescent="0.3">
      <c r="A2610">
        <v>550103</v>
      </c>
      <c r="B2610" s="1" t="s">
        <v>41</v>
      </c>
      <c r="C2610" s="1" t="s">
        <v>23</v>
      </c>
      <c r="D2610" s="1" t="s">
        <v>16</v>
      </c>
      <c r="E2610" s="1" t="s">
        <v>27</v>
      </c>
      <c r="F2610" s="1" t="s">
        <v>29</v>
      </c>
      <c r="G2610" s="1" t="s">
        <v>20</v>
      </c>
      <c r="H2610" t="s">
        <v>30</v>
      </c>
      <c r="I2610" s="1" t="s">
        <v>22</v>
      </c>
      <c r="J2610" s="2">
        <v>43531.875196759262</v>
      </c>
      <c r="K2610" s="2">
        <v>43537.875196759262</v>
      </c>
      <c r="L2610" s="2">
        <v>43534.875196759262</v>
      </c>
      <c r="M2610" s="1">
        <f>_xlfn.DAYS(Table1[[#This Row],[actual_delivery_date]],Table1[[#This Row],[dispatch_date]])</f>
        <v>6</v>
      </c>
      <c r="N2610">
        <v>31</v>
      </c>
      <c r="O2610">
        <f>Table1[[#This Row],[transit_storage_cost]] * (1-'What -if Analysis'!$D$26)</f>
        <v>31</v>
      </c>
      <c r="P2610">
        <v>125</v>
      </c>
      <c r="Q2610">
        <v>1814.0983209646172</v>
      </c>
    </row>
    <row r="2611" spans="1:17" x14ac:dyDescent="0.3">
      <c r="A2611">
        <v>924244</v>
      </c>
      <c r="B2611" s="1" t="s">
        <v>37</v>
      </c>
      <c r="C2611" s="1" t="s">
        <v>16</v>
      </c>
      <c r="D2611" s="1" t="s">
        <v>24</v>
      </c>
      <c r="E2611" s="1" t="s">
        <v>25</v>
      </c>
      <c r="F2611" s="1" t="s">
        <v>19</v>
      </c>
      <c r="G2611" s="1" t="s">
        <v>20</v>
      </c>
      <c r="H2611" t="s">
        <v>21</v>
      </c>
      <c r="I2611" s="1" t="s">
        <v>22</v>
      </c>
      <c r="J2611" s="2">
        <v>43530.876342592594</v>
      </c>
      <c r="K2611" s="2">
        <v>43537.876342592594</v>
      </c>
      <c r="L2611" s="2">
        <v>43534.876342592594</v>
      </c>
      <c r="M2611" s="1">
        <f>_xlfn.DAYS(Table1[[#This Row],[actual_delivery_date]],Table1[[#This Row],[dispatch_date]])</f>
        <v>7</v>
      </c>
      <c r="N2611">
        <v>42</v>
      </c>
      <c r="O2611">
        <f>Table1[[#This Row],[transit_storage_cost]] * (1-'What -if Analysis'!$D$26)</f>
        <v>42</v>
      </c>
      <c r="P2611">
        <v>121</v>
      </c>
      <c r="Q2611">
        <v>1847.2134551490519</v>
      </c>
    </row>
    <row r="2612" spans="1:17" x14ac:dyDescent="0.3">
      <c r="A2612">
        <v>135611</v>
      </c>
      <c r="B2612" s="1" t="s">
        <v>37</v>
      </c>
      <c r="C2612" s="1" t="s">
        <v>23</v>
      </c>
      <c r="D2612" s="1" t="s">
        <v>17</v>
      </c>
      <c r="E2612" s="1" t="s">
        <v>18</v>
      </c>
      <c r="F2612" s="1" t="s">
        <v>29</v>
      </c>
      <c r="G2612" s="1" t="s">
        <v>20</v>
      </c>
      <c r="H2612" t="s">
        <v>34</v>
      </c>
      <c r="I2612" s="1" t="s">
        <v>22</v>
      </c>
      <c r="J2612" s="2">
        <v>43531.877442129633</v>
      </c>
      <c r="K2612" s="2">
        <v>43537.877442129633</v>
      </c>
      <c r="L2612" s="2">
        <v>43538.877442129633</v>
      </c>
      <c r="M2612" s="1">
        <f>_xlfn.DAYS(Table1[[#This Row],[actual_delivery_date]],Table1[[#This Row],[dispatch_date]])</f>
        <v>6</v>
      </c>
      <c r="N2612">
        <v>38</v>
      </c>
      <c r="O2612">
        <f>Table1[[#This Row],[transit_storage_cost]] * (1-'What -if Analysis'!$D$26)</f>
        <v>38</v>
      </c>
      <c r="P2612">
        <v>108</v>
      </c>
      <c r="Q2612">
        <v>1975</v>
      </c>
    </row>
    <row r="2613" spans="1:17" x14ac:dyDescent="0.3">
      <c r="A2613">
        <v>795166</v>
      </c>
      <c r="B2613" s="1" t="s">
        <v>15</v>
      </c>
      <c r="C2613" s="1" t="s">
        <v>16</v>
      </c>
      <c r="D2613" s="1" t="s">
        <v>23</v>
      </c>
      <c r="E2613" s="1" t="s">
        <v>28</v>
      </c>
      <c r="F2613" s="1" t="s">
        <v>31</v>
      </c>
      <c r="G2613" s="1" t="s">
        <v>20</v>
      </c>
      <c r="H2613" t="s">
        <v>21</v>
      </c>
      <c r="I2613" s="1" t="s">
        <v>22</v>
      </c>
      <c r="J2613" s="2">
        <v>43530.877615740741</v>
      </c>
      <c r="K2613" s="2">
        <v>43537.877615740741</v>
      </c>
      <c r="L2613" s="2">
        <v>43535.877615740741</v>
      </c>
      <c r="M2613" s="1">
        <f>_xlfn.DAYS(Table1[[#This Row],[actual_delivery_date]],Table1[[#This Row],[dispatch_date]])</f>
        <v>7</v>
      </c>
      <c r="N2613">
        <v>33</v>
      </c>
      <c r="O2613">
        <f>Table1[[#This Row],[transit_storage_cost]] * (1-'What -if Analysis'!$D$26)</f>
        <v>33</v>
      </c>
      <c r="P2613">
        <v>129</v>
      </c>
      <c r="Q2613">
        <v>1423.3449231093109</v>
      </c>
    </row>
    <row r="2614" spans="1:17" x14ac:dyDescent="0.3">
      <c r="A2614">
        <v>439489</v>
      </c>
      <c r="B2614" s="1" t="s">
        <v>39</v>
      </c>
      <c r="C2614" s="1" t="s">
        <v>16</v>
      </c>
      <c r="D2614" s="1" t="s">
        <v>17</v>
      </c>
      <c r="E2614" s="1" t="s">
        <v>18</v>
      </c>
      <c r="F2614" s="1" t="s">
        <v>29</v>
      </c>
      <c r="G2614" s="1" t="s">
        <v>20</v>
      </c>
      <c r="H2614" t="s">
        <v>30</v>
      </c>
      <c r="I2614" s="1" t="s">
        <v>22</v>
      </c>
      <c r="J2614" s="2">
        <v>43529.879293981481</v>
      </c>
      <c r="K2614" s="2">
        <v>43537.879293981481</v>
      </c>
      <c r="L2614" s="2">
        <v>43536.879293981481</v>
      </c>
      <c r="M2614" s="1">
        <f>_xlfn.DAYS(Table1[[#This Row],[actual_delivery_date]],Table1[[#This Row],[dispatch_date]])</f>
        <v>8</v>
      </c>
      <c r="N2614">
        <v>50</v>
      </c>
      <c r="O2614">
        <f>Table1[[#This Row],[transit_storage_cost]] * (1-'What -if Analysis'!$D$26)</f>
        <v>50</v>
      </c>
      <c r="P2614">
        <v>108</v>
      </c>
      <c r="Q2614">
        <v>1596.0519048955705</v>
      </c>
    </row>
    <row r="2615" spans="1:17" x14ac:dyDescent="0.3">
      <c r="A2615">
        <v>351766</v>
      </c>
      <c r="B2615" s="1" t="s">
        <v>37</v>
      </c>
      <c r="C2615" s="1" t="s">
        <v>23</v>
      </c>
      <c r="D2615" s="1" t="s">
        <v>16</v>
      </c>
      <c r="E2615" s="1" t="s">
        <v>27</v>
      </c>
      <c r="F2615" s="1" t="s">
        <v>31</v>
      </c>
      <c r="G2615" s="1" t="s">
        <v>20</v>
      </c>
      <c r="H2615" t="s">
        <v>21</v>
      </c>
      <c r="I2615" s="1" t="s">
        <v>22</v>
      </c>
      <c r="J2615" s="2">
        <v>43528.880497685182</v>
      </c>
      <c r="K2615" s="2">
        <v>43537.880497685182</v>
      </c>
      <c r="L2615" s="2">
        <v>43533.880497685182</v>
      </c>
      <c r="M2615" s="1">
        <f>_xlfn.DAYS(Table1[[#This Row],[actual_delivery_date]],Table1[[#This Row],[dispatch_date]])</f>
        <v>9</v>
      </c>
      <c r="N2615">
        <v>30</v>
      </c>
      <c r="O2615">
        <f>Table1[[#This Row],[transit_storage_cost]] * (1-'What -if Analysis'!$D$26)</f>
        <v>30</v>
      </c>
      <c r="P2615">
        <v>123</v>
      </c>
      <c r="Q2615">
        <v>534.3563431583226</v>
      </c>
    </row>
    <row r="2616" spans="1:17" x14ac:dyDescent="0.3">
      <c r="A2616">
        <v>298859</v>
      </c>
      <c r="B2616" s="1" t="s">
        <v>38</v>
      </c>
      <c r="C2616" s="1" t="s">
        <v>16</v>
      </c>
      <c r="D2616" s="1" t="s">
        <v>16</v>
      </c>
      <c r="E2616" s="1" t="s">
        <v>27</v>
      </c>
      <c r="F2616" s="1" t="s">
        <v>29</v>
      </c>
      <c r="G2616" s="1" t="s">
        <v>20</v>
      </c>
      <c r="H2616" t="s">
        <v>30</v>
      </c>
      <c r="I2616" s="1" t="s">
        <v>22</v>
      </c>
      <c r="J2616" s="2">
        <v>43532.883414351854</v>
      </c>
      <c r="K2616" s="2">
        <v>43537.883414351854</v>
      </c>
      <c r="L2616" s="2">
        <v>43538.883414351854</v>
      </c>
      <c r="M2616" s="1">
        <f>_xlfn.DAYS(Table1[[#This Row],[actual_delivery_date]],Table1[[#This Row],[dispatch_date]])</f>
        <v>5</v>
      </c>
      <c r="N2616">
        <v>0</v>
      </c>
      <c r="O2616">
        <f>Table1[[#This Row],[transit_storage_cost]] * (1-'What -if Analysis'!$D$26)</f>
        <v>0</v>
      </c>
      <c r="P2616">
        <v>122</v>
      </c>
      <c r="Q2616">
        <v>1320.9749926496463</v>
      </c>
    </row>
    <row r="2617" spans="1:17" x14ac:dyDescent="0.3">
      <c r="A2617">
        <v>45239</v>
      </c>
      <c r="B2617" s="1" t="s">
        <v>41</v>
      </c>
      <c r="C2617" s="1" t="s">
        <v>23</v>
      </c>
      <c r="D2617" s="1" t="s">
        <v>17</v>
      </c>
      <c r="E2617" s="1" t="s">
        <v>18</v>
      </c>
      <c r="F2617" s="1" t="s">
        <v>29</v>
      </c>
      <c r="G2617" s="1" t="s">
        <v>20</v>
      </c>
      <c r="H2617" t="s">
        <v>30</v>
      </c>
      <c r="I2617" s="1" t="s">
        <v>22</v>
      </c>
      <c r="J2617" s="2">
        <v>43534.884351851855</v>
      </c>
      <c r="K2617" s="2">
        <v>43537.884351851855</v>
      </c>
      <c r="L2617" s="2">
        <v>43537.884351851855</v>
      </c>
      <c r="M2617" s="1">
        <f>_xlfn.DAYS(Table1[[#This Row],[actual_delivery_date]],Table1[[#This Row],[dispatch_date]])</f>
        <v>3</v>
      </c>
      <c r="N2617">
        <v>45</v>
      </c>
      <c r="O2617">
        <f>Table1[[#This Row],[transit_storage_cost]] * (1-'What -if Analysis'!$D$26)</f>
        <v>45</v>
      </c>
      <c r="P2617">
        <v>112</v>
      </c>
      <c r="Q2617">
        <v>2158.7463366504671</v>
      </c>
    </row>
    <row r="2618" spans="1:17" x14ac:dyDescent="0.3">
      <c r="A2618">
        <v>356597</v>
      </c>
      <c r="B2618" s="1" t="s">
        <v>39</v>
      </c>
      <c r="C2618" s="1" t="s">
        <v>23</v>
      </c>
      <c r="D2618" s="1" t="s">
        <v>16</v>
      </c>
      <c r="E2618" s="1" t="s">
        <v>27</v>
      </c>
      <c r="F2618" s="1" t="s">
        <v>29</v>
      </c>
      <c r="G2618" s="1" t="s">
        <v>20</v>
      </c>
      <c r="H2618" t="s">
        <v>30</v>
      </c>
      <c r="I2618" s="1" t="s">
        <v>22</v>
      </c>
      <c r="J2618" s="2">
        <v>43534.885358796295</v>
      </c>
      <c r="K2618" s="2">
        <v>43537.885358796295</v>
      </c>
      <c r="L2618" s="2">
        <v>43541.885358796295</v>
      </c>
      <c r="M2618" s="1">
        <f>_xlfn.DAYS(Table1[[#This Row],[actual_delivery_date]],Table1[[#This Row],[dispatch_date]])</f>
        <v>3</v>
      </c>
      <c r="N2618">
        <v>26</v>
      </c>
      <c r="O2618">
        <f>Table1[[#This Row],[transit_storage_cost]] * (1-'What -if Analysis'!$D$26)</f>
        <v>26</v>
      </c>
      <c r="P2618">
        <v>127</v>
      </c>
      <c r="Q2618">
        <v>2296</v>
      </c>
    </row>
    <row r="2619" spans="1:17" x14ac:dyDescent="0.3">
      <c r="A2619">
        <v>223142</v>
      </c>
      <c r="B2619" s="1" t="s">
        <v>40</v>
      </c>
      <c r="C2619" s="1" t="s">
        <v>16</v>
      </c>
      <c r="D2619" s="1" t="s">
        <v>24</v>
      </c>
      <c r="E2619" s="1" t="s">
        <v>25</v>
      </c>
      <c r="F2619" s="1" t="s">
        <v>31</v>
      </c>
      <c r="G2619" s="1" t="s">
        <v>20</v>
      </c>
      <c r="H2619" t="s">
        <v>21</v>
      </c>
      <c r="I2619" s="1" t="s">
        <v>22</v>
      </c>
      <c r="J2619" s="2">
        <v>43535.895509259259</v>
      </c>
      <c r="K2619" s="2">
        <v>43537.895509259259</v>
      </c>
      <c r="L2619" s="2">
        <v>43538.895509259259</v>
      </c>
      <c r="M2619" s="1">
        <f>_xlfn.DAYS(Table1[[#This Row],[actual_delivery_date]],Table1[[#This Row],[dispatch_date]])</f>
        <v>2</v>
      </c>
      <c r="N2619">
        <v>39</v>
      </c>
      <c r="O2619">
        <f>Table1[[#This Row],[transit_storage_cost]] * (1-'What -if Analysis'!$D$26)</f>
        <v>39</v>
      </c>
      <c r="P2619">
        <v>126</v>
      </c>
      <c r="Q2619">
        <v>612</v>
      </c>
    </row>
    <row r="2620" spans="1:17" x14ac:dyDescent="0.3">
      <c r="A2620">
        <v>315854</v>
      </c>
      <c r="B2620" s="1" t="s">
        <v>40</v>
      </c>
      <c r="C2620" s="1" t="s">
        <v>23</v>
      </c>
      <c r="D2620" s="1" t="s">
        <v>17</v>
      </c>
      <c r="E2620" s="1" t="s">
        <v>18</v>
      </c>
      <c r="F2620" s="1" t="s">
        <v>31</v>
      </c>
      <c r="G2620" s="1" t="s">
        <v>36</v>
      </c>
      <c r="H2620" t="s">
        <v>21</v>
      </c>
      <c r="I2620" s="1" t="s">
        <v>22</v>
      </c>
      <c r="J2620" s="2">
        <v>43533.899467592593</v>
      </c>
      <c r="K2620" s="2">
        <v>43537.899467592593</v>
      </c>
      <c r="L2620" s="2">
        <v>43540.899467592593</v>
      </c>
      <c r="M2620" s="1">
        <f>_xlfn.DAYS(Table1[[#This Row],[actual_delivery_date]],Table1[[#This Row],[dispatch_date]])</f>
        <v>4</v>
      </c>
      <c r="N2620">
        <v>27</v>
      </c>
      <c r="O2620">
        <f>Table1[[#This Row],[transit_storage_cost]] * (1-'What -if Analysis'!$D$26)</f>
        <v>27</v>
      </c>
      <c r="P2620">
        <v>105</v>
      </c>
      <c r="Q2620">
        <v>707</v>
      </c>
    </row>
    <row r="2621" spans="1:17" x14ac:dyDescent="0.3">
      <c r="A2621">
        <v>10498</v>
      </c>
      <c r="B2621" s="1" t="s">
        <v>39</v>
      </c>
      <c r="C2621" s="1" t="s">
        <v>23</v>
      </c>
      <c r="D2621" s="1" t="s">
        <v>16</v>
      </c>
      <c r="E2621" s="1" t="s">
        <v>27</v>
      </c>
      <c r="F2621" s="1" t="s">
        <v>31</v>
      </c>
      <c r="G2621" s="1" t="s">
        <v>20</v>
      </c>
      <c r="H2621" t="s">
        <v>21</v>
      </c>
      <c r="I2621" s="1" t="s">
        <v>22</v>
      </c>
      <c r="J2621" s="2">
        <v>43532.906493055554</v>
      </c>
      <c r="K2621" s="2">
        <v>43537.906493055554</v>
      </c>
      <c r="L2621" s="2">
        <v>43535.906493055554</v>
      </c>
      <c r="M2621" s="1">
        <f>_xlfn.DAYS(Table1[[#This Row],[actual_delivery_date]],Table1[[#This Row],[dispatch_date]])</f>
        <v>5</v>
      </c>
      <c r="N2621">
        <v>40</v>
      </c>
      <c r="O2621">
        <f>Table1[[#This Row],[transit_storage_cost]] * (1-'What -if Analysis'!$D$26)</f>
        <v>40</v>
      </c>
      <c r="P2621">
        <v>128</v>
      </c>
      <c r="Q2621">
        <v>748</v>
      </c>
    </row>
    <row r="2622" spans="1:17" x14ac:dyDescent="0.3">
      <c r="A2622">
        <v>958401</v>
      </c>
      <c r="B2622" s="1" t="s">
        <v>38</v>
      </c>
      <c r="C2622" s="1" t="s">
        <v>16</v>
      </c>
      <c r="D2622" s="1" t="s">
        <v>17</v>
      </c>
      <c r="E2622" s="1" t="s">
        <v>18</v>
      </c>
      <c r="F2622" s="1" t="s">
        <v>19</v>
      </c>
      <c r="G2622" s="1" t="s">
        <v>20</v>
      </c>
      <c r="H2622" t="s">
        <v>30</v>
      </c>
      <c r="I2622" s="1" t="s">
        <v>26</v>
      </c>
      <c r="J2622" s="2">
        <v>43531.907060185185</v>
      </c>
      <c r="K2622" s="2">
        <v>43537.907060185185</v>
      </c>
      <c r="L2622" s="2">
        <v>43536.907060185185</v>
      </c>
      <c r="M2622" s="1">
        <f>_xlfn.DAYS(Table1[[#This Row],[actual_delivery_date]],Table1[[#This Row],[dispatch_date]])</f>
        <v>6</v>
      </c>
      <c r="N2622">
        <v>76</v>
      </c>
      <c r="O2622">
        <f>Table1[[#This Row],[transit_storage_cost]] * (1-'What -if Analysis'!$D$26)</f>
        <v>76</v>
      </c>
      <c r="P2622">
        <v>91</v>
      </c>
      <c r="Q2622">
        <v>2611.5776388595891</v>
      </c>
    </row>
    <row r="2623" spans="1:17" x14ac:dyDescent="0.3">
      <c r="A2623">
        <v>869497</v>
      </c>
      <c r="B2623" s="1" t="s">
        <v>41</v>
      </c>
      <c r="C2623" s="1" t="s">
        <v>16</v>
      </c>
      <c r="D2623" s="1" t="s">
        <v>23</v>
      </c>
      <c r="E2623" s="1" t="s">
        <v>28</v>
      </c>
      <c r="F2623" s="1" t="s">
        <v>29</v>
      </c>
      <c r="G2623" s="1" t="s">
        <v>20</v>
      </c>
      <c r="H2623" t="s">
        <v>30</v>
      </c>
      <c r="I2623" s="1" t="s">
        <v>22</v>
      </c>
      <c r="J2623" s="2">
        <v>43533.911145833335</v>
      </c>
      <c r="K2623" s="2">
        <v>43537.911145833335</v>
      </c>
      <c r="L2623" s="2">
        <v>43538.911145833335</v>
      </c>
      <c r="M2623" s="1">
        <f>_xlfn.DAYS(Table1[[#This Row],[actual_delivery_date]],Table1[[#This Row],[dispatch_date]])</f>
        <v>4</v>
      </c>
      <c r="N2623">
        <v>42</v>
      </c>
      <c r="O2623">
        <f>Table1[[#This Row],[transit_storage_cost]] * (1-'What -if Analysis'!$D$26)</f>
        <v>42</v>
      </c>
      <c r="P2623">
        <v>125</v>
      </c>
      <c r="Q2623">
        <v>1496</v>
      </c>
    </row>
    <row r="2624" spans="1:17" x14ac:dyDescent="0.3">
      <c r="A2624">
        <v>719821</v>
      </c>
      <c r="B2624" s="1" t="s">
        <v>38</v>
      </c>
      <c r="C2624" s="1" t="s">
        <v>16</v>
      </c>
      <c r="D2624" s="1" t="s">
        <v>23</v>
      </c>
      <c r="E2624" s="1" t="s">
        <v>28</v>
      </c>
      <c r="F2624" s="1" t="s">
        <v>19</v>
      </c>
      <c r="G2624" s="1" t="s">
        <v>20</v>
      </c>
      <c r="H2624" t="s">
        <v>30</v>
      </c>
      <c r="I2624" s="1" t="s">
        <v>22</v>
      </c>
      <c r="J2624" s="2">
        <v>43533.912754629629</v>
      </c>
      <c r="K2624" s="2">
        <v>43537.912754629629</v>
      </c>
      <c r="L2624" s="2">
        <v>43536.912754629629</v>
      </c>
      <c r="M2624" s="1">
        <f>_xlfn.DAYS(Table1[[#This Row],[actual_delivery_date]],Table1[[#This Row],[dispatch_date]])</f>
        <v>4</v>
      </c>
      <c r="N2624">
        <v>65</v>
      </c>
      <c r="O2624">
        <f>Table1[[#This Row],[transit_storage_cost]] * (1-'What -if Analysis'!$D$26)</f>
        <v>65</v>
      </c>
      <c r="P2624">
        <v>101</v>
      </c>
      <c r="Q2624">
        <v>2541</v>
      </c>
    </row>
    <row r="2625" spans="1:17" x14ac:dyDescent="0.3">
      <c r="A2625">
        <v>585925</v>
      </c>
      <c r="B2625" s="1" t="s">
        <v>39</v>
      </c>
      <c r="C2625" s="1" t="s">
        <v>16</v>
      </c>
      <c r="D2625" s="1" t="s">
        <v>24</v>
      </c>
      <c r="E2625" s="1" t="s">
        <v>25</v>
      </c>
      <c r="F2625" s="1" t="s">
        <v>19</v>
      </c>
      <c r="G2625" s="1" t="s">
        <v>20</v>
      </c>
      <c r="H2625" t="s">
        <v>30</v>
      </c>
      <c r="I2625" s="1" t="s">
        <v>22</v>
      </c>
      <c r="J2625" s="2">
        <v>43530.918599537035</v>
      </c>
      <c r="K2625" s="2">
        <v>43537.918599537035</v>
      </c>
      <c r="L2625" s="2">
        <v>43537.918599537035</v>
      </c>
      <c r="M2625" s="1">
        <f>_xlfn.DAYS(Table1[[#This Row],[actual_delivery_date]],Table1[[#This Row],[dispatch_date]])</f>
        <v>7</v>
      </c>
      <c r="N2625">
        <v>73</v>
      </c>
      <c r="O2625">
        <f>Table1[[#This Row],[transit_storage_cost]] * (1-'What -if Analysis'!$D$26)</f>
        <v>73</v>
      </c>
      <c r="P2625">
        <v>105</v>
      </c>
      <c r="Q2625">
        <v>3058.973177947772</v>
      </c>
    </row>
    <row r="2626" spans="1:17" x14ac:dyDescent="0.3">
      <c r="A2626">
        <v>563812</v>
      </c>
      <c r="B2626" s="1" t="s">
        <v>41</v>
      </c>
      <c r="C2626" s="1" t="s">
        <v>16</v>
      </c>
      <c r="D2626" s="1" t="s">
        <v>32</v>
      </c>
      <c r="E2626" s="1" t="s">
        <v>33</v>
      </c>
      <c r="F2626" s="1" t="s">
        <v>19</v>
      </c>
      <c r="G2626" s="1" t="s">
        <v>20</v>
      </c>
      <c r="H2626" t="s">
        <v>21</v>
      </c>
      <c r="I2626" s="1" t="s">
        <v>22</v>
      </c>
      <c r="J2626" s="2">
        <v>43534.920555555553</v>
      </c>
      <c r="K2626" s="2">
        <v>43537.920555555553</v>
      </c>
      <c r="L2626" s="2">
        <v>43541.920555555553</v>
      </c>
      <c r="M2626" s="1">
        <f>_xlfn.DAYS(Table1[[#This Row],[actual_delivery_date]],Table1[[#This Row],[dispatch_date]])</f>
        <v>3</v>
      </c>
      <c r="N2626">
        <v>37</v>
      </c>
      <c r="O2626">
        <f>Table1[[#This Row],[transit_storage_cost]] * (1-'What -if Analysis'!$D$26)</f>
        <v>37</v>
      </c>
      <c r="P2626">
        <v>107</v>
      </c>
      <c r="Q2626">
        <v>1591.9566496925461</v>
      </c>
    </row>
    <row r="2627" spans="1:17" x14ac:dyDescent="0.3">
      <c r="A2627">
        <v>834605</v>
      </c>
      <c r="B2627" s="1" t="s">
        <v>38</v>
      </c>
      <c r="C2627" s="1" t="s">
        <v>16</v>
      </c>
      <c r="D2627" s="1" t="s">
        <v>16</v>
      </c>
      <c r="E2627" s="1" t="s">
        <v>27</v>
      </c>
      <c r="F2627" s="1" t="s">
        <v>19</v>
      </c>
      <c r="G2627" s="1" t="s">
        <v>20</v>
      </c>
      <c r="H2627" t="s">
        <v>30</v>
      </c>
      <c r="I2627" s="1" t="s">
        <v>22</v>
      </c>
      <c r="J2627" s="2">
        <v>43535.922210648147</v>
      </c>
      <c r="K2627" s="2">
        <v>43537.922210648147</v>
      </c>
      <c r="L2627" s="2">
        <v>43541.922210648147</v>
      </c>
      <c r="M2627" s="1">
        <f>_xlfn.DAYS(Table1[[#This Row],[actual_delivery_date]],Table1[[#This Row],[dispatch_date]])</f>
        <v>2</v>
      </c>
      <c r="N2627">
        <v>0</v>
      </c>
      <c r="O2627">
        <f>Table1[[#This Row],[transit_storage_cost]] * (1-'What -if Analysis'!$D$26)</f>
        <v>0</v>
      </c>
      <c r="P2627">
        <v>105</v>
      </c>
      <c r="Q2627">
        <v>602.22720269824947</v>
      </c>
    </row>
    <row r="2628" spans="1:17" x14ac:dyDescent="0.3">
      <c r="A2628">
        <v>402023</v>
      </c>
      <c r="B2628" s="1" t="s">
        <v>39</v>
      </c>
      <c r="C2628" s="1" t="s">
        <v>23</v>
      </c>
      <c r="D2628" s="1" t="s">
        <v>17</v>
      </c>
      <c r="E2628" s="1" t="s">
        <v>18</v>
      </c>
      <c r="F2628" s="1" t="s">
        <v>29</v>
      </c>
      <c r="G2628" s="1" t="s">
        <v>20</v>
      </c>
      <c r="H2628" t="s">
        <v>30</v>
      </c>
      <c r="I2628" s="1" t="s">
        <v>22</v>
      </c>
      <c r="J2628" s="2">
        <v>43530.92260416667</v>
      </c>
      <c r="K2628" s="2">
        <v>43537.92260416667</v>
      </c>
      <c r="L2628" s="2">
        <v>43536.92260416667</v>
      </c>
      <c r="M2628" s="1">
        <f>_xlfn.DAYS(Table1[[#This Row],[actual_delivery_date]],Table1[[#This Row],[dispatch_date]])</f>
        <v>7</v>
      </c>
      <c r="N2628">
        <v>28</v>
      </c>
      <c r="O2628">
        <f>Table1[[#This Row],[transit_storage_cost]] * (1-'What -if Analysis'!$D$26)</f>
        <v>28</v>
      </c>
      <c r="P2628">
        <v>110</v>
      </c>
      <c r="Q2628">
        <v>2479</v>
      </c>
    </row>
    <row r="2629" spans="1:17" x14ac:dyDescent="0.3">
      <c r="A2629">
        <v>534867</v>
      </c>
      <c r="B2629" s="1" t="s">
        <v>39</v>
      </c>
      <c r="C2629" s="1" t="s">
        <v>23</v>
      </c>
      <c r="D2629" s="1" t="s">
        <v>23</v>
      </c>
      <c r="E2629" s="1" t="s">
        <v>28</v>
      </c>
      <c r="F2629" s="1" t="s">
        <v>29</v>
      </c>
      <c r="G2629" s="1" t="s">
        <v>20</v>
      </c>
      <c r="H2629" t="s">
        <v>30</v>
      </c>
      <c r="I2629" s="1" t="s">
        <v>26</v>
      </c>
      <c r="J2629" s="2">
        <v>43533.923634259256</v>
      </c>
      <c r="K2629" s="2">
        <v>43537.923634259256</v>
      </c>
      <c r="L2629" s="2">
        <v>43540.923634259256</v>
      </c>
      <c r="M2629" s="1">
        <f>_xlfn.DAYS(Table1[[#This Row],[actual_delivery_date]],Table1[[#This Row],[dispatch_date]])</f>
        <v>4</v>
      </c>
      <c r="N2629">
        <v>0</v>
      </c>
      <c r="O2629">
        <f>Table1[[#This Row],[transit_storage_cost]] * (1-'What -if Analysis'!$D$26)</f>
        <v>0</v>
      </c>
      <c r="P2629">
        <v>126</v>
      </c>
      <c r="Q2629">
        <v>1067.2750545310705</v>
      </c>
    </row>
    <row r="2630" spans="1:17" x14ac:dyDescent="0.3">
      <c r="A2630">
        <v>143775</v>
      </c>
      <c r="B2630" s="1" t="s">
        <v>41</v>
      </c>
      <c r="C2630" s="1" t="s">
        <v>16</v>
      </c>
      <c r="D2630" s="1" t="s">
        <v>17</v>
      </c>
      <c r="E2630" s="1" t="s">
        <v>18</v>
      </c>
      <c r="F2630" s="1" t="s">
        <v>29</v>
      </c>
      <c r="G2630" s="1" t="s">
        <v>20</v>
      </c>
      <c r="H2630" t="s">
        <v>30</v>
      </c>
      <c r="I2630" s="1" t="s">
        <v>26</v>
      </c>
      <c r="J2630" s="2">
        <v>43532.924791666665</v>
      </c>
      <c r="K2630" s="2">
        <v>43537.924791666665</v>
      </c>
      <c r="L2630" s="2">
        <v>43537.924791666665</v>
      </c>
      <c r="M2630" s="1">
        <f>_xlfn.DAYS(Table1[[#This Row],[actual_delivery_date]],Table1[[#This Row],[dispatch_date]])</f>
        <v>5</v>
      </c>
      <c r="N2630">
        <v>26</v>
      </c>
      <c r="O2630">
        <f>Table1[[#This Row],[transit_storage_cost]] * (1-'What -if Analysis'!$D$26)</f>
        <v>26</v>
      </c>
      <c r="P2630">
        <v>105</v>
      </c>
      <c r="Q2630">
        <v>2022</v>
      </c>
    </row>
    <row r="2631" spans="1:17" x14ac:dyDescent="0.3">
      <c r="A2631">
        <v>157716</v>
      </c>
      <c r="B2631" s="1" t="s">
        <v>37</v>
      </c>
      <c r="C2631" s="1" t="s">
        <v>16</v>
      </c>
      <c r="D2631" s="1" t="s">
        <v>16</v>
      </c>
      <c r="E2631" s="1" t="s">
        <v>27</v>
      </c>
      <c r="F2631" s="1" t="s">
        <v>19</v>
      </c>
      <c r="G2631" s="1" t="s">
        <v>20</v>
      </c>
      <c r="H2631" t="s">
        <v>21</v>
      </c>
      <c r="I2631" s="1" t="s">
        <v>26</v>
      </c>
      <c r="J2631" s="2">
        <v>43535.92769675926</v>
      </c>
      <c r="K2631" s="2">
        <v>43537.92769675926</v>
      </c>
      <c r="L2631" s="2">
        <v>43541.92769675926</v>
      </c>
      <c r="M2631" s="1">
        <f>_xlfn.DAYS(Table1[[#This Row],[actual_delivery_date]],Table1[[#This Row],[dispatch_date]])</f>
        <v>2</v>
      </c>
      <c r="N2631">
        <v>0</v>
      </c>
      <c r="O2631">
        <f>Table1[[#This Row],[transit_storage_cost]] * (1-'What -if Analysis'!$D$26)</f>
        <v>0</v>
      </c>
      <c r="P2631">
        <v>124</v>
      </c>
      <c r="Q2631">
        <v>3088.0545839229653</v>
      </c>
    </row>
    <row r="2632" spans="1:17" x14ac:dyDescent="0.3">
      <c r="A2632">
        <v>255096</v>
      </c>
      <c r="B2632" s="1" t="s">
        <v>38</v>
      </c>
      <c r="C2632" s="1" t="s">
        <v>23</v>
      </c>
      <c r="D2632" s="1" t="s">
        <v>17</v>
      </c>
      <c r="E2632" s="1" t="s">
        <v>18</v>
      </c>
      <c r="F2632" s="1" t="s">
        <v>19</v>
      </c>
      <c r="G2632" s="1" t="s">
        <v>20</v>
      </c>
      <c r="H2632" t="s">
        <v>21</v>
      </c>
      <c r="I2632" s="1" t="s">
        <v>26</v>
      </c>
      <c r="J2632" s="2">
        <v>43531.933125000003</v>
      </c>
      <c r="K2632" s="2">
        <v>43537.933125000003</v>
      </c>
      <c r="L2632" s="2">
        <v>43537.933125000003</v>
      </c>
      <c r="M2632" s="1">
        <f>_xlfn.DAYS(Table1[[#This Row],[actual_delivery_date]],Table1[[#This Row],[dispatch_date]])</f>
        <v>6</v>
      </c>
      <c r="N2632">
        <v>50</v>
      </c>
      <c r="O2632">
        <f>Table1[[#This Row],[transit_storage_cost]] * (1-'What -if Analysis'!$D$26)</f>
        <v>50</v>
      </c>
      <c r="P2632">
        <v>106</v>
      </c>
      <c r="Q2632">
        <v>964.907255576333</v>
      </c>
    </row>
    <row r="2633" spans="1:17" x14ac:dyDescent="0.3">
      <c r="A2633">
        <v>573704</v>
      </c>
      <c r="B2633" s="1" t="s">
        <v>39</v>
      </c>
      <c r="C2633" s="1" t="s">
        <v>16</v>
      </c>
      <c r="D2633" s="1" t="s">
        <v>16</v>
      </c>
      <c r="E2633" s="1" t="s">
        <v>27</v>
      </c>
      <c r="F2633" s="1" t="s">
        <v>19</v>
      </c>
      <c r="G2633" s="1" t="s">
        <v>20</v>
      </c>
      <c r="H2633" t="s">
        <v>21</v>
      </c>
      <c r="I2633" s="1" t="s">
        <v>22</v>
      </c>
      <c r="J2633" s="2">
        <v>43537.933715277781</v>
      </c>
      <c r="K2633" s="2">
        <v>43537.933715277781</v>
      </c>
      <c r="L2633" s="2">
        <v>43540.933715277781</v>
      </c>
      <c r="M2633" s="1">
        <f>_xlfn.DAYS(Table1[[#This Row],[actual_delivery_date]],Table1[[#This Row],[dispatch_date]])</f>
        <v>0</v>
      </c>
      <c r="N2633">
        <v>0</v>
      </c>
      <c r="O2633">
        <f>Table1[[#This Row],[transit_storage_cost]] * (1-'What -if Analysis'!$D$26)</f>
        <v>0</v>
      </c>
      <c r="P2633">
        <v>129</v>
      </c>
      <c r="Q2633">
        <v>599</v>
      </c>
    </row>
    <row r="2634" spans="1:17" x14ac:dyDescent="0.3">
      <c r="A2634">
        <v>394440</v>
      </c>
      <c r="B2634" s="1" t="s">
        <v>15</v>
      </c>
      <c r="C2634" s="1" t="s">
        <v>23</v>
      </c>
      <c r="D2634" s="1" t="s">
        <v>23</v>
      </c>
      <c r="E2634" s="1" t="s">
        <v>28</v>
      </c>
      <c r="F2634" s="1" t="s">
        <v>19</v>
      </c>
      <c r="G2634" s="1" t="s">
        <v>20</v>
      </c>
      <c r="H2634" t="s">
        <v>21</v>
      </c>
      <c r="I2634" s="1" t="s">
        <v>26</v>
      </c>
      <c r="J2634" s="2">
        <v>43532.934606481482</v>
      </c>
      <c r="K2634" s="2">
        <v>43537.934606481482</v>
      </c>
      <c r="L2634" s="2">
        <v>43535.934606481482</v>
      </c>
      <c r="M2634" s="1">
        <f>_xlfn.DAYS(Table1[[#This Row],[actual_delivery_date]],Table1[[#This Row],[dispatch_date]])</f>
        <v>5</v>
      </c>
      <c r="N2634">
        <v>0</v>
      </c>
      <c r="O2634">
        <f>Table1[[#This Row],[transit_storage_cost]] * (1-'What -if Analysis'!$D$26)</f>
        <v>0</v>
      </c>
      <c r="P2634">
        <v>121</v>
      </c>
      <c r="Q2634">
        <v>3528.8964186623375</v>
      </c>
    </row>
    <row r="2635" spans="1:17" x14ac:dyDescent="0.3">
      <c r="A2635">
        <v>789882</v>
      </c>
      <c r="B2635" s="1" t="s">
        <v>37</v>
      </c>
      <c r="C2635" s="1" t="s">
        <v>23</v>
      </c>
      <c r="D2635" s="1" t="s">
        <v>24</v>
      </c>
      <c r="E2635" s="1" t="s">
        <v>25</v>
      </c>
      <c r="F2635" s="1" t="s">
        <v>31</v>
      </c>
      <c r="G2635" s="1" t="s">
        <v>20</v>
      </c>
      <c r="H2635" t="s">
        <v>21</v>
      </c>
      <c r="I2635" s="1" t="s">
        <v>26</v>
      </c>
      <c r="J2635" s="2">
        <v>43533.93949074074</v>
      </c>
      <c r="K2635" s="2">
        <v>43537.93949074074</v>
      </c>
      <c r="L2635" s="2">
        <v>43537.93949074074</v>
      </c>
      <c r="M2635" s="1">
        <f>_xlfn.DAYS(Table1[[#This Row],[actual_delivery_date]],Table1[[#This Row],[dispatch_date]])</f>
        <v>4</v>
      </c>
      <c r="N2635">
        <v>40</v>
      </c>
      <c r="O2635">
        <f>Table1[[#This Row],[transit_storage_cost]] * (1-'What -if Analysis'!$D$26)</f>
        <v>40</v>
      </c>
      <c r="P2635">
        <v>125</v>
      </c>
      <c r="Q2635">
        <v>3226</v>
      </c>
    </row>
    <row r="2636" spans="1:17" x14ac:dyDescent="0.3">
      <c r="A2636">
        <v>525493</v>
      </c>
      <c r="B2636" s="1" t="s">
        <v>40</v>
      </c>
      <c r="C2636" s="1" t="s">
        <v>23</v>
      </c>
      <c r="D2636" s="1" t="s">
        <v>23</v>
      </c>
      <c r="E2636" s="1" t="s">
        <v>28</v>
      </c>
      <c r="F2636" s="1" t="s">
        <v>19</v>
      </c>
      <c r="G2636" s="1" t="s">
        <v>20</v>
      </c>
      <c r="H2636" t="s">
        <v>30</v>
      </c>
      <c r="I2636" s="1" t="s">
        <v>22</v>
      </c>
      <c r="J2636" s="2">
        <v>43536.945601851854</v>
      </c>
      <c r="K2636" s="2">
        <v>43537.945601851854</v>
      </c>
      <c r="L2636" s="2">
        <v>43541.945601851854</v>
      </c>
      <c r="M2636" s="1">
        <f>_xlfn.DAYS(Table1[[#This Row],[actual_delivery_date]],Table1[[#This Row],[dispatch_date]])</f>
        <v>1</v>
      </c>
      <c r="N2636">
        <v>0</v>
      </c>
      <c r="O2636">
        <f>Table1[[#This Row],[transit_storage_cost]] * (1-'What -if Analysis'!$D$26)</f>
        <v>0</v>
      </c>
      <c r="P2636">
        <v>106</v>
      </c>
      <c r="Q2636">
        <v>1812.0231861966404</v>
      </c>
    </row>
    <row r="2637" spans="1:17" x14ac:dyDescent="0.3">
      <c r="A2637">
        <v>256686</v>
      </c>
      <c r="B2637" s="1" t="s">
        <v>39</v>
      </c>
      <c r="C2637" s="1" t="s">
        <v>23</v>
      </c>
      <c r="D2637" s="1" t="s">
        <v>17</v>
      </c>
      <c r="E2637" s="1" t="s">
        <v>18</v>
      </c>
      <c r="F2637" s="1" t="s">
        <v>31</v>
      </c>
      <c r="G2637" s="1" t="s">
        <v>20</v>
      </c>
      <c r="H2637" t="s">
        <v>21</v>
      </c>
      <c r="I2637" s="1" t="s">
        <v>26</v>
      </c>
      <c r="J2637" s="2">
        <v>43531.948576388888</v>
      </c>
      <c r="K2637" s="2">
        <v>43537.948576388888</v>
      </c>
      <c r="L2637" s="2">
        <v>43536.948576388888</v>
      </c>
      <c r="M2637" s="1">
        <f>_xlfn.DAYS(Table1[[#This Row],[actual_delivery_date]],Table1[[#This Row],[dispatch_date]])</f>
        <v>6</v>
      </c>
      <c r="N2637">
        <v>47</v>
      </c>
      <c r="O2637">
        <f>Table1[[#This Row],[transit_storage_cost]] * (1-'What -if Analysis'!$D$26)</f>
        <v>47</v>
      </c>
      <c r="P2637">
        <v>109</v>
      </c>
      <c r="Q2637">
        <v>2315.6778282450914</v>
      </c>
    </row>
    <row r="2638" spans="1:17" x14ac:dyDescent="0.3">
      <c r="A2638">
        <v>414689</v>
      </c>
      <c r="B2638" s="1" t="s">
        <v>39</v>
      </c>
      <c r="C2638" s="1" t="s">
        <v>16</v>
      </c>
      <c r="D2638" s="1" t="s">
        <v>23</v>
      </c>
      <c r="E2638" s="1" t="s">
        <v>28</v>
      </c>
      <c r="F2638" s="1" t="s">
        <v>29</v>
      </c>
      <c r="G2638" s="1" t="s">
        <v>20</v>
      </c>
      <c r="H2638" t="s">
        <v>30</v>
      </c>
      <c r="I2638" s="1" t="s">
        <v>22</v>
      </c>
      <c r="J2638" s="2">
        <v>43532.94972222222</v>
      </c>
      <c r="K2638" s="2">
        <v>43537.94972222222</v>
      </c>
      <c r="L2638" s="2">
        <v>43536.94972222222</v>
      </c>
      <c r="M2638" s="1">
        <f>_xlfn.DAYS(Table1[[#This Row],[actual_delivery_date]],Table1[[#This Row],[dispatch_date]])</f>
        <v>5</v>
      </c>
      <c r="N2638">
        <v>46</v>
      </c>
      <c r="O2638">
        <f>Table1[[#This Row],[transit_storage_cost]] * (1-'What -if Analysis'!$D$26)</f>
        <v>46</v>
      </c>
      <c r="P2638">
        <v>123</v>
      </c>
      <c r="Q2638">
        <v>1278.5450630499206</v>
      </c>
    </row>
    <row r="2639" spans="1:17" x14ac:dyDescent="0.3">
      <c r="A2639">
        <v>706281</v>
      </c>
      <c r="B2639" s="1" t="s">
        <v>37</v>
      </c>
      <c r="C2639" s="1" t="s">
        <v>23</v>
      </c>
      <c r="D2639" s="1" t="s">
        <v>32</v>
      </c>
      <c r="E2639" s="1" t="s">
        <v>33</v>
      </c>
      <c r="F2639" s="1" t="s">
        <v>19</v>
      </c>
      <c r="G2639" s="1" t="s">
        <v>20</v>
      </c>
      <c r="H2639" t="s">
        <v>30</v>
      </c>
      <c r="I2639" s="1" t="s">
        <v>26</v>
      </c>
      <c r="J2639" s="2">
        <v>43533.951782407406</v>
      </c>
      <c r="K2639" s="2">
        <v>43537.951782407406</v>
      </c>
      <c r="L2639" s="2">
        <v>43538.951782407406</v>
      </c>
      <c r="M2639" s="1">
        <f>_xlfn.DAYS(Table1[[#This Row],[actual_delivery_date]],Table1[[#This Row],[dispatch_date]])</f>
        <v>4</v>
      </c>
      <c r="N2639">
        <v>68</v>
      </c>
      <c r="O2639">
        <f>Table1[[#This Row],[transit_storage_cost]] * (1-'What -if Analysis'!$D$26)</f>
        <v>68</v>
      </c>
      <c r="P2639">
        <v>87</v>
      </c>
      <c r="Q2639">
        <v>872.52864494782261</v>
      </c>
    </row>
    <row r="2640" spans="1:17" x14ac:dyDescent="0.3">
      <c r="A2640">
        <v>916570</v>
      </c>
      <c r="B2640" s="1" t="s">
        <v>40</v>
      </c>
      <c r="C2640" s="1" t="s">
        <v>16</v>
      </c>
      <c r="D2640" s="1" t="s">
        <v>23</v>
      </c>
      <c r="E2640" s="1" t="s">
        <v>28</v>
      </c>
      <c r="F2640" s="1" t="s">
        <v>31</v>
      </c>
      <c r="G2640" s="1" t="s">
        <v>20</v>
      </c>
      <c r="H2640" t="s">
        <v>21</v>
      </c>
      <c r="I2640" s="1" t="s">
        <v>22</v>
      </c>
      <c r="J2640" s="2">
        <v>43533.955416666664</v>
      </c>
      <c r="K2640" s="2">
        <v>43537.955416666664</v>
      </c>
      <c r="L2640" s="2">
        <v>43536.955416666664</v>
      </c>
      <c r="M2640" s="1">
        <f>_xlfn.DAYS(Table1[[#This Row],[actual_delivery_date]],Table1[[#This Row],[dispatch_date]])</f>
        <v>4</v>
      </c>
      <c r="N2640">
        <v>37</v>
      </c>
      <c r="O2640">
        <f>Table1[[#This Row],[transit_storage_cost]] * (1-'What -if Analysis'!$D$26)</f>
        <v>37</v>
      </c>
      <c r="P2640">
        <v>122</v>
      </c>
      <c r="Q2640">
        <v>3589</v>
      </c>
    </row>
    <row r="2641" spans="1:17" x14ac:dyDescent="0.3">
      <c r="A2641">
        <v>319228</v>
      </c>
      <c r="B2641" s="1" t="s">
        <v>39</v>
      </c>
      <c r="C2641" s="1" t="s">
        <v>23</v>
      </c>
      <c r="D2641" s="1" t="s">
        <v>17</v>
      </c>
      <c r="E2641" s="1" t="s">
        <v>18</v>
      </c>
      <c r="F2641" s="1" t="s">
        <v>19</v>
      </c>
      <c r="G2641" s="1" t="s">
        <v>20</v>
      </c>
      <c r="H2641" t="s">
        <v>21</v>
      </c>
      <c r="I2641" s="1" t="s">
        <v>22</v>
      </c>
      <c r="J2641" s="2">
        <v>43531.958287037036</v>
      </c>
      <c r="K2641" s="2">
        <v>43537.958287037036</v>
      </c>
      <c r="L2641" s="2">
        <v>43536.958287037036</v>
      </c>
      <c r="M2641" s="1">
        <f>_xlfn.DAYS(Table1[[#This Row],[actual_delivery_date]],Table1[[#This Row],[dispatch_date]])</f>
        <v>6</v>
      </c>
      <c r="N2641">
        <v>69</v>
      </c>
      <c r="O2641">
        <f>Table1[[#This Row],[transit_storage_cost]] * (1-'What -if Analysis'!$D$26)</f>
        <v>69</v>
      </c>
      <c r="P2641">
        <v>91</v>
      </c>
      <c r="Q2641">
        <v>1440.8983949530736</v>
      </c>
    </row>
    <row r="2642" spans="1:17" x14ac:dyDescent="0.3">
      <c r="A2642">
        <v>109881</v>
      </c>
      <c r="B2642" s="1" t="s">
        <v>41</v>
      </c>
      <c r="C2642" s="1" t="s">
        <v>23</v>
      </c>
      <c r="D2642" s="1" t="s">
        <v>17</v>
      </c>
      <c r="E2642" s="1" t="s">
        <v>18</v>
      </c>
      <c r="F2642" s="1" t="s">
        <v>19</v>
      </c>
      <c r="G2642" s="1" t="s">
        <v>20</v>
      </c>
      <c r="H2642" t="s">
        <v>30</v>
      </c>
      <c r="I2642" s="1" t="s">
        <v>26</v>
      </c>
      <c r="J2642" s="2">
        <v>43533.958287037036</v>
      </c>
      <c r="K2642" s="2">
        <v>43537.958287037036</v>
      </c>
      <c r="L2642" s="2">
        <v>43540.958287037036</v>
      </c>
      <c r="M2642" s="1">
        <f>_xlfn.DAYS(Table1[[#This Row],[actual_delivery_date]],Table1[[#This Row],[dispatch_date]])</f>
        <v>4</v>
      </c>
      <c r="N2642">
        <v>74</v>
      </c>
      <c r="O2642">
        <f>Table1[[#This Row],[transit_storage_cost]] * (1-'What -if Analysis'!$D$26)</f>
        <v>74</v>
      </c>
      <c r="P2642">
        <v>95</v>
      </c>
      <c r="Q2642">
        <v>3138.1446845211203</v>
      </c>
    </row>
    <row r="2643" spans="1:17" x14ac:dyDescent="0.3">
      <c r="A2643">
        <v>121512</v>
      </c>
      <c r="B2643" s="1" t="s">
        <v>41</v>
      </c>
      <c r="C2643" s="1" t="s">
        <v>16</v>
      </c>
      <c r="D2643" s="1" t="s">
        <v>16</v>
      </c>
      <c r="E2643" s="1" t="s">
        <v>27</v>
      </c>
      <c r="F2643" s="1" t="s">
        <v>19</v>
      </c>
      <c r="G2643" s="1" t="s">
        <v>20</v>
      </c>
      <c r="H2643" t="s">
        <v>21</v>
      </c>
      <c r="I2643" s="1" t="s">
        <v>26</v>
      </c>
      <c r="J2643" s="2">
        <v>43535.962118055555</v>
      </c>
      <c r="K2643" s="2">
        <v>43537.962118055555</v>
      </c>
      <c r="L2643" s="2">
        <v>43539.962118055555</v>
      </c>
      <c r="M2643" s="1">
        <f>_xlfn.DAYS(Table1[[#This Row],[actual_delivery_date]],Table1[[#This Row],[dispatch_date]])</f>
        <v>2</v>
      </c>
      <c r="N2643">
        <v>0</v>
      </c>
      <c r="O2643">
        <f>Table1[[#This Row],[transit_storage_cost]] * (1-'What -if Analysis'!$D$26)</f>
        <v>0</v>
      </c>
      <c r="P2643">
        <v>125</v>
      </c>
      <c r="Q2643">
        <v>2033.5137140351803</v>
      </c>
    </row>
    <row r="2644" spans="1:17" x14ac:dyDescent="0.3">
      <c r="A2644">
        <v>571925</v>
      </c>
      <c r="B2644" s="1" t="s">
        <v>37</v>
      </c>
      <c r="C2644" s="1" t="s">
        <v>23</v>
      </c>
      <c r="D2644" s="1" t="s">
        <v>24</v>
      </c>
      <c r="E2644" s="1" t="s">
        <v>25</v>
      </c>
      <c r="F2644" s="1" t="s">
        <v>29</v>
      </c>
      <c r="G2644" s="1" t="s">
        <v>20</v>
      </c>
      <c r="H2644" t="s">
        <v>30</v>
      </c>
      <c r="I2644" s="1" t="s">
        <v>22</v>
      </c>
      <c r="J2644" s="2">
        <v>43533.962418981479</v>
      </c>
      <c r="K2644" s="2">
        <v>43537.962418981479</v>
      </c>
      <c r="L2644" s="2">
        <v>43539.962418981479</v>
      </c>
      <c r="M2644" s="1">
        <f>_xlfn.DAYS(Table1[[#This Row],[actual_delivery_date]],Table1[[#This Row],[dispatch_date]])</f>
        <v>4</v>
      </c>
      <c r="N2644">
        <v>25</v>
      </c>
      <c r="O2644">
        <f>Table1[[#This Row],[transit_storage_cost]] * (1-'What -if Analysis'!$D$26)</f>
        <v>25</v>
      </c>
      <c r="P2644">
        <v>128</v>
      </c>
      <c r="Q2644">
        <v>1383</v>
      </c>
    </row>
    <row r="2645" spans="1:17" x14ac:dyDescent="0.3">
      <c r="A2645">
        <v>943548</v>
      </c>
      <c r="B2645" s="1" t="s">
        <v>40</v>
      </c>
      <c r="C2645" s="1" t="s">
        <v>23</v>
      </c>
      <c r="D2645" s="1" t="s">
        <v>17</v>
      </c>
      <c r="E2645" s="1" t="s">
        <v>18</v>
      </c>
      <c r="F2645" s="1" t="s">
        <v>19</v>
      </c>
      <c r="G2645" s="1" t="s">
        <v>20</v>
      </c>
      <c r="H2645" t="s">
        <v>21</v>
      </c>
      <c r="I2645" s="1" t="s">
        <v>26</v>
      </c>
      <c r="J2645" s="2">
        <v>43531.966099537036</v>
      </c>
      <c r="K2645" s="2">
        <v>43537.966099537036</v>
      </c>
      <c r="L2645" s="2">
        <v>43535.966099537036</v>
      </c>
      <c r="M2645" s="1">
        <f>_xlfn.DAYS(Table1[[#This Row],[actual_delivery_date]],Table1[[#This Row],[dispatch_date]])</f>
        <v>6</v>
      </c>
      <c r="N2645">
        <v>42</v>
      </c>
      <c r="O2645">
        <f>Table1[[#This Row],[transit_storage_cost]] * (1-'What -if Analysis'!$D$26)</f>
        <v>42</v>
      </c>
      <c r="P2645">
        <v>109</v>
      </c>
      <c r="Q2645">
        <v>2501.0532502326373</v>
      </c>
    </row>
    <row r="2646" spans="1:17" x14ac:dyDescent="0.3">
      <c r="A2646">
        <v>803682</v>
      </c>
      <c r="B2646" s="1" t="s">
        <v>40</v>
      </c>
      <c r="C2646" s="1" t="s">
        <v>16</v>
      </c>
      <c r="D2646" s="1" t="s">
        <v>16</v>
      </c>
      <c r="E2646" s="1" t="s">
        <v>27</v>
      </c>
      <c r="F2646" s="1" t="s">
        <v>19</v>
      </c>
      <c r="G2646" s="1" t="s">
        <v>20</v>
      </c>
      <c r="H2646" t="s">
        <v>21</v>
      </c>
      <c r="I2646" s="1" t="s">
        <v>26</v>
      </c>
      <c r="J2646" s="2">
        <v>43534.966527777775</v>
      </c>
      <c r="K2646" s="2">
        <v>43537.966527777775</v>
      </c>
      <c r="L2646" s="2">
        <v>43539.966527777775</v>
      </c>
      <c r="M2646" s="1">
        <f>_xlfn.DAYS(Table1[[#This Row],[actual_delivery_date]],Table1[[#This Row],[dispatch_date]])</f>
        <v>3</v>
      </c>
      <c r="N2646">
        <v>0</v>
      </c>
      <c r="O2646">
        <f>Table1[[#This Row],[transit_storage_cost]] * (1-'What -if Analysis'!$D$26)</f>
        <v>0</v>
      </c>
      <c r="P2646">
        <v>108</v>
      </c>
      <c r="Q2646">
        <v>3027.5341827552129</v>
      </c>
    </row>
    <row r="2647" spans="1:17" x14ac:dyDescent="0.3">
      <c r="A2647">
        <v>513121</v>
      </c>
      <c r="B2647" s="1" t="s">
        <v>15</v>
      </c>
      <c r="C2647" s="1" t="s">
        <v>16</v>
      </c>
      <c r="D2647" s="1" t="s">
        <v>24</v>
      </c>
      <c r="E2647" s="1" t="s">
        <v>25</v>
      </c>
      <c r="F2647" s="1" t="s">
        <v>19</v>
      </c>
      <c r="G2647" s="1" t="s">
        <v>20</v>
      </c>
      <c r="H2647" t="s">
        <v>34</v>
      </c>
      <c r="I2647" s="1" t="s">
        <v>22</v>
      </c>
      <c r="J2647" s="2">
        <v>43529.966828703706</v>
      </c>
      <c r="K2647" s="2">
        <v>43537.966828703706</v>
      </c>
      <c r="L2647" s="2">
        <v>43533.966828703706</v>
      </c>
      <c r="M2647" s="1">
        <f>_xlfn.DAYS(Table1[[#This Row],[actual_delivery_date]],Table1[[#This Row],[dispatch_date]])</f>
        <v>8</v>
      </c>
      <c r="N2647">
        <v>77</v>
      </c>
      <c r="O2647">
        <f>Table1[[#This Row],[transit_storage_cost]] * (1-'What -if Analysis'!$D$26)</f>
        <v>77</v>
      </c>
      <c r="P2647">
        <v>104</v>
      </c>
      <c r="Q2647">
        <v>552.03433371103893</v>
      </c>
    </row>
    <row r="2648" spans="1:17" x14ac:dyDescent="0.3">
      <c r="A2648">
        <v>98995</v>
      </c>
      <c r="B2648" s="1" t="s">
        <v>37</v>
      </c>
      <c r="C2648" s="1" t="s">
        <v>16</v>
      </c>
      <c r="D2648" s="1" t="s">
        <v>16</v>
      </c>
      <c r="E2648" s="1" t="s">
        <v>27</v>
      </c>
      <c r="F2648" s="1" t="s">
        <v>29</v>
      </c>
      <c r="G2648" s="1" t="s">
        <v>20</v>
      </c>
      <c r="H2648" t="s">
        <v>30</v>
      </c>
      <c r="I2648" s="1" t="s">
        <v>22</v>
      </c>
      <c r="J2648" s="2">
        <v>43534.967800925922</v>
      </c>
      <c r="K2648" s="2">
        <v>43537.967800925922</v>
      </c>
      <c r="L2648" s="2">
        <v>43539.967800925922</v>
      </c>
      <c r="M2648" s="1">
        <f>_xlfn.DAYS(Table1[[#This Row],[actual_delivery_date]],Table1[[#This Row],[dispatch_date]])</f>
        <v>3</v>
      </c>
      <c r="N2648">
        <v>0</v>
      </c>
      <c r="O2648">
        <f>Table1[[#This Row],[transit_storage_cost]] * (1-'What -if Analysis'!$D$26)</f>
        <v>0</v>
      </c>
      <c r="P2648">
        <v>121</v>
      </c>
      <c r="Q2648">
        <v>1985.6791253891488</v>
      </c>
    </row>
    <row r="2649" spans="1:17" x14ac:dyDescent="0.3">
      <c r="A2649">
        <v>202890</v>
      </c>
      <c r="B2649" s="1" t="s">
        <v>40</v>
      </c>
      <c r="C2649" s="1" t="s">
        <v>23</v>
      </c>
      <c r="D2649" s="1" t="s">
        <v>23</v>
      </c>
      <c r="E2649" s="1" t="s">
        <v>28</v>
      </c>
      <c r="F2649" s="1" t="s">
        <v>31</v>
      </c>
      <c r="G2649" s="1" t="s">
        <v>20</v>
      </c>
      <c r="H2649" t="s">
        <v>21</v>
      </c>
      <c r="I2649" s="1" t="s">
        <v>26</v>
      </c>
      <c r="J2649" s="2">
        <v>43534.970173611109</v>
      </c>
      <c r="K2649" s="2">
        <v>43537.970173611109</v>
      </c>
      <c r="L2649" s="2">
        <v>43539.970173611109</v>
      </c>
      <c r="M2649" s="1">
        <f>_xlfn.DAYS(Table1[[#This Row],[actual_delivery_date]],Table1[[#This Row],[dispatch_date]])</f>
        <v>3</v>
      </c>
      <c r="N2649">
        <v>0</v>
      </c>
      <c r="O2649">
        <f>Table1[[#This Row],[transit_storage_cost]] * (1-'What -if Analysis'!$D$26)</f>
        <v>0</v>
      </c>
      <c r="P2649">
        <v>121</v>
      </c>
      <c r="Q2649">
        <v>3523</v>
      </c>
    </row>
    <row r="2650" spans="1:17" x14ac:dyDescent="0.3">
      <c r="A2650">
        <v>440003</v>
      </c>
      <c r="B2650" s="1" t="s">
        <v>39</v>
      </c>
      <c r="C2650" s="1" t="s">
        <v>23</v>
      </c>
      <c r="D2650" s="1" t="s">
        <v>16</v>
      </c>
      <c r="E2650" s="1" t="s">
        <v>27</v>
      </c>
      <c r="F2650" s="1" t="s">
        <v>29</v>
      </c>
      <c r="G2650" s="1" t="s">
        <v>36</v>
      </c>
      <c r="H2650" t="s">
        <v>30</v>
      </c>
      <c r="I2650" s="1" t="s">
        <v>22</v>
      </c>
      <c r="J2650" s="2">
        <v>43530.974722222221</v>
      </c>
      <c r="K2650" s="2">
        <v>43537.974722222221</v>
      </c>
      <c r="L2650" s="2">
        <v>43535.974722222221</v>
      </c>
      <c r="M2650" s="1">
        <f>_xlfn.DAYS(Table1[[#This Row],[actual_delivery_date]],Table1[[#This Row],[dispatch_date]])</f>
        <v>7</v>
      </c>
      <c r="N2650">
        <v>42</v>
      </c>
      <c r="O2650">
        <f>Table1[[#This Row],[transit_storage_cost]] * (1-'What -if Analysis'!$D$26)</f>
        <v>42</v>
      </c>
      <c r="P2650">
        <v>120</v>
      </c>
      <c r="Q2650">
        <v>3260.8232846206033</v>
      </c>
    </row>
    <row r="2651" spans="1:17" x14ac:dyDescent="0.3">
      <c r="A2651">
        <v>222111</v>
      </c>
      <c r="B2651" s="1" t="s">
        <v>39</v>
      </c>
      <c r="C2651" s="1" t="s">
        <v>23</v>
      </c>
      <c r="D2651" s="1" t="s">
        <v>16</v>
      </c>
      <c r="E2651" s="1" t="s">
        <v>27</v>
      </c>
      <c r="F2651" s="1" t="s">
        <v>29</v>
      </c>
      <c r="G2651" s="1" t="s">
        <v>20</v>
      </c>
      <c r="H2651" t="s">
        <v>30</v>
      </c>
      <c r="I2651" s="1" t="s">
        <v>26</v>
      </c>
      <c r="J2651" s="2">
        <v>43531.975162037037</v>
      </c>
      <c r="K2651" s="2">
        <v>43537.975162037037</v>
      </c>
      <c r="L2651" s="2">
        <v>43537.975162037037</v>
      </c>
      <c r="M2651" s="1">
        <f>_xlfn.DAYS(Table1[[#This Row],[actual_delivery_date]],Table1[[#This Row],[dispatch_date]])</f>
        <v>6</v>
      </c>
      <c r="N2651">
        <v>38</v>
      </c>
      <c r="O2651">
        <f>Table1[[#This Row],[transit_storage_cost]] * (1-'What -if Analysis'!$D$26)</f>
        <v>38</v>
      </c>
      <c r="P2651">
        <v>120</v>
      </c>
      <c r="Q2651">
        <v>2440</v>
      </c>
    </row>
    <row r="2652" spans="1:17" x14ac:dyDescent="0.3">
      <c r="A2652">
        <v>1518</v>
      </c>
      <c r="B2652" s="1" t="s">
        <v>15</v>
      </c>
      <c r="C2652" s="1" t="s">
        <v>23</v>
      </c>
      <c r="D2652" s="1" t="s">
        <v>16</v>
      </c>
      <c r="E2652" s="1" t="s">
        <v>27</v>
      </c>
      <c r="F2652" s="1" t="s">
        <v>19</v>
      </c>
      <c r="G2652" s="1" t="s">
        <v>20</v>
      </c>
      <c r="H2652" t="s">
        <v>21</v>
      </c>
      <c r="I2652" s="1" t="s">
        <v>26</v>
      </c>
      <c r="J2652" s="2">
        <v>43532.981539351851</v>
      </c>
      <c r="K2652" s="2">
        <v>43537.981539351851</v>
      </c>
      <c r="L2652" s="2">
        <v>43535.981539351851</v>
      </c>
      <c r="M2652" s="1">
        <f>_xlfn.DAYS(Table1[[#This Row],[actual_delivery_date]],Table1[[#This Row],[dispatch_date]])</f>
        <v>5</v>
      </c>
      <c r="N2652">
        <v>87</v>
      </c>
      <c r="O2652">
        <f>Table1[[#This Row],[transit_storage_cost]] * (1-'What -if Analysis'!$D$26)</f>
        <v>87</v>
      </c>
      <c r="P2652">
        <v>106</v>
      </c>
      <c r="Q2652">
        <v>2981.7327743424062</v>
      </c>
    </row>
    <row r="2653" spans="1:17" x14ac:dyDescent="0.3">
      <c r="A2653">
        <v>763977</v>
      </c>
      <c r="B2653" s="1" t="s">
        <v>41</v>
      </c>
      <c r="C2653" s="1" t="s">
        <v>16</v>
      </c>
      <c r="D2653" s="1" t="s">
        <v>16</v>
      </c>
      <c r="E2653" s="1" t="s">
        <v>27</v>
      </c>
      <c r="F2653" s="1" t="s">
        <v>19</v>
      </c>
      <c r="G2653" s="1" t="s">
        <v>20</v>
      </c>
      <c r="H2653" t="s">
        <v>30</v>
      </c>
      <c r="I2653" s="1" t="s">
        <v>26</v>
      </c>
      <c r="J2653" s="2">
        <v>43532.982245370367</v>
      </c>
      <c r="K2653" s="2">
        <v>43537.982245370367</v>
      </c>
      <c r="L2653" s="2">
        <v>43536.982245370367</v>
      </c>
      <c r="M2653" s="1">
        <f>_xlfn.DAYS(Table1[[#This Row],[actual_delivery_date]],Table1[[#This Row],[dispatch_date]])</f>
        <v>5</v>
      </c>
      <c r="N2653">
        <v>0</v>
      </c>
      <c r="O2653">
        <f>Table1[[#This Row],[transit_storage_cost]] * (1-'What -if Analysis'!$D$26)</f>
        <v>0</v>
      </c>
      <c r="P2653">
        <v>109</v>
      </c>
      <c r="Q2653">
        <v>2375</v>
      </c>
    </row>
    <row r="2654" spans="1:17" x14ac:dyDescent="0.3">
      <c r="A2654">
        <v>171886</v>
      </c>
      <c r="B2654" s="1" t="s">
        <v>41</v>
      </c>
      <c r="C2654" s="1" t="s">
        <v>16</v>
      </c>
      <c r="D2654" s="1" t="s">
        <v>16</v>
      </c>
      <c r="E2654" s="1" t="s">
        <v>27</v>
      </c>
      <c r="F2654" s="1" t="s">
        <v>31</v>
      </c>
      <c r="G2654" s="1" t="s">
        <v>20</v>
      </c>
      <c r="H2654" t="s">
        <v>21</v>
      </c>
      <c r="I2654" s="1" t="s">
        <v>22</v>
      </c>
      <c r="J2654" s="2">
        <v>43531.982314814813</v>
      </c>
      <c r="K2654" s="2">
        <v>43537.982314814813</v>
      </c>
      <c r="L2654" s="2">
        <v>43536.982314814813</v>
      </c>
      <c r="M2654" s="1">
        <f>_xlfn.DAYS(Table1[[#This Row],[actual_delivery_date]],Table1[[#This Row],[dispatch_date]])</f>
        <v>6</v>
      </c>
      <c r="N2654">
        <v>0</v>
      </c>
      <c r="O2654">
        <f>Table1[[#This Row],[transit_storage_cost]] * (1-'What -if Analysis'!$D$26)</f>
        <v>0</v>
      </c>
      <c r="P2654">
        <v>123</v>
      </c>
      <c r="Q2654">
        <v>715.08799542048405</v>
      </c>
    </row>
    <row r="2655" spans="1:17" x14ac:dyDescent="0.3">
      <c r="A2655">
        <v>333935</v>
      </c>
      <c r="B2655" s="1" t="s">
        <v>38</v>
      </c>
      <c r="C2655" s="1" t="s">
        <v>16</v>
      </c>
      <c r="D2655" s="1" t="s">
        <v>17</v>
      </c>
      <c r="E2655" s="1" t="s">
        <v>18</v>
      </c>
      <c r="F2655" s="1" t="s">
        <v>19</v>
      </c>
      <c r="G2655" s="1" t="s">
        <v>20</v>
      </c>
      <c r="H2655" t="s">
        <v>34</v>
      </c>
      <c r="I2655" s="1" t="s">
        <v>22</v>
      </c>
      <c r="J2655" s="2">
        <v>43531.982928240737</v>
      </c>
      <c r="K2655" s="2">
        <v>43537.982928240737</v>
      </c>
      <c r="L2655" s="2">
        <v>43537.982928240737</v>
      </c>
      <c r="M2655" s="1">
        <f>_xlfn.DAYS(Table1[[#This Row],[actual_delivery_date]],Table1[[#This Row],[dispatch_date]])</f>
        <v>6</v>
      </c>
      <c r="N2655">
        <v>65</v>
      </c>
      <c r="O2655">
        <f>Table1[[#This Row],[transit_storage_cost]] * (1-'What -if Analysis'!$D$26)</f>
        <v>65</v>
      </c>
      <c r="P2655">
        <v>93</v>
      </c>
      <c r="Q2655">
        <v>2913.990880746233</v>
      </c>
    </row>
    <row r="2656" spans="1:17" x14ac:dyDescent="0.3">
      <c r="A2656">
        <v>9569</v>
      </c>
      <c r="B2656" s="1" t="s">
        <v>38</v>
      </c>
      <c r="C2656" s="1" t="s">
        <v>16</v>
      </c>
      <c r="D2656" s="1" t="s">
        <v>17</v>
      </c>
      <c r="E2656" s="1" t="s">
        <v>18</v>
      </c>
      <c r="F2656" s="1" t="s">
        <v>29</v>
      </c>
      <c r="G2656" s="1" t="s">
        <v>20</v>
      </c>
      <c r="H2656" t="s">
        <v>34</v>
      </c>
      <c r="I2656" s="1" t="s">
        <v>22</v>
      </c>
      <c r="J2656" s="2">
        <v>43529.988287037035</v>
      </c>
      <c r="K2656" s="2">
        <v>43537.988287037035</v>
      </c>
      <c r="L2656" s="2">
        <v>43534.988287037035</v>
      </c>
      <c r="M2656" s="1">
        <f>_xlfn.DAYS(Table1[[#This Row],[actual_delivery_date]],Table1[[#This Row],[dispatch_date]])</f>
        <v>8</v>
      </c>
      <c r="N2656">
        <v>50</v>
      </c>
      <c r="O2656">
        <f>Table1[[#This Row],[transit_storage_cost]] * (1-'What -if Analysis'!$D$26)</f>
        <v>50</v>
      </c>
      <c r="P2656">
        <v>109</v>
      </c>
      <c r="Q2656">
        <v>2210.2504309140154</v>
      </c>
    </row>
    <row r="2657" spans="1:17" x14ac:dyDescent="0.3">
      <c r="A2657">
        <v>475639</v>
      </c>
      <c r="B2657" s="1" t="s">
        <v>41</v>
      </c>
      <c r="C2657" s="1" t="s">
        <v>23</v>
      </c>
      <c r="D2657" s="1" t="s">
        <v>16</v>
      </c>
      <c r="E2657" s="1" t="s">
        <v>27</v>
      </c>
      <c r="F2657" s="1" t="s">
        <v>19</v>
      </c>
      <c r="G2657" s="1" t="s">
        <v>20</v>
      </c>
      <c r="H2657" t="s">
        <v>30</v>
      </c>
      <c r="I2657" s="1" t="s">
        <v>22</v>
      </c>
      <c r="J2657" s="2">
        <v>43534.998935185184</v>
      </c>
      <c r="K2657" s="2">
        <v>43537.998935185184</v>
      </c>
      <c r="L2657" s="2">
        <v>43538.998935185184</v>
      </c>
      <c r="M2657" s="1">
        <f>_xlfn.DAYS(Table1[[#This Row],[actual_delivery_date]],Table1[[#This Row],[dispatch_date]])</f>
        <v>3</v>
      </c>
      <c r="N2657">
        <v>76</v>
      </c>
      <c r="O2657">
        <f>Table1[[#This Row],[transit_storage_cost]] * (1-'What -if Analysis'!$D$26)</f>
        <v>76</v>
      </c>
      <c r="P2657">
        <v>101</v>
      </c>
      <c r="Q2657">
        <v>3741.2395786379807</v>
      </c>
    </row>
    <row r="2658" spans="1:17" x14ac:dyDescent="0.3">
      <c r="A2658">
        <v>817899</v>
      </c>
      <c r="B2658" s="1" t="s">
        <v>38</v>
      </c>
      <c r="C2658" s="1" t="s">
        <v>16</v>
      </c>
      <c r="D2658" s="1" t="s">
        <v>17</v>
      </c>
      <c r="E2658" s="1" t="s">
        <v>18</v>
      </c>
      <c r="F2658" s="1" t="s">
        <v>19</v>
      </c>
      <c r="G2658" s="1" t="s">
        <v>20</v>
      </c>
      <c r="H2658" t="s">
        <v>30</v>
      </c>
      <c r="I2658" s="1" t="s">
        <v>26</v>
      </c>
      <c r="J2658" s="2">
        <v>43533.000034722223</v>
      </c>
      <c r="K2658" s="2">
        <v>43538.000034722223</v>
      </c>
      <c r="L2658" s="2">
        <v>43538.000034722223</v>
      </c>
      <c r="M2658" s="1">
        <f>_xlfn.DAYS(Table1[[#This Row],[actual_delivery_date]],Table1[[#This Row],[dispatch_date]])</f>
        <v>5</v>
      </c>
      <c r="N2658">
        <v>73</v>
      </c>
      <c r="O2658">
        <f>Table1[[#This Row],[transit_storage_cost]] * (1-'What -if Analysis'!$D$26)</f>
        <v>73</v>
      </c>
      <c r="P2658">
        <v>89</v>
      </c>
      <c r="Q2658">
        <v>608.56804579884715</v>
      </c>
    </row>
    <row r="2659" spans="1:17" x14ac:dyDescent="0.3">
      <c r="A2659">
        <v>474599</v>
      </c>
      <c r="B2659" s="1" t="s">
        <v>41</v>
      </c>
      <c r="C2659" s="1" t="s">
        <v>16</v>
      </c>
      <c r="D2659" s="1" t="s">
        <v>32</v>
      </c>
      <c r="E2659" s="1" t="s">
        <v>33</v>
      </c>
      <c r="F2659" s="1" t="s">
        <v>29</v>
      </c>
      <c r="G2659" s="1" t="s">
        <v>20</v>
      </c>
      <c r="H2659" t="s">
        <v>30</v>
      </c>
      <c r="I2659" s="1" t="s">
        <v>22</v>
      </c>
      <c r="J2659" s="2">
        <v>43535.00104166667</v>
      </c>
      <c r="K2659" s="2">
        <v>43538.00104166667</v>
      </c>
      <c r="L2659" s="2">
        <v>43538.00104166667</v>
      </c>
      <c r="M2659" s="1">
        <f>_xlfn.DAYS(Table1[[#This Row],[actual_delivery_date]],Table1[[#This Row],[dispatch_date]])</f>
        <v>3</v>
      </c>
      <c r="N2659">
        <v>36</v>
      </c>
      <c r="O2659">
        <f>Table1[[#This Row],[transit_storage_cost]] * (1-'What -if Analysis'!$D$26)</f>
        <v>36</v>
      </c>
      <c r="P2659">
        <v>110</v>
      </c>
      <c r="Q2659">
        <v>1842.4825576455553</v>
      </c>
    </row>
    <row r="2660" spans="1:17" x14ac:dyDescent="0.3">
      <c r="A2660">
        <v>913010</v>
      </c>
      <c r="B2660" s="1" t="s">
        <v>37</v>
      </c>
      <c r="C2660" s="1" t="s">
        <v>16</v>
      </c>
      <c r="D2660" s="1" t="s">
        <v>16</v>
      </c>
      <c r="E2660" s="1" t="s">
        <v>27</v>
      </c>
      <c r="F2660" s="1" t="s">
        <v>31</v>
      </c>
      <c r="G2660" s="1" t="s">
        <v>20</v>
      </c>
      <c r="H2660" t="s">
        <v>21</v>
      </c>
      <c r="I2660" s="1" t="s">
        <v>22</v>
      </c>
      <c r="J2660" s="2">
        <v>43533.001284722224</v>
      </c>
      <c r="K2660" s="2">
        <v>43538.001284722224</v>
      </c>
      <c r="L2660" s="2">
        <v>43538.001284722224</v>
      </c>
      <c r="M2660" s="1">
        <f>_xlfn.DAYS(Table1[[#This Row],[actual_delivery_date]],Table1[[#This Row],[dispatch_date]])</f>
        <v>5</v>
      </c>
      <c r="N2660">
        <v>0</v>
      </c>
      <c r="O2660">
        <f>Table1[[#This Row],[transit_storage_cost]] * (1-'What -if Analysis'!$D$26)</f>
        <v>0</v>
      </c>
      <c r="P2660">
        <v>125</v>
      </c>
      <c r="Q2660">
        <v>743.41980435774428</v>
      </c>
    </row>
    <row r="2661" spans="1:17" x14ac:dyDescent="0.3">
      <c r="A2661">
        <v>991809</v>
      </c>
      <c r="B2661" s="1" t="s">
        <v>38</v>
      </c>
      <c r="C2661" s="1" t="s">
        <v>23</v>
      </c>
      <c r="D2661" s="1" t="s">
        <v>32</v>
      </c>
      <c r="E2661" s="1" t="s">
        <v>33</v>
      </c>
      <c r="F2661" s="1" t="s">
        <v>19</v>
      </c>
      <c r="G2661" s="1" t="s">
        <v>20</v>
      </c>
      <c r="H2661" t="s">
        <v>34</v>
      </c>
      <c r="I2661" s="1" t="s">
        <v>26</v>
      </c>
      <c r="J2661" s="2">
        <v>43530.002939814818</v>
      </c>
      <c r="K2661" s="2">
        <v>43538.002939814818</v>
      </c>
      <c r="L2661" s="2">
        <v>43534.002939814818</v>
      </c>
      <c r="M2661" s="1">
        <f>_xlfn.DAYS(Table1[[#This Row],[actual_delivery_date]],Table1[[#This Row],[dispatch_date]])</f>
        <v>8</v>
      </c>
      <c r="N2661">
        <v>69</v>
      </c>
      <c r="O2661">
        <f>Table1[[#This Row],[transit_storage_cost]] * (1-'What -if Analysis'!$D$26)</f>
        <v>69</v>
      </c>
      <c r="P2661">
        <v>87</v>
      </c>
      <c r="Q2661">
        <v>1455.12</v>
      </c>
    </row>
    <row r="2662" spans="1:17" x14ac:dyDescent="0.3">
      <c r="A2662">
        <v>22140</v>
      </c>
      <c r="B2662" s="1" t="s">
        <v>40</v>
      </c>
      <c r="C2662" s="1" t="s">
        <v>23</v>
      </c>
      <c r="D2662" s="1" t="s">
        <v>17</v>
      </c>
      <c r="E2662" s="1" t="s">
        <v>18</v>
      </c>
      <c r="F2662" s="1" t="s">
        <v>19</v>
      </c>
      <c r="G2662" s="1" t="s">
        <v>20</v>
      </c>
      <c r="H2662" t="s">
        <v>21</v>
      </c>
      <c r="I2662" s="1" t="s">
        <v>26</v>
      </c>
      <c r="J2662" s="2">
        <v>43536.005219907405</v>
      </c>
      <c r="K2662" s="2">
        <v>43538.005219907405</v>
      </c>
      <c r="L2662" s="2">
        <v>43541.005219907405</v>
      </c>
      <c r="M2662" s="1">
        <f>_xlfn.DAYS(Table1[[#This Row],[actual_delivery_date]],Table1[[#This Row],[dispatch_date]])</f>
        <v>2</v>
      </c>
      <c r="N2662">
        <v>58</v>
      </c>
      <c r="O2662">
        <f>Table1[[#This Row],[transit_storage_cost]] * (1-'What -if Analysis'!$D$26)</f>
        <v>58</v>
      </c>
      <c r="P2662">
        <v>93</v>
      </c>
      <c r="Q2662">
        <v>2807.2727602416162</v>
      </c>
    </row>
    <row r="2663" spans="1:17" x14ac:dyDescent="0.3">
      <c r="A2663">
        <v>931131</v>
      </c>
      <c r="B2663" s="1" t="s">
        <v>37</v>
      </c>
      <c r="C2663" s="1" t="s">
        <v>16</v>
      </c>
      <c r="D2663" s="1" t="s">
        <v>17</v>
      </c>
      <c r="E2663" s="1" t="s">
        <v>18</v>
      </c>
      <c r="F2663" s="1" t="s">
        <v>29</v>
      </c>
      <c r="G2663" s="1" t="s">
        <v>20</v>
      </c>
      <c r="H2663" t="s">
        <v>30</v>
      </c>
      <c r="I2663" s="1" t="s">
        <v>26</v>
      </c>
      <c r="J2663" s="2">
        <v>43532.005243055559</v>
      </c>
      <c r="K2663" s="2">
        <v>43538.005243055559</v>
      </c>
      <c r="L2663" s="2">
        <v>43539.005243055559</v>
      </c>
      <c r="M2663" s="1">
        <f>_xlfn.DAYS(Table1[[#This Row],[actual_delivery_date]],Table1[[#This Row],[dispatch_date]])</f>
        <v>6</v>
      </c>
      <c r="N2663">
        <v>45</v>
      </c>
      <c r="O2663">
        <f>Table1[[#This Row],[transit_storage_cost]] * (1-'What -if Analysis'!$D$26)</f>
        <v>45</v>
      </c>
      <c r="P2663">
        <v>111</v>
      </c>
      <c r="Q2663">
        <v>2869.3561431733101</v>
      </c>
    </row>
    <row r="2664" spans="1:17" x14ac:dyDescent="0.3">
      <c r="A2664">
        <v>336730</v>
      </c>
      <c r="B2664" s="1" t="s">
        <v>38</v>
      </c>
      <c r="C2664" s="1" t="s">
        <v>23</v>
      </c>
      <c r="D2664" s="1" t="s">
        <v>24</v>
      </c>
      <c r="E2664" s="1" t="s">
        <v>25</v>
      </c>
      <c r="F2664" s="1" t="s">
        <v>19</v>
      </c>
      <c r="G2664" s="1" t="s">
        <v>20</v>
      </c>
      <c r="H2664" t="s">
        <v>21</v>
      </c>
      <c r="I2664" s="1" t="s">
        <v>22</v>
      </c>
      <c r="J2664" s="2">
        <v>43530.005636574075</v>
      </c>
      <c r="K2664" s="2">
        <v>43538.005636574075</v>
      </c>
      <c r="L2664" s="2">
        <v>43533.005636574075</v>
      </c>
      <c r="M2664" s="1">
        <f>_xlfn.DAYS(Table1[[#This Row],[actual_delivery_date]],Table1[[#This Row],[dispatch_date]])</f>
        <v>8</v>
      </c>
      <c r="N2664">
        <v>82</v>
      </c>
      <c r="O2664">
        <f>Table1[[#This Row],[transit_storage_cost]] * (1-'What -if Analysis'!$D$26)</f>
        <v>82</v>
      </c>
      <c r="P2664">
        <v>102</v>
      </c>
      <c r="Q2664">
        <v>2232.0297801872312</v>
      </c>
    </row>
    <row r="2665" spans="1:17" x14ac:dyDescent="0.3">
      <c r="A2665">
        <v>881099</v>
      </c>
      <c r="B2665" s="1" t="s">
        <v>39</v>
      </c>
      <c r="C2665" s="1" t="s">
        <v>16</v>
      </c>
      <c r="D2665" s="1" t="s">
        <v>17</v>
      </c>
      <c r="E2665" s="1" t="s">
        <v>18</v>
      </c>
      <c r="F2665" s="1" t="s">
        <v>29</v>
      </c>
      <c r="G2665" s="1" t="s">
        <v>20</v>
      </c>
      <c r="H2665" t="s">
        <v>30</v>
      </c>
      <c r="I2665" s="1" t="s">
        <v>22</v>
      </c>
      <c r="J2665" s="2">
        <v>43531.01363425926</v>
      </c>
      <c r="K2665" s="2">
        <v>43538.01363425926</v>
      </c>
      <c r="L2665" s="2">
        <v>43536.01363425926</v>
      </c>
      <c r="M2665" s="1">
        <f>_xlfn.DAYS(Table1[[#This Row],[actual_delivery_date]],Table1[[#This Row],[dispatch_date]])</f>
        <v>7</v>
      </c>
      <c r="N2665">
        <v>34</v>
      </c>
      <c r="O2665">
        <f>Table1[[#This Row],[transit_storage_cost]] * (1-'What -if Analysis'!$D$26)</f>
        <v>34</v>
      </c>
      <c r="P2665">
        <v>115</v>
      </c>
      <c r="Q2665">
        <v>3413.7379843294061</v>
      </c>
    </row>
    <row r="2666" spans="1:17" x14ac:dyDescent="0.3">
      <c r="A2666">
        <v>667243</v>
      </c>
      <c r="B2666" s="1" t="s">
        <v>39</v>
      </c>
      <c r="C2666" s="1" t="s">
        <v>16</v>
      </c>
      <c r="D2666" s="1" t="s">
        <v>17</v>
      </c>
      <c r="E2666" s="1" t="s">
        <v>18</v>
      </c>
      <c r="F2666" s="1" t="s">
        <v>19</v>
      </c>
      <c r="G2666" s="1" t="s">
        <v>20</v>
      </c>
      <c r="H2666" t="s">
        <v>30</v>
      </c>
      <c r="I2666" s="1" t="s">
        <v>22</v>
      </c>
      <c r="J2666" s="2">
        <v>43533.014456018522</v>
      </c>
      <c r="K2666" s="2">
        <v>43538.014456018522</v>
      </c>
      <c r="L2666" s="2">
        <v>43537.014456018522</v>
      </c>
      <c r="M2666" s="1">
        <f>_xlfn.DAYS(Table1[[#This Row],[actual_delivery_date]],Table1[[#This Row],[dispatch_date]])</f>
        <v>5</v>
      </c>
      <c r="N2666">
        <v>69</v>
      </c>
      <c r="O2666">
        <f>Table1[[#This Row],[transit_storage_cost]] * (1-'What -if Analysis'!$D$26)</f>
        <v>69</v>
      </c>
      <c r="P2666">
        <v>92</v>
      </c>
      <c r="Q2666">
        <v>2254.9612632783892</v>
      </c>
    </row>
    <row r="2667" spans="1:17" x14ac:dyDescent="0.3">
      <c r="A2667">
        <v>969959</v>
      </c>
      <c r="B2667" s="1" t="s">
        <v>41</v>
      </c>
      <c r="C2667" s="1" t="s">
        <v>16</v>
      </c>
      <c r="D2667" s="1" t="s">
        <v>24</v>
      </c>
      <c r="E2667" s="1" t="s">
        <v>25</v>
      </c>
      <c r="F2667" s="1" t="s">
        <v>29</v>
      </c>
      <c r="G2667" s="1" t="s">
        <v>20</v>
      </c>
      <c r="H2667" t="s">
        <v>30</v>
      </c>
      <c r="I2667" s="1" t="s">
        <v>22</v>
      </c>
      <c r="J2667" s="2">
        <v>43532.026018518518</v>
      </c>
      <c r="K2667" s="2">
        <v>43538.026018518518</v>
      </c>
      <c r="L2667" s="2">
        <v>43539.026018518518</v>
      </c>
      <c r="M2667" s="1">
        <f>_xlfn.DAYS(Table1[[#This Row],[actual_delivery_date]],Table1[[#This Row],[dispatch_date]])</f>
        <v>6</v>
      </c>
      <c r="N2667">
        <v>36</v>
      </c>
      <c r="O2667">
        <f>Table1[[#This Row],[transit_storage_cost]] * (1-'What -if Analysis'!$D$26)</f>
        <v>36</v>
      </c>
      <c r="P2667">
        <v>125</v>
      </c>
      <c r="Q2667">
        <v>3171</v>
      </c>
    </row>
    <row r="2668" spans="1:17" x14ac:dyDescent="0.3">
      <c r="A2668">
        <v>784613</v>
      </c>
      <c r="B2668" s="1" t="s">
        <v>39</v>
      </c>
      <c r="C2668" s="1" t="s">
        <v>23</v>
      </c>
      <c r="D2668" s="1" t="s">
        <v>17</v>
      </c>
      <c r="E2668" s="1" t="s">
        <v>18</v>
      </c>
      <c r="F2668" s="1" t="s">
        <v>29</v>
      </c>
      <c r="G2668" s="1" t="s">
        <v>20</v>
      </c>
      <c r="H2668" t="s">
        <v>30</v>
      </c>
      <c r="I2668" s="1" t="s">
        <v>22</v>
      </c>
      <c r="J2668" s="2">
        <v>43533.028194444443</v>
      </c>
      <c r="K2668" s="2">
        <v>43538.028194444443</v>
      </c>
      <c r="L2668" s="2">
        <v>43539.028194444443</v>
      </c>
      <c r="M2668" s="1">
        <f>_xlfn.DAYS(Table1[[#This Row],[actual_delivery_date]],Table1[[#This Row],[dispatch_date]])</f>
        <v>5</v>
      </c>
      <c r="N2668">
        <v>30</v>
      </c>
      <c r="O2668">
        <f>Table1[[#This Row],[transit_storage_cost]] * (1-'What -if Analysis'!$D$26)</f>
        <v>30</v>
      </c>
      <c r="P2668">
        <v>106</v>
      </c>
      <c r="Q2668">
        <v>3094.6075868523494</v>
      </c>
    </row>
    <row r="2669" spans="1:17" x14ac:dyDescent="0.3">
      <c r="A2669">
        <v>111931</v>
      </c>
      <c r="B2669" s="1" t="s">
        <v>15</v>
      </c>
      <c r="C2669" s="1" t="s">
        <v>16</v>
      </c>
      <c r="D2669" s="1" t="s">
        <v>24</v>
      </c>
      <c r="E2669" s="1" t="s">
        <v>25</v>
      </c>
      <c r="F2669" s="1" t="s">
        <v>29</v>
      </c>
      <c r="G2669" s="1" t="s">
        <v>20</v>
      </c>
      <c r="H2669" t="s">
        <v>30</v>
      </c>
      <c r="I2669" s="1" t="s">
        <v>22</v>
      </c>
      <c r="J2669" s="2">
        <v>43535.031747685185</v>
      </c>
      <c r="K2669" s="2">
        <v>43538.031747685185</v>
      </c>
      <c r="L2669" s="2">
        <v>43541.031747685185</v>
      </c>
      <c r="M2669" s="1">
        <f>_xlfn.DAYS(Table1[[#This Row],[actual_delivery_date]],Table1[[#This Row],[dispatch_date]])</f>
        <v>3</v>
      </c>
      <c r="N2669">
        <v>27</v>
      </c>
      <c r="O2669">
        <f>Table1[[#This Row],[transit_storage_cost]] * (1-'What -if Analysis'!$D$26)</f>
        <v>27</v>
      </c>
      <c r="P2669">
        <v>126</v>
      </c>
      <c r="Q2669">
        <v>2615</v>
      </c>
    </row>
    <row r="2670" spans="1:17" x14ac:dyDescent="0.3">
      <c r="A2670">
        <v>64809</v>
      </c>
      <c r="B2670" s="1" t="s">
        <v>15</v>
      </c>
      <c r="C2670" s="1" t="s">
        <v>16</v>
      </c>
      <c r="D2670" s="1" t="s">
        <v>24</v>
      </c>
      <c r="E2670" s="1" t="s">
        <v>25</v>
      </c>
      <c r="F2670" s="1" t="s">
        <v>29</v>
      </c>
      <c r="G2670" s="1" t="s">
        <v>20</v>
      </c>
      <c r="H2670" t="s">
        <v>30</v>
      </c>
      <c r="I2670" s="1" t="s">
        <v>26</v>
      </c>
      <c r="J2670" s="2">
        <v>43533.040011574078</v>
      </c>
      <c r="K2670" s="2">
        <v>43538.040011574078</v>
      </c>
      <c r="L2670" s="2">
        <v>43539.040011574078</v>
      </c>
      <c r="M2670" s="1">
        <f>_xlfn.DAYS(Table1[[#This Row],[actual_delivery_date]],Table1[[#This Row],[dispatch_date]])</f>
        <v>5</v>
      </c>
      <c r="N2670">
        <v>25</v>
      </c>
      <c r="O2670">
        <f>Table1[[#This Row],[transit_storage_cost]] * (1-'What -if Analysis'!$D$26)</f>
        <v>25</v>
      </c>
      <c r="P2670">
        <v>121</v>
      </c>
      <c r="Q2670">
        <v>936.31598715175039</v>
      </c>
    </row>
    <row r="2671" spans="1:17" x14ac:dyDescent="0.3">
      <c r="A2671">
        <v>774048</v>
      </c>
      <c r="B2671" s="1" t="s">
        <v>38</v>
      </c>
      <c r="C2671" s="1" t="s">
        <v>23</v>
      </c>
      <c r="D2671" s="1" t="s">
        <v>24</v>
      </c>
      <c r="E2671" s="1" t="s">
        <v>25</v>
      </c>
      <c r="F2671" s="1" t="s">
        <v>19</v>
      </c>
      <c r="G2671" s="1" t="s">
        <v>20</v>
      </c>
      <c r="H2671" t="s">
        <v>21</v>
      </c>
      <c r="I2671" s="1" t="s">
        <v>26</v>
      </c>
      <c r="J2671" s="2">
        <v>43528.044895833336</v>
      </c>
      <c r="K2671" s="2">
        <v>43538.044895833336</v>
      </c>
      <c r="L2671" s="2">
        <v>43533.044895833336</v>
      </c>
      <c r="M2671" s="1">
        <f>_xlfn.DAYS(Table1[[#This Row],[actual_delivery_date]],Table1[[#This Row],[dispatch_date]])</f>
        <v>10</v>
      </c>
      <c r="N2671">
        <v>44</v>
      </c>
      <c r="O2671">
        <f>Table1[[#This Row],[transit_storage_cost]] * (1-'What -if Analysis'!$D$26)</f>
        <v>44</v>
      </c>
      <c r="P2671">
        <v>122</v>
      </c>
      <c r="Q2671">
        <v>2399.83</v>
      </c>
    </row>
    <row r="2672" spans="1:17" x14ac:dyDescent="0.3">
      <c r="A2672">
        <v>996336</v>
      </c>
      <c r="B2672" s="1" t="s">
        <v>15</v>
      </c>
      <c r="C2672" s="1" t="s">
        <v>16</v>
      </c>
      <c r="D2672" s="1" t="s">
        <v>16</v>
      </c>
      <c r="E2672" s="1" t="s">
        <v>27</v>
      </c>
      <c r="F2672" s="1" t="s">
        <v>19</v>
      </c>
      <c r="G2672" s="1" t="s">
        <v>20</v>
      </c>
      <c r="H2672" t="s">
        <v>21</v>
      </c>
      <c r="I2672" s="1" t="s">
        <v>26</v>
      </c>
      <c r="J2672" s="2">
        <v>43536.046979166669</v>
      </c>
      <c r="K2672" s="2">
        <v>43538.046979166669</v>
      </c>
      <c r="L2672" s="2">
        <v>43541.046979166669</v>
      </c>
      <c r="M2672" s="1">
        <f>_xlfn.DAYS(Table1[[#This Row],[actual_delivery_date]],Table1[[#This Row],[dispatch_date]])</f>
        <v>2</v>
      </c>
      <c r="N2672">
        <v>0</v>
      </c>
      <c r="O2672">
        <f>Table1[[#This Row],[transit_storage_cost]] * (1-'What -if Analysis'!$D$26)</f>
        <v>0</v>
      </c>
      <c r="P2672">
        <v>124</v>
      </c>
      <c r="Q2672">
        <v>2622.086007277539</v>
      </c>
    </row>
    <row r="2673" spans="1:17" x14ac:dyDescent="0.3">
      <c r="A2673">
        <v>613687</v>
      </c>
      <c r="B2673" s="1" t="s">
        <v>15</v>
      </c>
      <c r="C2673" s="1" t="s">
        <v>16</v>
      </c>
      <c r="D2673" s="1" t="s">
        <v>32</v>
      </c>
      <c r="E2673" s="1" t="s">
        <v>33</v>
      </c>
      <c r="F2673" s="1" t="s">
        <v>29</v>
      </c>
      <c r="G2673" s="1" t="s">
        <v>20</v>
      </c>
      <c r="H2673" t="s">
        <v>30</v>
      </c>
      <c r="I2673" s="1" t="s">
        <v>22</v>
      </c>
      <c r="J2673" s="2">
        <v>43536.052199074074</v>
      </c>
      <c r="K2673" s="2">
        <v>43538.052199074074</v>
      </c>
      <c r="L2673" s="2">
        <v>43539.052199074074</v>
      </c>
      <c r="M2673" s="1">
        <f>_xlfn.DAYS(Table1[[#This Row],[actual_delivery_date]],Table1[[#This Row],[dispatch_date]])</f>
        <v>2</v>
      </c>
      <c r="N2673">
        <v>33</v>
      </c>
      <c r="O2673">
        <f>Table1[[#This Row],[transit_storage_cost]] * (1-'What -if Analysis'!$D$26)</f>
        <v>33</v>
      </c>
      <c r="P2673">
        <v>111</v>
      </c>
      <c r="Q2673">
        <v>3415</v>
      </c>
    </row>
    <row r="2674" spans="1:17" x14ac:dyDescent="0.3">
      <c r="A2674">
        <v>220948</v>
      </c>
      <c r="B2674" s="1" t="s">
        <v>40</v>
      </c>
      <c r="C2674" s="1" t="s">
        <v>23</v>
      </c>
      <c r="D2674" s="1" t="s">
        <v>24</v>
      </c>
      <c r="E2674" s="1" t="s">
        <v>25</v>
      </c>
      <c r="F2674" s="1" t="s">
        <v>19</v>
      </c>
      <c r="G2674" s="1" t="s">
        <v>20</v>
      </c>
      <c r="H2674" t="s">
        <v>21</v>
      </c>
      <c r="I2674" s="1" t="s">
        <v>22</v>
      </c>
      <c r="J2674" s="2">
        <v>43530.052534722221</v>
      </c>
      <c r="K2674" s="2">
        <v>43538.052534722221</v>
      </c>
      <c r="L2674" s="2">
        <v>43535.052534722221</v>
      </c>
      <c r="M2674" s="1">
        <f>_xlfn.DAYS(Table1[[#This Row],[actual_delivery_date]],Table1[[#This Row],[dispatch_date]])</f>
        <v>8</v>
      </c>
      <c r="N2674">
        <v>43</v>
      </c>
      <c r="O2674">
        <f>Table1[[#This Row],[transit_storage_cost]] * (1-'What -if Analysis'!$D$26)</f>
        <v>43</v>
      </c>
      <c r="P2674">
        <v>130</v>
      </c>
      <c r="Q2674">
        <v>3618.2069935585728</v>
      </c>
    </row>
    <row r="2675" spans="1:17" x14ac:dyDescent="0.3">
      <c r="A2675">
        <v>465258</v>
      </c>
      <c r="B2675" s="1" t="s">
        <v>37</v>
      </c>
      <c r="C2675" s="1" t="s">
        <v>16</v>
      </c>
      <c r="D2675" s="1" t="s">
        <v>24</v>
      </c>
      <c r="E2675" s="1" t="s">
        <v>25</v>
      </c>
      <c r="F2675" s="1" t="s">
        <v>31</v>
      </c>
      <c r="G2675" s="1" t="s">
        <v>20</v>
      </c>
      <c r="H2675" t="s">
        <v>21</v>
      </c>
      <c r="I2675" s="1" t="s">
        <v>26</v>
      </c>
      <c r="J2675" s="2">
        <v>43536.054594907408</v>
      </c>
      <c r="K2675" s="2">
        <v>43538.054594907408</v>
      </c>
      <c r="L2675" s="2">
        <v>43540.054594907408</v>
      </c>
      <c r="M2675" s="1">
        <f>_xlfn.DAYS(Table1[[#This Row],[actual_delivery_date]],Table1[[#This Row],[dispatch_date]])</f>
        <v>2</v>
      </c>
      <c r="N2675">
        <v>31</v>
      </c>
      <c r="O2675">
        <f>Table1[[#This Row],[transit_storage_cost]] * (1-'What -if Analysis'!$D$26)</f>
        <v>31</v>
      </c>
      <c r="P2675">
        <v>120</v>
      </c>
      <c r="Q2675">
        <v>749.17971709846165</v>
      </c>
    </row>
    <row r="2676" spans="1:17" x14ac:dyDescent="0.3">
      <c r="A2676">
        <v>818157</v>
      </c>
      <c r="B2676" s="1" t="s">
        <v>37</v>
      </c>
      <c r="C2676" s="1" t="s">
        <v>16</v>
      </c>
      <c r="D2676" s="1" t="s">
        <v>17</v>
      </c>
      <c r="E2676" s="1" t="s">
        <v>18</v>
      </c>
      <c r="F2676" s="1" t="s">
        <v>29</v>
      </c>
      <c r="G2676" s="1" t="s">
        <v>20</v>
      </c>
      <c r="H2676" t="s">
        <v>30</v>
      </c>
      <c r="I2676" s="1" t="s">
        <v>26</v>
      </c>
      <c r="J2676" s="2">
        <v>43529.058298611111</v>
      </c>
      <c r="K2676" s="2">
        <v>43538.058298611111</v>
      </c>
      <c r="L2676" s="2">
        <v>43535.058298611111</v>
      </c>
      <c r="M2676" s="1">
        <f>_xlfn.DAYS(Table1[[#This Row],[actual_delivery_date]],Table1[[#This Row],[dispatch_date]])</f>
        <v>9</v>
      </c>
      <c r="N2676">
        <v>31</v>
      </c>
      <c r="O2676">
        <f>Table1[[#This Row],[transit_storage_cost]] * (1-'What -if Analysis'!$D$26)</f>
        <v>31</v>
      </c>
      <c r="P2676">
        <v>107</v>
      </c>
      <c r="Q2676">
        <v>3031.54</v>
      </c>
    </row>
    <row r="2677" spans="1:17" x14ac:dyDescent="0.3">
      <c r="A2677">
        <v>438440</v>
      </c>
      <c r="B2677" s="1" t="s">
        <v>40</v>
      </c>
      <c r="C2677" s="1" t="s">
        <v>23</v>
      </c>
      <c r="D2677" s="1" t="s">
        <v>16</v>
      </c>
      <c r="E2677" s="1" t="s">
        <v>27</v>
      </c>
      <c r="F2677" s="1" t="s">
        <v>19</v>
      </c>
      <c r="G2677" s="1" t="s">
        <v>20</v>
      </c>
      <c r="H2677" t="s">
        <v>21</v>
      </c>
      <c r="I2677" s="1" t="s">
        <v>22</v>
      </c>
      <c r="J2677" s="2">
        <v>43536.058888888889</v>
      </c>
      <c r="K2677" s="2">
        <v>43538.058888888889</v>
      </c>
      <c r="L2677" s="2">
        <v>43540.058888888889</v>
      </c>
      <c r="M2677" s="1">
        <f>_xlfn.DAYS(Table1[[#This Row],[actual_delivery_date]],Table1[[#This Row],[dispatch_date]])</f>
        <v>2</v>
      </c>
      <c r="N2677">
        <v>40</v>
      </c>
      <c r="O2677">
        <f>Table1[[#This Row],[transit_storage_cost]] * (1-'What -if Analysis'!$D$26)</f>
        <v>40</v>
      </c>
      <c r="P2677">
        <v>125</v>
      </c>
      <c r="Q2677">
        <v>604.37468088647495</v>
      </c>
    </row>
    <row r="2678" spans="1:17" x14ac:dyDescent="0.3">
      <c r="A2678">
        <v>390727</v>
      </c>
      <c r="B2678" s="1" t="s">
        <v>38</v>
      </c>
      <c r="C2678" s="1" t="s">
        <v>23</v>
      </c>
      <c r="D2678" s="1" t="s">
        <v>16</v>
      </c>
      <c r="E2678" s="1" t="s">
        <v>27</v>
      </c>
      <c r="F2678" s="1" t="s">
        <v>19</v>
      </c>
      <c r="G2678" s="1" t="s">
        <v>20</v>
      </c>
      <c r="H2678" t="s">
        <v>30</v>
      </c>
      <c r="I2678" s="1" t="s">
        <v>22</v>
      </c>
      <c r="J2678" s="2">
        <v>43536.059004629627</v>
      </c>
      <c r="K2678" s="2">
        <v>43538.059004629627</v>
      </c>
      <c r="L2678" s="2">
        <v>43539.059004629627</v>
      </c>
      <c r="M2678" s="1">
        <f>_xlfn.DAYS(Table1[[#This Row],[actual_delivery_date]],Table1[[#This Row],[dispatch_date]])</f>
        <v>2</v>
      </c>
      <c r="N2678">
        <v>69</v>
      </c>
      <c r="O2678">
        <f>Table1[[#This Row],[transit_storage_cost]] * (1-'What -if Analysis'!$D$26)</f>
        <v>69</v>
      </c>
      <c r="P2678">
        <v>102</v>
      </c>
      <c r="Q2678">
        <v>2572.2486346648411</v>
      </c>
    </row>
    <row r="2679" spans="1:17" x14ac:dyDescent="0.3">
      <c r="A2679">
        <v>236884</v>
      </c>
      <c r="B2679" s="1" t="s">
        <v>37</v>
      </c>
      <c r="C2679" s="1" t="s">
        <v>16</v>
      </c>
      <c r="D2679" s="1" t="s">
        <v>32</v>
      </c>
      <c r="E2679" s="1" t="s">
        <v>33</v>
      </c>
      <c r="F2679" s="1" t="s">
        <v>19</v>
      </c>
      <c r="G2679" s="1" t="s">
        <v>20</v>
      </c>
      <c r="H2679" t="s">
        <v>21</v>
      </c>
      <c r="I2679" s="1" t="s">
        <v>22</v>
      </c>
      <c r="J2679" s="2">
        <v>43534.061331018522</v>
      </c>
      <c r="K2679" s="2">
        <v>43538.061331018522</v>
      </c>
      <c r="L2679" s="2">
        <v>43540.061331018522</v>
      </c>
      <c r="M2679" s="1">
        <f>_xlfn.DAYS(Table1[[#This Row],[actual_delivery_date]],Table1[[#This Row],[dispatch_date]])</f>
        <v>4</v>
      </c>
      <c r="N2679">
        <v>34</v>
      </c>
      <c r="O2679">
        <f>Table1[[#This Row],[transit_storage_cost]] * (1-'What -if Analysis'!$D$26)</f>
        <v>34</v>
      </c>
      <c r="P2679">
        <v>112</v>
      </c>
      <c r="Q2679">
        <v>3492.2951536255732</v>
      </c>
    </row>
    <row r="2680" spans="1:17" x14ac:dyDescent="0.3">
      <c r="A2680">
        <v>17608</v>
      </c>
      <c r="B2680" s="1" t="s">
        <v>38</v>
      </c>
      <c r="C2680" s="1" t="s">
        <v>16</v>
      </c>
      <c r="D2680" s="1" t="s">
        <v>17</v>
      </c>
      <c r="E2680" s="1" t="s">
        <v>18</v>
      </c>
      <c r="F2680" s="1" t="s">
        <v>19</v>
      </c>
      <c r="G2680" s="1" t="s">
        <v>20</v>
      </c>
      <c r="H2680" t="s">
        <v>21</v>
      </c>
      <c r="I2680" s="1" t="s">
        <v>22</v>
      </c>
      <c r="J2680" s="2">
        <v>43536.063576388886</v>
      </c>
      <c r="K2680" s="2">
        <v>43538.063576388886</v>
      </c>
      <c r="L2680" s="2">
        <v>43541.063576388886</v>
      </c>
      <c r="M2680" s="1">
        <f>_xlfn.DAYS(Table1[[#This Row],[actual_delivery_date]],Table1[[#This Row],[dispatch_date]])</f>
        <v>2</v>
      </c>
      <c r="N2680">
        <v>34</v>
      </c>
      <c r="O2680">
        <f>Table1[[#This Row],[transit_storage_cost]] * (1-'What -if Analysis'!$D$26)</f>
        <v>34</v>
      </c>
      <c r="P2680">
        <v>111</v>
      </c>
      <c r="Q2680">
        <v>3579.1379064644825</v>
      </c>
    </row>
    <row r="2681" spans="1:17" x14ac:dyDescent="0.3">
      <c r="A2681">
        <v>674980</v>
      </c>
      <c r="B2681" s="1" t="s">
        <v>37</v>
      </c>
      <c r="C2681" s="1" t="s">
        <v>23</v>
      </c>
      <c r="D2681" s="1" t="s">
        <v>16</v>
      </c>
      <c r="E2681" s="1" t="s">
        <v>27</v>
      </c>
      <c r="F2681" s="1" t="s">
        <v>19</v>
      </c>
      <c r="G2681" s="1" t="s">
        <v>20</v>
      </c>
      <c r="H2681" t="s">
        <v>21</v>
      </c>
      <c r="I2681" s="1" t="s">
        <v>22</v>
      </c>
      <c r="J2681" s="2">
        <v>43533.065115740741</v>
      </c>
      <c r="K2681" s="2">
        <v>43538.065115740741</v>
      </c>
      <c r="L2681" s="2">
        <v>43538.065115740741</v>
      </c>
      <c r="M2681" s="1">
        <f>_xlfn.DAYS(Table1[[#This Row],[actual_delivery_date]],Table1[[#This Row],[dispatch_date]])</f>
        <v>5</v>
      </c>
      <c r="N2681">
        <v>35</v>
      </c>
      <c r="O2681">
        <f>Table1[[#This Row],[transit_storage_cost]] * (1-'What -if Analysis'!$D$26)</f>
        <v>35</v>
      </c>
      <c r="P2681">
        <v>128</v>
      </c>
      <c r="Q2681">
        <v>3516.2725753645777</v>
      </c>
    </row>
    <row r="2682" spans="1:17" x14ac:dyDescent="0.3">
      <c r="A2682">
        <v>354817</v>
      </c>
      <c r="B2682" s="1" t="s">
        <v>38</v>
      </c>
      <c r="C2682" s="1" t="s">
        <v>16</v>
      </c>
      <c r="D2682" s="1" t="s">
        <v>23</v>
      </c>
      <c r="E2682" s="1" t="s">
        <v>28</v>
      </c>
      <c r="F2682" s="1" t="s">
        <v>29</v>
      </c>
      <c r="G2682" s="1" t="s">
        <v>20</v>
      </c>
      <c r="H2682" t="s">
        <v>30</v>
      </c>
      <c r="I2682" s="1" t="s">
        <v>22</v>
      </c>
      <c r="J2682" s="2">
        <v>43530.065347222226</v>
      </c>
      <c r="K2682" s="2">
        <v>43538.065347222226</v>
      </c>
      <c r="L2682" s="2">
        <v>43534.065347222226</v>
      </c>
      <c r="M2682" s="1">
        <f>_xlfn.DAYS(Table1[[#This Row],[actual_delivery_date]],Table1[[#This Row],[dispatch_date]])</f>
        <v>8</v>
      </c>
      <c r="N2682">
        <v>30</v>
      </c>
      <c r="O2682">
        <f>Table1[[#This Row],[transit_storage_cost]] * (1-'What -if Analysis'!$D$26)</f>
        <v>30</v>
      </c>
      <c r="P2682">
        <v>124</v>
      </c>
      <c r="Q2682">
        <v>3425.6646188069003</v>
      </c>
    </row>
    <row r="2683" spans="1:17" x14ac:dyDescent="0.3">
      <c r="A2683">
        <v>939835</v>
      </c>
      <c r="B2683" s="1" t="s">
        <v>41</v>
      </c>
      <c r="C2683" s="1" t="s">
        <v>23</v>
      </c>
      <c r="D2683" s="1" t="s">
        <v>23</v>
      </c>
      <c r="E2683" s="1" t="s">
        <v>28</v>
      </c>
      <c r="F2683" s="1" t="s">
        <v>29</v>
      </c>
      <c r="G2683" s="1" t="s">
        <v>20</v>
      </c>
      <c r="H2683" t="s">
        <v>30</v>
      </c>
      <c r="I2683" s="1" t="s">
        <v>22</v>
      </c>
      <c r="J2683" s="2">
        <v>43537.075983796298</v>
      </c>
      <c r="K2683" s="2">
        <v>43538.075983796298</v>
      </c>
      <c r="L2683" s="2">
        <v>43541.075983796298</v>
      </c>
      <c r="M2683" s="1">
        <f>_xlfn.DAYS(Table1[[#This Row],[actual_delivery_date]],Table1[[#This Row],[dispatch_date]])</f>
        <v>1</v>
      </c>
      <c r="N2683">
        <v>0</v>
      </c>
      <c r="O2683">
        <f>Table1[[#This Row],[transit_storage_cost]] * (1-'What -if Analysis'!$D$26)</f>
        <v>0</v>
      </c>
      <c r="P2683">
        <v>121</v>
      </c>
      <c r="Q2683">
        <v>3833.9606330039801</v>
      </c>
    </row>
    <row r="2684" spans="1:17" x14ac:dyDescent="0.3">
      <c r="A2684">
        <v>50941</v>
      </c>
      <c r="B2684" s="1" t="s">
        <v>37</v>
      </c>
      <c r="C2684" s="1" t="s">
        <v>16</v>
      </c>
      <c r="D2684" s="1" t="s">
        <v>17</v>
      </c>
      <c r="E2684" s="1" t="s">
        <v>18</v>
      </c>
      <c r="F2684" s="1" t="s">
        <v>29</v>
      </c>
      <c r="G2684" s="1" t="s">
        <v>20</v>
      </c>
      <c r="H2684" t="s">
        <v>30</v>
      </c>
      <c r="I2684" s="1" t="s">
        <v>22</v>
      </c>
      <c r="J2684" s="2">
        <v>43529.076909722222</v>
      </c>
      <c r="K2684" s="2">
        <v>43538.076909722222</v>
      </c>
      <c r="L2684" s="2">
        <v>43535.076909722222</v>
      </c>
      <c r="M2684" s="1">
        <f>_xlfn.DAYS(Table1[[#This Row],[actual_delivery_date]],Table1[[#This Row],[dispatch_date]])</f>
        <v>9</v>
      </c>
      <c r="N2684">
        <v>47</v>
      </c>
      <c r="O2684">
        <f>Table1[[#This Row],[transit_storage_cost]] * (1-'What -if Analysis'!$D$26)</f>
        <v>47</v>
      </c>
      <c r="P2684">
        <v>110</v>
      </c>
      <c r="Q2684">
        <v>3328.6154840190648</v>
      </c>
    </row>
    <row r="2685" spans="1:17" x14ac:dyDescent="0.3">
      <c r="A2685">
        <v>649381</v>
      </c>
      <c r="B2685" s="1" t="s">
        <v>38</v>
      </c>
      <c r="C2685" s="1" t="s">
        <v>23</v>
      </c>
      <c r="D2685" s="1" t="s">
        <v>24</v>
      </c>
      <c r="E2685" s="1" t="s">
        <v>25</v>
      </c>
      <c r="F2685" s="1" t="s">
        <v>29</v>
      </c>
      <c r="G2685" s="1" t="s">
        <v>20</v>
      </c>
      <c r="H2685" t="s">
        <v>30</v>
      </c>
      <c r="I2685" s="1" t="s">
        <v>22</v>
      </c>
      <c r="J2685" s="2">
        <v>43535.079502314817</v>
      </c>
      <c r="K2685" s="2">
        <v>43538.079502314817</v>
      </c>
      <c r="L2685" s="2">
        <v>43538.079502314817</v>
      </c>
      <c r="M2685" s="1">
        <f>_xlfn.DAYS(Table1[[#This Row],[actual_delivery_date]],Table1[[#This Row],[dispatch_date]])</f>
        <v>3</v>
      </c>
      <c r="N2685">
        <v>28</v>
      </c>
      <c r="O2685">
        <f>Table1[[#This Row],[transit_storage_cost]] * (1-'What -if Analysis'!$D$26)</f>
        <v>28</v>
      </c>
      <c r="P2685">
        <v>124</v>
      </c>
      <c r="Q2685">
        <v>2290.8697330439159</v>
      </c>
    </row>
    <row r="2686" spans="1:17" x14ac:dyDescent="0.3">
      <c r="A2686">
        <v>905249</v>
      </c>
      <c r="B2686" s="1" t="s">
        <v>37</v>
      </c>
      <c r="C2686" s="1" t="s">
        <v>16</v>
      </c>
      <c r="D2686" s="1" t="s">
        <v>16</v>
      </c>
      <c r="E2686" s="1" t="s">
        <v>27</v>
      </c>
      <c r="F2686" s="1" t="s">
        <v>19</v>
      </c>
      <c r="G2686" s="1" t="s">
        <v>36</v>
      </c>
      <c r="H2686" t="s">
        <v>30</v>
      </c>
      <c r="I2686" s="1" t="s">
        <v>22</v>
      </c>
      <c r="J2686" s="2">
        <v>43538.082453703704</v>
      </c>
      <c r="K2686" s="2">
        <v>43538.082453703704</v>
      </c>
      <c r="L2686" s="2">
        <v>43545.082453703704</v>
      </c>
      <c r="M2686" s="1">
        <f>_xlfn.DAYS(Table1[[#This Row],[actual_delivery_date]],Table1[[#This Row],[dispatch_date]])</f>
        <v>0</v>
      </c>
      <c r="N2686">
        <v>0</v>
      </c>
      <c r="O2686">
        <f>Table1[[#This Row],[transit_storage_cost]] * (1-'What -if Analysis'!$D$26)</f>
        <v>0</v>
      </c>
      <c r="P2686">
        <v>108</v>
      </c>
      <c r="Q2686">
        <v>726.55160141648469</v>
      </c>
    </row>
    <row r="2687" spans="1:17" x14ac:dyDescent="0.3">
      <c r="A2687">
        <v>458305</v>
      </c>
      <c r="B2687" s="1" t="s">
        <v>37</v>
      </c>
      <c r="C2687" s="1" t="s">
        <v>23</v>
      </c>
      <c r="D2687" s="1" t="s">
        <v>17</v>
      </c>
      <c r="E2687" s="1" t="s">
        <v>18</v>
      </c>
      <c r="F2687" s="1" t="s">
        <v>29</v>
      </c>
      <c r="G2687" s="1" t="s">
        <v>20</v>
      </c>
      <c r="H2687" t="s">
        <v>30</v>
      </c>
      <c r="I2687" s="1" t="s">
        <v>22</v>
      </c>
      <c r="J2687" s="2">
        <v>43531.090069444443</v>
      </c>
      <c r="K2687" s="2">
        <v>43538.090069444443</v>
      </c>
      <c r="L2687" s="2">
        <v>43534.090069444443</v>
      </c>
      <c r="M2687" s="1">
        <f>_xlfn.DAYS(Table1[[#This Row],[actual_delivery_date]],Table1[[#This Row],[dispatch_date]])</f>
        <v>7</v>
      </c>
      <c r="N2687">
        <v>28</v>
      </c>
      <c r="O2687">
        <f>Table1[[#This Row],[transit_storage_cost]] * (1-'What -if Analysis'!$D$26)</f>
        <v>28</v>
      </c>
      <c r="P2687">
        <v>112</v>
      </c>
      <c r="Q2687">
        <v>2928</v>
      </c>
    </row>
    <row r="2688" spans="1:17" x14ac:dyDescent="0.3">
      <c r="A2688">
        <v>705866</v>
      </c>
      <c r="B2688" s="1" t="s">
        <v>37</v>
      </c>
      <c r="C2688" s="1" t="s">
        <v>23</v>
      </c>
      <c r="D2688" s="1" t="s">
        <v>16</v>
      </c>
      <c r="E2688" s="1" t="s">
        <v>27</v>
      </c>
      <c r="F2688" s="1" t="s">
        <v>31</v>
      </c>
      <c r="G2688" s="1" t="s">
        <v>20</v>
      </c>
      <c r="H2688" t="s">
        <v>21</v>
      </c>
      <c r="I2688" s="1" t="s">
        <v>22</v>
      </c>
      <c r="J2688" s="2">
        <v>43530.095335648148</v>
      </c>
      <c r="K2688" s="2">
        <v>43538.095335648148</v>
      </c>
      <c r="L2688" s="2">
        <v>43533.095335648148</v>
      </c>
      <c r="M2688" s="1">
        <f>_xlfn.DAYS(Table1[[#This Row],[actual_delivery_date]],Table1[[#This Row],[dispatch_date]])</f>
        <v>8</v>
      </c>
      <c r="N2688">
        <v>46</v>
      </c>
      <c r="O2688">
        <f>Table1[[#This Row],[transit_storage_cost]] * (1-'What -if Analysis'!$D$26)</f>
        <v>46</v>
      </c>
      <c r="P2688">
        <v>122</v>
      </c>
      <c r="Q2688">
        <v>3255.322443696321</v>
      </c>
    </row>
    <row r="2689" spans="1:17" x14ac:dyDescent="0.3">
      <c r="A2689">
        <v>407446</v>
      </c>
      <c r="B2689" s="1" t="s">
        <v>15</v>
      </c>
      <c r="C2689" s="1" t="s">
        <v>16</v>
      </c>
      <c r="D2689" s="1" t="s">
        <v>23</v>
      </c>
      <c r="E2689" s="1" t="s">
        <v>28</v>
      </c>
      <c r="F2689" s="1" t="s">
        <v>31</v>
      </c>
      <c r="G2689" s="1" t="s">
        <v>36</v>
      </c>
      <c r="H2689" t="s">
        <v>21</v>
      </c>
      <c r="I2689" s="1" t="s">
        <v>22</v>
      </c>
      <c r="J2689" s="2">
        <v>43533.103425925925</v>
      </c>
      <c r="K2689" s="2">
        <v>43538.103425925925</v>
      </c>
      <c r="L2689" s="2">
        <v>43539.103425925925</v>
      </c>
      <c r="M2689" s="1">
        <f>_xlfn.DAYS(Table1[[#This Row],[actual_delivery_date]],Table1[[#This Row],[dispatch_date]])</f>
        <v>5</v>
      </c>
      <c r="N2689">
        <v>33</v>
      </c>
      <c r="O2689">
        <f>Table1[[#This Row],[transit_storage_cost]] * (1-'What -if Analysis'!$D$26)</f>
        <v>33</v>
      </c>
      <c r="P2689">
        <v>121</v>
      </c>
      <c r="Q2689">
        <v>898.69449810539106</v>
      </c>
    </row>
    <row r="2690" spans="1:17" x14ac:dyDescent="0.3">
      <c r="A2690">
        <v>179068</v>
      </c>
      <c r="B2690" s="1" t="s">
        <v>38</v>
      </c>
      <c r="C2690" s="1" t="s">
        <v>16</v>
      </c>
      <c r="D2690" s="1" t="s">
        <v>16</v>
      </c>
      <c r="E2690" s="1" t="s">
        <v>27</v>
      </c>
      <c r="F2690" s="1" t="s">
        <v>19</v>
      </c>
      <c r="G2690" s="1" t="s">
        <v>20</v>
      </c>
      <c r="H2690" t="s">
        <v>21</v>
      </c>
      <c r="I2690" s="1" t="s">
        <v>22</v>
      </c>
      <c r="J2690" s="2">
        <v>43537.106064814812</v>
      </c>
      <c r="K2690" s="2">
        <v>43538.106064814812</v>
      </c>
      <c r="L2690" s="2">
        <v>43540.106064814812</v>
      </c>
      <c r="M2690" s="1">
        <f>_xlfn.DAYS(Table1[[#This Row],[actual_delivery_date]],Table1[[#This Row],[dispatch_date]])</f>
        <v>1</v>
      </c>
      <c r="N2690">
        <v>0</v>
      </c>
      <c r="O2690">
        <f>Table1[[#This Row],[transit_storage_cost]] * (1-'What -if Analysis'!$D$26)</f>
        <v>0</v>
      </c>
      <c r="P2690">
        <v>122</v>
      </c>
      <c r="Q2690">
        <v>353</v>
      </c>
    </row>
    <row r="2691" spans="1:17" x14ac:dyDescent="0.3">
      <c r="A2691">
        <v>372148</v>
      </c>
      <c r="B2691" s="1" t="s">
        <v>40</v>
      </c>
      <c r="C2691" s="1" t="s">
        <v>16</v>
      </c>
      <c r="D2691" s="1" t="s">
        <v>16</v>
      </c>
      <c r="E2691" s="1" t="s">
        <v>27</v>
      </c>
      <c r="F2691" s="1" t="s">
        <v>19</v>
      </c>
      <c r="G2691" s="1" t="s">
        <v>20</v>
      </c>
      <c r="H2691" t="s">
        <v>21</v>
      </c>
      <c r="I2691" s="1" t="s">
        <v>22</v>
      </c>
      <c r="J2691" s="2">
        <v>43538.106516203705</v>
      </c>
      <c r="K2691" s="2">
        <v>43538.106516203705</v>
      </c>
      <c r="L2691" s="2">
        <v>43542.106516203705</v>
      </c>
      <c r="M2691" s="1">
        <f>_xlfn.DAYS(Table1[[#This Row],[actual_delivery_date]],Table1[[#This Row],[dispatch_date]])</f>
        <v>0</v>
      </c>
      <c r="N2691">
        <v>0</v>
      </c>
      <c r="O2691">
        <f>Table1[[#This Row],[transit_storage_cost]] * (1-'What -if Analysis'!$D$26)</f>
        <v>0</v>
      </c>
      <c r="P2691">
        <v>126</v>
      </c>
      <c r="Q2691">
        <v>1355.6785723357743</v>
      </c>
    </row>
    <row r="2692" spans="1:17" x14ac:dyDescent="0.3">
      <c r="A2692">
        <v>855006</v>
      </c>
      <c r="B2692" s="1" t="s">
        <v>37</v>
      </c>
      <c r="C2692" s="1" t="s">
        <v>23</v>
      </c>
      <c r="D2692" s="1" t="s">
        <v>16</v>
      </c>
      <c r="E2692" s="1" t="s">
        <v>27</v>
      </c>
      <c r="F2692" s="1" t="s">
        <v>31</v>
      </c>
      <c r="G2692" s="1" t="s">
        <v>20</v>
      </c>
      <c r="H2692" t="s">
        <v>21</v>
      </c>
      <c r="I2692" s="1" t="s">
        <v>26</v>
      </c>
      <c r="J2692" s="2">
        <v>43533.108553240738</v>
      </c>
      <c r="K2692" s="2">
        <v>43538.108553240738</v>
      </c>
      <c r="L2692" s="2">
        <v>43536.108553240738</v>
      </c>
      <c r="M2692" s="1">
        <f>_xlfn.DAYS(Table1[[#This Row],[actual_delivery_date]],Table1[[#This Row],[dispatch_date]])</f>
        <v>5</v>
      </c>
      <c r="N2692">
        <v>49</v>
      </c>
      <c r="O2692">
        <f>Table1[[#This Row],[transit_storage_cost]] * (1-'What -if Analysis'!$D$26)</f>
        <v>49</v>
      </c>
      <c r="P2692">
        <v>129</v>
      </c>
      <c r="Q2692">
        <v>573</v>
      </c>
    </row>
    <row r="2693" spans="1:17" x14ac:dyDescent="0.3">
      <c r="A2693">
        <v>557700</v>
      </c>
      <c r="B2693" s="1" t="s">
        <v>15</v>
      </c>
      <c r="C2693" s="1" t="s">
        <v>16</v>
      </c>
      <c r="D2693" s="1" t="s">
        <v>32</v>
      </c>
      <c r="E2693" s="1" t="s">
        <v>33</v>
      </c>
      <c r="F2693" s="1" t="s">
        <v>19</v>
      </c>
      <c r="G2693" s="1" t="s">
        <v>20</v>
      </c>
      <c r="H2693" t="s">
        <v>21</v>
      </c>
      <c r="I2693" s="1" t="s">
        <v>26</v>
      </c>
      <c r="J2693" s="2">
        <v>43534.109317129631</v>
      </c>
      <c r="K2693" s="2">
        <v>43538.109317129631</v>
      </c>
      <c r="L2693" s="2">
        <v>43539.109317129631</v>
      </c>
      <c r="M2693" s="1">
        <f>_xlfn.DAYS(Table1[[#This Row],[actual_delivery_date]],Table1[[#This Row],[dispatch_date]])</f>
        <v>4</v>
      </c>
      <c r="N2693">
        <v>31</v>
      </c>
      <c r="O2693">
        <f>Table1[[#This Row],[transit_storage_cost]] * (1-'What -if Analysis'!$D$26)</f>
        <v>31</v>
      </c>
      <c r="P2693">
        <v>109</v>
      </c>
      <c r="Q2693">
        <v>2796</v>
      </c>
    </row>
    <row r="2694" spans="1:17" x14ac:dyDescent="0.3">
      <c r="A2694">
        <v>733919</v>
      </c>
      <c r="B2694" s="1" t="s">
        <v>38</v>
      </c>
      <c r="C2694" s="1" t="s">
        <v>23</v>
      </c>
      <c r="D2694" s="1" t="s">
        <v>23</v>
      </c>
      <c r="E2694" s="1" t="s">
        <v>28</v>
      </c>
      <c r="F2694" s="1" t="s">
        <v>29</v>
      </c>
      <c r="G2694" s="1" t="s">
        <v>20</v>
      </c>
      <c r="H2694" t="s">
        <v>30</v>
      </c>
      <c r="I2694" s="1" t="s">
        <v>22</v>
      </c>
      <c r="J2694" s="2">
        <v>43534.122187499997</v>
      </c>
      <c r="K2694" s="2">
        <v>43538.122187499997</v>
      </c>
      <c r="L2694" s="2">
        <v>43538.122187499997</v>
      </c>
      <c r="M2694" s="1">
        <f>_xlfn.DAYS(Table1[[#This Row],[actual_delivery_date]],Table1[[#This Row],[dispatch_date]])</f>
        <v>4</v>
      </c>
      <c r="N2694">
        <v>0</v>
      </c>
      <c r="O2694">
        <f>Table1[[#This Row],[transit_storage_cost]] * (1-'What -if Analysis'!$D$26)</f>
        <v>0</v>
      </c>
      <c r="P2694">
        <v>125</v>
      </c>
      <c r="Q2694">
        <v>3023.9706637958507</v>
      </c>
    </row>
    <row r="2695" spans="1:17" x14ac:dyDescent="0.3">
      <c r="A2695">
        <v>908050</v>
      </c>
      <c r="B2695" s="1" t="s">
        <v>37</v>
      </c>
      <c r="C2695" s="1" t="s">
        <v>16</v>
      </c>
      <c r="D2695" s="1" t="s">
        <v>16</v>
      </c>
      <c r="E2695" s="1" t="s">
        <v>27</v>
      </c>
      <c r="F2695" s="1" t="s">
        <v>19</v>
      </c>
      <c r="G2695" s="1" t="s">
        <v>20</v>
      </c>
      <c r="H2695" t="s">
        <v>21</v>
      </c>
      <c r="I2695" s="1" t="s">
        <v>22</v>
      </c>
      <c r="J2695" s="2">
        <v>43538.124606481484</v>
      </c>
      <c r="K2695" s="2">
        <v>43538.124606481484</v>
      </c>
      <c r="L2695" s="2">
        <v>43541.124606481484</v>
      </c>
      <c r="M2695" s="1">
        <f>_xlfn.DAYS(Table1[[#This Row],[actual_delivery_date]],Table1[[#This Row],[dispatch_date]])</f>
        <v>0</v>
      </c>
      <c r="N2695">
        <v>0</v>
      </c>
      <c r="O2695">
        <f>Table1[[#This Row],[transit_storage_cost]] * (1-'What -if Analysis'!$D$26)</f>
        <v>0</v>
      </c>
      <c r="P2695">
        <v>104</v>
      </c>
      <c r="Q2695">
        <v>2982.5911933703724</v>
      </c>
    </row>
    <row r="2696" spans="1:17" x14ac:dyDescent="0.3">
      <c r="A2696">
        <v>3761</v>
      </c>
      <c r="B2696" s="1" t="s">
        <v>37</v>
      </c>
      <c r="C2696" s="1" t="s">
        <v>16</v>
      </c>
      <c r="D2696" s="1" t="s">
        <v>16</v>
      </c>
      <c r="E2696" s="1" t="s">
        <v>27</v>
      </c>
      <c r="F2696" s="1" t="s">
        <v>29</v>
      </c>
      <c r="G2696" s="1" t="s">
        <v>20</v>
      </c>
      <c r="H2696" t="s">
        <v>30</v>
      </c>
      <c r="I2696" s="1" t="s">
        <v>22</v>
      </c>
      <c r="J2696" s="2">
        <v>43534.129548611112</v>
      </c>
      <c r="K2696" s="2">
        <v>43538.129548611112</v>
      </c>
      <c r="L2696" s="2">
        <v>43537.129548611112</v>
      </c>
      <c r="M2696" s="1">
        <f>_xlfn.DAYS(Table1[[#This Row],[actual_delivery_date]],Table1[[#This Row],[dispatch_date]])</f>
        <v>4</v>
      </c>
      <c r="N2696">
        <v>0</v>
      </c>
      <c r="O2696">
        <f>Table1[[#This Row],[transit_storage_cost]] * (1-'What -if Analysis'!$D$26)</f>
        <v>0</v>
      </c>
      <c r="P2696">
        <v>125</v>
      </c>
      <c r="Q2696">
        <v>3386.2631885817204</v>
      </c>
    </row>
    <row r="2697" spans="1:17" x14ac:dyDescent="0.3">
      <c r="A2697">
        <v>645591</v>
      </c>
      <c r="B2697" s="1" t="s">
        <v>15</v>
      </c>
      <c r="C2697" s="1" t="s">
        <v>23</v>
      </c>
      <c r="D2697" s="1" t="s">
        <v>23</v>
      </c>
      <c r="E2697" s="1" t="s">
        <v>28</v>
      </c>
      <c r="F2697" s="1" t="s">
        <v>29</v>
      </c>
      <c r="G2697" s="1" t="s">
        <v>20</v>
      </c>
      <c r="H2697" t="s">
        <v>30</v>
      </c>
      <c r="I2697" s="1" t="s">
        <v>26</v>
      </c>
      <c r="J2697" s="2">
        <v>43535.133032407408</v>
      </c>
      <c r="K2697" s="2">
        <v>43538.133032407408</v>
      </c>
      <c r="L2697" s="2">
        <v>43541.133032407408</v>
      </c>
      <c r="M2697" s="1">
        <f>_xlfn.DAYS(Table1[[#This Row],[actual_delivery_date]],Table1[[#This Row],[dispatch_date]])</f>
        <v>3</v>
      </c>
      <c r="N2697">
        <v>0</v>
      </c>
      <c r="O2697">
        <f>Table1[[#This Row],[transit_storage_cost]] * (1-'What -if Analysis'!$D$26)</f>
        <v>0</v>
      </c>
      <c r="P2697">
        <v>125</v>
      </c>
      <c r="Q2697">
        <v>2877.570676181464</v>
      </c>
    </row>
    <row r="2698" spans="1:17" x14ac:dyDescent="0.3">
      <c r="A2698">
        <v>577313</v>
      </c>
      <c r="B2698" s="1" t="s">
        <v>38</v>
      </c>
      <c r="C2698" s="1" t="s">
        <v>16</v>
      </c>
      <c r="D2698" s="1" t="s">
        <v>32</v>
      </c>
      <c r="E2698" s="1" t="s">
        <v>33</v>
      </c>
      <c r="F2698" s="1" t="s">
        <v>29</v>
      </c>
      <c r="G2698" s="1" t="s">
        <v>20</v>
      </c>
      <c r="H2698" t="s">
        <v>30</v>
      </c>
      <c r="I2698" s="1" t="s">
        <v>22</v>
      </c>
      <c r="J2698" s="2">
        <v>43533.133449074077</v>
      </c>
      <c r="K2698" s="2">
        <v>43538.133449074077</v>
      </c>
      <c r="L2698" s="2">
        <v>43538.133449074077</v>
      </c>
      <c r="M2698" s="1">
        <f>_xlfn.DAYS(Table1[[#This Row],[actual_delivery_date]],Table1[[#This Row],[dispatch_date]])</f>
        <v>5</v>
      </c>
      <c r="N2698">
        <v>39</v>
      </c>
      <c r="O2698">
        <f>Table1[[#This Row],[transit_storage_cost]] * (1-'What -if Analysis'!$D$26)</f>
        <v>39</v>
      </c>
      <c r="P2698">
        <v>114</v>
      </c>
      <c r="Q2698">
        <v>2610</v>
      </c>
    </row>
    <row r="2699" spans="1:17" x14ac:dyDescent="0.3">
      <c r="A2699">
        <v>117634</v>
      </c>
      <c r="B2699" s="1" t="s">
        <v>41</v>
      </c>
      <c r="C2699" s="1" t="s">
        <v>16</v>
      </c>
      <c r="D2699" s="1" t="s">
        <v>17</v>
      </c>
      <c r="E2699" s="1" t="s">
        <v>18</v>
      </c>
      <c r="F2699" s="1" t="s">
        <v>31</v>
      </c>
      <c r="G2699" s="1" t="s">
        <v>20</v>
      </c>
      <c r="H2699" t="s">
        <v>21</v>
      </c>
      <c r="I2699" s="1" t="s">
        <v>22</v>
      </c>
      <c r="J2699" s="2">
        <v>43529.13548611111</v>
      </c>
      <c r="K2699" s="2">
        <v>43538.13548611111</v>
      </c>
      <c r="L2699" s="2">
        <v>43532.13548611111</v>
      </c>
      <c r="M2699" s="1">
        <f>_xlfn.DAYS(Table1[[#This Row],[actual_delivery_date]],Table1[[#This Row],[dispatch_date]])</f>
        <v>9</v>
      </c>
      <c r="N2699">
        <v>30</v>
      </c>
      <c r="O2699">
        <f>Table1[[#This Row],[transit_storage_cost]] * (1-'What -if Analysis'!$D$26)</f>
        <v>30</v>
      </c>
      <c r="P2699">
        <v>110</v>
      </c>
      <c r="Q2699">
        <v>3697.0426093536362</v>
      </c>
    </row>
    <row r="2700" spans="1:17" x14ac:dyDescent="0.3">
      <c r="A2700">
        <v>270552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G2700" s="1" t="s">
        <v>20</v>
      </c>
      <c r="H2700" t="s">
        <v>21</v>
      </c>
      <c r="I2700" s="1" t="s">
        <v>26</v>
      </c>
      <c r="J2700" s="2">
        <v>43533.135717592595</v>
      </c>
      <c r="K2700" s="2">
        <v>43538.135717592595</v>
      </c>
      <c r="L2700" s="2">
        <v>43536.135717592595</v>
      </c>
      <c r="M2700" s="1">
        <f>_xlfn.DAYS(Table1[[#This Row],[actual_delivery_date]],Table1[[#This Row],[dispatch_date]])</f>
        <v>5</v>
      </c>
      <c r="N2700">
        <v>43</v>
      </c>
      <c r="O2700">
        <f>Table1[[#This Row],[transit_storage_cost]] * (1-'What -if Analysis'!$D$26)</f>
        <v>43</v>
      </c>
      <c r="P2700">
        <v>113</v>
      </c>
      <c r="Q2700">
        <v>2146.2100083795467</v>
      </c>
    </row>
    <row r="2701" spans="1:17" x14ac:dyDescent="0.3">
      <c r="A2701">
        <v>849307</v>
      </c>
      <c r="B2701" s="1" t="s">
        <v>37</v>
      </c>
      <c r="C2701" s="1" t="s">
        <v>16</v>
      </c>
      <c r="D2701" s="1" t="s">
        <v>17</v>
      </c>
      <c r="E2701" s="1" t="s">
        <v>18</v>
      </c>
      <c r="F2701" s="1" t="s">
        <v>29</v>
      </c>
      <c r="G2701" s="1" t="s">
        <v>36</v>
      </c>
      <c r="H2701" t="s">
        <v>30</v>
      </c>
      <c r="I2701" s="1" t="s">
        <v>22</v>
      </c>
      <c r="J2701" s="2">
        <v>43535.141215277778</v>
      </c>
      <c r="K2701" s="2">
        <v>43538.141215277778</v>
      </c>
      <c r="L2701" s="2">
        <v>43540.141215277778</v>
      </c>
      <c r="M2701" s="1">
        <f>_xlfn.DAYS(Table1[[#This Row],[actual_delivery_date]],Table1[[#This Row],[dispatch_date]])</f>
        <v>3</v>
      </c>
      <c r="N2701">
        <v>42</v>
      </c>
      <c r="O2701">
        <f>Table1[[#This Row],[transit_storage_cost]] * (1-'What -if Analysis'!$D$26)</f>
        <v>42</v>
      </c>
      <c r="P2701">
        <v>107</v>
      </c>
      <c r="Q2701">
        <v>1837</v>
      </c>
    </row>
    <row r="2702" spans="1:17" x14ac:dyDescent="0.3">
      <c r="A2702">
        <v>19948</v>
      </c>
      <c r="B2702" s="1" t="s">
        <v>41</v>
      </c>
      <c r="C2702" s="1" t="s">
        <v>16</v>
      </c>
      <c r="D2702" s="1" t="s">
        <v>23</v>
      </c>
      <c r="E2702" s="1" t="s">
        <v>28</v>
      </c>
      <c r="F2702" s="1" t="s">
        <v>19</v>
      </c>
      <c r="G2702" s="1" t="s">
        <v>20</v>
      </c>
      <c r="H2702" t="s">
        <v>21</v>
      </c>
      <c r="I2702" s="1" t="s">
        <v>22</v>
      </c>
      <c r="J2702" s="2">
        <v>43536.142604166664</v>
      </c>
      <c r="K2702" s="2">
        <v>43538.142604166664</v>
      </c>
      <c r="L2702" s="2">
        <v>43539.142604166664</v>
      </c>
      <c r="M2702" s="1">
        <f>_xlfn.DAYS(Table1[[#This Row],[actual_delivery_date]],Table1[[#This Row],[dispatch_date]])</f>
        <v>2</v>
      </c>
      <c r="N2702">
        <v>42</v>
      </c>
      <c r="O2702">
        <f>Table1[[#This Row],[transit_storage_cost]] * (1-'What -if Analysis'!$D$26)</f>
        <v>42</v>
      </c>
      <c r="P2702">
        <v>128</v>
      </c>
      <c r="Q2702">
        <v>2764.3874909372939</v>
      </c>
    </row>
    <row r="2703" spans="1:17" x14ac:dyDescent="0.3">
      <c r="A2703">
        <v>381514</v>
      </c>
      <c r="B2703" s="1" t="s">
        <v>40</v>
      </c>
      <c r="C2703" s="1" t="s">
        <v>16</v>
      </c>
      <c r="D2703" s="1" t="s">
        <v>24</v>
      </c>
      <c r="E2703" s="1" t="s">
        <v>25</v>
      </c>
      <c r="F2703" s="1" t="s">
        <v>31</v>
      </c>
      <c r="G2703" s="1" t="s">
        <v>20</v>
      </c>
      <c r="H2703" t="s">
        <v>21</v>
      </c>
      <c r="I2703" s="1" t="s">
        <v>22</v>
      </c>
      <c r="J2703" s="2">
        <v>43532.147499999999</v>
      </c>
      <c r="K2703" s="2">
        <v>43538.147499999999</v>
      </c>
      <c r="L2703" s="2">
        <v>43539.147499999999</v>
      </c>
      <c r="M2703" s="1">
        <f>_xlfn.DAYS(Table1[[#This Row],[actual_delivery_date]],Table1[[#This Row],[dispatch_date]])</f>
        <v>6</v>
      </c>
      <c r="N2703">
        <v>46</v>
      </c>
      <c r="O2703">
        <f>Table1[[#This Row],[transit_storage_cost]] * (1-'What -if Analysis'!$D$26)</f>
        <v>46</v>
      </c>
      <c r="P2703">
        <v>129</v>
      </c>
      <c r="Q2703">
        <v>3375.4260888460453</v>
      </c>
    </row>
    <row r="2704" spans="1:17" x14ac:dyDescent="0.3">
      <c r="A2704">
        <v>188240</v>
      </c>
      <c r="B2704" s="1" t="s">
        <v>39</v>
      </c>
      <c r="C2704" s="1" t="s">
        <v>23</v>
      </c>
      <c r="D2704" s="1" t="s">
        <v>24</v>
      </c>
      <c r="E2704" s="1" t="s">
        <v>25</v>
      </c>
      <c r="F2704" s="1" t="s">
        <v>19</v>
      </c>
      <c r="G2704" s="1" t="s">
        <v>20</v>
      </c>
      <c r="H2704" t="s">
        <v>21</v>
      </c>
      <c r="I2704" s="1" t="s">
        <v>22</v>
      </c>
      <c r="J2704" s="2">
        <v>43530.148495370369</v>
      </c>
      <c r="K2704" s="2">
        <v>43538.148495370369</v>
      </c>
      <c r="L2704" s="2">
        <v>43534.148495370369</v>
      </c>
      <c r="M2704" s="1">
        <f>_xlfn.DAYS(Table1[[#This Row],[actual_delivery_date]],Table1[[#This Row],[dispatch_date]])</f>
        <v>8</v>
      </c>
      <c r="N2704">
        <v>49</v>
      </c>
      <c r="O2704">
        <f>Table1[[#This Row],[transit_storage_cost]] * (1-'What -if Analysis'!$D$26)</f>
        <v>49</v>
      </c>
      <c r="P2704">
        <v>124</v>
      </c>
      <c r="Q2704">
        <v>3055.6190370395425</v>
      </c>
    </row>
    <row r="2705" spans="1:17" x14ac:dyDescent="0.3">
      <c r="A2705">
        <v>536363</v>
      </c>
      <c r="B2705" s="1" t="s">
        <v>40</v>
      </c>
      <c r="C2705" s="1" t="s">
        <v>16</v>
      </c>
      <c r="D2705" s="1" t="s">
        <v>16</v>
      </c>
      <c r="E2705" s="1" t="s">
        <v>27</v>
      </c>
      <c r="F2705" s="1" t="s">
        <v>19</v>
      </c>
      <c r="G2705" s="1" t="s">
        <v>20</v>
      </c>
      <c r="H2705" t="s">
        <v>30</v>
      </c>
      <c r="I2705" s="1" t="s">
        <v>22</v>
      </c>
      <c r="J2705" s="2">
        <v>43538.156122685185</v>
      </c>
      <c r="K2705" s="2">
        <v>43538.156122685185</v>
      </c>
      <c r="L2705" s="2">
        <v>43542.156122685185</v>
      </c>
      <c r="M2705" s="1">
        <f>_xlfn.DAYS(Table1[[#This Row],[actual_delivery_date]],Table1[[#This Row],[dispatch_date]])</f>
        <v>0</v>
      </c>
      <c r="N2705">
        <v>0</v>
      </c>
      <c r="O2705">
        <f>Table1[[#This Row],[transit_storage_cost]] * (1-'What -if Analysis'!$D$26)</f>
        <v>0</v>
      </c>
      <c r="P2705">
        <v>106</v>
      </c>
      <c r="Q2705">
        <v>1144</v>
      </c>
    </row>
    <row r="2706" spans="1:17" x14ac:dyDescent="0.3">
      <c r="A2706">
        <v>75391</v>
      </c>
      <c r="B2706" s="1" t="s">
        <v>15</v>
      </c>
      <c r="C2706" s="1" t="s">
        <v>16</v>
      </c>
      <c r="D2706" s="1" t="s">
        <v>16</v>
      </c>
      <c r="E2706" s="1" t="s">
        <v>27</v>
      </c>
      <c r="F2706" s="1" t="s">
        <v>19</v>
      </c>
      <c r="G2706" s="1" t="s">
        <v>20</v>
      </c>
      <c r="H2706" t="s">
        <v>30</v>
      </c>
      <c r="I2706" s="1" t="s">
        <v>22</v>
      </c>
      <c r="J2706" s="2">
        <v>43538.158217592594</v>
      </c>
      <c r="K2706" s="2">
        <v>43538.158217592594</v>
      </c>
      <c r="L2706" s="2">
        <v>43543.158217592594</v>
      </c>
      <c r="M2706" s="1">
        <f>_xlfn.DAYS(Table1[[#This Row],[actual_delivery_date]],Table1[[#This Row],[dispatch_date]])</f>
        <v>0</v>
      </c>
      <c r="N2706">
        <v>0</v>
      </c>
      <c r="O2706">
        <f>Table1[[#This Row],[transit_storage_cost]] * (1-'What -if Analysis'!$D$26)</f>
        <v>0</v>
      </c>
      <c r="P2706">
        <v>109</v>
      </c>
      <c r="Q2706">
        <v>2747.4312097153957</v>
      </c>
    </row>
    <row r="2707" spans="1:17" x14ac:dyDescent="0.3">
      <c r="A2707">
        <v>718459</v>
      </c>
      <c r="B2707" s="1" t="s">
        <v>38</v>
      </c>
      <c r="C2707" s="1" t="s">
        <v>23</v>
      </c>
      <c r="D2707" s="1" t="s">
        <v>23</v>
      </c>
      <c r="E2707" s="1" t="s">
        <v>28</v>
      </c>
      <c r="F2707" s="1" t="s">
        <v>29</v>
      </c>
      <c r="G2707" s="1" t="s">
        <v>20</v>
      </c>
      <c r="H2707" t="s">
        <v>34</v>
      </c>
      <c r="I2707" s="1" t="s">
        <v>22</v>
      </c>
      <c r="J2707" s="2">
        <v>43533.159861111111</v>
      </c>
      <c r="K2707" s="2">
        <v>43538.159861111111</v>
      </c>
      <c r="L2707" s="2">
        <v>43539.159861111111</v>
      </c>
      <c r="M2707" s="1">
        <f>_xlfn.DAYS(Table1[[#This Row],[actual_delivery_date]],Table1[[#This Row],[dispatch_date]])</f>
        <v>5</v>
      </c>
      <c r="N2707">
        <v>0</v>
      </c>
      <c r="O2707">
        <f>Table1[[#This Row],[transit_storage_cost]] * (1-'What -if Analysis'!$D$26)</f>
        <v>0</v>
      </c>
      <c r="P2707">
        <v>126</v>
      </c>
      <c r="Q2707">
        <v>2069.4640025380904</v>
      </c>
    </row>
    <row r="2708" spans="1:17" x14ac:dyDescent="0.3">
      <c r="A2708">
        <v>525387</v>
      </c>
      <c r="B2708" s="1" t="s">
        <v>38</v>
      </c>
      <c r="C2708" s="1" t="s">
        <v>16</v>
      </c>
      <c r="D2708" s="1" t="s">
        <v>17</v>
      </c>
      <c r="E2708" s="1" t="s">
        <v>18</v>
      </c>
      <c r="F2708" s="1" t="s">
        <v>29</v>
      </c>
      <c r="G2708" s="1" t="s">
        <v>20</v>
      </c>
      <c r="H2708" t="s">
        <v>30</v>
      </c>
      <c r="I2708" s="1" t="s">
        <v>26</v>
      </c>
      <c r="J2708" s="2">
        <v>43529.161678240744</v>
      </c>
      <c r="K2708" s="2">
        <v>43538.161678240744</v>
      </c>
      <c r="L2708" s="2">
        <v>43536.161678240744</v>
      </c>
      <c r="M2708" s="1">
        <f>_xlfn.DAYS(Table1[[#This Row],[actual_delivery_date]],Table1[[#This Row],[dispatch_date]])</f>
        <v>9</v>
      </c>
      <c r="N2708">
        <v>43</v>
      </c>
      <c r="O2708">
        <f>Table1[[#This Row],[transit_storage_cost]] * (1-'What -if Analysis'!$D$26)</f>
        <v>43</v>
      </c>
      <c r="P2708">
        <v>106</v>
      </c>
      <c r="Q2708">
        <v>1503.66</v>
      </c>
    </row>
    <row r="2709" spans="1:17" x14ac:dyDescent="0.3">
      <c r="A2709">
        <v>779727</v>
      </c>
      <c r="B2709" s="1" t="s">
        <v>39</v>
      </c>
      <c r="C2709" s="1" t="s">
        <v>23</v>
      </c>
      <c r="D2709" s="1" t="s">
        <v>23</v>
      </c>
      <c r="E2709" s="1" t="s">
        <v>28</v>
      </c>
      <c r="F2709" s="1" t="s">
        <v>29</v>
      </c>
      <c r="G2709" s="1" t="s">
        <v>20</v>
      </c>
      <c r="H2709" t="s">
        <v>30</v>
      </c>
      <c r="I2709" s="1" t="s">
        <v>26</v>
      </c>
      <c r="J2709" s="2">
        <v>43534.162233796298</v>
      </c>
      <c r="K2709" s="2">
        <v>43538.162233796298</v>
      </c>
      <c r="L2709" s="2">
        <v>43539.162233796298</v>
      </c>
      <c r="M2709" s="1">
        <f>_xlfn.DAYS(Table1[[#This Row],[actual_delivery_date]],Table1[[#This Row],[dispatch_date]])</f>
        <v>4</v>
      </c>
      <c r="N2709">
        <v>0</v>
      </c>
      <c r="O2709">
        <f>Table1[[#This Row],[transit_storage_cost]] * (1-'What -if Analysis'!$D$26)</f>
        <v>0</v>
      </c>
      <c r="P2709">
        <v>130</v>
      </c>
      <c r="Q2709">
        <v>3486.9592183638297</v>
      </c>
    </row>
    <row r="2710" spans="1:17" x14ac:dyDescent="0.3">
      <c r="A2710">
        <v>519100</v>
      </c>
      <c r="B2710" s="1" t="s">
        <v>15</v>
      </c>
      <c r="C2710" s="1" t="s">
        <v>23</v>
      </c>
      <c r="D2710" s="1" t="s">
        <v>16</v>
      </c>
      <c r="E2710" s="1" t="s">
        <v>27</v>
      </c>
      <c r="F2710" s="1" t="s">
        <v>19</v>
      </c>
      <c r="G2710" s="1" t="s">
        <v>20</v>
      </c>
      <c r="H2710" t="s">
        <v>21</v>
      </c>
      <c r="I2710" s="1" t="s">
        <v>22</v>
      </c>
      <c r="J2710" s="2">
        <v>43535.166168981479</v>
      </c>
      <c r="K2710" s="2">
        <v>43538.166168981479</v>
      </c>
      <c r="L2710" s="2">
        <v>43541.166168981479</v>
      </c>
      <c r="M2710" s="1">
        <f>_xlfn.DAYS(Table1[[#This Row],[actual_delivery_date]],Table1[[#This Row],[dispatch_date]])</f>
        <v>3</v>
      </c>
      <c r="N2710">
        <v>32</v>
      </c>
      <c r="O2710">
        <f>Table1[[#This Row],[transit_storage_cost]] * (1-'What -if Analysis'!$D$26)</f>
        <v>32</v>
      </c>
      <c r="P2710">
        <v>122</v>
      </c>
      <c r="Q2710">
        <v>501.72276351724673</v>
      </c>
    </row>
    <row r="2711" spans="1:17" x14ac:dyDescent="0.3">
      <c r="A2711">
        <v>297338</v>
      </c>
      <c r="B2711" s="1" t="s">
        <v>38</v>
      </c>
      <c r="C2711" s="1" t="s">
        <v>16</v>
      </c>
      <c r="D2711" s="1" t="s">
        <v>17</v>
      </c>
      <c r="E2711" s="1" t="s">
        <v>18</v>
      </c>
      <c r="F2711" s="1" t="s">
        <v>19</v>
      </c>
      <c r="G2711" s="1" t="s">
        <v>20</v>
      </c>
      <c r="H2711" t="s">
        <v>21</v>
      </c>
      <c r="I2711" s="1" t="s">
        <v>22</v>
      </c>
      <c r="J2711" s="2">
        <v>43536.166388888887</v>
      </c>
      <c r="K2711" s="2">
        <v>43538.166388888887</v>
      </c>
      <c r="L2711" s="2">
        <v>43542.166388888887</v>
      </c>
      <c r="M2711" s="1">
        <f>_xlfn.DAYS(Table1[[#This Row],[actual_delivery_date]],Table1[[#This Row],[dispatch_date]])</f>
        <v>2</v>
      </c>
      <c r="N2711">
        <v>86</v>
      </c>
      <c r="O2711">
        <f>Table1[[#This Row],[transit_storage_cost]] * (1-'What -if Analysis'!$D$26)</f>
        <v>86</v>
      </c>
      <c r="P2711">
        <v>87</v>
      </c>
      <c r="Q2711">
        <v>3375.1675475175412</v>
      </c>
    </row>
    <row r="2712" spans="1:17" x14ac:dyDescent="0.3">
      <c r="A2712">
        <v>562988</v>
      </c>
      <c r="B2712" s="1" t="s">
        <v>37</v>
      </c>
      <c r="C2712" s="1" t="s">
        <v>23</v>
      </c>
      <c r="D2712" s="1" t="s">
        <v>23</v>
      </c>
      <c r="E2712" s="1" t="s">
        <v>28</v>
      </c>
      <c r="F2712" s="1" t="s">
        <v>19</v>
      </c>
      <c r="G2712" s="1" t="s">
        <v>20</v>
      </c>
      <c r="H2712" t="s">
        <v>21</v>
      </c>
      <c r="I2712" s="1" t="s">
        <v>22</v>
      </c>
      <c r="J2712" s="2">
        <v>43534.167696759258</v>
      </c>
      <c r="K2712" s="2">
        <v>43538.167696759258</v>
      </c>
      <c r="L2712" s="2">
        <v>43537.167696759258</v>
      </c>
      <c r="M2712" s="1">
        <f>_xlfn.DAYS(Table1[[#This Row],[actual_delivery_date]],Table1[[#This Row],[dispatch_date]])</f>
        <v>4</v>
      </c>
      <c r="N2712">
        <v>0</v>
      </c>
      <c r="O2712">
        <f>Table1[[#This Row],[transit_storage_cost]] * (1-'What -if Analysis'!$D$26)</f>
        <v>0</v>
      </c>
      <c r="P2712">
        <v>121</v>
      </c>
      <c r="Q2712">
        <v>2227.3146157222109</v>
      </c>
    </row>
    <row r="2713" spans="1:17" x14ac:dyDescent="0.3">
      <c r="A2713">
        <v>661987</v>
      </c>
      <c r="B2713" s="1" t="s">
        <v>38</v>
      </c>
      <c r="C2713" s="1" t="s">
        <v>16</v>
      </c>
      <c r="D2713" s="1" t="s">
        <v>17</v>
      </c>
      <c r="E2713" s="1" t="s">
        <v>18</v>
      </c>
      <c r="F2713" s="1" t="s">
        <v>29</v>
      </c>
      <c r="G2713" s="1" t="s">
        <v>20</v>
      </c>
      <c r="H2713" t="s">
        <v>30</v>
      </c>
      <c r="I2713" s="1" t="s">
        <v>22</v>
      </c>
      <c r="J2713" s="2">
        <v>43535.168287037035</v>
      </c>
      <c r="K2713" s="2">
        <v>43538.168287037035</v>
      </c>
      <c r="L2713" s="2">
        <v>43542.168287037035</v>
      </c>
      <c r="M2713" s="1">
        <f>_xlfn.DAYS(Table1[[#This Row],[actual_delivery_date]],Table1[[#This Row],[dispatch_date]])</f>
        <v>3</v>
      </c>
      <c r="N2713">
        <v>29</v>
      </c>
      <c r="O2713">
        <f>Table1[[#This Row],[transit_storage_cost]] * (1-'What -if Analysis'!$D$26)</f>
        <v>29</v>
      </c>
      <c r="P2713">
        <v>106</v>
      </c>
      <c r="Q2713">
        <v>3240.822007882748</v>
      </c>
    </row>
    <row r="2714" spans="1:17" x14ac:dyDescent="0.3">
      <c r="A2714">
        <v>357659</v>
      </c>
      <c r="B2714" s="1" t="s">
        <v>37</v>
      </c>
      <c r="C2714" s="1" t="s">
        <v>23</v>
      </c>
      <c r="D2714" s="1" t="s">
        <v>17</v>
      </c>
      <c r="E2714" s="1" t="s">
        <v>18</v>
      </c>
      <c r="F2714" s="1" t="s">
        <v>29</v>
      </c>
      <c r="G2714" s="1" t="s">
        <v>20</v>
      </c>
      <c r="H2714" t="s">
        <v>30</v>
      </c>
      <c r="I2714" s="1" t="s">
        <v>22</v>
      </c>
      <c r="J2714" s="2">
        <v>43533.176238425927</v>
      </c>
      <c r="K2714" s="2">
        <v>43538.176238425927</v>
      </c>
      <c r="L2714" s="2">
        <v>43539.176238425927</v>
      </c>
      <c r="M2714" s="1">
        <f>_xlfn.DAYS(Table1[[#This Row],[actual_delivery_date]],Table1[[#This Row],[dispatch_date]])</f>
        <v>5</v>
      </c>
      <c r="N2714">
        <v>44</v>
      </c>
      <c r="O2714">
        <f>Table1[[#This Row],[transit_storage_cost]] * (1-'What -if Analysis'!$D$26)</f>
        <v>44</v>
      </c>
      <c r="P2714">
        <v>112</v>
      </c>
      <c r="Q2714">
        <v>3399</v>
      </c>
    </row>
    <row r="2715" spans="1:17" x14ac:dyDescent="0.3">
      <c r="A2715">
        <v>327363</v>
      </c>
      <c r="B2715" s="1" t="s">
        <v>41</v>
      </c>
      <c r="C2715" s="1" t="s">
        <v>16</v>
      </c>
      <c r="D2715" s="1" t="s">
        <v>23</v>
      </c>
      <c r="E2715" s="1" t="s">
        <v>28</v>
      </c>
      <c r="F2715" s="1" t="s">
        <v>29</v>
      </c>
      <c r="G2715" s="1" t="s">
        <v>20</v>
      </c>
      <c r="H2715" t="s">
        <v>30</v>
      </c>
      <c r="I2715" s="1" t="s">
        <v>26</v>
      </c>
      <c r="J2715" s="2">
        <v>43531.186076388891</v>
      </c>
      <c r="K2715" s="2">
        <v>43538.186076388891</v>
      </c>
      <c r="L2715" s="2">
        <v>43538.186076388891</v>
      </c>
      <c r="M2715" s="1">
        <f>_xlfn.DAYS(Table1[[#This Row],[actual_delivery_date]],Table1[[#This Row],[dispatch_date]])</f>
        <v>7</v>
      </c>
      <c r="N2715">
        <v>46</v>
      </c>
      <c r="O2715">
        <f>Table1[[#This Row],[transit_storage_cost]] * (1-'What -if Analysis'!$D$26)</f>
        <v>46</v>
      </c>
      <c r="P2715">
        <v>127</v>
      </c>
      <c r="Q2715">
        <v>2196.6179358609807</v>
      </c>
    </row>
    <row r="2716" spans="1:17" x14ac:dyDescent="0.3">
      <c r="A2716">
        <v>336063</v>
      </c>
      <c r="B2716" s="1" t="s">
        <v>37</v>
      </c>
      <c r="C2716" s="1" t="s">
        <v>16</v>
      </c>
      <c r="D2716" s="1" t="s">
        <v>32</v>
      </c>
      <c r="E2716" s="1" t="s">
        <v>33</v>
      </c>
      <c r="F2716" s="1" t="s">
        <v>29</v>
      </c>
      <c r="G2716" s="1" t="s">
        <v>20</v>
      </c>
      <c r="H2716" t="s">
        <v>34</v>
      </c>
      <c r="I2716" s="1" t="s">
        <v>26</v>
      </c>
      <c r="J2716" s="2">
        <v>43533.188622685186</v>
      </c>
      <c r="K2716" s="2">
        <v>43538.188622685186</v>
      </c>
      <c r="L2716" s="2">
        <v>43537.188622685186</v>
      </c>
      <c r="M2716" s="1">
        <f>_xlfn.DAYS(Table1[[#This Row],[actual_delivery_date]],Table1[[#This Row],[dispatch_date]])</f>
        <v>5</v>
      </c>
      <c r="N2716">
        <v>33</v>
      </c>
      <c r="O2716">
        <f>Table1[[#This Row],[transit_storage_cost]] * (1-'What -if Analysis'!$D$26)</f>
        <v>33</v>
      </c>
      <c r="P2716">
        <v>113</v>
      </c>
      <c r="Q2716">
        <v>312</v>
      </c>
    </row>
    <row r="2717" spans="1:17" x14ac:dyDescent="0.3">
      <c r="A2717">
        <v>644294</v>
      </c>
      <c r="B2717" s="1" t="s">
        <v>41</v>
      </c>
      <c r="C2717" s="1" t="s">
        <v>16</v>
      </c>
      <c r="D2717" s="1" t="s">
        <v>16</v>
      </c>
      <c r="E2717" s="1" t="s">
        <v>27</v>
      </c>
      <c r="F2717" s="1" t="s">
        <v>31</v>
      </c>
      <c r="G2717" s="1" t="s">
        <v>20</v>
      </c>
      <c r="H2717" t="s">
        <v>21</v>
      </c>
      <c r="I2717" s="1" t="s">
        <v>22</v>
      </c>
      <c r="J2717" s="2">
        <v>43537.201608796298</v>
      </c>
      <c r="K2717" s="2">
        <v>43538.201608796298</v>
      </c>
      <c r="L2717" s="2">
        <v>43544.201608796298</v>
      </c>
      <c r="M2717" s="1">
        <f>_xlfn.DAYS(Table1[[#This Row],[actual_delivery_date]],Table1[[#This Row],[dispatch_date]])</f>
        <v>1</v>
      </c>
      <c r="N2717">
        <v>0</v>
      </c>
      <c r="O2717">
        <f>Table1[[#This Row],[transit_storage_cost]] * (1-'What -if Analysis'!$D$26)</f>
        <v>0</v>
      </c>
      <c r="P2717">
        <v>129</v>
      </c>
      <c r="Q2717">
        <v>1891.1529792837443</v>
      </c>
    </row>
    <row r="2718" spans="1:17" x14ac:dyDescent="0.3">
      <c r="A2718">
        <v>660422</v>
      </c>
      <c r="B2718" s="1" t="s">
        <v>15</v>
      </c>
      <c r="C2718" s="1" t="s">
        <v>16</v>
      </c>
      <c r="D2718" s="1" t="s">
        <v>24</v>
      </c>
      <c r="E2718" s="1" t="s">
        <v>25</v>
      </c>
      <c r="F2718" s="1" t="s">
        <v>19</v>
      </c>
      <c r="G2718" s="1" t="s">
        <v>20</v>
      </c>
      <c r="H2718" t="s">
        <v>21</v>
      </c>
      <c r="I2718" s="1" t="s">
        <v>22</v>
      </c>
      <c r="J2718" s="2">
        <v>43531.206307870372</v>
      </c>
      <c r="K2718" s="2">
        <v>43538.206307870372</v>
      </c>
      <c r="L2718" s="2">
        <v>43538.206307870372</v>
      </c>
      <c r="M2718" s="1">
        <f>_xlfn.DAYS(Table1[[#This Row],[actual_delivery_date]],Table1[[#This Row],[dispatch_date]])</f>
        <v>7</v>
      </c>
      <c r="N2718">
        <v>68</v>
      </c>
      <c r="O2718">
        <f>Table1[[#This Row],[transit_storage_cost]] * (1-'What -if Analysis'!$D$26)</f>
        <v>68</v>
      </c>
      <c r="P2718">
        <v>103</v>
      </c>
      <c r="Q2718">
        <v>3067</v>
      </c>
    </row>
    <row r="2719" spans="1:17" x14ac:dyDescent="0.3">
      <c r="A2719">
        <v>644176</v>
      </c>
      <c r="B2719" s="1" t="s">
        <v>37</v>
      </c>
      <c r="C2719" s="1" t="s">
        <v>16</v>
      </c>
      <c r="D2719" s="1" t="s">
        <v>16</v>
      </c>
      <c r="E2719" s="1" t="s">
        <v>27</v>
      </c>
      <c r="F2719" s="1" t="s">
        <v>19</v>
      </c>
      <c r="G2719" s="1" t="s">
        <v>20</v>
      </c>
      <c r="H2719" t="s">
        <v>21</v>
      </c>
      <c r="I2719" s="1" t="s">
        <v>22</v>
      </c>
      <c r="J2719" s="2">
        <v>43537.206388888888</v>
      </c>
      <c r="K2719" s="2">
        <v>43538.206388888888</v>
      </c>
      <c r="L2719" s="2">
        <v>43542.206388888888</v>
      </c>
      <c r="M2719" s="1">
        <f>_xlfn.DAYS(Table1[[#This Row],[actual_delivery_date]],Table1[[#This Row],[dispatch_date]])</f>
        <v>1</v>
      </c>
      <c r="N2719">
        <v>0</v>
      </c>
      <c r="O2719">
        <f>Table1[[#This Row],[transit_storage_cost]] * (1-'What -if Analysis'!$D$26)</f>
        <v>0</v>
      </c>
      <c r="P2719">
        <v>125</v>
      </c>
      <c r="Q2719">
        <v>1245.8566481347746</v>
      </c>
    </row>
    <row r="2720" spans="1:17" x14ac:dyDescent="0.3">
      <c r="A2720">
        <v>550988</v>
      </c>
      <c r="B2720" s="1" t="s">
        <v>39</v>
      </c>
      <c r="C2720" s="1" t="s">
        <v>23</v>
      </c>
      <c r="D2720" s="1" t="s">
        <v>23</v>
      </c>
      <c r="E2720" s="1" t="s">
        <v>28</v>
      </c>
      <c r="F2720" s="1" t="s">
        <v>19</v>
      </c>
      <c r="G2720" s="1" t="s">
        <v>20</v>
      </c>
      <c r="H2720" t="s">
        <v>21</v>
      </c>
      <c r="I2720" s="1" t="s">
        <v>22</v>
      </c>
      <c r="J2720" s="2">
        <v>43533.208124999997</v>
      </c>
      <c r="K2720" s="2">
        <v>43538.208124999997</v>
      </c>
      <c r="L2720" s="2">
        <v>43539.208124999997</v>
      </c>
      <c r="M2720" s="1">
        <f>_xlfn.DAYS(Table1[[#This Row],[actual_delivery_date]],Table1[[#This Row],[dispatch_date]])</f>
        <v>5</v>
      </c>
      <c r="N2720">
        <v>0</v>
      </c>
      <c r="O2720">
        <f>Table1[[#This Row],[transit_storage_cost]] * (1-'What -if Analysis'!$D$26)</f>
        <v>0</v>
      </c>
      <c r="P2720">
        <v>124</v>
      </c>
      <c r="Q2720">
        <v>518</v>
      </c>
    </row>
    <row r="2721" spans="1:17" x14ac:dyDescent="0.3">
      <c r="A2721">
        <v>745959</v>
      </c>
      <c r="B2721" s="1" t="s">
        <v>15</v>
      </c>
      <c r="C2721" s="1" t="s">
        <v>16</v>
      </c>
      <c r="D2721" s="1" t="s">
        <v>17</v>
      </c>
      <c r="E2721" s="1" t="s">
        <v>18</v>
      </c>
      <c r="F2721" s="1" t="s">
        <v>19</v>
      </c>
      <c r="G2721" s="1" t="s">
        <v>20</v>
      </c>
      <c r="H2721" t="s">
        <v>30</v>
      </c>
      <c r="I2721" s="1" t="s">
        <v>26</v>
      </c>
      <c r="J2721" s="2">
        <v>43533.213101851848</v>
      </c>
      <c r="K2721" s="2">
        <v>43538.213101851848</v>
      </c>
      <c r="L2721" s="2">
        <v>43540.213101851848</v>
      </c>
      <c r="M2721" s="1">
        <f>_xlfn.DAYS(Table1[[#This Row],[actual_delivery_date]],Table1[[#This Row],[dispatch_date]])</f>
        <v>5</v>
      </c>
      <c r="N2721">
        <v>78</v>
      </c>
      <c r="O2721">
        <f>Table1[[#This Row],[transit_storage_cost]] * (1-'What -if Analysis'!$D$26)</f>
        <v>78</v>
      </c>
      <c r="P2721">
        <v>89</v>
      </c>
      <c r="Q2721">
        <v>338</v>
      </c>
    </row>
    <row r="2722" spans="1:17" x14ac:dyDescent="0.3">
      <c r="A2722">
        <v>124873</v>
      </c>
      <c r="B2722" s="1" t="s">
        <v>39</v>
      </c>
      <c r="C2722" s="1" t="s">
        <v>16</v>
      </c>
      <c r="D2722" s="1" t="s">
        <v>17</v>
      </c>
      <c r="E2722" s="1" t="s">
        <v>18</v>
      </c>
      <c r="F2722" s="1" t="s">
        <v>29</v>
      </c>
      <c r="G2722" s="1" t="s">
        <v>20</v>
      </c>
      <c r="H2722" t="s">
        <v>34</v>
      </c>
      <c r="I2722" s="1" t="s">
        <v>22</v>
      </c>
      <c r="J2722" s="2">
        <v>43533.213784722226</v>
      </c>
      <c r="K2722" s="2">
        <v>43538.213784722226</v>
      </c>
      <c r="L2722" s="2">
        <v>43536.213784722226</v>
      </c>
      <c r="M2722" s="1">
        <f>_xlfn.DAYS(Table1[[#This Row],[actual_delivery_date]],Table1[[#This Row],[dispatch_date]])</f>
        <v>5</v>
      </c>
      <c r="N2722">
        <v>25</v>
      </c>
      <c r="O2722">
        <f>Table1[[#This Row],[transit_storage_cost]] * (1-'What -if Analysis'!$D$26)</f>
        <v>25</v>
      </c>
      <c r="P2722">
        <v>113</v>
      </c>
      <c r="Q2722">
        <v>1955.2712160996011</v>
      </c>
    </row>
    <row r="2723" spans="1:17" x14ac:dyDescent="0.3">
      <c r="A2723">
        <v>116463</v>
      </c>
      <c r="B2723" s="1" t="s">
        <v>39</v>
      </c>
      <c r="C2723" s="1" t="s">
        <v>16</v>
      </c>
      <c r="D2723" s="1" t="s">
        <v>23</v>
      </c>
      <c r="E2723" s="1" t="s">
        <v>28</v>
      </c>
      <c r="F2723" s="1" t="s">
        <v>19</v>
      </c>
      <c r="G2723" s="1" t="s">
        <v>20</v>
      </c>
      <c r="H2723" t="s">
        <v>30</v>
      </c>
      <c r="I2723" s="1" t="s">
        <v>26</v>
      </c>
      <c r="J2723" s="2">
        <v>43532.215729166666</v>
      </c>
      <c r="K2723" s="2">
        <v>43538.215729166666</v>
      </c>
      <c r="L2723" s="2">
        <v>43536.215729166666</v>
      </c>
      <c r="M2723" s="1">
        <f>_xlfn.DAYS(Table1[[#This Row],[actual_delivery_date]],Table1[[#This Row],[dispatch_date]])</f>
        <v>6</v>
      </c>
      <c r="N2723">
        <v>78</v>
      </c>
      <c r="O2723">
        <f>Table1[[#This Row],[transit_storage_cost]] * (1-'What -if Analysis'!$D$26)</f>
        <v>78</v>
      </c>
      <c r="P2723">
        <v>106</v>
      </c>
      <c r="Q2723">
        <v>2837</v>
      </c>
    </row>
    <row r="2724" spans="1:17" x14ac:dyDescent="0.3">
      <c r="A2724">
        <v>380263</v>
      </c>
      <c r="B2724" s="1" t="s">
        <v>40</v>
      </c>
      <c r="C2724" s="1" t="s">
        <v>23</v>
      </c>
      <c r="D2724" s="1" t="s">
        <v>23</v>
      </c>
      <c r="E2724" s="1" t="s">
        <v>28</v>
      </c>
      <c r="F2724" s="1" t="s">
        <v>29</v>
      </c>
      <c r="G2724" s="1" t="s">
        <v>20</v>
      </c>
      <c r="H2724" t="s">
        <v>30</v>
      </c>
      <c r="I2724" s="1" t="s">
        <v>22</v>
      </c>
      <c r="J2724" s="2">
        <v>43538.222013888888</v>
      </c>
      <c r="K2724" s="2">
        <v>43538.222013888888</v>
      </c>
      <c r="L2724" s="2">
        <v>43544.222013888888</v>
      </c>
      <c r="M2724" s="1">
        <f>_xlfn.DAYS(Table1[[#This Row],[actual_delivery_date]],Table1[[#This Row],[dispatch_date]])</f>
        <v>0</v>
      </c>
      <c r="N2724">
        <v>0</v>
      </c>
      <c r="O2724">
        <f>Table1[[#This Row],[transit_storage_cost]] * (1-'What -if Analysis'!$D$26)</f>
        <v>0</v>
      </c>
      <c r="P2724">
        <v>123</v>
      </c>
      <c r="Q2724">
        <v>1105.8181404645111</v>
      </c>
    </row>
    <row r="2725" spans="1:17" x14ac:dyDescent="0.3">
      <c r="A2725">
        <v>759044</v>
      </c>
      <c r="B2725" s="1" t="s">
        <v>37</v>
      </c>
      <c r="C2725" s="1" t="s">
        <v>16</v>
      </c>
      <c r="D2725" s="1" t="s">
        <v>32</v>
      </c>
      <c r="E2725" s="1" t="s">
        <v>33</v>
      </c>
      <c r="F2725" s="1" t="s">
        <v>19</v>
      </c>
      <c r="G2725" s="1" t="s">
        <v>20</v>
      </c>
      <c r="H2725" t="s">
        <v>21</v>
      </c>
      <c r="I2725" s="1" t="s">
        <v>22</v>
      </c>
      <c r="J2725" s="2">
        <v>43534.222650462965</v>
      </c>
      <c r="K2725" s="2">
        <v>43538.222650462965</v>
      </c>
      <c r="L2725" s="2">
        <v>43540.222650462965</v>
      </c>
      <c r="M2725" s="1">
        <f>_xlfn.DAYS(Table1[[#This Row],[actual_delivery_date]],Table1[[#This Row],[dispatch_date]])</f>
        <v>4</v>
      </c>
      <c r="N2725">
        <v>67</v>
      </c>
      <c r="O2725">
        <f>Table1[[#This Row],[transit_storage_cost]] * (1-'What -if Analysis'!$D$26)</f>
        <v>67</v>
      </c>
      <c r="P2725">
        <v>91</v>
      </c>
      <c r="Q2725">
        <v>1497.6803877717066</v>
      </c>
    </row>
    <row r="2726" spans="1:17" x14ac:dyDescent="0.3">
      <c r="A2726">
        <v>879800</v>
      </c>
      <c r="B2726" s="1" t="s">
        <v>40</v>
      </c>
      <c r="C2726" s="1" t="s">
        <v>16</v>
      </c>
      <c r="D2726" s="1" t="s">
        <v>23</v>
      </c>
      <c r="E2726" s="1" t="s">
        <v>28</v>
      </c>
      <c r="F2726" s="1" t="s">
        <v>19</v>
      </c>
      <c r="G2726" s="1" t="s">
        <v>20</v>
      </c>
      <c r="H2726" t="s">
        <v>21</v>
      </c>
      <c r="I2726" s="1" t="s">
        <v>22</v>
      </c>
      <c r="J2726" s="2">
        <v>43536.224398148152</v>
      </c>
      <c r="K2726" s="2">
        <v>43538.224398148152</v>
      </c>
      <c r="L2726" s="2">
        <v>43543.224398148152</v>
      </c>
      <c r="M2726" s="1">
        <f>_xlfn.DAYS(Table1[[#This Row],[actual_delivery_date]],Table1[[#This Row],[dispatch_date]])</f>
        <v>2</v>
      </c>
      <c r="N2726">
        <v>41</v>
      </c>
      <c r="O2726">
        <f>Table1[[#This Row],[transit_storage_cost]] * (1-'What -if Analysis'!$D$26)</f>
        <v>41</v>
      </c>
      <c r="P2726">
        <v>124</v>
      </c>
      <c r="Q2726">
        <v>2595.1200410565598</v>
      </c>
    </row>
    <row r="2727" spans="1:17" x14ac:dyDescent="0.3">
      <c r="A2727">
        <v>283457</v>
      </c>
      <c r="B2727" s="1" t="s">
        <v>40</v>
      </c>
      <c r="C2727" s="1" t="s">
        <v>16</v>
      </c>
      <c r="D2727" s="1" t="s">
        <v>17</v>
      </c>
      <c r="E2727" s="1" t="s">
        <v>18</v>
      </c>
      <c r="F2727" s="1" t="s">
        <v>29</v>
      </c>
      <c r="G2727" s="1" t="s">
        <v>20</v>
      </c>
      <c r="H2727" t="s">
        <v>30</v>
      </c>
      <c r="I2727" s="1" t="s">
        <v>22</v>
      </c>
      <c r="J2727" s="2">
        <v>43530.228333333333</v>
      </c>
      <c r="K2727" s="2">
        <v>43538.228333333333</v>
      </c>
      <c r="L2727" s="2">
        <v>43535.228333333333</v>
      </c>
      <c r="M2727" s="1">
        <f>_xlfn.DAYS(Table1[[#This Row],[actual_delivery_date]],Table1[[#This Row],[dispatch_date]])</f>
        <v>8</v>
      </c>
      <c r="N2727">
        <v>42</v>
      </c>
      <c r="O2727">
        <f>Table1[[#This Row],[transit_storage_cost]] * (1-'What -if Analysis'!$D$26)</f>
        <v>42</v>
      </c>
      <c r="P2727">
        <v>114</v>
      </c>
      <c r="Q2727">
        <v>2737.3537206806341</v>
      </c>
    </row>
    <row r="2728" spans="1:17" x14ac:dyDescent="0.3">
      <c r="A2728">
        <v>623063</v>
      </c>
      <c r="B2728" s="1" t="s">
        <v>38</v>
      </c>
      <c r="C2728" s="1" t="s">
        <v>23</v>
      </c>
      <c r="D2728" s="1" t="s">
        <v>32</v>
      </c>
      <c r="E2728" s="1" t="s">
        <v>33</v>
      </c>
      <c r="F2728" s="1" t="s">
        <v>29</v>
      </c>
      <c r="G2728" s="1" t="s">
        <v>20</v>
      </c>
      <c r="H2728" t="s">
        <v>34</v>
      </c>
      <c r="I2728" s="1" t="s">
        <v>22</v>
      </c>
      <c r="J2728" s="2">
        <v>43536.235150462962</v>
      </c>
      <c r="K2728" s="2">
        <v>43538.235150462962</v>
      </c>
      <c r="L2728" s="2">
        <v>43539.235150462962</v>
      </c>
      <c r="M2728" s="1">
        <f>_xlfn.DAYS(Table1[[#This Row],[actual_delivery_date]],Table1[[#This Row],[dispatch_date]])</f>
        <v>2</v>
      </c>
      <c r="N2728">
        <v>32</v>
      </c>
      <c r="O2728">
        <f>Table1[[#This Row],[transit_storage_cost]] * (1-'What -if Analysis'!$D$26)</f>
        <v>32</v>
      </c>
      <c r="P2728">
        <v>115</v>
      </c>
      <c r="Q2728">
        <v>451</v>
      </c>
    </row>
    <row r="2729" spans="1:17" x14ac:dyDescent="0.3">
      <c r="A2729">
        <v>45775</v>
      </c>
      <c r="B2729" s="1" t="s">
        <v>37</v>
      </c>
      <c r="C2729" s="1" t="s">
        <v>16</v>
      </c>
      <c r="D2729" s="1" t="s">
        <v>24</v>
      </c>
      <c r="E2729" s="1" t="s">
        <v>25</v>
      </c>
      <c r="F2729" s="1" t="s">
        <v>29</v>
      </c>
      <c r="G2729" s="1" t="s">
        <v>20</v>
      </c>
      <c r="H2729" t="s">
        <v>30</v>
      </c>
      <c r="I2729" s="1" t="s">
        <v>22</v>
      </c>
      <c r="J2729" s="2">
        <v>43536.253333333334</v>
      </c>
      <c r="K2729" s="2">
        <v>43538.253333333334</v>
      </c>
      <c r="L2729" s="2">
        <v>43542.253333333334</v>
      </c>
      <c r="M2729" s="1">
        <f>_xlfn.DAYS(Table1[[#This Row],[actual_delivery_date]],Table1[[#This Row],[dispatch_date]])</f>
        <v>2</v>
      </c>
      <c r="N2729">
        <v>33</v>
      </c>
      <c r="O2729">
        <f>Table1[[#This Row],[transit_storage_cost]] * (1-'What -if Analysis'!$D$26)</f>
        <v>33</v>
      </c>
      <c r="P2729">
        <v>122</v>
      </c>
      <c r="Q2729">
        <v>878.08658434334939</v>
      </c>
    </row>
    <row r="2730" spans="1:17" x14ac:dyDescent="0.3">
      <c r="A2730">
        <v>900734</v>
      </c>
      <c r="B2730" s="1" t="s">
        <v>38</v>
      </c>
      <c r="C2730" s="1" t="s">
        <v>23</v>
      </c>
      <c r="D2730" s="1" t="s">
        <v>32</v>
      </c>
      <c r="E2730" s="1" t="s">
        <v>33</v>
      </c>
      <c r="F2730" s="1" t="s">
        <v>31</v>
      </c>
      <c r="G2730" s="1" t="s">
        <v>20</v>
      </c>
      <c r="H2730" t="s">
        <v>21</v>
      </c>
      <c r="I2730" s="1" t="s">
        <v>22</v>
      </c>
      <c r="J2730" s="2">
        <v>43531.253437500003</v>
      </c>
      <c r="K2730" s="2">
        <v>43538.253437500003</v>
      </c>
      <c r="L2730" s="2">
        <v>43538.253437500003</v>
      </c>
      <c r="M2730" s="1">
        <f>_xlfn.DAYS(Table1[[#This Row],[actual_delivery_date]],Table1[[#This Row],[dispatch_date]])</f>
        <v>7</v>
      </c>
      <c r="N2730">
        <v>47</v>
      </c>
      <c r="O2730">
        <f>Table1[[#This Row],[transit_storage_cost]] * (1-'What -if Analysis'!$D$26)</f>
        <v>47</v>
      </c>
      <c r="P2730">
        <v>105</v>
      </c>
      <c r="Q2730">
        <v>2371.2737206237389</v>
      </c>
    </row>
    <row r="2731" spans="1:17" x14ac:dyDescent="0.3">
      <c r="A2731">
        <v>797070</v>
      </c>
      <c r="B2731" s="1" t="s">
        <v>39</v>
      </c>
      <c r="C2731" s="1" t="s">
        <v>23</v>
      </c>
      <c r="D2731" s="1" t="s">
        <v>23</v>
      </c>
      <c r="E2731" s="1" t="s">
        <v>28</v>
      </c>
      <c r="F2731" s="1" t="s">
        <v>31</v>
      </c>
      <c r="G2731" s="1" t="s">
        <v>20</v>
      </c>
      <c r="H2731" t="s">
        <v>21</v>
      </c>
      <c r="I2731" s="1" t="s">
        <v>26</v>
      </c>
      <c r="J2731" s="2">
        <v>43537.254224537035</v>
      </c>
      <c r="K2731" s="2">
        <v>43538.254224537035</v>
      </c>
      <c r="L2731" s="2">
        <v>43541.254224537035</v>
      </c>
      <c r="M2731" s="1">
        <f>_xlfn.DAYS(Table1[[#This Row],[actual_delivery_date]],Table1[[#This Row],[dispatch_date]])</f>
        <v>1</v>
      </c>
      <c r="N2731">
        <v>0</v>
      </c>
      <c r="O2731">
        <f>Table1[[#This Row],[transit_storage_cost]] * (1-'What -if Analysis'!$D$26)</f>
        <v>0</v>
      </c>
      <c r="P2731">
        <v>122</v>
      </c>
      <c r="Q2731">
        <v>363.41130144316173</v>
      </c>
    </row>
    <row r="2732" spans="1:17" x14ac:dyDescent="0.3">
      <c r="A2732">
        <v>94872</v>
      </c>
      <c r="B2732" s="1" t="s">
        <v>41</v>
      </c>
      <c r="C2732" s="1" t="s">
        <v>23</v>
      </c>
      <c r="D2732" s="1" t="s">
        <v>17</v>
      </c>
      <c r="E2732" s="1" t="s">
        <v>18</v>
      </c>
      <c r="F2732" s="1" t="s">
        <v>19</v>
      </c>
      <c r="G2732" s="1" t="s">
        <v>20</v>
      </c>
      <c r="H2732" t="s">
        <v>21</v>
      </c>
      <c r="I2732" s="1" t="s">
        <v>26</v>
      </c>
      <c r="J2732" s="2">
        <v>43535.256099537037</v>
      </c>
      <c r="K2732" s="2">
        <v>43538.256099537037</v>
      </c>
      <c r="L2732" s="2">
        <v>43538.256099537037</v>
      </c>
      <c r="M2732" s="1">
        <f>_xlfn.DAYS(Table1[[#This Row],[actual_delivery_date]],Table1[[#This Row],[dispatch_date]])</f>
        <v>3</v>
      </c>
      <c r="N2732">
        <v>0</v>
      </c>
      <c r="O2732">
        <f>Table1[[#This Row],[transit_storage_cost]] * (1-'What -if Analysis'!$D$26)</f>
        <v>0</v>
      </c>
      <c r="P2732">
        <v>106</v>
      </c>
      <c r="Q2732">
        <v>1532.3769670067848</v>
      </c>
    </row>
    <row r="2733" spans="1:17" x14ac:dyDescent="0.3">
      <c r="A2733">
        <v>794355</v>
      </c>
      <c r="B2733" s="1" t="s">
        <v>41</v>
      </c>
      <c r="C2733" s="1" t="s">
        <v>16</v>
      </c>
      <c r="D2733" s="1" t="s">
        <v>24</v>
      </c>
      <c r="E2733" s="1" t="s">
        <v>25</v>
      </c>
      <c r="F2733" s="1" t="s">
        <v>29</v>
      </c>
      <c r="G2733" s="1" t="s">
        <v>20</v>
      </c>
      <c r="H2733" t="s">
        <v>30</v>
      </c>
      <c r="I2733" s="1" t="s">
        <v>26</v>
      </c>
      <c r="J2733" s="2">
        <v>43533.259351851855</v>
      </c>
      <c r="K2733" s="2">
        <v>43538.259351851855</v>
      </c>
      <c r="L2733" s="2">
        <v>43540.259351851855</v>
      </c>
      <c r="M2733" s="1">
        <f>_xlfn.DAYS(Table1[[#This Row],[actual_delivery_date]],Table1[[#This Row],[dispatch_date]])</f>
        <v>5</v>
      </c>
      <c r="N2733">
        <v>47</v>
      </c>
      <c r="O2733">
        <f>Table1[[#This Row],[transit_storage_cost]] * (1-'What -if Analysis'!$D$26)</f>
        <v>47</v>
      </c>
      <c r="P2733">
        <v>130</v>
      </c>
      <c r="Q2733">
        <v>1425.1869922120659</v>
      </c>
    </row>
    <row r="2734" spans="1:17" x14ac:dyDescent="0.3">
      <c r="A2734">
        <v>731507</v>
      </c>
      <c r="B2734" s="1" t="s">
        <v>39</v>
      </c>
      <c r="C2734" s="1" t="s">
        <v>16</v>
      </c>
      <c r="D2734" s="1" t="s">
        <v>32</v>
      </c>
      <c r="E2734" s="1" t="s">
        <v>33</v>
      </c>
      <c r="F2734" s="1" t="s">
        <v>19</v>
      </c>
      <c r="G2734" s="1" t="s">
        <v>20</v>
      </c>
      <c r="H2734" t="s">
        <v>34</v>
      </c>
      <c r="I2734" s="1" t="s">
        <v>22</v>
      </c>
      <c r="J2734" s="2">
        <v>43530.263148148151</v>
      </c>
      <c r="K2734" s="2">
        <v>43538.263148148151</v>
      </c>
      <c r="L2734" s="2">
        <v>43533.263148148151</v>
      </c>
      <c r="M2734" s="1">
        <f>_xlfn.DAYS(Table1[[#This Row],[actual_delivery_date]],Table1[[#This Row],[dispatch_date]])</f>
        <v>8</v>
      </c>
      <c r="N2734">
        <v>61</v>
      </c>
      <c r="O2734">
        <f>Table1[[#This Row],[transit_storage_cost]] * (1-'What -if Analysis'!$D$26)</f>
        <v>61</v>
      </c>
      <c r="P2734">
        <v>94</v>
      </c>
      <c r="Q2734">
        <v>3269.0833333712294</v>
      </c>
    </row>
    <row r="2735" spans="1:17" x14ac:dyDescent="0.3">
      <c r="A2735">
        <v>597104</v>
      </c>
      <c r="B2735" s="1" t="s">
        <v>39</v>
      </c>
      <c r="C2735" s="1" t="s">
        <v>23</v>
      </c>
      <c r="D2735" s="1" t="s">
        <v>16</v>
      </c>
      <c r="E2735" s="1" t="s">
        <v>27</v>
      </c>
      <c r="F2735" s="1" t="s">
        <v>19</v>
      </c>
      <c r="G2735" s="1" t="s">
        <v>20</v>
      </c>
      <c r="H2735" t="s">
        <v>21</v>
      </c>
      <c r="I2735" s="1" t="s">
        <v>22</v>
      </c>
      <c r="J2735" s="2">
        <v>43532.263379629629</v>
      </c>
      <c r="K2735" s="2">
        <v>43538.263379629629</v>
      </c>
      <c r="L2735" s="2">
        <v>43535.263379629629</v>
      </c>
      <c r="M2735" s="1">
        <f>_xlfn.DAYS(Table1[[#This Row],[actual_delivery_date]],Table1[[#This Row],[dispatch_date]])</f>
        <v>6</v>
      </c>
      <c r="N2735">
        <v>80</v>
      </c>
      <c r="O2735">
        <f>Table1[[#This Row],[transit_storage_cost]] * (1-'What -if Analysis'!$D$26)</f>
        <v>80</v>
      </c>
      <c r="P2735">
        <v>106</v>
      </c>
      <c r="Q2735">
        <v>3111.2883211678877</v>
      </c>
    </row>
    <row r="2736" spans="1:17" x14ac:dyDescent="0.3">
      <c r="A2736">
        <v>51958</v>
      </c>
      <c r="B2736" s="1" t="s">
        <v>37</v>
      </c>
      <c r="C2736" s="1" t="s">
        <v>23</v>
      </c>
      <c r="D2736" s="1" t="s">
        <v>17</v>
      </c>
      <c r="E2736" s="1" t="s">
        <v>18</v>
      </c>
      <c r="F2736" s="1" t="s">
        <v>19</v>
      </c>
      <c r="G2736" s="1" t="s">
        <v>20</v>
      </c>
      <c r="H2736" t="s">
        <v>21</v>
      </c>
      <c r="I2736" s="1" t="s">
        <v>22</v>
      </c>
      <c r="J2736" s="2">
        <v>43534.271666666667</v>
      </c>
      <c r="K2736" s="2">
        <v>43538.271666666667</v>
      </c>
      <c r="L2736" s="2">
        <v>43538.271666666667</v>
      </c>
      <c r="M2736" s="1">
        <f>_xlfn.DAYS(Table1[[#This Row],[actual_delivery_date]],Table1[[#This Row],[dispatch_date]])</f>
        <v>4</v>
      </c>
      <c r="N2736">
        <v>69</v>
      </c>
      <c r="O2736">
        <f>Table1[[#This Row],[transit_storage_cost]] * (1-'What -if Analysis'!$D$26)</f>
        <v>69</v>
      </c>
      <c r="P2736">
        <v>90</v>
      </c>
      <c r="Q2736">
        <v>2809.0677305997324</v>
      </c>
    </row>
    <row r="2737" spans="1:17" x14ac:dyDescent="0.3">
      <c r="A2737">
        <v>111590</v>
      </c>
      <c r="B2737" s="1" t="s">
        <v>38</v>
      </c>
      <c r="C2737" s="1" t="s">
        <v>23</v>
      </c>
      <c r="D2737" s="1" t="s">
        <v>23</v>
      </c>
      <c r="E2737" s="1" t="s">
        <v>28</v>
      </c>
      <c r="F2737" s="1" t="s">
        <v>19</v>
      </c>
      <c r="G2737" s="1" t="s">
        <v>20</v>
      </c>
      <c r="H2737" t="s">
        <v>21</v>
      </c>
      <c r="I2737" s="1" t="s">
        <v>22</v>
      </c>
      <c r="J2737" s="2">
        <v>43538.27511574074</v>
      </c>
      <c r="K2737" s="2">
        <v>43538.27511574074</v>
      </c>
      <c r="L2737" s="2">
        <v>43545.27511574074</v>
      </c>
      <c r="M2737" s="1">
        <f>_xlfn.DAYS(Table1[[#This Row],[actual_delivery_date]],Table1[[#This Row],[dispatch_date]])</f>
        <v>0</v>
      </c>
      <c r="N2737">
        <v>0</v>
      </c>
      <c r="O2737">
        <f>Table1[[#This Row],[transit_storage_cost]] * (1-'What -if Analysis'!$D$26)</f>
        <v>0</v>
      </c>
      <c r="P2737">
        <v>109</v>
      </c>
      <c r="Q2737">
        <v>1199.1528972476715</v>
      </c>
    </row>
    <row r="2738" spans="1:17" x14ac:dyDescent="0.3">
      <c r="A2738">
        <v>712105</v>
      </c>
      <c r="B2738" s="1" t="s">
        <v>15</v>
      </c>
      <c r="C2738" s="1" t="s">
        <v>23</v>
      </c>
      <c r="D2738" s="1" t="s">
        <v>17</v>
      </c>
      <c r="E2738" s="1" t="s">
        <v>18</v>
      </c>
      <c r="F2738" s="1" t="s">
        <v>29</v>
      </c>
      <c r="G2738" s="1" t="s">
        <v>20</v>
      </c>
      <c r="H2738" t="s">
        <v>30</v>
      </c>
      <c r="I2738" s="1" t="s">
        <v>22</v>
      </c>
      <c r="J2738" s="2">
        <v>43531.278796296298</v>
      </c>
      <c r="K2738" s="2">
        <v>43538.278796296298</v>
      </c>
      <c r="L2738" s="2">
        <v>43534.278796296298</v>
      </c>
      <c r="M2738" s="1">
        <f>_xlfn.DAYS(Table1[[#This Row],[actual_delivery_date]],Table1[[#This Row],[dispatch_date]])</f>
        <v>7</v>
      </c>
      <c r="N2738">
        <v>28</v>
      </c>
      <c r="O2738">
        <f>Table1[[#This Row],[transit_storage_cost]] * (1-'What -if Analysis'!$D$26)</f>
        <v>28</v>
      </c>
      <c r="P2738">
        <v>107</v>
      </c>
      <c r="Q2738">
        <v>304.45169569701829</v>
      </c>
    </row>
    <row r="2739" spans="1:17" x14ac:dyDescent="0.3">
      <c r="A2739">
        <v>71739</v>
      </c>
      <c r="B2739" s="1" t="s">
        <v>37</v>
      </c>
      <c r="C2739" s="1" t="s">
        <v>23</v>
      </c>
      <c r="D2739" s="1" t="s">
        <v>17</v>
      </c>
      <c r="E2739" s="1" t="s">
        <v>18</v>
      </c>
      <c r="F2739" s="1" t="s">
        <v>29</v>
      </c>
      <c r="G2739" s="1" t="s">
        <v>20</v>
      </c>
      <c r="H2739" t="s">
        <v>30</v>
      </c>
      <c r="I2739" s="1" t="s">
        <v>26</v>
      </c>
      <c r="J2739" s="2">
        <v>43535.281493055554</v>
      </c>
      <c r="K2739" s="2">
        <v>43538.281493055554</v>
      </c>
      <c r="L2739" s="2">
        <v>43539.281493055554</v>
      </c>
      <c r="M2739" s="1">
        <f>_xlfn.DAYS(Table1[[#This Row],[actual_delivery_date]],Table1[[#This Row],[dispatch_date]])</f>
        <v>3</v>
      </c>
      <c r="N2739">
        <v>34</v>
      </c>
      <c r="O2739">
        <f>Table1[[#This Row],[transit_storage_cost]] * (1-'What -if Analysis'!$D$26)</f>
        <v>34</v>
      </c>
      <c r="P2739">
        <v>112</v>
      </c>
      <c r="Q2739">
        <v>1422</v>
      </c>
    </row>
    <row r="2740" spans="1:17" x14ac:dyDescent="0.3">
      <c r="A2740">
        <v>595070</v>
      </c>
      <c r="B2740" s="1" t="s">
        <v>38</v>
      </c>
      <c r="C2740" s="1" t="s">
        <v>16</v>
      </c>
      <c r="D2740" s="1" t="s">
        <v>24</v>
      </c>
      <c r="E2740" s="1" t="s">
        <v>25</v>
      </c>
      <c r="F2740" s="1" t="s">
        <v>31</v>
      </c>
      <c r="G2740" s="1" t="s">
        <v>20</v>
      </c>
      <c r="H2740" t="s">
        <v>21</v>
      </c>
      <c r="I2740" s="1" t="s">
        <v>22</v>
      </c>
      <c r="J2740" s="2">
        <v>43533.287094907406</v>
      </c>
      <c r="K2740" s="2">
        <v>43538.287094907406</v>
      </c>
      <c r="L2740" s="2">
        <v>43536.287094907406</v>
      </c>
      <c r="M2740" s="1">
        <f>_xlfn.DAYS(Table1[[#This Row],[actual_delivery_date]],Table1[[#This Row],[dispatch_date]])</f>
        <v>5</v>
      </c>
      <c r="N2740">
        <v>39</v>
      </c>
      <c r="O2740">
        <f>Table1[[#This Row],[transit_storage_cost]] * (1-'What -if Analysis'!$D$26)</f>
        <v>39</v>
      </c>
      <c r="P2740">
        <v>128</v>
      </c>
      <c r="Q2740">
        <v>1536.7824725898718</v>
      </c>
    </row>
    <row r="2741" spans="1:17" x14ac:dyDescent="0.3">
      <c r="A2741">
        <v>324039</v>
      </c>
      <c r="B2741" s="1" t="s">
        <v>38</v>
      </c>
      <c r="C2741" s="1" t="s">
        <v>16</v>
      </c>
      <c r="D2741" s="1" t="s">
        <v>32</v>
      </c>
      <c r="E2741" s="1" t="s">
        <v>33</v>
      </c>
      <c r="F2741" s="1" t="s">
        <v>29</v>
      </c>
      <c r="G2741" s="1" t="s">
        <v>20</v>
      </c>
      <c r="H2741" t="s">
        <v>30</v>
      </c>
      <c r="I2741" s="1" t="s">
        <v>26</v>
      </c>
      <c r="J2741" s="2">
        <v>43532.289131944446</v>
      </c>
      <c r="K2741" s="2">
        <v>43538.289131944446</v>
      </c>
      <c r="L2741" s="2">
        <v>43539.289131944446</v>
      </c>
      <c r="M2741" s="1">
        <f>_xlfn.DAYS(Table1[[#This Row],[actual_delivery_date]],Table1[[#This Row],[dispatch_date]])</f>
        <v>6</v>
      </c>
      <c r="N2741">
        <v>46</v>
      </c>
      <c r="O2741">
        <f>Table1[[#This Row],[transit_storage_cost]] * (1-'What -if Analysis'!$D$26)</f>
        <v>46</v>
      </c>
      <c r="P2741">
        <v>113</v>
      </c>
      <c r="Q2741">
        <v>614.57816456474256</v>
      </c>
    </row>
    <row r="2742" spans="1:17" x14ac:dyDescent="0.3">
      <c r="A2742">
        <v>984455</v>
      </c>
      <c r="B2742" s="1" t="s">
        <v>38</v>
      </c>
      <c r="C2742" s="1" t="s">
        <v>16</v>
      </c>
      <c r="D2742" s="1" t="s">
        <v>17</v>
      </c>
      <c r="E2742" s="1" t="s">
        <v>18</v>
      </c>
      <c r="F2742" s="1" t="s">
        <v>29</v>
      </c>
      <c r="G2742" s="1" t="s">
        <v>20</v>
      </c>
      <c r="H2742" t="s">
        <v>30</v>
      </c>
      <c r="I2742" s="1" t="s">
        <v>22</v>
      </c>
      <c r="J2742" s="2">
        <v>43531.299745370372</v>
      </c>
      <c r="K2742" s="2">
        <v>43538.299745370372</v>
      </c>
      <c r="L2742" s="2">
        <v>43535.299745370372</v>
      </c>
      <c r="M2742" s="1">
        <f>_xlfn.DAYS(Table1[[#This Row],[actual_delivery_date]],Table1[[#This Row],[dispatch_date]])</f>
        <v>7</v>
      </c>
      <c r="N2742">
        <v>29</v>
      </c>
      <c r="O2742">
        <f>Table1[[#This Row],[transit_storage_cost]] * (1-'What -if Analysis'!$D$26)</f>
        <v>29</v>
      </c>
      <c r="P2742">
        <v>114</v>
      </c>
      <c r="Q2742">
        <v>2206.0645628063776</v>
      </c>
    </row>
    <row r="2743" spans="1:17" x14ac:dyDescent="0.3">
      <c r="A2743">
        <v>493390</v>
      </c>
      <c r="B2743" s="1" t="s">
        <v>40</v>
      </c>
      <c r="C2743" s="1" t="s">
        <v>23</v>
      </c>
      <c r="D2743" s="1" t="s">
        <v>17</v>
      </c>
      <c r="E2743" s="1" t="s">
        <v>18</v>
      </c>
      <c r="F2743" s="1" t="s">
        <v>31</v>
      </c>
      <c r="G2743" s="1" t="s">
        <v>20</v>
      </c>
      <c r="H2743" t="s">
        <v>21</v>
      </c>
      <c r="I2743" s="1" t="s">
        <v>22</v>
      </c>
      <c r="J2743" s="2">
        <v>43530.303217592591</v>
      </c>
      <c r="K2743" s="2">
        <v>43538.303217592591</v>
      </c>
      <c r="L2743" s="2">
        <v>43537.303217592591</v>
      </c>
      <c r="M2743" s="1">
        <f>_xlfn.DAYS(Table1[[#This Row],[actual_delivery_date]],Table1[[#This Row],[dispatch_date]])</f>
        <v>8</v>
      </c>
      <c r="N2743">
        <v>50</v>
      </c>
      <c r="O2743">
        <f>Table1[[#This Row],[transit_storage_cost]] * (1-'What -if Analysis'!$D$26)</f>
        <v>50</v>
      </c>
      <c r="P2743">
        <v>110</v>
      </c>
      <c r="Q2743">
        <v>3300.9840025192689</v>
      </c>
    </row>
    <row r="2744" spans="1:17" x14ac:dyDescent="0.3">
      <c r="A2744">
        <v>107497</v>
      </c>
      <c r="B2744" s="1" t="s">
        <v>37</v>
      </c>
      <c r="C2744" s="1" t="s">
        <v>23</v>
      </c>
      <c r="D2744" s="1" t="s">
        <v>17</v>
      </c>
      <c r="E2744" s="1" t="s">
        <v>18</v>
      </c>
      <c r="F2744" s="1" t="s">
        <v>29</v>
      </c>
      <c r="G2744" s="1" t="s">
        <v>20</v>
      </c>
      <c r="H2744" t="s">
        <v>30</v>
      </c>
      <c r="I2744" s="1" t="s">
        <v>22</v>
      </c>
      <c r="J2744" s="2">
        <v>43530.303749999999</v>
      </c>
      <c r="K2744" s="2">
        <v>43538.303749999999</v>
      </c>
      <c r="L2744" s="2">
        <v>43536.303749999999</v>
      </c>
      <c r="M2744" s="1">
        <f>_xlfn.DAYS(Table1[[#This Row],[actual_delivery_date]],Table1[[#This Row],[dispatch_date]])</f>
        <v>8</v>
      </c>
      <c r="N2744">
        <v>37</v>
      </c>
      <c r="O2744">
        <f>Table1[[#This Row],[transit_storage_cost]] * (1-'What -if Analysis'!$D$26)</f>
        <v>37</v>
      </c>
      <c r="P2744">
        <v>111</v>
      </c>
      <c r="Q2744">
        <v>2816.7468133068392</v>
      </c>
    </row>
    <row r="2745" spans="1:17" x14ac:dyDescent="0.3">
      <c r="A2745">
        <v>44880</v>
      </c>
      <c r="B2745" s="1" t="s">
        <v>39</v>
      </c>
      <c r="C2745" s="1" t="s">
        <v>16</v>
      </c>
      <c r="D2745" s="1" t="s">
        <v>16</v>
      </c>
      <c r="E2745" s="1" t="s">
        <v>27</v>
      </c>
      <c r="F2745" s="1" t="s">
        <v>19</v>
      </c>
      <c r="G2745" s="1" t="s">
        <v>20</v>
      </c>
      <c r="H2745" t="s">
        <v>21</v>
      </c>
      <c r="I2745" s="1" t="s">
        <v>26</v>
      </c>
      <c r="J2745" s="2">
        <v>43537.309027777781</v>
      </c>
      <c r="K2745" s="2">
        <v>43538.309027777781</v>
      </c>
      <c r="L2745" s="2">
        <v>43540.309027777781</v>
      </c>
      <c r="M2745" s="1">
        <f>_xlfn.DAYS(Table1[[#This Row],[actual_delivery_date]],Table1[[#This Row],[dispatch_date]])</f>
        <v>1</v>
      </c>
      <c r="N2745">
        <v>0</v>
      </c>
      <c r="O2745">
        <f>Table1[[#This Row],[transit_storage_cost]] * (1-'What -if Analysis'!$D$26)</f>
        <v>0</v>
      </c>
      <c r="P2745">
        <v>101</v>
      </c>
      <c r="Q2745">
        <v>1037</v>
      </c>
    </row>
    <row r="2746" spans="1:17" x14ac:dyDescent="0.3">
      <c r="A2746">
        <v>239666</v>
      </c>
      <c r="B2746" s="1" t="s">
        <v>41</v>
      </c>
      <c r="C2746" s="1" t="s">
        <v>23</v>
      </c>
      <c r="D2746" s="1" t="s">
        <v>23</v>
      </c>
      <c r="E2746" s="1" t="s">
        <v>28</v>
      </c>
      <c r="F2746" s="1" t="s">
        <v>31</v>
      </c>
      <c r="G2746" s="1" t="s">
        <v>20</v>
      </c>
      <c r="H2746" t="s">
        <v>21</v>
      </c>
      <c r="I2746" s="1" t="s">
        <v>22</v>
      </c>
      <c r="J2746" s="2">
        <v>43535.309259259258</v>
      </c>
      <c r="K2746" s="2">
        <v>43538.309259259258</v>
      </c>
      <c r="L2746" s="2">
        <v>43540.309259259258</v>
      </c>
      <c r="M2746" s="1">
        <f>_xlfn.DAYS(Table1[[#This Row],[actual_delivery_date]],Table1[[#This Row],[dispatch_date]])</f>
        <v>3</v>
      </c>
      <c r="N2746">
        <v>0</v>
      </c>
      <c r="O2746">
        <f>Table1[[#This Row],[transit_storage_cost]] * (1-'What -if Analysis'!$D$26)</f>
        <v>0</v>
      </c>
      <c r="P2746">
        <v>130</v>
      </c>
      <c r="Q2746">
        <v>1526.9888951188125</v>
      </c>
    </row>
    <row r="2747" spans="1:17" x14ac:dyDescent="0.3">
      <c r="A2747">
        <v>388292</v>
      </c>
      <c r="B2747" s="1" t="s">
        <v>41</v>
      </c>
      <c r="C2747" s="1" t="s">
        <v>16</v>
      </c>
      <c r="D2747" s="1" t="s">
        <v>24</v>
      </c>
      <c r="E2747" s="1" t="s">
        <v>25</v>
      </c>
      <c r="F2747" s="1" t="s">
        <v>19</v>
      </c>
      <c r="G2747" s="1" t="s">
        <v>20</v>
      </c>
      <c r="H2747" t="s">
        <v>21</v>
      </c>
      <c r="I2747" s="1" t="s">
        <v>22</v>
      </c>
      <c r="J2747" s="2">
        <v>43531.311828703707</v>
      </c>
      <c r="K2747" s="2">
        <v>43538.311828703707</v>
      </c>
      <c r="L2747" s="2">
        <v>43535.311828703707</v>
      </c>
      <c r="M2747" s="1">
        <f>_xlfn.DAYS(Table1[[#This Row],[actual_delivery_date]],Table1[[#This Row],[dispatch_date]])</f>
        <v>7</v>
      </c>
      <c r="N2747">
        <v>31</v>
      </c>
      <c r="O2747">
        <f>Table1[[#This Row],[transit_storage_cost]] * (1-'What -if Analysis'!$D$26)</f>
        <v>31</v>
      </c>
      <c r="P2747">
        <v>123</v>
      </c>
      <c r="Q2747">
        <v>487</v>
      </c>
    </row>
    <row r="2748" spans="1:17" x14ac:dyDescent="0.3">
      <c r="A2748">
        <v>625878</v>
      </c>
      <c r="B2748" s="1" t="s">
        <v>41</v>
      </c>
      <c r="C2748" s="1" t="s">
        <v>16</v>
      </c>
      <c r="D2748" s="1" t="s">
        <v>32</v>
      </c>
      <c r="E2748" s="1" t="s">
        <v>33</v>
      </c>
      <c r="F2748" s="1" t="s">
        <v>31</v>
      </c>
      <c r="G2748" s="1" t="s">
        <v>20</v>
      </c>
      <c r="H2748" t="s">
        <v>21</v>
      </c>
      <c r="I2748" s="1" t="s">
        <v>26</v>
      </c>
      <c r="J2748" s="2">
        <v>43535.312071759261</v>
      </c>
      <c r="K2748" s="2">
        <v>43538.312071759261</v>
      </c>
      <c r="L2748" s="2">
        <v>43538.312071759261</v>
      </c>
      <c r="M2748" s="1">
        <f>_xlfn.DAYS(Table1[[#This Row],[actual_delivery_date]],Table1[[#This Row],[dispatch_date]])</f>
        <v>3</v>
      </c>
      <c r="N2748">
        <v>48</v>
      </c>
      <c r="O2748">
        <f>Table1[[#This Row],[transit_storage_cost]] * (1-'What -if Analysis'!$D$26)</f>
        <v>48</v>
      </c>
      <c r="P2748">
        <v>109</v>
      </c>
      <c r="Q2748">
        <v>2507.4018045165894</v>
      </c>
    </row>
    <row r="2749" spans="1:17" x14ac:dyDescent="0.3">
      <c r="A2749">
        <v>198193</v>
      </c>
      <c r="B2749" s="1" t="s">
        <v>39</v>
      </c>
      <c r="C2749" s="1" t="s">
        <v>16</v>
      </c>
      <c r="D2749" s="1" t="s">
        <v>23</v>
      </c>
      <c r="E2749" s="1" t="s">
        <v>28</v>
      </c>
      <c r="F2749" s="1" t="s">
        <v>29</v>
      </c>
      <c r="G2749" s="1" t="s">
        <v>20</v>
      </c>
      <c r="H2749" t="s">
        <v>30</v>
      </c>
      <c r="I2749" s="1" t="s">
        <v>22</v>
      </c>
      <c r="J2749" s="2">
        <v>43531.323541666665</v>
      </c>
      <c r="K2749" s="2">
        <v>43538.323541666665</v>
      </c>
      <c r="L2749" s="2">
        <v>43538.323541666665</v>
      </c>
      <c r="M2749" s="1">
        <f>_xlfn.DAYS(Table1[[#This Row],[actual_delivery_date]],Table1[[#This Row],[dispatch_date]])</f>
        <v>7</v>
      </c>
      <c r="N2749">
        <v>46</v>
      </c>
      <c r="O2749">
        <f>Table1[[#This Row],[transit_storage_cost]] * (1-'What -if Analysis'!$D$26)</f>
        <v>46</v>
      </c>
      <c r="P2749">
        <v>128</v>
      </c>
      <c r="Q2749">
        <v>663</v>
      </c>
    </row>
    <row r="2750" spans="1:17" x14ac:dyDescent="0.3">
      <c r="A2750">
        <v>23981</v>
      </c>
      <c r="B2750" s="1" t="s">
        <v>38</v>
      </c>
      <c r="C2750" s="1" t="s">
        <v>23</v>
      </c>
      <c r="D2750" s="1" t="s">
        <v>16</v>
      </c>
      <c r="E2750" s="1" t="s">
        <v>27</v>
      </c>
      <c r="F2750" s="1" t="s">
        <v>29</v>
      </c>
      <c r="G2750" s="1" t="s">
        <v>20</v>
      </c>
      <c r="H2750" t="s">
        <v>30</v>
      </c>
      <c r="I2750" s="1" t="s">
        <v>22</v>
      </c>
      <c r="J2750" s="2">
        <v>43533.325914351852</v>
      </c>
      <c r="K2750" s="2">
        <v>43538.325914351852</v>
      </c>
      <c r="L2750" s="2">
        <v>43537.325914351852</v>
      </c>
      <c r="M2750" s="1">
        <f>_xlfn.DAYS(Table1[[#This Row],[actual_delivery_date]],Table1[[#This Row],[dispatch_date]])</f>
        <v>5</v>
      </c>
      <c r="N2750">
        <v>35</v>
      </c>
      <c r="O2750">
        <f>Table1[[#This Row],[transit_storage_cost]] * (1-'What -if Analysis'!$D$26)</f>
        <v>35</v>
      </c>
      <c r="P2750">
        <v>126</v>
      </c>
      <c r="Q2750">
        <v>1467</v>
      </c>
    </row>
    <row r="2751" spans="1:17" x14ac:dyDescent="0.3">
      <c r="A2751">
        <v>917253</v>
      </c>
      <c r="B2751" s="1" t="s">
        <v>38</v>
      </c>
      <c r="C2751" s="1" t="s">
        <v>16</v>
      </c>
      <c r="D2751" s="1" t="s">
        <v>17</v>
      </c>
      <c r="E2751" s="1" t="s">
        <v>18</v>
      </c>
      <c r="F2751" s="1" t="s">
        <v>19</v>
      </c>
      <c r="G2751" s="1" t="s">
        <v>20</v>
      </c>
      <c r="H2751" t="s">
        <v>30</v>
      </c>
      <c r="I2751" s="1" t="s">
        <v>26</v>
      </c>
      <c r="J2751" s="2">
        <v>43536.331782407404</v>
      </c>
      <c r="K2751" s="2">
        <v>43538.331782407404</v>
      </c>
      <c r="L2751" s="2">
        <v>43539.331782407404</v>
      </c>
      <c r="M2751" s="1">
        <f>_xlfn.DAYS(Table1[[#This Row],[actual_delivery_date]],Table1[[#This Row],[dispatch_date]])</f>
        <v>2</v>
      </c>
      <c r="N2751">
        <v>75</v>
      </c>
      <c r="O2751">
        <f>Table1[[#This Row],[transit_storage_cost]] * (1-'What -if Analysis'!$D$26)</f>
        <v>75</v>
      </c>
      <c r="P2751">
        <v>86</v>
      </c>
      <c r="Q2751">
        <v>2998.1412703776441</v>
      </c>
    </row>
    <row r="2752" spans="1:17" x14ac:dyDescent="0.3">
      <c r="A2752">
        <v>83938</v>
      </c>
      <c r="B2752" s="1" t="s">
        <v>37</v>
      </c>
      <c r="C2752" s="1" t="s">
        <v>16</v>
      </c>
      <c r="D2752" s="1" t="s">
        <v>23</v>
      </c>
      <c r="E2752" s="1" t="s">
        <v>28</v>
      </c>
      <c r="F2752" s="1" t="s">
        <v>31</v>
      </c>
      <c r="G2752" s="1" t="s">
        <v>20</v>
      </c>
      <c r="H2752" t="s">
        <v>21</v>
      </c>
      <c r="I2752" s="1" t="s">
        <v>22</v>
      </c>
      <c r="J2752" s="2">
        <v>43533.331828703704</v>
      </c>
      <c r="K2752" s="2">
        <v>43538.331828703704</v>
      </c>
      <c r="L2752" s="2">
        <v>43537.331828703704</v>
      </c>
      <c r="M2752" s="1">
        <f>_xlfn.DAYS(Table1[[#This Row],[actual_delivery_date]],Table1[[#This Row],[dispatch_date]])</f>
        <v>5</v>
      </c>
      <c r="N2752">
        <v>43</v>
      </c>
      <c r="O2752">
        <f>Table1[[#This Row],[transit_storage_cost]] * (1-'What -if Analysis'!$D$26)</f>
        <v>43</v>
      </c>
      <c r="P2752">
        <v>129</v>
      </c>
      <c r="Q2752">
        <v>3155.395465574391</v>
      </c>
    </row>
    <row r="2753" spans="1:17" x14ac:dyDescent="0.3">
      <c r="A2753">
        <v>867683</v>
      </c>
      <c r="B2753" s="1" t="s">
        <v>37</v>
      </c>
      <c r="C2753" s="1" t="s">
        <v>23</v>
      </c>
      <c r="D2753" s="1" t="s">
        <v>16</v>
      </c>
      <c r="E2753" s="1" t="s">
        <v>27</v>
      </c>
      <c r="F2753" s="1" t="s">
        <v>29</v>
      </c>
      <c r="G2753" s="1" t="s">
        <v>20</v>
      </c>
      <c r="H2753" t="s">
        <v>30</v>
      </c>
      <c r="I2753" s="1" t="s">
        <v>22</v>
      </c>
      <c r="J2753" s="2">
        <v>43532.333472222221</v>
      </c>
      <c r="K2753" s="2">
        <v>43538.333472222221</v>
      </c>
      <c r="L2753" s="2">
        <v>43536.333472222221</v>
      </c>
      <c r="M2753" s="1">
        <f>_xlfn.DAYS(Table1[[#This Row],[actual_delivery_date]],Table1[[#This Row],[dispatch_date]])</f>
        <v>6</v>
      </c>
      <c r="N2753">
        <v>34</v>
      </c>
      <c r="O2753">
        <f>Table1[[#This Row],[transit_storage_cost]] * (1-'What -if Analysis'!$D$26)</f>
        <v>34</v>
      </c>
      <c r="P2753">
        <v>126</v>
      </c>
      <c r="Q2753">
        <v>1030.9581129157943</v>
      </c>
    </row>
    <row r="2754" spans="1:17" x14ac:dyDescent="0.3">
      <c r="A2754">
        <v>93395</v>
      </c>
      <c r="B2754" s="1" t="s">
        <v>39</v>
      </c>
      <c r="C2754" s="1" t="s">
        <v>16</v>
      </c>
      <c r="D2754" s="1" t="s">
        <v>16</v>
      </c>
      <c r="E2754" s="1" t="s">
        <v>27</v>
      </c>
      <c r="F2754" s="1" t="s">
        <v>19</v>
      </c>
      <c r="G2754" s="1" t="s">
        <v>20</v>
      </c>
      <c r="H2754" t="s">
        <v>30</v>
      </c>
      <c r="I2754" s="1" t="s">
        <v>22</v>
      </c>
      <c r="J2754" s="2">
        <v>43536.340185185189</v>
      </c>
      <c r="K2754" s="2">
        <v>43538.340185185189</v>
      </c>
      <c r="L2754" s="2">
        <v>43539.340185185189</v>
      </c>
      <c r="M2754" s="1">
        <f>_xlfn.DAYS(Table1[[#This Row],[actual_delivery_date]],Table1[[#This Row],[dispatch_date]])</f>
        <v>2</v>
      </c>
      <c r="N2754">
        <v>0</v>
      </c>
      <c r="O2754">
        <f>Table1[[#This Row],[transit_storage_cost]] * (1-'What -if Analysis'!$D$26)</f>
        <v>0</v>
      </c>
      <c r="P2754">
        <v>105</v>
      </c>
      <c r="Q2754">
        <v>3636.5084854443544</v>
      </c>
    </row>
    <row r="2755" spans="1:17" x14ac:dyDescent="0.3">
      <c r="A2755">
        <v>330343</v>
      </c>
      <c r="B2755" s="1" t="s">
        <v>38</v>
      </c>
      <c r="C2755" s="1" t="s">
        <v>16</v>
      </c>
      <c r="D2755" s="1" t="s">
        <v>32</v>
      </c>
      <c r="E2755" s="1" t="s">
        <v>33</v>
      </c>
      <c r="F2755" s="1" t="s">
        <v>19</v>
      </c>
      <c r="G2755" s="1" t="s">
        <v>36</v>
      </c>
      <c r="H2755" t="s">
        <v>30</v>
      </c>
      <c r="I2755" s="1" t="s">
        <v>22</v>
      </c>
      <c r="J2755" s="2">
        <v>43534.344965277778</v>
      </c>
      <c r="K2755" s="2">
        <v>43538.344965277778</v>
      </c>
      <c r="L2755" s="2">
        <v>43540.344965277778</v>
      </c>
      <c r="M2755" s="1">
        <f>_xlfn.DAYS(Table1[[#This Row],[actual_delivery_date]],Table1[[#This Row],[dispatch_date]])</f>
        <v>4</v>
      </c>
      <c r="N2755">
        <v>75</v>
      </c>
      <c r="O2755">
        <f>Table1[[#This Row],[transit_storage_cost]] * (1-'What -if Analysis'!$D$26)</f>
        <v>75</v>
      </c>
      <c r="P2755">
        <v>93</v>
      </c>
      <c r="Q2755">
        <v>3725.9496522120062</v>
      </c>
    </row>
    <row r="2756" spans="1:17" x14ac:dyDescent="0.3">
      <c r="A2756">
        <v>528368</v>
      </c>
      <c r="B2756" s="1" t="s">
        <v>38</v>
      </c>
      <c r="C2756" s="1" t="s">
        <v>16</v>
      </c>
      <c r="D2756" s="1" t="s">
        <v>23</v>
      </c>
      <c r="E2756" s="1" t="s">
        <v>28</v>
      </c>
      <c r="F2756" s="1" t="s">
        <v>19</v>
      </c>
      <c r="G2756" s="1" t="s">
        <v>20</v>
      </c>
      <c r="H2756" t="s">
        <v>21</v>
      </c>
      <c r="I2756" s="1" t="s">
        <v>22</v>
      </c>
      <c r="J2756" s="2">
        <v>43534.351817129631</v>
      </c>
      <c r="K2756" s="2">
        <v>43538.351817129631</v>
      </c>
      <c r="L2756" s="2">
        <v>43537.351817129631</v>
      </c>
      <c r="M2756" s="1">
        <f>_xlfn.DAYS(Table1[[#This Row],[actual_delivery_date]],Table1[[#This Row],[dispatch_date]])</f>
        <v>4</v>
      </c>
      <c r="N2756">
        <v>41</v>
      </c>
      <c r="O2756">
        <f>Table1[[#This Row],[transit_storage_cost]] * (1-'What -if Analysis'!$D$26)</f>
        <v>41</v>
      </c>
      <c r="P2756">
        <v>130</v>
      </c>
      <c r="Q2756">
        <v>3386.6771848852386</v>
      </c>
    </row>
    <row r="2757" spans="1:17" x14ac:dyDescent="0.3">
      <c r="A2757">
        <v>171003</v>
      </c>
      <c r="B2757" s="1" t="s">
        <v>41</v>
      </c>
      <c r="C2757" s="1" t="s">
        <v>16</v>
      </c>
      <c r="D2757" s="1" t="s">
        <v>16</v>
      </c>
      <c r="E2757" s="1" t="s">
        <v>27</v>
      </c>
      <c r="F2757" s="1" t="s">
        <v>29</v>
      </c>
      <c r="G2757" s="1" t="s">
        <v>20</v>
      </c>
      <c r="H2757" t="s">
        <v>34</v>
      </c>
      <c r="I2757" s="1" t="s">
        <v>26</v>
      </c>
      <c r="J2757" s="2">
        <v>43537.358090277776</v>
      </c>
      <c r="K2757" s="2">
        <v>43538.358090277776</v>
      </c>
      <c r="L2757" s="2">
        <v>43543.358090277776</v>
      </c>
      <c r="M2757" s="1">
        <f>_xlfn.DAYS(Table1[[#This Row],[actual_delivery_date]],Table1[[#This Row],[dispatch_date]])</f>
        <v>1</v>
      </c>
      <c r="N2757">
        <v>0</v>
      </c>
      <c r="O2757">
        <f>Table1[[#This Row],[transit_storage_cost]] * (1-'What -if Analysis'!$D$26)</f>
        <v>0</v>
      </c>
      <c r="P2757">
        <v>124</v>
      </c>
      <c r="Q2757">
        <v>3492.7426710173622</v>
      </c>
    </row>
    <row r="2758" spans="1:17" x14ac:dyDescent="0.3">
      <c r="A2758">
        <v>692616</v>
      </c>
      <c r="B2758" s="1" t="s">
        <v>37</v>
      </c>
      <c r="C2758" s="1" t="s">
        <v>16</v>
      </c>
      <c r="D2758" s="1" t="s">
        <v>24</v>
      </c>
      <c r="E2758" s="1" t="s">
        <v>25</v>
      </c>
      <c r="F2758" s="1" t="s">
        <v>19</v>
      </c>
      <c r="G2758" s="1" t="s">
        <v>20</v>
      </c>
      <c r="H2758" t="s">
        <v>21</v>
      </c>
      <c r="I2758" s="1" t="s">
        <v>26</v>
      </c>
      <c r="J2758" s="2">
        <v>43532.35837962963</v>
      </c>
      <c r="K2758" s="2">
        <v>43538.35837962963</v>
      </c>
      <c r="L2758" s="2">
        <v>43538.35837962963</v>
      </c>
      <c r="M2758" s="1">
        <f>_xlfn.DAYS(Table1[[#This Row],[actual_delivery_date]],Table1[[#This Row],[dispatch_date]])</f>
        <v>6</v>
      </c>
      <c r="N2758">
        <v>35</v>
      </c>
      <c r="O2758">
        <f>Table1[[#This Row],[transit_storage_cost]] * (1-'What -if Analysis'!$D$26)</f>
        <v>35</v>
      </c>
      <c r="P2758">
        <v>120</v>
      </c>
      <c r="Q2758">
        <v>2661.3640782474195</v>
      </c>
    </row>
    <row r="2759" spans="1:17" x14ac:dyDescent="0.3">
      <c r="A2759">
        <v>121132</v>
      </c>
      <c r="B2759" s="1" t="s">
        <v>37</v>
      </c>
      <c r="C2759" s="1" t="s">
        <v>16</v>
      </c>
      <c r="D2759" s="1" t="s">
        <v>17</v>
      </c>
      <c r="E2759" s="1" t="s">
        <v>18</v>
      </c>
      <c r="F2759" s="1" t="s">
        <v>19</v>
      </c>
      <c r="G2759" s="1" t="s">
        <v>20</v>
      </c>
      <c r="H2759" t="s">
        <v>21</v>
      </c>
      <c r="I2759" s="1" t="s">
        <v>22</v>
      </c>
      <c r="J2759" s="2">
        <v>43535.360023148147</v>
      </c>
      <c r="K2759" s="2">
        <v>43538.360023148147</v>
      </c>
      <c r="L2759" s="2">
        <v>43541.360023148147</v>
      </c>
      <c r="M2759" s="1">
        <f>_xlfn.DAYS(Table1[[#This Row],[actual_delivery_date]],Table1[[#This Row],[dispatch_date]])</f>
        <v>3</v>
      </c>
      <c r="N2759">
        <v>45</v>
      </c>
      <c r="O2759">
        <f>Table1[[#This Row],[transit_storage_cost]] * (1-'What -if Analysis'!$D$26)</f>
        <v>45</v>
      </c>
      <c r="P2759">
        <v>114</v>
      </c>
      <c r="Q2759">
        <v>3570.2893188170374</v>
      </c>
    </row>
    <row r="2760" spans="1:17" x14ac:dyDescent="0.3">
      <c r="A2760">
        <v>389317</v>
      </c>
      <c r="B2760" s="1" t="s">
        <v>38</v>
      </c>
      <c r="C2760" s="1" t="s">
        <v>16</v>
      </c>
      <c r="D2760" s="1" t="s">
        <v>17</v>
      </c>
      <c r="E2760" s="1" t="s">
        <v>18</v>
      </c>
      <c r="F2760" s="1" t="s">
        <v>29</v>
      </c>
      <c r="G2760" s="1" t="s">
        <v>20</v>
      </c>
      <c r="H2760" t="s">
        <v>30</v>
      </c>
      <c r="I2760" s="1" t="s">
        <v>22</v>
      </c>
      <c r="J2760" s="2">
        <v>43532.362847222219</v>
      </c>
      <c r="K2760" s="2">
        <v>43538.362847222219</v>
      </c>
      <c r="L2760" s="2">
        <v>43536.362847222219</v>
      </c>
      <c r="M2760" s="1">
        <f>_xlfn.DAYS(Table1[[#This Row],[actual_delivery_date]],Table1[[#This Row],[dispatch_date]])</f>
        <v>6</v>
      </c>
      <c r="N2760">
        <v>47</v>
      </c>
      <c r="O2760">
        <f>Table1[[#This Row],[transit_storage_cost]] * (1-'What -if Analysis'!$D$26)</f>
        <v>47</v>
      </c>
      <c r="P2760">
        <v>108</v>
      </c>
      <c r="Q2760">
        <v>555.85658254914688</v>
      </c>
    </row>
    <row r="2761" spans="1:17" x14ac:dyDescent="0.3">
      <c r="A2761">
        <v>201895</v>
      </c>
      <c r="B2761" s="1" t="s">
        <v>38</v>
      </c>
      <c r="C2761" s="1" t="s">
        <v>23</v>
      </c>
      <c r="D2761" s="1" t="s">
        <v>23</v>
      </c>
      <c r="E2761" s="1" t="s">
        <v>28</v>
      </c>
      <c r="F2761" s="1" t="s">
        <v>19</v>
      </c>
      <c r="G2761" s="1" t="s">
        <v>20</v>
      </c>
      <c r="H2761" t="s">
        <v>30</v>
      </c>
      <c r="I2761" s="1" t="s">
        <v>22</v>
      </c>
      <c r="J2761" s="2">
        <v>43538.362928240742</v>
      </c>
      <c r="K2761" s="2">
        <v>43538.362928240742</v>
      </c>
      <c r="L2761" s="2">
        <v>43544.362928240742</v>
      </c>
      <c r="M2761" s="1">
        <f>_xlfn.DAYS(Table1[[#This Row],[actual_delivery_date]],Table1[[#This Row],[dispatch_date]])</f>
        <v>0</v>
      </c>
      <c r="N2761">
        <v>0</v>
      </c>
      <c r="O2761">
        <f>Table1[[#This Row],[transit_storage_cost]] * (1-'What -if Analysis'!$D$26)</f>
        <v>0</v>
      </c>
      <c r="P2761">
        <v>105</v>
      </c>
      <c r="Q2761">
        <v>951.27434858437834</v>
      </c>
    </row>
    <row r="2762" spans="1:17" x14ac:dyDescent="0.3">
      <c r="A2762">
        <v>753164</v>
      </c>
      <c r="B2762" s="1" t="s">
        <v>41</v>
      </c>
      <c r="C2762" s="1" t="s">
        <v>16</v>
      </c>
      <c r="D2762" s="1" t="s">
        <v>23</v>
      </c>
      <c r="E2762" s="1" t="s">
        <v>28</v>
      </c>
      <c r="F2762" s="1" t="s">
        <v>19</v>
      </c>
      <c r="G2762" s="1" t="s">
        <v>20</v>
      </c>
      <c r="H2762" t="s">
        <v>21</v>
      </c>
      <c r="I2762" s="1" t="s">
        <v>22</v>
      </c>
      <c r="J2762" s="2">
        <v>43534.363969907405</v>
      </c>
      <c r="K2762" s="2">
        <v>43538.363969907405</v>
      </c>
      <c r="L2762" s="2">
        <v>43539.363969907405</v>
      </c>
      <c r="M2762" s="1">
        <f>_xlfn.DAYS(Table1[[#This Row],[actual_delivery_date]],Table1[[#This Row],[dispatch_date]])</f>
        <v>4</v>
      </c>
      <c r="N2762">
        <v>46</v>
      </c>
      <c r="O2762">
        <f>Table1[[#This Row],[transit_storage_cost]] * (1-'What -if Analysis'!$D$26)</f>
        <v>46</v>
      </c>
      <c r="P2762">
        <v>127</v>
      </c>
      <c r="Q2762">
        <v>2836.4635863071303</v>
      </c>
    </row>
    <row r="2763" spans="1:17" x14ac:dyDescent="0.3">
      <c r="A2763">
        <v>306131</v>
      </c>
      <c r="B2763" s="1" t="s">
        <v>38</v>
      </c>
      <c r="C2763" s="1" t="s">
        <v>23</v>
      </c>
      <c r="D2763" s="1" t="s">
        <v>16</v>
      </c>
      <c r="E2763" s="1" t="s">
        <v>27</v>
      </c>
      <c r="F2763" s="1" t="s">
        <v>29</v>
      </c>
      <c r="G2763" s="1" t="s">
        <v>20</v>
      </c>
      <c r="H2763" t="s">
        <v>34</v>
      </c>
      <c r="I2763" s="1" t="s">
        <v>22</v>
      </c>
      <c r="J2763" s="2">
        <v>43532.364421296297</v>
      </c>
      <c r="K2763" s="2">
        <v>43538.364421296297</v>
      </c>
      <c r="L2763" s="2">
        <v>43535.364421296297</v>
      </c>
      <c r="M2763" s="1">
        <f>_xlfn.DAYS(Table1[[#This Row],[actual_delivery_date]],Table1[[#This Row],[dispatch_date]])</f>
        <v>6</v>
      </c>
      <c r="N2763">
        <v>42</v>
      </c>
      <c r="O2763">
        <f>Table1[[#This Row],[transit_storage_cost]] * (1-'What -if Analysis'!$D$26)</f>
        <v>42</v>
      </c>
      <c r="P2763">
        <v>127</v>
      </c>
      <c r="Q2763">
        <v>2340.1803165462707</v>
      </c>
    </row>
    <row r="2764" spans="1:17" x14ac:dyDescent="0.3">
      <c r="A2764">
        <v>928825</v>
      </c>
      <c r="B2764" s="1" t="s">
        <v>38</v>
      </c>
      <c r="C2764" s="1" t="s">
        <v>16</v>
      </c>
      <c r="D2764" s="1" t="s">
        <v>24</v>
      </c>
      <c r="E2764" s="1" t="s">
        <v>25</v>
      </c>
      <c r="F2764" s="1" t="s">
        <v>35</v>
      </c>
      <c r="G2764" s="1" t="s">
        <v>20</v>
      </c>
      <c r="H2764" t="s">
        <v>30</v>
      </c>
      <c r="I2764" s="1" t="s">
        <v>22</v>
      </c>
      <c r="J2764" s="2">
        <v>43536.366365740738</v>
      </c>
      <c r="K2764" s="2">
        <v>43538.366365740738</v>
      </c>
      <c r="L2764" s="2">
        <v>43541.366365740738</v>
      </c>
      <c r="M2764" s="1">
        <f>_xlfn.DAYS(Table1[[#This Row],[actual_delivery_date]],Table1[[#This Row],[dispatch_date]])</f>
        <v>2</v>
      </c>
      <c r="N2764">
        <v>28</v>
      </c>
      <c r="O2764">
        <f>Table1[[#This Row],[transit_storage_cost]] * (1-'What -if Analysis'!$D$26)</f>
        <v>28</v>
      </c>
      <c r="P2764">
        <v>127</v>
      </c>
      <c r="Q2764">
        <v>3402.2240791190311</v>
      </c>
    </row>
    <row r="2765" spans="1:17" x14ac:dyDescent="0.3">
      <c r="A2765">
        <v>105878</v>
      </c>
      <c r="B2765" s="1" t="s">
        <v>39</v>
      </c>
      <c r="C2765" s="1" t="s">
        <v>16</v>
      </c>
      <c r="D2765" s="1" t="s">
        <v>16</v>
      </c>
      <c r="E2765" s="1" t="s">
        <v>27</v>
      </c>
      <c r="F2765" s="1" t="s">
        <v>31</v>
      </c>
      <c r="G2765" s="1" t="s">
        <v>20</v>
      </c>
      <c r="H2765" t="s">
        <v>21</v>
      </c>
      <c r="I2765" s="1" t="s">
        <v>22</v>
      </c>
      <c r="J2765" s="2">
        <v>43531.369027777779</v>
      </c>
      <c r="K2765" s="2">
        <v>43538.369027777779</v>
      </c>
      <c r="L2765" s="2">
        <v>43534.369027777779</v>
      </c>
      <c r="M2765" s="1">
        <f>_xlfn.DAYS(Table1[[#This Row],[actual_delivery_date]],Table1[[#This Row],[dispatch_date]])</f>
        <v>7</v>
      </c>
      <c r="N2765">
        <v>0</v>
      </c>
      <c r="O2765">
        <f>Table1[[#This Row],[transit_storage_cost]] * (1-'What -if Analysis'!$D$26)</f>
        <v>0</v>
      </c>
      <c r="P2765">
        <v>124</v>
      </c>
      <c r="Q2765">
        <v>2658.0460798235058</v>
      </c>
    </row>
    <row r="2766" spans="1:17" x14ac:dyDescent="0.3">
      <c r="A2766">
        <v>957358</v>
      </c>
      <c r="B2766" s="1" t="s">
        <v>39</v>
      </c>
      <c r="C2766" s="1" t="s">
        <v>23</v>
      </c>
      <c r="D2766" s="1" t="s">
        <v>23</v>
      </c>
      <c r="E2766" s="1" t="s">
        <v>28</v>
      </c>
      <c r="F2766" s="1" t="s">
        <v>31</v>
      </c>
      <c r="G2766" s="1" t="s">
        <v>20</v>
      </c>
      <c r="H2766" t="s">
        <v>21</v>
      </c>
      <c r="I2766" s="1" t="s">
        <v>22</v>
      </c>
      <c r="J2766" s="2">
        <v>43535.376331018517</v>
      </c>
      <c r="K2766" s="2">
        <v>43538.376331018517</v>
      </c>
      <c r="L2766" s="2">
        <v>43541.376331018517</v>
      </c>
      <c r="M2766" s="1">
        <f>_xlfn.DAYS(Table1[[#This Row],[actual_delivery_date]],Table1[[#This Row],[dispatch_date]])</f>
        <v>3</v>
      </c>
      <c r="N2766">
        <v>0</v>
      </c>
      <c r="O2766">
        <f>Table1[[#This Row],[transit_storage_cost]] * (1-'What -if Analysis'!$D$26)</f>
        <v>0</v>
      </c>
      <c r="P2766">
        <v>123</v>
      </c>
      <c r="Q2766">
        <v>2556.6565726319441</v>
      </c>
    </row>
    <row r="2767" spans="1:17" x14ac:dyDescent="0.3">
      <c r="A2767">
        <v>569184</v>
      </c>
      <c r="B2767" s="1" t="s">
        <v>15</v>
      </c>
      <c r="C2767" s="1" t="s">
        <v>23</v>
      </c>
      <c r="D2767" s="1" t="s">
        <v>32</v>
      </c>
      <c r="E2767" s="1" t="s">
        <v>33</v>
      </c>
      <c r="F2767" s="1" t="s">
        <v>19</v>
      </c>
      <c r="G2767" s="1" t="s">
        <v>20</v>
      </c>
      <c r="H2767" t="s">
        <v>21</v>
      </c>
      <c r="I2767" s="1" t="s">
        <v>26</v>
      </c>
      <c r="J2767" s="2">
        <v>43531.377951388888</v>
      </c>
      <c r="K2767" s="2">
        <v>43538.377951388888</v>
      </c>
      <c r="L2767" s="2">
        <v>43535.377951388888</v>
      </c>
      <c r="M2767" s="1">
        <f>_xlfn.DAYS(Table1[[#This Row],[actual_delivery_date]],Table1[[#This Row],[dispatch_date]])</f>
        <v>7</v>
      </c>
      <c r="N2767">
        <v>34</v>
      </c>
      <c r="O2767">
        <f>Table1[[#This Row],[transit_storage_cost]] * (1-'What -if Analysis'!$D$26)</f>
        <v>34</v>
      </c>
      <c r="P2767">
        <v>115</v>
      </c>
      <c r="Q2767">
        <v>3444</v>
      </c>
    </row>
    <row r="2768" spans="1:17" x14ac:dyDescent="0.3">
      <c r="A2768">
        <v>879271</v>
      </c>
      <c r="B2768" s="1" t="s">
        <v>38</v>
      </c>
      <c r="C2768" s="1" t="s">
        <v>16</v>
      </c>
      <c r="D2768" s="1" t="s">
        <v>17</v>
      </c>
      <c r="E2768" s="1" t="s">
        <v>18</v>
      </c>
      <c r="F2768" s="1" t="s">
        <v>29</v>
      </c>
      <c r="G2768" s="1" t="s">
        <v>20</v>
      </c>
      <c r="H2768" t="s">
        <v>30</v>
      </c>
      <c r="I2768" s="1" t="s">
        <v>22</v>
      </c>
      <c r="J2768" s="2">
        <v>43532.38175925926</v>
      </c>
      <c r="K2768" s="2">
        <v>43538.38175925926</v>
      </c>
      <c r="L2768" s="2">
        <v>43539.38175925926</v>
      </c>
      <c r="M2768" s="1">
        <f>_xlfn.DAYS(Table1[[#This Row],[actual_delivery_date]],Table1[[#This Row],[dispatch_date]])</f>
        <v>6</v>
      </c>
      <c r="N2768">
        <v>26</v>
      </c>
      <c r="O2768">
        <f>Table1[[#This Row],[transit_storage_cost]] * (1-'What -if Analysis'!$D$26)</f>
        <v>26</v>
      </c>
      <c r="P2768">
        <v>105</v>
      </c>
      <c r="Q2768">
        <v>1174.4788500921886</v>
      </c>
    </row>
    <row r="2769" spans="1:17" x14ac:dyDescent="0.3">
      <c r="A2769">
        <v>307020</v>
      </c>
      <c r="B2769" s="1" t="s">
        <v>15</v>
      </c>
      <c r="C2769" s="1" t="s">
        <v>16</v>
      </c>
      <c r="D2769" s="1" t="s">
        <v>23</v>
      </c>
      <c r="E2769" s="1" t="s">
        <v>28</v>
      </c>
      <c r="F2769" s="1" t="s">
        <v>19</v>
      </c>
      <c r="G2769" s="1" t="s">
        <v>20</v>
      </c>
      <c r="H2769" t="s">
        <v>21</v>
      </c>
      <c r="I2769" s="1" t="s">
        <v>26</v>
      </c>
      <c r="J2769" s="2">
        <v>43536.384965277779</v>
      </c>
      <c r="K2769" s="2">
        <v>43538.384965277779</v>
      </c>
      <c r="L2769" s="2">
        <v>43540.384965277779</v>
      </c>
      <c r="M2769" s="1">
        <f>_xlfn.DAYS(Table1[[#This Row],[actual_delivery_date]],Table1[[#This Row],[dispatch_date]])</f>
        <v>2</v>
      </c>
      <c r="N2769">
        <v>9999</v>
      </c>
      <c r="O2769">
        <f>Table1[[#This Row],[transit_storage_cost]] * (1-'What -if Analysis'!$D$26)</f>
        <v>9999</v>
      </c>
      <c r="P2769">
        <v>102</v>
      </c>
      <c r="Q2769">
        <v>2659</v>
      </c>
    </row>
    <row r="2770" spans="1:17" x14ac:dyDescent="0.3">
      <c r="A2770">
        <v>906928</v>
      </c>
      <c r="B2770" s="1" t="s">
        <v>39</v>
      </c>
      <c r="C2770" s="1" t="s">
        <v>16</v>
      </c>
      <c r="D2770" s="1" t="s">
        <v>32</v>
      </c>
      <c r="E2770" s="1" t="s">
        <v>33</v>
      </c>
      <c r="F2770" s="1" t="s">
        <v>19</v>
      </c>
      <c r="G2770" s="1" t="s">
        <v>20</v>
      </c>
      <c r="H2770" t="s">
        <v>21</v>
      </c>
      <c r="I2770" s="1" t="s">
        <v>22</v>
      </c>
      <c r="J2770" s="2">
        <v>43532.38554398148</v>
      </c>
      <c r="K2770" s="2">
        <v>43538.38554398148</v>
      </c>
      <c r="L2770" s="2">
        <v>43539.38554398148</v>
      </c>
      <c r="M2770" s="1">
        <f>_xlfn.DAYS(Table1[[#This Row],[actual_delivery_date]],Table1[[#This Row],[dispatch_date]])</f>
        <v>6</v>
      </c>
      <c r="N2770">
        <v>42</v>
      </c>
      <c r="O2770">
        <f>Table1[[#This Row],[transit_storage_cost]] * (1-'What -if Analysis'!$D$26)</f>
        <v>42</v>
      </c>
      <c r="P2770">
        <v>109</v>
      </c>
      <c r="Q2770">
        <v>1475.8089307904161</v>
      </c>
    </row>
    <row r="2771" spans="1:17" x14ac:dyDescent="0.3">
      <c r="A2771">
        <v>892314</v>
      </c>
      <c r="B2771" s="1" t="s">
        <v>37</v>
      </c>
      <c r="C2771" s="1" t="s">
        <v>23</v>
      </c>
      <c r="D2771" s="1" t="s">
        <v>32</v>
      </c>
      <c r="E2771" s="1" t="s">
        <v>33</v>
      </c>
      <c r="F2771" s="1" t="s">
        <v>19</v>
      </c>
      <c r="G2771" s="1" t="s">
        <v>20</v>
      </c>
      <c r="H2771" t="s">
        <v>21</v>
      </c>
      <c r="I2771" s="1" t="s">
        <v>26</v>
      </c>
      <c r="J2771" s="2">
        <v>43533.387604166666</v>
      </c>
      <c r="K2771" s="2">
        <v>43538.387604166666</v>
      </c>
      <c r="L2771" s="2">
        <v>43537.387604166666</v>
      </c>
      <c r="M2771" s="1">
        <f>_xlfn.DAYS(Table1[[#This Row],[actual_delivery_date]],Table1[[#This Row],[dispatch_date]])</f>
        <v>5</v>
      </c>
      <c r="N2771">
        <v>77</v>
      </c>
      <c r="O2771">
        <f>Table1[[#This Row],[transit_storage_cost]] * (1-'What -if Analysis'!$D$26)</f>
        <v>77</v>
      </c>
      <c r="P2771">
        <v>92</v>
      </c>
      <c r="Q2771">
        <v>2595.4634280644468</v>
      </c>
    </row>
    <row r="2772" spans="1:17" x14ac:dyDescent="0.3">
      <c r="A2772">
        <v>175603</v>
      </c>
      <c r="B2772" s="1" t="s">
        <v>40</v>
      </c>
      <c r="C2772" s="1" t="s">
        <v>16</v>
      </c>
      <c r="D2772" s="1" t="s">
        <v>17</v>
      </c>
      <c r="E2772" s="1" t="s">
        <v>18</v>
      </c>
      <c r="F2772" s="1" t="s">
        <v>19</v>
      </c>
      <c r="G2772" s="1" t="s">
        <v>20</v>
      </c>
      <c r="H2772" t="s">
        <v>30</v>
      </c>
      <c r="I2772" s="1" t="s">
        <v>22</v>
      </c>
      <c r="J2772" s="2">
        <v>43532.388761574075</v>
      </c>
      <c r="K2772" s="2">
        <v>43538.388761574075</v>
      </c>
      <c r="L2772" s="2">
        <v>43535.388761574075</v>
      </c>
      <c r="M2772" s="1">
        <f>_xlfn.DAYS(Table1[[#This Row],[actual_delivery_date]],Table1[[#This Row],[dispatch_date]])</f>
        <v>6</v>
      </c>
      <c r="N2772">
        <v>83</v>
      </c>
      <c r="O2772">
        <f>Table1[[#This Row],[transit_storage_cost]] * (1-'What -if Analysis'!$D$26)</f>
        <v>83</v>
      </c>
      <c r="P2772">
        <v>87</v>
      </c>
      <c r="Q2772">
        <v>1306.1374752285717</v>
      </c>
    </row>
    <row r="2773" spans="1:17" x14ac:dyDescent="0.3">
      <c r="A2773">
        <v>641253</v>
      </c>
      <c r="B2773" s="1" t="s">
        <v>40</v>
      </c>
      <c r="C2773" s="1" t="s">
        <v>16</v>
      </c>
      <c r="D2773" s="1" t="s">
        <v>16</v>
      </c>
      <c r="E2773" s="1" t="s">
        <v>27</v>
      </c>
      <c r="F2773" s="1" t="s">
        <v>19</v>
      </c>
      <c r="G2773" s="1" t="s">
        <v>20</v>
      </c>
      <c r="H2773" t="s">
        <v>30</v>
      </c>
      <c r="I2773" s="1" t="s">
        <v>26</v>
      </c>
      <c r="J2773" s="2">
        <v>43533.390567129631</v>
      </c>
      <c r="K2773" s="2">
        <v>43538.390567129631</v>
      </c>
      <c r="L2773" s="2">
        <v>43536.390567129631</v>
      </c>
      <c r="M2773" s="1">
        <f>_xlfn.DAYS(Table1[[#This Row],[actual_delivery_date]],Table1[[#This Row],[dispatch_date]])</f>
        <v>5</v>
      </c>
      <c r="N2773">
        <v>0</v>
      </c>
      <c r="O2773">
        <f>Table1[[#This Row],[transit_storage_cost]] * (1-'What -if Analysis'!$D$26)</f>
        <v>0</v>
      </c>
      <c r="P2773">
        <v>110</v>
      </c>
      <c r="Q2773">
        <v>3066.6731692182939</v>
      </c>
    </row>
    <row r="2774" spans="1:17" x14ac:dyDescent="0.3">
      <c r="A2774">
        <v>395384</v>
      </c>
      <c r="B2774" s="1" t="s">
        <v>39</v>
      </c>
      <c r="C2774" s="1" t="s">
        <v>23</v>
      </c>
      <c r="D2774" s="1" t="s">
        <v>16</v>
      </c>
      <c r="E2774" s="1" t="s">
        <v>27</v>
      </c>
      <c r="F2774" s="1" t="s">
        <v>19</v>
      </c>
      <c r="G2774" s="1" t="s">
        <v>20</v>
      </c>
      <c r="H2774" t="s">
        <v>21</v>
      </c>
      <c r="I2774" s="1" t="s">
        <v>22</v>
      </c>
      <c r="J2774" s="2">
        <v>43536.403333333335</v>
      </c>
      <c r="K2774" s="2">
        <v>43538.403333333335</v>
      </c>
      <c r="L2774" s="2">
        <v>43541.403333333335</v>
      </c>
      <c r="M2774" s="1">
        <f>_xlfn.DAYS(Table1[[#This Row],[actual_delivery_date]],Table1[[#This Row],[dispatch_date]])</f>
        <v>2</v>
      </c>
      <c r="N2774">
        <v>47</v>
      </c>
      <c r="O2774">
        <f>Table1[[#This Row],[transit_storage_cost]] * (1-'What -if Analysis'!$D$26)</f>
        <v>47</v>
      </c>
      <c r="P2774">
        <v>125</v>
      </c>
      <c r="Q2774">
        <v>2233</v>
      </c>
    </row>
    <row r="2775" spans="1:17" x14ac:dyDescent="0.3">
      <c r="A2775">
        <v>310167</v>
      </c>
      <c r="B2775" s="1" t="s">
        <v>40</v>
      </c>
      <c r="C2775" s="1" t="s">
        <v>23</v>
      </c>
      <c r="D2775" s="1" t="s">
        <v>17</v>
      </c>
      <c r="E2775" s="1" t="s">
        <v>18</v>
      </c>
      <c r="F2775" s="1" t="s">
        <v>29</v>
      </c>
      <c r="G2775" s="1" t="s">
        <v>20</v>
      </c>
      <c r="H2775" t="s">
        <v>30</v>
      </c>
      <c r="I2775" s="1" t="s">
        <v>26</v>
      </c>
      <c r="J2775" s="2">
        <v>43532.412303240744</v>
      </c>
      <c r="K2775" s="2">
        <v>43538.412303240744</v>
      </c>
      <c r="L2775" s="2">
        <v>43538.412303240744</v>
      </c>
      <c r="M2775" s="1">
        <f>_xlfn.DAYS(Table1[[#This Row],[actual_delivery_date]],Table1[[#This Row],[dispatch_date]])</f>
        <v>6</v>
      </c>
      <c r="N2775">
        <v>45</v>
      </c>
      <c r="O2775">
        <f>Table1[[#This Row],[transit_storage_cost]] * (1-'What -if Analysis'!$D$26)</f>
        <v>45</v>
      </c>
      <c r="P2775">
        <v>106</v>
      </c>
      <c r="Q2775">
        <v>2296.6726996585735</v>
      </c>
    </row>
    <row r="2776" spans="1:17" x14ac:dyDescent="0.3">
      <c r="A2776">
        <v>396696</v>
      </c>
      <c r="B2776" s="1" t="s">
        <v>37</v>
      </c>
      <c r="C2776" s="1" t="s">
        <v>16</v>
      </c>
      <c r="D2776" s="1" t="s">
        <v>17</v>
      </c>
      <c r="E2776" s="1" t="s">
        <v>18</v>
      </c>
      <c r="F2776" s="1" t="s">
        <v>19</v>
      </c>
      <c r="G2776" s="1" t="s">
        <v>20</v>
      </c>
      <c r="H2776" t="s">
        <v>21</v>
      </c>
      <c r="I2776" s="1" t="s">
        <v>26</v>
      </c>
      <c r="J2776" s="2">
        <v>43536.416331018518</v>
      </c>
      <c r="K2776" s="2">
        <v>43538.416331018518</v>
      </c>
      <c r="L2776" s="2">
        <v>43540.416331018518</v>
      </c>
      <c r="M2776" s="1">
        <f>_xlfn.DAYS(Table1[[#This Row],[actual_delivery_date]],Table1[[#This Row],[dispatch_date]])</f>
        <v>2</v>
      </c>
      <c r="N2776">
        <v>47</v>
      </c>
      <c r="O2776">
        <f>Table1[[#This Row],[transit_storage_cost]] * (1-'What -if Analysis'!$D$26)</f>
        <v>47</v>
      </c>
      <c r="P2776">
        <v>106</v>
      </c>
      <c r="Q2776">
        <v>2464</v>
      </c>
    </row>
    <row r="2777" spans="1:17" x14ac:dyDescent="0.3">
      <c r="A2777">
        <v>20188</v>
      </c>
      <c r="B2777" s="1" t="s">
        <v>37</v>
      </c>
      <c r="C2777" s="1" t="s">
        <v>16</v>
      </c>
      <c r="D2777" s="1" t="s">
        <v>32</v>
      </c>
      <c r="E2777" s="1" t="s">
        <v>33</v>
      </c>
      <c r="F2777" s="1" t="s">
        <v>19</v>
      </c>
      <c r="G2777" s="1" t="s">
        <v>20</v>
      </c>
      <c r="H2777" t="s">
        <v>21</v>
      </c>
      <c r="I2777" s="1" t="s">
        <v>22</v>
      </c>
      <c r="J2777" s="2">
        <v>43535.42119212963</v>
      </c>
      <c r="K2777" s="2">
        <v>43538.42119212963</v>
      </c>
      <c r="L2777" s="2">
        <v>43540.42119212963</v>
      </c>
      <c r="M2777" s="1">
        <f>_xlfn.DAYS(Table1[[#This Row],[actual_delivery_date]],Table1[[#This Row],[dispatch_date]])</f>
        <v>3</v>
      </c>
      <c r="N2777">
        <v>78</v>
      </c>
      <c r="O2777">
        <f>Table1[[#This Row],[transit_storage_cost]] * (1-'What -if Analysis'!$D$26)</f>
        <v>78</v>
      </c>
      <c r="P2777">
        <v>90</v>
      </c>
      <c r="Q2777">
        <v>1528.4317560947509</v>
      </c>
    </row>
    <row r="2778" spans="1:17" x14ac:dyDescent="0.3">
      <c r="A2778">
        <v>750329</v>
      </c>
      <c r="B2778" s="1" t="s">
        <v>39</v>
      </c>
      <c r="C2778" s="1" t="s">
        <v>16</v>
      </c>
      <c r="D2778" s="1" t="s">
        <v>23</v>
      </c>
      <c r="E2778" s="1" t="s">
        <v>28</v>
      </c>
      <c r="F2778" s="1" t="s">
        <v>29</v>
      </c>
      <c r="G2778" s="1" t="s">
        <v>20</v>
      </c>
      <c r="H2778" t="s">
        <v>30</v>
      </c>
      <c r="I2778" s="1" t="s">
        <v>22</v>
      </c>
      <c r="J2778" s="2">
        <v>43535.423761574071</v>
      </c>
      <c r="K2778" s="2">
        <v>43538.423761574071</v>
      </c>
      <c r="L2778" s="2">
        <v>43540.423761574071</v>
      </c>
      <c r="M2778" s="1">
        <f>_xlfn.DAYS(Table1[[#This Row],[actual_delivery_date]],Table1[[#This Row],[dispatch_date]])</f>
        <v>3</v>
      </c>
      <c r="N2778">
        <v>25</v>
      </c>
      <c r="O2778">
        <f>Table1[[#This Row],[transit_storage_cost]] * (1-'What -if Analysis'!$D$26)</f>
        <v>25</v>
      </c>
      <c r="P2778">
        <v>125</v>
      </c>
      <c r="Q2778">
        <v>3128.1434874282031</v>
      </c>
    </row>
    <row r="2779" spans="1:17" x14ac:dyDescent="0.3">
      <c r="A2779">
        <v>1882</v>
      </c>
      <c r="B2779" s="1" t="s">
        <v>41</v>
      </c>
      <c r="C2779" s="1" t="s">
        <v>23</v>
      </c>
      <c r="D2779" s="1" t="s">
        <v>17</v>
      </c>
      <c r="E2779" s="1" t="s">
        <v>18</v>
      </c>
      <c r="F2779" s="1" t="s">
        <v>19</v>
      </c>
      <c r="G2779" s="1" t="s">
        <v>20</v>
      </c>
      <c r="H2779" t="s">
        <v>21</v>
      </c>
      <c r="I2779" s="1" t="s">
        <v>22</v>
      </c>
      <c r="J2779" s="2">
        <v>43535.423900462964</v>
      </c>
      <c r="K2779" s="2">
        <v>43538.423900462964</v>
      </c>
      <c r="L2779" s="2">
        <v>43538.423900462964</v>
      </c>
      <c r="M2779" s="1">
        <f>_xlfn.DAYS(Table1[[#This Row],[actual_delivery_date]],Table1[[#This Row],[dispatch_date]])</f>
        <v>3</v>
      </c>
      <c r="N2779">
        <v>82</v>
      </c>
      <c r="O2779">
        <f>Table1[[#This Row],[transit_storage_cost]] * (1-'What -if Analysis'!$D$26)</f>
        <v>82</v>
      </c>
      <c r="P2779">
        <v>89</v>
      </c>
      <c r="Q2779">
        <v>885.63664507032229</v>
      </c>
    </row>
    <row r="2780" spans="1:17" x14ac:dyDescent="0.3">
      <c r="A2780">
        <v>925025</v>
      </c>
      <c r="B2780" s="1" t="s">
        <v>39</v>
      </c>
      <c r="C2780" s="1" t="s">
        <v>16</v>
      </c>
      <c r="D2780" s="1" t="s">
        <v>17</v>
      </c>
      <c r="E2780" s="1" t="s">
        <v>18</v>
      </c>
      <c r="F2780" s="1" t="s">
        <v>29</v>
      </c>
      <c r="G2780" s="1" t="s">
        <v>20</v>
      </c>
      <c r="H2780" t="s">
        <v>30</v>
      </c>
      <c r="I2780" s="1" t="s">
        <v>22</v>
      </c>
      <c r="J2780" s="2">
        <v>43535.426458333335</v>
      </c>
      <c r="K2780" s="2">
        <v>43538.426458333335</v>
      </c>
      <c r="L2780" s="2">
        <v>43540.426458333335</v>
      </c>
      <c r="M2780" s="1">
        <f>_xlfn.DAYS(Table1[[#This Row],[actual_delivery_date]],Table1[[#This Row],[dispatch_date]])</f>
        <v>3</v>
      </c>
      <c r="N2780">
        <v>46</v>
      </c>
      <c r="O2780">
        <f>Table1[[#This Row],[transit_storage_cost]] * (1-'What -if Analysis'!$D$26)</f>
        <v>46</v>
      </c>
      <c r="P2780">
        <v>109</v>
      </c>
      <c r="Q2780">
        <v>1002.5797580149292</v>
      </c>
    </row>
    <row r="2781" spans="1:17" x14ac:dyDescent="0.3">
      <c r="A2781">
        <v>473510</v>
      </c>
      <c r="B2781" s="1" t="s">
        <v>41</v>
      </c>
      <c r="C2781" s="1" t="s">
        <v>16</v>
      </c>
      <c r="D2781" s="1" t="s">
        <v>23</v>
      </c>
      <c r="E2781" s="1" t="s">
        <v>28</v>
      </c>
      <c r="F2781" s="1" t="s">
        <v>31</v>
      </c>
      <c r="G2781" s="1" t="s">
        <v>36</v>
      </c>
      <c r="H2781" t="s">
        <v>21</v>
      </c>
      <c r="I2781" s="1" t="s">
        <v>22</v>
      </c>
      <c r="J2781" s="2">
        <v>43529.429849537039</v>
      </c>
      <c r="K2781" s="2">
        <v>43538.429849537039</v>
      </c>
      <c r="L2781" s="2">
        <v>43536.429849537039</v>
      </c>
      <c r="M2781" s="1">
        <f>_xlfn.DAYS(Table1[[#This Row],[actual_delivery_date]],Table1[[#This Row],[dispatch_date]])</f>
        <v>9</v>
      </c>
      <c r="N2781">
        <v>28</v>
      </c>
      <c r="O2781">
        <f>Table1[[#This Row],[transit_storage_cost]] * (1-'What -if Analysis'!$D$26)</f>
        <v>28</v>
      </c>
      <c r="P2781">
        <v>129</v>
      </c>
      <c r="Q2781">
        <v>881.85161376851056</v>
      </c>
    </row>
    <row r="2782" spans="1:17" x14ac:dyDescent="0.3">
      <c r="A2782">
        <v>840262</v>
      </c>
      <c r="B2782" s="1" t="s">
        <v>38</v>
      </c>
      <c r="C2782" s="1" t="s">
        <v>23</v>
      </c>
      <c r="D2782" s="1" t="s">
        <v>16</v>
      </c>
      <c r="E2782" s="1" t="s">
        <v>27</v>
      </c>
      <c r="F2782" s="1" t="s">
        <v>19</v>
      </c>
      <c r="G2782" s="1" t="s">
        <v>36</v>
      </c>
      <c r="H2782" t="s">
        <v>21</v>
      </c>
      <c r="I2782" s="1" t="s">
        <v>22</v>
      </c>
      <c r="J2782" s="2">
        <v>43536.43582175926</v>
      </c>
      <c r="K2782" s="2">
        <v>43538.43582175926</v>
      </c>
      <c r="L2782" s="2">
        <v>43541.43582175926</v>
      </c>
      <c r="M2782" s="1">
        <f>_xlfn.DAYS(Table1[[#This Row],[actual_delivery_date]],Table1[[#This Row],[dispatch_date]])</f>
        <v>2</v>
      </c>
      <c r="N2782">
        <v>85</v>
      </c>
      <c r="O2782">
        <f>Table1[[#This Row],[transit_storage_cost]] * (1-'What -if Analysis'!$D$26)</f>
        <v>85</v>
      </c>
      <c r="P2782">
        <v>107</v>
      </c>
      <c r="Q2782">
        <v>290</v>
      </c>
    </row>
    <row r="2783" spans="1:17" x14ac:dyDescent="0.3">
      <c r="A2783">
        <v>118242</v>
      </c>
      <c r="B2783" s="1" t="s">
        <v>39</v>
      </c>
      <c r="C2783" s="1" t="s">
        <v>16</v>
      </c>
      <c r="D2783" s="1" t="s">
        <v>24</v>
      </c>
      <c r="E2783" s="1" t="s">
        <v>25</v>
      </c>
      <c r="F2783" s="1" t="s">
        <v>31</v>
      </c>
      <c r="G2783" s="1" t="s">
        <v>20</v>
      </c>
      <c r="H2783" t="s">
        <v>21</v>
      </c>
      <c r="I2783" s="1" t="s">
        <v>26</v>
      </c>
      <c r="J2783" s="2">
        <v>43533.435914351852</v>
      </c>
      <c r="K2783" s="2">
        <v>43538.435914351852</v>
      </c>
      <c r="L2783" s="2">
        <v>43537.435914351852</v>
      </c>
      <c r="M2783" s="1">
        <f>_xlfn.DAYS(Table1[[#This Row],[actual_delivery_date]],Table1[[#This Row],[dispatch_date]])</f>
        <v>5</v>
      </c>
      <c r="N2783">
        <v>30</v>
      </c>
      <c r="O2783">
        <f>Table1[[#This Row],[transit_storage_cost]] * (1-'What -if Analysis'!$D$26)</f>
        <v>30</v>
      </c>
      <c r="P2783">
        <v>126</v>
      </c>
      <c r="Q2783">
        <v>2033.8074188247635</v>
      </c>
    </row>
    <row r="2784" spans="1:17" x14ac:dyDescent="0.3">
      <c r="A2784">
        <v>738827</v>
      </c>
      <c r="B2784" s="1" t="s">
        <v>38</v>
      </c>
      <c r="C2784" s="1" t="s">
        <v>16</v>
      </c>
      <c r="D2784" s="1" t="s">
        <v>23</v>
      </c>
      <c r="E2784" s="1" t="s">
        <v>28</v>
      </c>
      <c r="F2784" s="1" t="s">
        <v>29</v>
      </c>
      <c r="G2784" s="1" t="s">
        <v>20</v>
      </c>
      <c r="H2784" t="s">
        <v>30</v>
      </c>
      <c r="I2784" s="1" t="s">
        <v>22</v>
      </c>
      <c r="J2784" s="2">
        <v>43533.438854166663</v>
      </c>
      <c r="K2784" s="2">
        <v>43538.438854166663</v>
      </c>
      <c r="L2784" s="2">
        <v>43538.438854166663</v>
      </c>
      <c r="M2784" s="1">
        <f>_xlfn.DAYS(Table1[[#This Row],[actual_delivery_date]],Table1[[#This Row],[dispatch_date]])</f>
        <v>5</v>
      </c>
      <c r="N2784">
        <v>33</v>
      </c>
      <c r="O2784">
        <f>Table1[[#This Row],[transit_storage_cost]] * (1-'What -if Analysis'!$D$26)</f>
        <v>33</v>
      </c>
      <c r="P2784">
        <v>129</v>
      </c>
      <c r="Q2784">
        <v>3261.0905379341971</v>
      </c>
    </row>
    <row r="2785" spans="1:17" x14ac:dyDescent="0.3">
      <c r="A2785">
        <v>208394</v>
      </c>
      <c r="B2785" s="1" t="s">
        <v>38</v>
      </c>
      <c r="C2785" s="1" t="s">
        <v>16</v>
      </c>
      <c r="D2785" s="1" t="s">
        <v>23</v>
      </c>
      <c r="E2785" s="1" t="s">
        <v>28</v>
      </c>
      <c r="F2785" s="1" t="s">
        <v>19</v>
      </c>
      <c r="G2785" s="1" t="s">
        <v>20</v>
      </c>
      <c r="H2785" t="s">
        <v>21</v>
      </c>
      <c r="I2785" s="1" t="s">
        <v>22</v>
      </c>
      <c r="J2785" s="2">
        <v>43535.442835648151</v>
      </c>
      <c r="K2785" s="2">
        <v>43538.442835648151</v>
      </c>
      <c r="L2785" s="2">
        <v>43542.442835648151</v>
      </c>
      <c r="M2785" s="1">
        <f>_xlfn.DAYS(Table1[[#This Row],[actual_delivery_date]],Table1[[#This Row],[dispatch_date]])</f>
        <v>3</v>
      </c>
      <c r="N2785">
        <v>69</v>
      </c>
      <c r="O2785">
        <f>Table1[[#This Row],[transit_storage_cost]] * (1-'What -if Analysis'!$D$26)</f>
        <v>69</v>
      </c>
      <c r="P2785">
        <v>103</v>
      </c>
      <c r="Q2785">
        <v>2917</v>
      </c>
    </row>
    <row r="2786" spans="1:17" x14ac:dyDescent="0.3">
      <c r="A2786">
        <v>923295</v>
      </c>
      <c r="B2786" s="1" t="s">
        <v>38</v>
      </c>
      <c r="C2786" s="1" t="s">
        <v>16</v>
      </c>
      <c r="D2786" s="1" t="s">
        <v>17</v>
      </c>
      <c r="E2786" s="1" t="s">
        <v>18</v>
      </c>
      <c r="F2786" s="1" t="s">
        <v>29</v>
      </c>
      <c r="G2786" s="1" t="s">
        <v>20</v>
      </c>
      <c r="H2786" t="s">
        <v>30</v>
      </c>
      <c r="I2786" s="1" t="s">
        <v>26</v>
      </c>
      <c r="J2786" s="2">
        <v>43535.443101851852</v>
      </c>
      <c r="K2786" s="2">
        <v>43538.443101851852</v>
      </c>
      <c r="L2786" s="2">
        <v>43539.443101851852</v>
      </c>
      <c r="M2786" s="1">
        <f>_xlfn.DAYS(Table1[[#This Row],[actual_delivery_date]],Table1[[#This Row],[dispatch_date]])</f>
        <v>3</v>
      </c>
      <c r="N2786">
        <v>39</v>
      </c>
      <c r="O2786">
        <f>Table1[[#This Row],[transit_storage_cost]] * (1-'What -if Analysis'!$D$26)</f>
        <v>39</v>
      </c>
      <c r="P2786">
        <v>115</v>
      </c>
      <c r="Q2786">
        <v>2762.4318695279071</v>
      </c>
    </row>
    <row r="2787" spans="1:17" x14ac:dyDescent="0.3">
      <c r="A2787">
        <v>807996</v>
      </c>
      <c r="B2787" s="1" t="s">
        <v>15</v>
      </c>
      <c r="C2787" s="1" t="s">
        <v>16</v>
      </c>
      <c r="D2787" s="1" t="s">
        <v>23</v>
      </c>
      <c r="E2787" s="1" t="s">
        <v>28</v>
      </c>
      <c r="F2787" s="1" t="s">
        <v>19</v>
      </c>
      <c r="G2787" s="1" t="s">
        <v>20</v>
      </c>
      <c r="H2787" t="s">
        <v>21</v>
      </c>
      <c r="I2787" s="1" t="s">
        <v>26</v>
      </c>
      <c r="J2787" s="2">
        <v>43536.446759259263</v>
      </c>
      <c r="K2787" s="2">
        <v>43538.446759259263</v>
      </c>
      <c r="L2787" s="2">
        <v>43541.446759259263</v>
      </c>
      <c r="M2787" s="1">
        <f>_xlfn.DAYS(Table1[[#This Row],[actual_delivery_date]],Table1[[#This Row],[dispatch_date]])</f>
        <v>2</v>
      </c>
      <c r="N2787">
        <v>63</v>
      </c>
      <c r="O2787">
        <f>Table1[[#This Row],[transit_storage_cost]] * (1-'What -if Analysis'!$D$26)</f>
        <v>63</v>
      </c>
      <c r="P2787">
        <v>102</v>
      </c>
      <c r="Q2787">
        <v>1822.3768644795</v>
      </c>
    </row>
    <row r="2788" spans="1:17" x14ac:dyDescent="0.3">
      <c r="A2788">
        <v>333130</v>
      </c>
      <c r="B2788" s="1" t="s">
        <v>38</v>
      </c>
      <c r="C2788" s="1" t="s">
        <v>23</v>
      </c>
      <c r="D2788" s="1" t="s">
        <v>17</v>
      </c>
      <c r="E2788" s="1" t="s">
        <v>18</v>
      </c>
      <c r="F2788" s="1" t="s">
        <v>19</v>
      </c>
      <c r="G2788" s="1" t="s">
        <v>20</v>
      </c>
      <c r="H2788" t="s">
        <v>21</v>
      </c>
      <c r="I2788" s="1" t="s">
        <v>22</v>
      </c>
      <c r="J2788" s="2">
        <v>43533.452581018515</v>
      </c>
      <c r="K2788" s="2">
        <v>43538.452581018515</v>
      </c>
      <c r="L2788" s="2">
        <v>43537.452581018515</v>
      </c>
      <c r="M2788" s="1">
        <f>_xlfn.DAYS(Table1[[#This Row],[actual_delivery_date]],Table1[[#This Row],[dispatch_date]])</f>
        <v>5</v>
      </c>
      <c r="N2788">
        <v>67</v>
      </c>
      <c r="O2788">
        <f>Table1[[#This Row],[transit_storage_cost]] * (1-'What -if Analysis'!$D$26)</f>
        <v>67</v>
      </c>
      <c r="P2788">
        <v>89</v>
      </c>
      <c r="Q2788">
        <v>1848.6443825970864</v>
      </c>
    </row>
    <row r="2789" spans="1:17" x14ac:dyDescent="0.3">
      <c r="A2789">
        <v>171835</v>
      </c>
      <c r="B2789" s="1" t="s">
        <v>40</v>
      </c>
      <c r="C2789" s="1" t="s">
        <v>16</v>
      </c>
      <c r="D2789" s="1" t="s">
        <v>16</v>
      </c>
      <c r="E2789" s="1" t="s">
        <v>27</v>
      </c>
      <c r="F2789" s="1" t="s">
        <v>29</v>
      </c>
      <c r="G2789" s="1" t="s">
        <v>20</v>
      </c>
      <c r="H2789" t="s">
        <v>30</v>
      </c>
      <c r="I2789" s="1" t="s">
        <v>22</v>
      </c>
      <c r="J2789" s="2">
        <v>43534.457951388889</v>
      </c>
      <c r="K2789" s="2">
        <v>43538.457951388889</v>
      </c>
      <c r="L2789" s="2">
        <v>43537.457951388889</v>
      </c>
      <c r="M2789" s="1">
        <f>_xlfn.DAYS(Table1[[#This Row],[actual_delivery_date]],Table1[[#This Row],[dispatch_date]])</f>
        <v>4</v>
      </c>
      <c r="N2789">
        <v>0</v>
      </c>
      <c r="O2789">
        <f>Table1[[#This Row],[transit_storage_cost]] * (1-'What -if Analysis'!$D$26)</f>
        <v>0</v>
      </c>
      <c r="P2789">
        <v>127</v>
      </c>
      <c r="Q2789">
        <v>326</v>
      </c>
    </row>
    <row r="2790" spans="1:17" x14ac:dyDescent="0.3">
      <c r="A2790">
        <v>753414</v>
      </c>
      <c r="B2790" s="1" t="s">
        <v>38</v>
      </c>
      <c r="C2790" s="1" t="s">
        <v>16</v>
      </c>
      <c r="D2790" s="1" t="s">
        <v>23</v>
      </c>
      <c r="E2790" s="1" t="s">
        <v>28</v>
      </c>
      <c r="F2790" s="1" t="s">
        <v>31</v>
      </c>
      <c r="G2790" s="1" t="s">
        <v>20</v>
      </c>
      <c r="H2790" t="s">
        <v>21</v>
      </c>
      <c r="I2790" s="1" t="s">
        <v>26</v>
      </c>
      <c r="J2790" s="2">
        <v>43532.459490740737</v>
      </c>
      <c r="K2790" s="2">
        <v>43538.459490740737</v>
      </c>
      <c r="L2790" s="2">
        <v>43535.459490740737</v>
      </c>
      <c r="M2790" s="1">
        <f>_xlfn.DAYS(Table1[[#This Row],[actual_delivery_date]],Table1[[#This Row],[dispatch_date]])</f>
        <v>6</v>
      </c>
      <c r="N2790">
        <v>32</v>
      </c>
      <c r="O2790">
        <f>Table1[[#This Row],[transit_storage_cost]] * (1-'What -if Analysis'!$D$26)</f>
        <v>32</v>
      </c>
      <c r="P2790">
        <v>128</v>
      </c>
      <c r="Q2790">
        <v>2032</v>
      </c>
    </row>
    <row r="2791" spans="1:17" x14ac:dyDescent="0.3">
      <c r="A2791">
        <v>287768</v>
      </c>
      <c r="B2791" s="1" t="s">
        <v>37</v>
      </c>
      <c r="C2791" s="1" t="s">
        <v>16</v>
      </c>
      <c r="D2791" s="1" t="s">
        <v>32</v>
      </c>
      <c r="E2791" s="1" t="s">
        <v>33</v>
      </c>
      <c r="F2791" s="1" t="s">
        <v>19</v>
      </c>
      <c r="G2791" s="1" t="s">
        <v>20</v>
      </c>
      <c r="H2791" t="s">
        <v>21</v>
      </c>
      <c r="I2791" s="1" t="s">
        <v>22</v>
      </c>
      <c r="J2791" s="2">
        <v>43533.460370370369</v>
      </c>
      <c r="K2791" s="2">
        <v>43538.460370370369</v>
      </c>
      <c r="L2791" s="2">
        <v>43536.460370370369</v>
      </c>
      <c r="M2791" s="1">
        <f>_xlfn.DAYS(Table1[[#This Row],[actual_delivery_date]],Table1[[#This Row],[dispatch_date]])</f>
        <v>5</v>
      </c>
      <c r="N2791">
        <v>30</v>
      </c>
      <c r="O2791">
        <f>Table1[[#This Row],[transit_storage_cost]] * (1-'What -if Analysis'!$D$26)</f>
        <v>30</v>
      </c>
      <c r="P2791">
        <v>114</v>
      </c>
      <c r="Q2791">
        <v>3496.5886036894954</v>
      </c>
    </row>
    <row r="2792" spans="1:17" x14ac:dyDescent="0.3">
      <c r="A2792">
        <v>763204</v>
      </c>
      <c r="B2792" s="1" t="s">
        <v>37</v>
      </c>
      <c r="C2792" s="1" t="s">
        <v>16</v>
      </c>
      <c r="D2792" s="1" t="s">
        <v>24</v>
      </c>
      <c r="E2792" s="1" t="s">
        <v>25</v>
      </c>
      <c r="F2792" s="1" t="s">
        <v>19</v>
      </c>
      <c r="G2792" s="1" t="s">
        <v>20</v>
      </c>
      <c r="H2792" t="s">
        <v>21</v>
      </c>
      <c r="I2792" s="1" t="s">
        <v>22</v>
      </c>
      <c r="J2792" s="2">
        <v>43532.461493055554</v>
      </c>
      <c r="K2792" s="2">
        <v>43538.461493055554</v>
      </c>
      <c r="L2792" s="2">
        <v>43537.461493055554</v>
      </c>
      <c r="M2792" s="1">
        <f>_xlfn.DAYS(Table1[[#This Row],[actual_delivery_date]],Table1[[#This Row],[dispatch_date]])</f>
        <v>6</v>
      </c>
      <c r="N2792">
        <v>39</v>
      </c>
      <c r="O2792">
        <f>Table1[[#This Row],[transit_storage_cost]] * (1-'What -if Analysis'!$D$26)</f>
        <v>39</v>
      </c>
      <c r="P2792">
        <v>129</v>
      </c>
      <c r="Q2792">
        <v>1496.3388263246868</v>
      </c>
    </row>
    <row r="2793" spans="1:17" x14ac:dyDescent="0.3">
      <c r="A2793">
        <v>304452</v>
      </c>
      <c r="B2793" s="1" t="s">
        <v>39</v>
      </c>
      <c r="C2793" s="1" t="s">
        <v>23</v>
      </c>
      <c r="D2793" s="1" t="s">
        <v>16</v>
      </c>
      <c r="E2793" s="1" t="s">
        <v>27</v>
      </c>
      <c r="F2793" s="1" t="s">
        <v>19</v>
      </c>
      <c r="G2793" s="1" t="s">
        <v>20</v>
      </c>
      <c r="H2793" t="s">
        <v>21</v>
      </c>
      <c r="I2793" s="1" t="s">
        <v>26</v>
      </c>
      <c r="J2793" s="2">
        <v>43535.465289351851</v>
      </c>
      <c r="K2793" s="2">
        <v>43538.465289351851</v>
      </c>
      <c r="L2793" s="2">
        <v>43542.465289351851</v>
      </c>
      <c r="M2793" s="1">
        <f>_xlfn.DAYS(Table1[[#This Row],[actual_delivery_date]],Table1[[#This Row],[dispatch_date]])</f>
        <v>3</v>
      </c>
      <c r="N2793">
        <v>87</v>
      </c>
      <c r="O2793">
        <f>Table1[[#This Row],[transit_storage_cost]] * (1-'What -if Analysis'!$D$26)</f>
        <v>87</v>
      </c>
      <c r="P2793">
        <v>104</v>
      </c>
      <c r="Q2793">
        <v>3126.193570125145</v>
      </c>
    </row>
    <row r="2794" spans="1:17" x14ac:dyDescent="0.3">
      <c r="A2794">
        <v>149137</v>
      </c>
      <c r="B2794" s="1" t="s">
        <v>40</v>
      </c>
      <c r="C2794" s="1" t="s">
        <v>16</v>
      </c>
      <c r="D2794" s="1" t="s">
        <v>24</v>
      </c>
      <c r="E2794" s="1" t="s">
        <v>25</v>
      </c>
      <c r="F2794" s="1" t="s">
        <v>29</v>
      </c>
      <c r="G2794" s="1" t="s">
        <v>20</v>
      </c>
      <c r="H2794" t="s">
        <v>30</v>
      </c>
      <c r="I2794" s="1" t="s">
        <v>22</v>
      </c>
      <c r="J2794" s="2">
        <v>43531.467060185183</v>
      </c>
      <c r="K2794" s="2">
        <v>43538.467060185183</v>
      </c>
      <c r="L2794" s="2">
        <v>43534.467060185183</v>
      </c>
      <c r="M2794" s="1">
        <f>_xlfn.DAYS(Table1[[#This Row],[actual_delivery_date]],Table1[[#This Row],[dispatch_date]])</f>
        <v>7</v>
      </c>
      <c r="N2794">
        <v>41</v>
      </c>
      <c r="O2794">
        <f>Table1[[#This Row],[transit_storage_cost]] * (1-'What -if Analysis'!$D$26)</f>
        <v>41</v>
      </c>
      <c r="P2794">
        <v>126</v>
      </c>
      <c r="Q2794">
        <v>2416.5042330753204</v>
      </c>
    </row>
    <row r="2795" spans="1:17" x14ac:dyDescent="0.3">
      <c r="A2795">
        <v>937434</v>
      </c>
      <c r="B2795" s="1" t="s">
        <v>37</v>
      </c>
      <c r="C2795" s="1" t="s">
        <v>16</v>
      </c>
      <c r="D2795" s="1" t="s">
        <v>17</v>
      </c>
      <c r="E2795" s="1" t="s">
        <v>18</v>
      </c>
      <c r="F2795" s="1" t="s">
        <v>31</v>
      </c>
      <c r="G2795" s="1" t="s">
        <v>20</v>
      </c>
      <c r="H2795" t="s">
        <v>21</v>
      </c>
      <c r="I2795" s="1" t="s">
        <v>26</v>
      </c>
      <c r="J2795" s="2">
        <v>43534.467951388891</v>
      </c>
      <c r="K2795" s="2">
        <v>43538.467951388891</v>
      </c>
      <c r="L2795" s="2">
        <v>43539.467951388891</v>
      </c>
      <c r="M2795" s="1">
        <f>_xlfn.DAYS(Table1[[#This Row],[actual_delivery_date]],Table1[[#This Row],[dispatch_date]])</f>
        <v>4</v>
      </c>
      <c r="N2795">
        <v>43</v>
      </c>
      <c r="O2795">
        <f>Table1[[#This Row],[transit_storage_cost]] * (1-'What -if Analysis'!$D$26)</f>
        <v>43</v>
      </c>
      <c r="P2795">
        <v>106</v>
      </c>
      <c r="Q2795">
        <v>1623.883698467921</v>
      </c>
    </row>
    <row r="2796" spans="1:17" x14ac:dyDescent="0.3">
      <c r="A2796">
        <v>384966</v>
      </c>
      <c r="B2796" s="1" t="s">
        <v>37</v>
      </c>
      <c r="C2796" s="1" t="s">
        <v>16</v>
      </c>
      <c r="D2796" s="1" t="s">
        <v>24</v>
      </c>
      <c r="E2796" s="1" t="s">
        <v>25</v>
      </c>
      <c r="F2796" s="1" t="s">
        <v>19</v>
      </c>
      <c r="G2796" s="1" t="s">
        <v>20</v>
      </c>
      <c r="H2796" t="s">
        <v>21</v>
      </c>
      <c r="I2796" s="1" t="s">
        <v>26</v>
      </c>
      <c r="J2796" s="2">
        <v>43530.468263888892</v>
      </c>
      <c r="K2796" s="2">
        <v>43538.468263888892</v>
      </c>
      <c r="L2796" s="2">
        <v>43534.468263888892</v>
      </c>
      <c r="M2796" s="1">
        <f>_xlfn.DAYS(Table1[[#This Row],[actual_delivery_date]],Table1[[#This Row],[dispatch_date]])</f>
        <v>8</v>
      </c>
      <c r="N2796">
        <v>86</v>
      </c>
      <c r="O2796">
        <f>Table1[[#This Row],[transit_storage_cost]] * (1-'What -if Analysis'!$D$26)</f>
        <v>86</v>
      </c>
      <c r="P2796">
        <v>102</v>
      </c>
      <c r="Q2796">
        <v>1173</v>
      </c>
    </row>
    <row r="2797" spans="1:17" x14ac:dyDescent="0.3">
      <c r="A2797">
        <v>78042</v>
      </c>
      <c r="B2797" s="1" t="s">
        <v>41</v>
      </c>
      <c r="C2797" s="1" t="s">
        <v>23</v>
      </c>
      <c r="D2797" s="1" t="s">
        <v>16</v>
      </c>
      <c r="E2797" s="1" t="s">
        <v>27</v>
      </c>
      <c r="F2797" s="1" t="s">
        <v>31</v>
      </c>
      <c r="G2797" s="1" t="s">
        <v>20</v>
      </c>
      <c r="H2797" t="s">
        <v>21</v>
      </c>
      <c r="I2797" s="1" t="s">
        <v>26</v>
      </c>
      <c r="J2797" s="2">
        <v>43529.468449074076</v>
      </c>
      <c r="K2797" s="2">
        <v>43538.468449074076</v>
      </c>
      <c r="L2797" s="2">
        <v>43532.468449074076</v>
      </c>
      <c r="M2797" s="1">
        <f>_xlfn.DAYS(Table1[[#This Row],[actual_delivery_date]],Table1[[#This Row],[dispatch_date]])</f>
        <v>9</v>
      </c>
      <c r="N2797">
        <v>48</v>
      </c>
      <c r="O2797">
        <f>Table1[[#This Row],[transit_storage_cost]] * (1-'What -if Analysis'!$D$26)</f>
        <v>48</v>
      </c>
      <c r="P2797">
        <v>123</v>
      </c>
      <c r="Q2797">
        <v>356.99</v>
      </c>
    </row>
    <row r="2798" spans="1:17" x14ac:dyDescent="0.3">
      <c r="A2798">
        <v>942982</v>
      </c>
      <c r="B2798" s="1" t="s">
        <v>39</v>
      </c>
      <c r="C2798" s="1" t="s">
        <v>16</v>
      </c>
      <c r="D2798" s="1" t="s">
        <v>17</v>
      </c>
      <c r="E2798" s="1" t="s">
        <v>18</v>
      </c>
      <c r="F2798" s="1" t="s">
        <v>31</v>
      </c>
      <c r="G2798" s="1" t="s">
        <v>20</v>
      </c>
      <c r="H2798" t="s">
        <v>21</v>
      </c>
      <c r="I2798" s="1" t="s">
        <v>22</v>
      </c>
      <c r="J2798" s="2">
        <v>43535.469027777777</v>
      </c>
      <c r="K2798" s="2">
        <v>43538.469027777777</v>
      </c>
      <c r="L2798" s="2">
        <v>43538.469027777777</v>
      </c>
      <c r="M2798" s="1">
        <f>_xlfn.DAYS(Table1[[#This Row],[actual_delivery_date]],Table1[[#This Row],[dispatch_date]])</f>
        <v>3</v>
      </c>
      <c r="N2798">
        <v>38</v>
      </c>
      <c r="O2798">
        <f>Table1[[#This Row],[transit_storage_cost]] * (1-'What -if Analysis'!$D$26)</f>
        <v>38</v>
      </c>
      <c r="P2798">
        <v>108</v>
      </c>
      <c r="Q2798">
        <v>1344.7330153106334</v>
      </c>
    </row>
    <row r="2799" spans="1:17" x14ac:dyDescent="0.3">
      <c r="A2799">
        <v>606747</v>
      </c>
      <c r="B2799" s="1" t="s">
        <v>37</v>
      </c>
      <c r="C2799" s="1" t="s">
        <v>16</v>
      </c>
      <c r="D2799" s="1" t="s">
        <v>24</v>
      </c>
      <c r="E2799" s="1" t="s">
        <v>25</v>
      </c>
      <c r="F2799" s="1" t="s">
        <v>19</v>
      </c>
      <c r="G2799" s="1" t="s">
        <v>20</v>
      </c>
      <c r="H2799" t="s">
        <v>30</v>
      </c>
      <c r="I2799" s="1" t="s">
        <v>26</v>
      </c>
      <c r="J2799" s="2">
        <v>43529.472986111112</v>
      </c>
      <c r="K2799" s="2">
        <v>43538.472986111112</v>
      </c>
      <c r="L2799" s="2">
        <v>43533.472986111112</v>
      </c>
      <c r="M2799" s="1">
        <f>_xlfn.DAYS(Table1[[#This Row],[actual_delivery_date]],Table1[[#This Row],[dispatch_date]])</f>
        <v>9</v>
      </c>
      <c r="N2799">
        <v>76</v>
      </c>
      <c r="O2799">
        <f>Table1[[#This Row],[transit_storage_cost]] * (1-'What -if Analysis'!$D$26)</f>
        <v>76</v>
      </c>
      <c r="P2799">
        <v>101</v>
      </c>
      <c r="Q2799">
        <v>2847.52</v>
      </c>
    </row>
    <row r="2800" spans="1:17" x14ac:dyDescent="0.3">
      <c r="A2800">
        <v>341082</v>
      </c>
      <c r="B2800" s="1" t="s">
        <v>37</v>
      </c>
      <c r="C2800" s="1" t="s">
        <v>23</v>
      </c>
      <c r="D2800" s="1" t="s">
        <v>23</v>
      </c>
      <c r="E2800" s="1" t="s">
        <v>28</v>
      </c>
      <c r="F2800" s="1" t="s">
        <v>19</v>
      </c>
      <c r="G2800" s="1" t="s">
        <v>20</v>
      </c>
      <c r="H2800" t="s">
        <v>21</v>
      </c>
      <c r="I2800" s="1" t="s">
        <v>26</v>
      </c>
      <c r="J2800" s="2">
        <v>43538.477037037039</v>
      </c>
      <c r="K2800" s="2">
        <v>43538.477037037039</v>
      </c>
      <c r="L2800" s="2">
        <v>43545.477037037039</v>
      </c>
      <c r="M2800" s="1">
        <f>_xlfn.DAYS(Table1[[#This Row],[actual_delivery_date]],Table1[[#This Row],[dispatch_date]])</f>
        <v>0</v>
      </c>
      <c r="N2800">
        <v>0</v>
      </c>
      <c r="O2800">
        <f>Table1[[#This Row],[transit_storage_cost]] * (1-'What -if Analysis'!$D$26)</f>
        <v>0</v>
      </c>
      <c r="P2800">
        <v>110</v>
      </c>
      <c r="Q2800">
        <v>1978.7792956232031</v>
      </c>
    </row>
    <row r="2801" spans="1:17" x14ac:dyDescent="0.3">
      <c r="A2801">
        <v>490138</v>
      </c>
      <c r="B2801" s="1" t="s">
        <v>38</v>
      </c>
      <c r="C2801" s="1" t="s">
        <v>16</v>
      </c>
      <c r="D2801" s="1" t="s">
        <v>16</v>
      </c>
      <c r="E2801" s="1" t="s">
        <v>27</v>
      </c>
      <c r="F2801" s="1" t="s">
        <v>31</v>
      </c>
      <c r="G2801" s="1" t="s">
        <v>20</v>
      </c>
      <c r="H2801" t="s">
        <v>21</v>
      </c>
      <c r="I2801" s="1" t="s">
        <v>22</v>
      </c>
      <c r="J2801" s="2">
        <v>43534.47755787037</v>
      </c>
      <c r="K2801" s="2">
        <v>43538.47755787037</v>
      </c>
      <c r="L2801" s="2">
        <v>43537.47755787037</v>
      </c>
      <c r="M2801" s="1">
        <f>_xlfn.DAYS(Table1[[#This Row],[actual_delivery_date]],Table1[[#This Row],[dispatch_date]])</f>
        <v>4</v>
      </c>
      <c r="N2801">
        <v>0</v>
      </c>
      <c r="O2801">
        <f>Table1[[#This Row],[transit_storage_cost]] * (1-'What -if Analysis'!$D$26)</f>
        <v>0</v>
      </c>
      <c r="P2801">
        <v>125</v>
      </c>
      <c r="Q2801">
        <v>1398.306136887519</v>
      </c>
    </row>
    <row r="2802" spans="1:17" x14ac:dyDescent="0.3">
      <c r="A2802">
        <v>571610</v>
      </c>
      <c r="B2802" s="1" t="s">
        <v>37</v>
      </c>
      <c r="C2802" s="1" t="s">
        <v>16</v>
      </c>
      <c r="D2802" s="1" t="s">
        <v>24</v>
      </c>
      <c r="E2802" s="1" t="s">
        <v>25</v>
      </c>
      <c r="F2802" s="1" t="s">
        <v>19</v>
      </c>
      <c r="G2802" s="1" t="s">
        <v>20</v>
      </c>
      <c r="H2802" t="s">
        <v>21</v>
      </c>
      <c r="I2802" s="1" t="s">
        <v>22</v>
      </c>
      <c r="J2802" s="2">
        <v>43531.478182870371</v>
      </c>
      <c r="K2802" s="2">
        <v>43538.478182870371</v>
      </c>
      <c r="L2802" s="2">
        <v>43535.478182870371</v>
      </c>
      <c r="M2802" s="1">
        <f>_xlfn.DAYS(Table1[[#This Row],[actual_delivery_date]],Table1[[#This Row],[dispatch_date]])</f>
        <v>7</v>
      </c>
      <c r="N2802">
        <v>74</v>
      </c>
      <c r="O2802">
        <f>Table1[[#This Row],[transit_storage_cost]] * (1-'What -if Analysis'!$D$26)</f>
        <v>74</v>
      </c>
      <c r="P2802">
        <v>108</v>
      </c>
      <c r="Q2802">
        <v>3787.7347617148225</v>
      </c>
    </row>
    <row r="2803" spans="1:17" x14ac:dyDescent="0.3">
      <c r="A2803">
        <v>956061</v>
      </c>
      <c r="B2803" s="1" t="s">
        <v>39</v>
      </c>
      <c r="C2803" s="1" t="s">
        <v>23</v>
      </c>
      <c r="D2803" s="1" t="s">
        <v>24</v>
      </c>
      <c r="E2803" s="1" t="s">
        <v>25</v>
      </c>
      <c r="F2803" s="1" t="s">
        <v>19</v>
      </c>
      <c r="G2803" s="1" t="s">
        <v>20</v>
      </c>
      <c r="H2803" t="s">
        <v>30</v>
      </c>
      <c r="I2803" s="1" t="s">
        <v>26</v>
      </c>
      <c r="J2803" s="2">
        <v>43532.479062500002</v>
      </c>
      <c r="K2803" s="2">
        <v>43538.479062500002</v>
      </c>
      <c r="L2803" s="2">
        <v>43535.479062500002</v>
      </c>
      <c r="M2803" s="1">
        <f>_xlfn.DAYS(Table1[[#This Row],[actual_delivery_date]],Table1[[#This Row],[dispatch_date]])</f>
        <v>6</v>
      </c>
      <c r="N2803">
        <v>62</v>
      </c>
      <c r="O2803">
        <f>Table1[[#This Row],[transit_storage_cost]] * (1-'What -if Analysis'!$D$26)</f>
        <v>62</v>
      </c>
      <c r="P2803">
        <v>104</v>
      </c>
      <c r="Q2803">
        <v>410</v>
      </c>
    </row>
    <row r="2804" spans="1:17" x14ac:dyDescent="0.3">
      <c r="A2804">
        <v>451113</v>
      </c>
      <c r="B2804" s="1" t="s">
        <v>15</v>
      </c>
      <c r="C2804" s="1" t="s">
        <v>23</v>
      </c>
      <c r="D2804" s="1" t="s">
        <v>16</v>
      </c>
      <c r="E2804" s="1" t="s">
        <v>27</v>
      </c>
      <c r="F2804" s="1" t="s">
        <v>29</v>
      </c>
      <c r="G2804" s="1" t="s">
        <v>20</v>
      </c>
      <c r="H2804" t="s">
        <v>30</v>
      </c>
      <c r="I2804" s="1" t="s">
        <v>26</v>
      </c>
      <c r="J2804" s="2">
        <v>43530.49359953704</v>
      </c>
      <c r="K2804" s="2">
        <v>43538.49359953704</v>
      </c>
      <c r="L2804" s="2">
        <v>43534.49359953704</v>
      </c>
      <c r="M2804" s="1">
        <f>_xlfn.DAYS(Table1[[#This Row],[actual_delivery_date]],Table1[[#This Row],[dispatch_date]])</f>
        <v>8</v>
      </c>
      <c r="N2804">
        <v>44</v>
      </c>
      <c r="O2804">
        <f>Table1[[#This Row],[transit_storage_cost]] * (1-'What -if Analysis'!$D$26)</f>
        <v>44</v>
      </c>
      <c r="P2804">
        <v>121</v>
      </c>
      <c r="Q2804">
        <v>208</v>
      </c>
    </row>
    <row r="2805" spans="1:17" x14ac:dyDescent="0.3">
      <c r="A2805">
        <v>931633</v>
      </c>
      <c r="B2805" s="1" t="s">
        <v>38</v>
      </c>
      <c r="C2805" s="1" t="s">
        <v>23</v>
      </c>
      <c r="D2805" s="1" t="s">
        <v>23</v>
      </c>
      <c r="E2805" s="1" t="s">
        <v>28</v>
      </c>
      <c r="F2805" s="1" t="s">
        <v>19</v>
      </c>
      <c r="G2805" s="1" t="s">
        <v>20</v>
      </c>
      <c r="H2805" t="s">
        <v>30</v>
      </c>
      <c r="I2805" s="1" t="s">
        <v>22</v>
      </c>
      <c r="J2805" s="2">
        <v>43538.494085648148</v>
      </c>
      <c r="K2805" s="2">
        <v>43538.494085648148</v>
      </c>
      <c r="L2805" s="2">
        <v>43544.494085648148</v>
      </c>
      <c r="M2805" s="1">
        <f>_xlfn.DAYS(Table1[[#This Row],[actual_delivery_date]],Table1[[#This Row],[dispatch_date]])</f>
        <v>0</v>
      </c>
      <c r="N2805">
        <v>0</v>
      </c>
      <c r="O2805">
        <f>Table1[[#This Row],[transit_storage_cost]] * (1-'What -if Analysis'!$D$26)</f>
        <v>0</v>
      </c>
      <c r="P2805">
        <v>107</v>
      </c>
      <c r="Q2805">
        <v>2202.2452940856278</v>
      </c>
    </row>
    <row r="2806" spans="1:17" x14ac:dyDescent="0.3">
      <c r="A2806">
        <v>668414</v>
      </c>
      <c r="B2806" s="1" t="s">
        <v>38</v>
      </c>
      <c r="C2806" s="1" t="s">
        <v>23</v>
      </c>
      <c r="D2806" s="1" t="s">
        <v>17</v>
      </c>
      <c r="E2806" s="1" t="s">
        <v>18</v>
      </c>
      <c r="F2806" s="1" t="s">
        <v>31</v>
      </c>
      <c r="G2806" s="1" t="s">
        <v>20</v>
      </c>
      <c r="H2806" t="s">
        <v>21</v>
      </c>
      <c r="I2806" s="1" t="s">
        <v>22</v>
      </c>
      <c r="J2806" s="2">
        <v>43535.499363425923</v>
      </c>
      <c r="K2806" s="2">
        <v>43538.499363425923</v>
      </c>
      <c r="L2806" s="2">
        <v>43539.499363425923</v>
      </c>
      <c r="M2806" s="1">
        <f>_xlfn.DAYS(Table1[[#This Row],[actual_delivery_date]],Table1[[#This Row],[dispatch_date]])</f>
        <v>3</v>
      </c>
      <c r="N2806">
        <v>28</v>
      </c>
      <c r="O2806">
        <f>Table1[[#This Row],[transit_storage_cost]] * (1-'What -if Analysis'!$D$26)</f>
        <v>28</v>
      </c>
      <c r="P2806">
        <v>108</v>
      </c>
      <c r="Q2806">
        <v>1443</v>
      </c>
    </row>
    <row r="2807" spans="1:17" x14ac:dyDescent="0.3">
      <c r="A2807">
        <v>353006</v>
      </c>
      <c r="B2807" s="1" t="s">
        <v>40</v>
      </c>
      <c r="C2807" s="1" t="s">
        <v>23</v>
      </c>
      <c r="D2807" s="1" t="s">
        <v>16</v>
      </c>
      <c r="E2807" s="1" t="s">
        <v>27</v>
      </c>
      <c r="F2807" s="1" t="s">
        <v>31</v>
      </c>
      <c r="G2807" s="1" t="s">
        <v>20</v>
      </c>
      <c r="H2807" t="s">
        <v>21</v>
      </c>
      <c r="I2807" s="1" t="s">
        <v>22</v>
      </c>
      <c r="J2807" s="2">
        <v>43533.502685185187</v>
      </c>
      <c r="K2807" s="2">
        <v>43538.502685185187</v>
      </c>
      <c r="L2807" s="2">
        <v>43537.502685185187</v>
      </c>
      <c r="M2807" s="1">
        <f>_xlfn.DAYS(Table1[[#This Row],[actual_delivery_date]],Table1[[#This Row],[dispatch_date]])</f>
        <v>5</v>
      </c>
      <c r="N2807">
        <v>48</v>
      </c>
      <c r="O2807">
        <f>Table1[[#This Row],[transit_storage_cost]] * (1-'What -if Analysis'!$D$26)</f>
        <v>48</v>
      </c>
      <c r="P2807">
        <v>129</v>
      </c>
      <c r="Q2807">
        <v>263</v>
      </c>
    </row>
    <row r="2808" spans="1:17" x14ac:dyDescent="0.3">
      <c r="A2808">
        <v>589877</v>
      </c>
      <c r="B2808" s="1" t="s">
        <v>39</v>
      </c>
      <c r="C2808" s="1" t="s">
        <v>16</v>
      </c>
      <c r="D2808" s="1" t="s">
        <v>17</v>
      </c>
      <c r="E2808" s="1" t="s">
        <v>18</v>
      </c>
      <c r="F2808" s="1" t="s">
        <v>29</v>
      </c>
      <c r="G2808" s="1" t="s">
        <v>20</v>
      </c>
      <c r="H2808" t="s">
        <v>30</v>
      </c>
      <c r="I2808" s="1" t="s">
        <v>22</v>
      </c>
      <c r="J2808" s="2">
        <v>43532.507731481484</v>
      </c>
      <c r="K2808" s="2">
        <v>43538.507731481484</v>
      </c>
      <c r="L2808" s="2">
        <v>43538.507731481484</v>
      </c>
      <c r="M2808" s="1">
        <f>_xlfn.DAYS(Table1[[#This Row],[actual_delivery_date]],Table1[[#This Row],[dispatch_date]])</f>
        <v>6</v>
      </c>
      <c r="N2808">
        <v>26</v>
      </c>
      <c r="O2808">
        <f>Table1[[#This Row],[transit_storage_cost]] * (1-'What -if Analysis'!$D$26)</f>
        <v>26</v>
      </c>
      <c r="P2808">
        <v>112</v>
      </c>
      <c r="Q2808">
        <v>742.1371522489261</v>
      </c>
    </row>
    <row r="2809" spans="1:17" x14ac:dyDescent="0.3">
      <c r="A2809">
        <v>784128</v>
      </c>
      <c r="B2809" s="1" t="s">
        <v>37</v>
      </c>
      <c r="C2809" s="1" t="s">
        <v>16</v>
      </c>
      <c r="D2809" s="1" t="s">
        <v>16</v>
      </c>
      <c r="E2809" s="1" t="s">
        <v>27</v>
      </c>
      <c r="F2809" s="1" t="s">
        <v>19</v>
      </c>
      <c r="G2809" s="1" t="s">
        <v>20</v>
      </c>
      <c r="H2809" t="s">
        <v>21</v>
      </c>
      <c r="I2809" s="1" t="s">
        <v>26</v>
      </c>
      <c r="J2809" s="2">
        <v>43533.51222222222</v>
      </c>
      <c r="K2809" s="2">
        <v>43538.51222222222</v>
      </c>
      <c r="L2809" s="2">
        <v>43540.51222222222</v>
      </c>
      <c r="M2809" s="1">
        <f>_xlfn.DAYS(Table1[[#This Row],[actual_delivery_date]],Table1[[#This Row],[dispatch_date]])</f>
        <v>5</v>
      </c>
      <c r="N2809">
        <v>0</v>
      </c>
      <c r="O2809">
        <f>Table1[[#This Row],[transit_storage_cost]] * (1-'What -if Analysis'!$D$26)</f>
        <v>0</v>
      </c>
      <c r="P2809">
        <v>127</v>
      </c>
      <c r="Q2809">
        <v>3270.2688064260105</v>
      </c>
    </row>
    <row r="2810" spans="1:17" x14ac:dyDescent="0.3">
      <c r="A2810">
        <v>252678</v>
      </c>
      <c r="B2810" s="1" t="s">
        <v>38</v>
      </c>
      <c r="C2810" s="1" t="s">
        <v>16</v>
      </c>
      <c r="D2810" s="1" t="s">
        <v>32</v>
      </c>
      <c r="E2810" s="1" t="s">
        <v>33</v>
      </c>
      <c r="F2810" s="1" t="s">
        <v>31</v>
      </c>
      <c r="G2810" s="1" t="s">
        <v>20</v>
      </c>
      <c r="H2810" t="s">
        <v>21</v>
      </c>
      <c r="I2810" s="1" t="s">
        <v>26</v>
      </c>
      <c r="J2810" s="2">
        <v>43535.521828703706</v>
      </c>
      <c r="K2810" s="2">
        <v>43538.521828703706</v>
      </c>
      <c r="L2810" s="2">
        <v>43538.521828703706</v>
      </c>
      <c r="M2810" s="1">
        <f>_xlfn.DAYS(Table1[[#This Row],[actual_delivery_date]],Table1[[#This Row],[dispatch_date]])</f>
        <v>3</v>
      </c>
      <c r="N2810">
        <v>46</v>
      </c>
      <c r="O2810">
        <f>Table1[[#This Row],[transit_storage_cost]] * (1-'What -if Analysis'!$D$26)</f>
        <v>46</v>
      </c>
      <c r="P2810">
        <v>107</v>
      </c>
      <c r="Q2810">
        <v>3089</v>
      </c>
    </row>
    <row r="2811" spans="1:17" x14ac:dyDescent="0.3">
      <c r="A2811">
        <v>326868</v>
      </c>
      <c r="B2811" s="1" t="s">
        <v>40</v>
      </c>
      <c r="C2811" s="1" t="s">
        <v>23</v>
      </c>
      <c r="D2811" s="1" t="s">
        <v>24</v>
      </c>
      <c r="E2811" s="1" t="s">
        <v>25</v>
      </c>
      <c r="F2811" s="1" t="s">
        <v>19</v>
      </c>
      <c r="G2811" s="1" t="s">
        <v>20</v>
      </c>
      <c r="H2811" t="s">
        <v>21</v>
      </c>
      <c r="I2811" s="1" t="s">
        <v>26</v>
      </c>
      <c r="J2811" s="2">
        <v>43531.528321759259</v>
      </c>
      <c r="K2811" s="2">
        <v>43538.528321759259</v>
      </c>
      <c r="L2811" s="2">
        <v>43538.528321759259</v>
      </c>
      <c r="M2811" s="1">
        <f>_xlfn.DAYS(Table1[[#This Row],[actual_delivery_date]],Table1[[#This Row],[dispatch_date]])</f>
        <v>7</v>
      </c>
      <c r="N2811">
        <v>38</v>
      </c>
      <c r="O2811">
        <f>Table1[[#This Row],[transit_storage_cost]] * (1-'What -if Analysis'!$D$26)</f>
        <v>38</v>
      </c>
      <c r="P2811">
        <v>127</v>
      </c>
      <c r="Q2811">
        <v>3511</v>
      </c>
    </row>
    <row r="2812" spans="1:17" x14ac:dyDescent="0.3">
      <c r="A2812">
        <v>817339</v>
      </c>
      <c r="B2812" s="1" t="s">
        <v>15</v>
      </c>
      <c r="C2812" s="1" t="s">
        <v>16</v>
      </c>
      <c r="D2812" s="1" t="s">
        <v>16</v>
      </c>
      <c r="E2812" s="1" t="s">
        <v>27</v>
      </c>
      <c r="F2812" s="1" t="s">
        <v>29</v>
      </c>
      <c r="G2812" s="1" t="s">
        <v>20</v>
      </c>
      <c r="H2812" t="s">
        <v>30</v>
      </c>
      <c r="I2812" s="1" t="s">
        <v>22</v>
      </c>
      <c r="J2812" s="2">
        <v>43535.529826388891</v>
      </c>
      <c r="K2812" s="2">
        <v>43538.529826388891</v>
      </c>
      <c r="L2812" s="2">
        <v>43542.529826388891</v>
      </c>
      <c r="M2812" s="1">
        <f>_xlfn.DAYS(Table1[[#This Row],[actual_delivery_date]],Table1[[#This Row],[dispatch_date]])</f>
        <v>3</v>
      </c>
      <c r="N2812">
        <v>0</v>
      </c>
      <c r="O2812">
        <f>Table1[[#This Row],[transit_storage_cost]] * (1-'What -if Analysis'!$D$26)</f>
        <v>0</v>
      </c>
      <c r="P2812">
        <v>126</v>
      </c>
      <c r="Q2812">
        <v>841.09115395149729</v>
      </c>
    </row>
    <row r="2813" spans="1:17" x14ac:dyDescent="0.3">
      <c r="A2813">
        <v>630443</v>
      </c>
      <c r="B2813" s="1" t="s">
        <v>41</v>
      </c>
      <c r="C2813" s="1" t="s">
        <v>23</v>
      </c>
      <c r="D2813" s="1" t="s">
        <v>17</v>
      </c>
      <c r="E2813" s="1" t="s">
        <v>18</v>
      </c>
      <c r="F2813" s="1" t="s">
        <v>29</v>
      </c>
      <c r="G2813" s="1" t="s">
        <v>20</v>
      </c>
      <c r="H2813" t="s">
        <v>30</v>
      </c>
      <c r="I2813" s="1" t="s">
        <v>22</v>
      </c>
      <c r="J2813" s="2">
        <v>43534.536724537036</v>
      </c>
      <c r="K2813" s="2">
        <v>43538.536724537036</v>
      </c>
      <c r="L2813" s="2">
        <v>43537.536724537036</v>
      </c>
      <c r="M2813" s="1">
        <f>_xlfn.DAYS(Table1[[#This Row],[actual_delivery_date]],Table1[[#This Row],[dispatch_date]])</f>
        <v>4</v>
      </c>
      <c r="N2813">
        <v>32</v>
      </c>
      <c r="O2813">
        <f>Table1[[#This Row],[transit_storage_cost]] * (1-'What -if Analysis'!$D$26)</f>
        <v>32</v>
      </c>
      <c r="P2813">
        <v>113</v>
      </c>
      <c r="Q2813">
        <v>1805.6027553695455</v>
      </c>
    </row>
    <row r="2814" spans="1:17" x14ac:dyDescent="0.3">
      <c r="A2814">
        <v>527284</v>
      </c>
      <c r="B2814" s="1" t="s">
        <v>39</v>
      </c>
      <c r="C2814" s="1" t="s">
        <v>23</v>
      </c>
      <c r="D2814" s="1" t="s">
        <v>24</v>
      </c>
      <c r="E2814" s="1" t="s">
        <v>25</v>
      </c>
      <c r="F2814" s="1" t="s">
        <v>19</v>
      </c>
      <c r="G2814" s="1" t="s">
        <v>20</v>
      </c>
      <c r="H2814" t="s">
        <v>21</v>
      </c>
      <c r="I2814" s="1" t="s">
        <v>22</v>
      </c>
      <c r="J2814" s="2">
        <v>43533.536770833336</v>
      </c>
      <c r="K2814" s="2">
        <v>43538.536770833336</v>
      </c>
      <c r="L2814" s="2">
        <v>43538.536770833336</v>
      </c>
      <c r="M2814" s="1">
        <f>_xlfn.DAYS(Table1[[#This Row],[actual_delivery_date]],Table1[[#This Row],[dispatch_date]])</f>
        <v>5</v>
      </c>
      <c r="N2814">
        <v>47</v>
      </c>
      <c r="O2814">
        <f>Table1[[#This Row],[transit_storage_cost]] * (1-'What -if Analysis'!$D$26)</f>
        <v>47</v>
      </c>
      <c r="P2814">
        <v>126</v>
      </c>
      <c r="Q2814">
        <v>3170</v>
      </c>
    </row>
    <row r="2815" spans="1:17" x14ac:dyDescent="0.3">
      <c r="A2815">
        <v>594401</v>
      </c>
      <c r="B2815" s="1" t="s">
        <v>38</v>
      </c>
      <c r="C2815" s="1" t="s">
        <v>16</v>
      </c>
      <c r="D2815" s="1" t="s">
        <v>16</v>
      </c>
      <c r="E2815" s="1" t="s">
        <v>27</v>
      </c>
      <c r="F2815" s="1" t="s">
        <v>29</v>
      </c>
      <c r="G2815" s="1" t="s">
        <v>20</v>
      </c>
      <c r="H2815" t="s">
        <v>30</v>
      </c>
      <c r="I2815" s="1" t="s">
        <v>22</v>
      </c>
      <c r="J2815" s="2">
        <v>43536.538657407407</v>
      </c>
      <c r="K2815" s="2">
        <v>43538.538657407407</v>
      </c>
      <c r="L2815" s="2">
        <v>43541.538657407407</v>
      </c>
      <c r="M2815" s="1">
        <f>_xlfn.DAYS(Table1[[#This Row],[actual_delivery_date]],Table1[[#This Row],[dispatch_date]])</f>
        <v>2</v>
      </c>
      <c r="N2815">
        <v>0</v>
      </c>
      <c r="O2815">
        <f>Table1[[#This Row],[transit_storage_cost]] * (1-'What -if Analysis'!$D$26)</f>
        <v>0</v>
      </c>
      <c r="P2815">
        <v>129</v>
      </c>
      <c r="Q2815">
        <v>2310.5298136133615</v>
      </c>
    </row>
    <row r="2816" spans="1:17" x14ac:dyDescent="0.3">
      <c r="A2816">
        <v>871448</v>
      </c>
      <c r="B2816" s="1" t="s">
        <v>41</v>
      </c>
      <c r="C2816" s="1" t="s">
        <v>16</v>
      </c>
      <c r="D2816" s="1" t="s">
        <v>32</v>
      </c>
      <c r="E2816" s="1" t="s">
        <v>33</v>
      </c>
      <c r="F2816" s="1" t="s">
        <v>19</v>
      </c>
      <c r="G2816" s="1" t="s">
        <v>20</v>
      </c>
      <c r="H2816" t="s">
        <v>21</v>
      </c>
      <c r="I2816" s="1" t="s">
        <v>22</v>
      </c>
      <c r="J2816" s="2">
        <v>43534.538877314815</v>
      </c>
      <c r="K2816" s="2">
        <v>43538.538877314815</v>
      </c>
      <c r="L2816" s="2">
        <v>43537.538877314815</v>
      </c>
      <c r="M2816" s="1">
        <f>_xlfn.DAYS(Table1[[#This Row],[actual_delivery_date]],Table1[[#This Row],[dispatch_date]])</f>
        <v>4</v>
      </c>
      <c r="N2816">
        <v>43</v>
      </c>
      <c r="O2816">
        <f>Table1[[#This Row],[transit_storage_cost]] * (1-'What -if Analysis'!$D$26)</f>
        <v>43</v>
      </c>
      <c r="P2816">
        <v>108</v>
      </c>
      <c r="Q2816">
        <v>875.16119212988394</v>
      </c>
    </row>
    <row r="2817" spans="1:17" x14ac:dyDescent="0.3">
      <c r="A2817">
        <v>901802</v>
      </c>
      <c r="B2817" s="1" t="s">
        <v>38</v>
      </c>
      <c r="C2817" s="1" t="s">
        <v>23</v>
      </c>
      <c r="D2817" s="1" t="s">
        <v>24</v>
      </c>
      <c r="E2817" s="1" t="s">
        <v>25</v>
      </c>
      <c r="F2817" s="1" t="s">
        <v>31</v>
      </c>
      <c r="G2817" s="1" t="s">
        <v>20</v>
      </c>
      <c r="H2817" t="s">
        <v>21</v>
      </c>
      <c r="I2817" s="1" t="s">
        <v>22</v>
      </c>
      <c r="J2817" s="2">
        <v>43533.547002314815</v>
      </c>
      <c r="K2817" s="2">
        <v>43538.547002314815</v>
      </c>
      <c r="L2817" s="2">
        <v>43540.547002314815</v>
      </c>
      <c r="M2817" s="1">
        <f>_xlfn.DAYS(Table1[[#This Row],[actual_delivery_date]],Table1[[#This Row],[dispatch_date]])</f>
        <v>5</v>
      </c>
      <c r="N2817">
        <v>45</v>
      </c>
      <c r="O2817">
        <f>Table1[[#This Row],[transit_storage_cost]] * (1-'What -if Analysis'!$D$26)</f>
        <v>45</v>
      </c>
      <c r="P2817">
        <v>125</v>
      </c>
      <c r="Q2817">
        <v>2125.3325031671143</v>
      </c>
    </row>
    <row r="2818" spans="1:17" x14ac:dyDescent="0.3">
      <c r="A2818">
        <v>45804</v>
      </c>
      <c r="B2818" s="1" t="s">
        <v>40</v>
      </c>
      <c r="C2818" s="1" t="s">
        <v>23</v>
      </c>
      <c r="D2818" s="1" t="s">
        <v>24</v>
      </c>
      <c r="E2818" s="1" t="s">
        <v>25</v>
      </c>
      <c r="F2818" s="1" t="s">
        <v>19</v>
      </c>
      <c r="G2818" s="1" t="s">
        <v>20</v>
      </c>
      <c r="H2818" t="s">
        <v>21</v>
      </c>
      <c r="I2818" s="1" t="s">
        <v>26</v>
      </c>
      <c r="J2818" s="2">
        <v>43530.547835648147</v>
      </c>
      <c r="K2818" s="2">
        <v>43538.547835648147</v>
      </c>
      <c r="L2818" s="2">
        <v>43536.547835648147</v>
      </c>
      <c r="M2818" s="1">
        <f>_xlfn.DAYS(Table1[[#This Row],[actual_delivery_date]],Table1[[#This Row],[dispatch_date]])</f>
        <v>8</v>
      </c>
      <c r="N2818">
        <v>69</v>
      </c>
      <c r="O2818">
        <f>Table1[[#This Row],[transit_storage_cost]] * (1-'What -if Analysis'!$D$26)</f>
        <v>69</v>
      </c>
      <c r="P2818">
        <v>109</v>
      </c>
      <c r="Q2818">
        <v>2212.6603226801544</v>
      </c>
    </row>
    <row r="2819" spans="1:17" x14ac:dyDescent="0.3">
      <c r="A2819">
        <v>292278</v>
      </c>
      <c r="B2819" s="1" t="s">
        <v>41</v>
      </c>
      <c r="C2819" s="1" t="s">
        <v>16</v>
      </c>
      <c r="D2819" s="1" t="s">
        <v>23</v>
      </c>
      <c r="E2819" s="1" t="s">
        <v>28</v>
      </c>
      <c r="F2819" s="1" t="s">
        <v>19</v>
      </c>
      <c r="G2819" s="1" t="s">
        <v>20</v>
      </c>
      <c r="H2819" t="s">
        <v>21</v>
      </c>
      <c r="I2819" s="1" t="s">
        <v>26</v>
      </c>
      <c r="J2819" s="2">
        <v>43533.553530092591</v>
      </c>
      <c r="K2819" s="2">
        <v>43538.553530092591</v>
      </c>
      <c r="L2819" s="2">
        <v>43538.553530092591</v>
      </c>
      <c r="M2819" s="1">
        <f>_xlfn.DAYS(Table1[[#This Row],[actual_delivery_date]],Table1[[#This Row],[dispatch_date]])</f>
        <v>5</v>
      </c>
      <c r="N2819">
        <v>70</v>
      </c>
      <c r="O2819">
        <f>Table1[[#This Row],[transit_storage_cost]] * (1-'What -if Analysis'!$D$26)</f>
        <v>70</v>
      </c>
      <c r="P2819">
        <v>105</v>
      </c>
      <c r="Q2819">
        <v>676.41826254013074</v>
      </c>
    </row>
    <row r="2820" spans="1:17" x14ac:dyDescent="0.3">
      <c r="A2820">
        <v>711242</v>
      </c>
      <c r="B2820" s="1" t="s">
        <v>38</v>
      </c>
      <c r="C2820" s="1" t="s">
        <v>16</v>
      </c>
      <c r="D2820" s="1" t="s">
        <v>23</v>
      </c>
      <c r="E2820" s="1" t="s">
        <v>28</v>
      </c>
      <c r="F2820" s="1" t="s">
        <v>19</v>
      </c>
      <c r="G2820" s="1" t="s">
        <v>20</v>
      </c>
      <c r="H2820" t="s">
        <v>21</v>
      </c>
      <c r="I2820" s="1" t="s">
        <v>22</v>
      </c>
      <c r="J2820" s="2">
        <v>43533.556921296295</v>
      </c>
      <c r="K2820" s="2">
        <v>43538.556921296295</v>
      </c>
      <c r="L2820" s="2">
        <v>43538.556921296295</v>
      </c>
      <c r="M2820" s="1">
        <f>_xlfn.DAYS(Table1[[#This Row],[actual_delivery_date]],Table1[[#This Row],[dispatch_date]])</f>
        <v>5</v>
      </c>
      <c r="N2820">
        <v>87</v>
      </c>
      <c r="O2820">
        <f>Table1[[#This Row],[transit_storage_cost]] * (1-'What -if Analysis'!$D$26)</f>
        <v>87</v>
      </c>
      <c r="P2820">
        <v>103</v>
      </c>
      <c r="Q2820">
        <v>3380</v>
      </c>
    </row>
    <row r="2821" spans="1:17" x14ac:dyDescent="0.3">
      <c r="A2821">
        <v>204488</v>
      </c>
      <c r="B2821" s="1" t="s">
        <v>41</v>
      </c>
      <c r="C2821" s="1" t="s">
        <v>16</v>
      </c>
      <c r="D2821" s="1" t="s">
        <v>23</v>
      </c>
      <c r="E2821" s="1" t="s">
        <v>28</v>
      </c>
      <c r="F2821" s="1" t="s">
        <v>19</v>
      </c>
      <c r="G2821" s="1" t="s">
        <v>20</v>
      </c>
      <c r="H2821" t="s">
        <v>21</v>
      </c>
      <c r="I2821" s="1" t="s">
        <v>22</v>
      </c>
      <c r="J2821" s="2">
        <v>43532.557673611111</v>
      </c>
      <c r="K2821" s="2">
        <v>43538.557673611111</v>
      </c>
      <c r="L2821" s="2">
        <v>43536.557673611111</v>
      </c>
      <c r="M2821" s="1">
        <f>_xlfn.DAYS(Table1[[#This Row],[actual_delivery_date]],Table1[[#This Row],[dispatch_date]])</f>
        <v>6</v>
      </c>
      <c r="N2821">
        <v>75</v>
      </c>
      <c r="O2821">
        <f>Table1[[#This Row],[transit_storage_cost]] * (1-'What -if Analysis'!$D$26)</f>
        <v>75</v>
      </c>
      <c r="P2821">
        <v>105</v>
      </c>
      <c r="Q2821">
        <v>2196</v>
      </c>
    </row>
    <row r="2822" spans="1:17" x14ac:dyDescent="0.3">
      <c r="A2822">
        <v>717469</v>
      </c>
      <c r="B2822" s="1" t="s">
        <v>38</v>
      </c>
      <c r="C2822" s="1" t="s">
        <v>23</v>
      </c>
      <c r="D2822" s="1" t="s">
        <v>32</v>
      </c>
      <c r="E2822" s="1" t="s">
        <v>33</v>
      </c>
      <c r="F2822" s="1" t="s">
        <v>29</v>
      </c>
      <c r="G2822" s="1" t="s">
        <v>20</v>
      </c>
      <c r="H2822" t="s">
        <v>30</v>
      </c>
      <c r="I2822" s="1" t="s">
        <v>22</v>
      </c>
      <c r="J2822" s="2">
        <v>43531.563935185186</v>
      </c>
      <c r="K2822" s="2">
        <v>43538.563935185186</v>
      </c>
      <c r="L2822" s="2">
        <v>43534.563935185186</v>
      </c>
      <c r="M2822" s="1">
        <f>_xlfn.DAYS(Table1[[#This Row],[actual_delivery_date]],Table1[[#This Row],[dispatch_date]])</f>
        <v>7</v>
      </c>
      <c r="N2822">
        <v>44</v>
      </c>
      <c r="O2822">
        <f>Table1[[#This Row],[transit_storage_cost]] * (1-'What -if Analysis'!$D$26)</f>
        <v>44</v>
      </c>
      <c r="P2822">
        <v>107</v>
      </c>
      <c r="Q2822">
        <v>989.09597166265701</v>
      </c>
    </row>
    <row r="2823" spans="1:17" x14ac:dyDescent="0.3">
      <c r="A2823">
        <v>576303</v>
      </c>
      <c r="B2823" s="1" t="s">
        <v>38</v>
      </c>
      <c r="C2823" s="1" t="s">
        <v>23</v>
      </c>
      <c r="D2823" s="1" t="s">
        <v>24</v>
      </c>
      <c r="E2823" s="1" t="s">
        <v>25</v>
      </c>
      <c r="F2823" s="1" t="s">
        <v>19</v>
      </c>
      <c r="G2823" s="1" t="s">
        <v>20</v>
      </c>
      <c r="H2823" t="s">
        <v>34</v>
      </c>
      <c r="I2823" s="1" t="s">
        <v>26</v>
      </c>
      <c r="J2823" s="2">
        <v>43533.568449074075</v>
      </c>
      <c r="K2823" s="2">
        <v>43538.568449074075</v>
      </c>
      <c r="L2823" s="2">
        <v>43540.568449074075</v>
      </c>
      <c r="M2823" s="1">
        <f>_xlfn.DAYS(Table1[[#This Row],[actual_delivery_date]],Table1[[#This Row],[dispatch_date]])</f>
        <v>5</v>
      </c>
      <c r="N2823">
        <v>70</v>
      </c>
      <c r="O2823">
        <f>Table1[[#This Row],[transit_storage_cost]] * (1-'What -if Analysis'!$D$26)</f>
        <v>70</v>
      </c>
      <c r="P2823">
        <v>102</v>
      </c>
      <c r="Q2823">
        <v>965</v>
      </c>
    </row>
    <row r="2824" spans="1:17" x14ac:dyDescent="0.3">
      <c r="A2824">
        <v>120549</v>
      </c>
      <c r="B2824" s="1" t="s">
        <v>39</v>
      </c>
      <c r="C2824" s="1" t="s">
        <v>23</v>
      </c>
      <c r="D2824" s="1" t="s">
        <v>32</v>
      </c>
      <c r="E2824" s="1" t="s">
        <v>33</v>
      </c>
      <c r="F2824" s="1" t="s">
        <v>29</v>
      </c>
      <c r="G2824" s="1" t="s">
        <v>20</v>
      </c>
      <c r="H2824" t="s">
        <v>30</v>
      </c>
      <c r="I2824" s="1" t="s">
        <v>26</v>
      </c>
      <c r="J2824" s="2">
        <v>43532.569027777776</v>
      </c>
      <c r="K2824" s="2">
        <v>43538.569027777776</v>
      </c>
      <c r="L2824" s="2">
        <v>43536.569027777776</v>
      </c>
      <c r="M2824" s="1">
        <f>_xlfn.DAYS(Table1[[#This Row],[actual_delivery_date]],Table1[[#This Row],[dispatch_date]])</f>
        <v>6</v>
      </c>
      <c r="N2824">
        <v>45</v>
      </c>
      <c r="O2824">
        <f>Table1[[#This Row],[transit_storage_cost]] * (1-'What -if Analysis'!$D$26)</f>
        <v>45</v>
      </c>
      <c r="P2824">
        <v>115</v>
      </c>
      <c r="Q2824">
        <v>2867.2613506389857</v>
      </c>
    </row>
    <row r="2825" spans="1:17" x14ac:dyDescent="0.3">
      <c r="A2825">
        <v>375091</v>
      </c>
      <c r="B2825" s="1" t="s">
        <v>15</v>
      </c>
      <c r="C2825" s="1" t="s">
        <v>16</v>
      </c>
      <c r="D2825" s="1" t="s">
        <v>17</v>
      </c>
      <c r="E2825" s="1" t="s">
        <v>18</v>
      </c>
      <c r="F2825" s="1" t="s">
        <v>29</v>
      </c>
      <c r="G2825" s="1" t="s">
        <v>20</v>
      </c>
      <c r="H2825" t="s">
        <v>30</v>
      </c>
      <c r="I2825" s="1" t="s">
        <v>22</v>
      </c>
      <c r="J2825" s="2">
        <v>43535.569363425922</v>
      </c>
      <c r="K2825" s="2">
        <v>43538.569363425922</v>
      </c>
      <c r="L2825" s="2">
        <v>43540.569363425922</v>
      </c>
      <c r="M2825" s="1">
        <f>_xlfn.DAYS(Table1[[#This Row],[actual_delivery_date]],Table1[[#This Row],[dispatch_date]])</f>
        <v>3</v>
      </c>
      <c r="N2825">
        <v>30</v>
      </c>
      <c r="O2825">
        <f>Table1[[#This Row],[transit_storage_cost]] * (1-'What -if Analysis'!$D$26)</f>
        <v>30</v>
      </c>
      <c r="P2825">
        <v>110</v>
      </c>
      <c r="Q2825">
        <v>2506.5718797868094</v>
      </c>
    </row>
    <row r="2826" spans="1:17" x14ac:dyDescent="0.3">
      <c r="A2826">
        <v>592057</v>
      </c>
      <c r="B2826" s="1" t="s">
        <v>40</v>
      </c>
      <c r="C2826" s="1" t="s">
        <v>16</v>
      </c>
      <c r="D2826" s="1" t="s">
        <v>16</v>
      </c>
      <c r="E2826" s="1" t="s">
        <v>27</v>
      </c>
      <c r="F2826" s="1" t="s">
        <v>29</v>
      </c>
      <c r="G2826" s="1" t="s">
        <v>20</v>
      </c>
      <c r="H2826" t="s">
        <v>30</v>
      </c>
      <c r="I2826" s="1" t="s">
        <v>22</v>
      </c>
      <c r="J2826" s="2">
        <v>43535.56962962963</v>
      </c>
      <c r="K2826" s="2">
        <v>43538.56962962963</v>
      </c>
      <c r="L2826" s="2">
        <v>43538.56962962963</v>
      </c>
      <c r="M2826" s="1">
        <f>_xlfn.DAYS(Table1[[#This Row],[actual_delivery_date]],Table1[[#This Row],[dispatch_date]])</f>
        <v>3</v>
      </c>
      <c r="N2826">
        <v>0</v>
      </c>
      <c r="O2826">
        <f>Table1[[#This Row],[transit_storage_cost]] * (1-'What -if Analysis'!$D$26)</f>
        <v>0</v>
      </c>
      <c r="P2826">
        <v>126</v>
      </c>
      <c r="Q2826">
        <v>677.52802656181268</v>
      </c>
    </row>
    <row r="2827" spans="1:17" x14ac:dyDescent="0.3">
      <c r="A2827">
        <v>14498</v>
      </c>
      <c r="B2827" s="1" t="s">
        <v>38</v>
      </c>
      <c r="C2827" s="1" t="s">
        <v>23</v>
      </c>
      <c r="D2827" s="1" t="s">
        <v>17</v>
      </c>
      <c r="E2827" s="1" t="s">
        <v>18</v>
      </c>
      <c r="F2827" s="1" t="s">
        <v>31</v>
      </c>
      <c r="G2827" s="1" t="s">
        <v>20</v>
      </c>
      <c r="H2827" t="s">
        <v>21</v>
      </c>
      <c r="I2827" s="1" t="s">
        <v>22</v>
      </c>
      <c r="J2827" s="2">
        <v>43532.570289351854</v>
      </c>
      <c r="K2827" s="2">
        <v>43538.570289351854</v>
      </c>
      <c r="L2827" s="2">
        <v>43536.570289351854</v>
      </c>
      <c r="M2827" s="1">
        <f>_xlfn.DAYS(Table1[[#This Row],[actual_delivery_date]],Table1[[#This Row],[dispatch_date]])</f>
        <v>6</v>
      </c>
      <c r="N2827">
        <v>41</v>
      </c>
      <c r="O2827">
        <f>Table1[[#This Row],[transit_storage_cost]] * (1-'What -if Analysis'!$D$26)</f>
        <v>41</v>
      </c>
      <c r="P2827">
        <v>113</v>
      </c>
      <c r="Q2827">
        <v>651.59886970031766</v>
      </c>
    </row>
    <row r="2828" spans="1:17" x14ac:dyDescent="0.3">
      <c r="A2828">
        <v>267112</v>
      </c>
      <c r="B2828" s="1" t="s">
        <v>41</v>
      </c>
      <c r="C2828" s="1" t="s">
        <v>16</v>
      </c>
      <c r="D2828" s="1" t="s">
        <v>24</v>
      </c>
      <c r="E2828" s="1" t="s">
        <v>25</v>
      </c>
      <c r="F2828" s="1" t="s">
        <v>19</v>
      </c>
      <c r="G2828" s="1" t="s">
        <v>20</v>
      </c>
      <c r="H2828" t="s">
        <v>21</v>
      </c>
      <c r="I2828" s="1" t="s">
        <v>22</v>
      </c>
      <c r="J2828" s="2">
        <v>43528.5703587963</v>
      </c>
      <c r="K2828" s="2">
        <v>43538.5703587963</v>
      </c>
      <c r="L2828" s="2">
        <v>43534.5703587963</v>
      </c>
      <c r="M2828" s="1">
        <f>_xlfn.DAYS(Table1[[#This Row],[actual_delivery_date]],Table1[[#This Row],[dispatch_date]])</f>
        <v>10</v>
      </c>
      <c r="N2828">
        <v>30</v>
      </c>
      <c r="O2828">
        <f>Table1[[#This Row],[transit_storage_cost]] * (1-'What -if Analysis'!$D$26)</f>
        <v>30</v>
      </c>
      <c r="P2828">
        <v>124</v>
      </c>
      <c r="Q2828">
        <v>1313.4821538318072</v>
      </c>
    </row>
    <row r="2829" spans="1:17" x14ac:dyDescent="0.3">
      <c r="A2829">
        <v>889324</v>
      </c>
      <c r="B2829" s="1" t="s">
        <v>37</v>
      </c>
      <c r="C2829" s="1" t="s">
        <v>23</v>
      </c>
      <c r="D2829" s="1" t="s">
        <v>32</v>
      </c>
      <c r="E2829" s="1" t="s">
        <v>33</v>
      </c>
      <c r="F2829" s="1" t="s">
        <v>19</v>
      </c>
      <c r="G2829" s="1" t="s">
        <v>20</v>
      </c>
      <c r="H2829" t="s">
        <v>21</v>
      </c>
      <c r="I2829" s="1" t="s">
        <v>22</v>
      </c>
      <c r="J2829" s="2">
        <v>43533.571932870371</v>
      </c>
      <c r="K2829" s="2">
        <v>43538.571932870371</v>
      </c>
      <c r="L2829" s="2">
        <v>43540.571932870371</v>
      </c>
      <c r="M2829" s="1">
        <f>_xlfn.DAYS(Table1[[#This Row],[actual_delivery_date]],Table1[[#This Row],[dispatch_date]])</f>
        <v>5</v>
      </c>
      <c r="N2829">
        <v>25</v>
      </c>
      <c r="O2829">
        <f>Table1[[#This Row],[transit_storage_cost]] * (1-'What -if Analysis'!$D$26)</f>
        <v>25</v>
      </c>
      <c r="P2829">
        <v>110</v>
      </c>
      <c r="Q2829">
        <v>1043.7699941814667</v>
      </c>
    </row>
    <row r="2830" spans="1:17" x14ac:dyDescent="0.3">
      <c r="A2830">
        <v>543877</v>
      </c>
      <c r="B2830" s="1" t="s">
        <v>39</v>
      </c>
      <c r="C2830" s="1" t="s">
        <v>23</v>
      </c>
      <c r="D2830" s="1" t="s">
        <v>24</v>
      </c>
      <c r="E2830" s="1" t="s">
        <v>25</v>
      </c>
      <c r="F2830" s="1" t="s">
        <v>29</v>
      </c>
      <c r="G2830" s="1" t="s">
        <v>20</v>
      </c>
      <c r="H2830" t="s">
        <v>30</v>
      </c>
      <c r="I2830" s="1" t="s">
        <v>22</v>
      </c>
      <c r="J2830" s="2">
        <v>43536.572141203702</v>
      </c>
      <c r="K2830" s="2">
        <v>43538.572141203702</v>
      </c>
      <c r="L2830" s="2">
        <v>43540.572141203702</v>
      </c>
      <c r="M2830" s="1">
        <f>_xlfn.DAYS(Table1[[#This Row],[actual_delivery_date]],Table1[[#This Row],[dispatch_date]])</f>
        <v>2</v>
      </c>
      <c r="N2830">
        <v>28</v>
      </c>
      <c r="O2830">
        <f>Table1[[#This Row],[transit_storage_cost]] * (1-'What -if Analysis'!$D$26)</f>
        <v>28</v>
      </c>
      <c r="P2830">
        <v>125</v>
      </c>
      <c r="Q2830">
        <v>1389.7322359810678</v>
      </c>
    </row>
    <row r="2831" spans="1:17" x14ac:dyDescent="0.3">
      <c r="A2831">
        <v>200405</v>
      </c>
      <c r="B2831" s="1" t="s">
        <v>39</v>
      </c>
      <c r="C2831" s="1" t="s">
        <v>16</v>
      </c>
      <c r="D2831" s="1" t="s">
        <v>23</v>
      </c>
      <c r="E2831" s="1" t="s">
        <v>28</v>
      </c>
      <c r="F2831" s="1" t="s">
        <v>29</v>
      </c>
      <c r="G2831" s="1" t="s">
        <v>20</v>
      </c>
      <c r="H2831" t="s">
        <v>30</v>
      </c>
      <c r="I2831" s="1" t="s">
        <v>22</v>
      </c>
      <c r="J2831" s="2">
        <v>43532.575624999998</v>
      </c>
      <c r="K2831" s="2">
        <v>43538.575624999998</v>
      </c>
      <c r="L2831" s="2">
        <v>43536.575624999998</v>
      </c>
      <c r="M2831" s="1">
        <f>_xlfn.DAYS(Table1[[#This Row],[actual_delivery_date]],Table1[[#This Row],[dispatch_date]])</f>
        <v>6</v>
      </c>
      <c r="N2831">
        <v>48</v>
      </c>
      <c r="O2831">
        <f>Table1[[#This Row],[transit_storage_cost]] * (1-'What -if Analysis'!$D$26)</f>
        <v>48</v>
      </c>
      <c r="P2831">
        <v>128</v>
      </c>
      <c r="Q2831">
        <v>2611</v>
      </c>
    </row>
    <row r="2832" spans="1:17" x14ac:dyDescent="0.3">
      <c r="A2832">
        <v>348761</v>
      </c>
      <c r="B2832" s="1" t="s">
        <v>38</v>
      </c>
      <c r="C2832" s="1" t="s">
        <v>16</v>
      </c>
      <c r="D2832" s="1" t="s">
        <v>23</v>
      </c>
      <c r="E2832" s="1" t="s">
        <v>28</v>
      </c>
      <c r="F2832" s="1" t="s">
        <v>29</v>
      </c>
      <c r="G2832" s="1" t="s">
        <v>20</v>
      </c>
      <c r="H2832" t="s">
        <v>34</v>
      </c>
      <c r="I2832" s="1" t="s">
        <v>22</v>
      </c>
      <c r="J2832" s="2">
        <v>43530.576145833336</v>
      </c>
      <c r="K2832" s="2">
        <v>43538.576145833336</v>
      </c>
      <c r="L2832" s="2">
        <v>43533.576145833336</v>
      </c>
      <c r="M2832" s="1">
        <f>_xlfn.DAYS(Table1[[#This Row],[actual_delivery_date]],Table1[[#This Row],[dispatch_date]])</f>
        <v>8</v>
      </c>
      <c r="N2832">
        <v>49</v>
      </c>
      <c r="O2832">
        <f>Table1[[#This Row],[transit_storage_cost]] * (1-'What -if Analysis'!$D$26)</f>
        <v>49</v>
      </c>
      <c r="P2832">
        <v>124</v>
      </c>
      <c r="Q2832">
        <v>2322</v>
      </c>
    </row>
    <row r="2833" spans="1:17" x14ac:dyDescent="0.3">
      <c r="A2833">
        <v>418332</v>
      </c>
      <c r="B2833" s="1" t="s">
        <v>41</v>
      </c>
      <c r="C2833" s="1" t="s">
        <v>23</v>
      </c>
      <c r="D2833" s="1" t="s">
        <v>17</v>
      </c>
      <c r="E2833" s="1" t="s">
        <v>18</v>
      </c>
      <c r="F2833" s="1" t="s">
        <v>19</v>
      </c>
      <c r="G2833" s="1" t="s">
        <v>20</v>
      </c>
      <c r="H2833" t="s">
        <v>21</v>
      </c>
      <c r="I2833" s="1" t="s">
        <v>26</v>
      </c>
      <c r="J2833" s="2">
        <v>43535.578275462962</v>
      </c>
      <c r="K2833" s="2">
        <v>43538.578275462962</v>
      </c>
      <c r="L2833" s="2">
        <v>43541.578275462962</v>
      </c>
      <c r="M2833" s="1">
        <f>_xlfn.DAYS(Table1[[#This Row],[actual_delivery_date]],Table1[[#This Row],[dispatch_date]])</f>
        <v>3</v>
      </c>
      <c r="N2833">
        <v>36</v>
      </c>
      <c r="O2833">
        <f>Table1[[#This Row],[transit_storage_cost]] * (1-'What -if Analysis'!$D$26)</f>
        <v>36</v>
      </c>
      <c r="P2833">
        <v>107</v>
      </c>
      <c r="Q2833">
        <v>2600.8214234161223</v>
      </c>
    </row>
    <row r="2834" spans="1:17" x14ac:dyDescent="0.3">
      <c r="A2834">
        <v>102085</v>
      </c>
      <c r="B2834" s="1" t="s">
        <v>40</v>
      </c>
      <c r="C2834" s="1" t="s">
        <v>16</v>
      </c>
      <c r="D2834" s="1" t="s">
        <v>16</v>
      </c>
      <c r="E2834" s="1" t="s">
        <v>27</v>
      </c>
      <c r="F2834" s="1" t="s">
        <v>29</v>
      </c>
      <c r="G2834" s="1" t="s">
        <v>20</v>
      </c>
      <c r="H2834" t="s">
        <v>30</v>
      </c>
      <c r="I2834" s="1" t="s">
        <v>22</v>
      </c>
      <c r="J2834" s="2">
        <v>43532.578819444447</v>
      </c>
      <c r="K2834" s="2">
        <v>43538.578819444447</v>
      </c>
      <c r="L2834" s="2">
        <v>43539.578819444447</v>
      </c>
      <c r="M2834" s="1">
        <f>_xlfn.DAYS(Table1[[#This Row],[actual_delivery_date]],Table1[[#This Row],[dispatch_date]])</f>
        <v>6</v>
      </c>
      <c r="N2834">
        <v>0</v>
      </c>
      <c r="O2834">
        <f>Table1[[#This Row],[transit_storage_cost]] * (1-'What -if Analysis'!$D$26)</f>
        <v>0</v>
      </c>
      <c r="P2834">
        <v>121</v>
      </c>
      <c r="Q2834">
        <v>3606.1308079268401</v>
      </c>
    </row>
    <row r="2835" spans="1:17" x14ac:dyDescent="0.3">
      <c r="A2835">
        <v>498283</v>
      </c>
      <c r="B2835" s="1" t="s">
        <v>37</v>
      </c>
      <c r="C2835" s="1" t="s">
        <v>23</v>
      </c>
      <c r="D2835" s="1" t="s">
        <v>16</v>
      </c>
      <c r="E2835" s="1" t="s">
        <v>27</v>
      </c>
      <c r="F2835" s="1" t="s">
        <v>29</v>
      </c>
      <c r="G2835" s="1" t="s">
        <v>20</v>
      </c>
      <c r="H2835" t="s">
        <v>30</v>
      </c>
      <c r="I2835" s="1" t="s">
        <v>22</v>
      </c>
      <c r="J2835" s="2">
        <v>43532.579456018517</v>
      </c>
      <c r="K2835" s="2">
        <v>43538.579456018517</v>
      </c>
      <c r="L2835" s="2">
        <v>43537.579456018517</v>
      </c>
      <c r="M2835" s="1">
        <f>_xlfn.DAYS(Table1[[#This Row],[actual_delivery_date]],Table1[[#This Row],[dispatch_date]])</f>
        <v>6</v>
      </c>
      <c r="N2835">
        <v>27</v>
      </c>
      <c r="O2835">
        <f>Table1[[#This Row],[transit_storage_cost]] * (1-'What -if Analysis'!$D$26)</f>
        <v>27</v>
      </c>
      <c r="P2835">
        <v>127</v>
      </c>
      <c r="Q2835">
        <v>1964.461603697197</v>
      </c>
    </row>
    <row r="2836" spans="1:17" x14ac:dyDescent="0.3">
      <c r="A2836">
        <v>689836</v>
      </c>
      <c r="B2836" s="1" t="s">
        <v>38</v>
      </c>
      <c r="C2836" s="1" t="s">
        <v>16</v>
      </c>
      <c r="D2836" s="1" t="s">
        <v>16</v>
      </c>
      <c r="E2836" s="1" t="s">
        <v>27</v>
      </c>
      <c r="F2836" s="1" t="s">
        <v>19</v>
      </c>
      <c r="G2836" s="1" t="s">
        <v>20</v>
      </c>
      <c r="H2836" t="s">
        <v>21</v>
      </c>
      <c r="I2836" s="1" t="s">
        <v>22</v>
      </c>
      <c r="J2836" s="2">
        <v>43536.580868055556</v>
      </c>
      <c r="K2836" s="2">
        <v>43538.580868055556</v>
      </c>
      <c r="L2836" s="2">
        <v>43539.580868055556</v>
      </c>
      <c r="M2836" s="1">
        <f>_xlfn.DAYS(Table1[[#This Row],[actual_delivery_date]],Table1[[#This Row],[dispatch_date]])</f>
        <v>2</v>
      </c>
      <c r="N2836">
        <v>0</v>
      </c>
      <c r="O2836">
        <f>Table1[[#This Row],[transit_storage_cost]] * (1-'What -if Analysis'!$D$26)</f>
        <v>0</v>
      </c>
      <c r="P2836">
        <v>102</v>
      </c>
      <c r="Q2836">
        <v>3259.1982067763852</v>
      </c>
    </row>
    <row r="2837" spans="1:17" x14ac:dyDescent="0.3">
      <c r="A2837">
        <v>705824</v>
      </c>
      <c r="B2837" s="1" t="s">
        <v>37</v>
      </c>
      <c r="C2837" s="1" t="s">
        <v>23</v>
      </c>
      <c r="D2837" s="1" t="s">
        <v>24</v>
      </c>
      <c r="E2837" s="1" t="s">
        <v>25</v>
      </c>
      <c r="F2837" s="1" t="s">
        <v>19</v>
      </c>
      <c r="G2837" s="1" t="s">
        <v>20</v>
      </c>
      <c r="H2837" t="s">
        <v>21</v>
      </c>
      <c r="I2837" s="1" t="s">
        <v>22</v>
      </c>
      <c r="J2837" s="2">
        <v>43529.581435185188</v>
      </c>
      <c r="K2837" s="2">
        <v>43538.581435185188</v>
      </c>
      <c r="L2837" s="2">
        <v>43534.581435185188</v>
      </c>
      <c r="M2837" s="1">
        <f>_xlfn.DAYS(Table1[[#This Row],[actual_delivery_date]],Table1[[#This Row],[dispatch_date]])</f>
        <v>9</v>
      </c>
      <c r="N2837">
        <v>65</v>
      </c>
      <c r="O2837">
        <f>Table1[[#This Row],[transit_storage_cost]] * (1-'What -if Analysis'!$D$26)</f>
        <v>65</v>
      </c>
      <c r="P2837">
        <v>102</v>
      </c>
      <c r="Q2837">
        <v>2995.0199885073303</v>
      </c>
    </row>
    <row r="2838" spans="1:17" x14ac:dyDescent="0.3">
      <c r="A2838">
        <v>283050</v>
      </c>
      <c r="B2838" s="1" t="s">
        <v>39</v>
      </c>
      <c r="C2838" s="1" t="s">
        <v>16</v>
      </c>
      <c r="D2838" s="1" t="s">
        <v>32</v>
      </c>
      <c r="E2838" s="1" t="s">
        <v>33</v>
      </c>
      <c r="F2838" s="1" t="s">
        <v>31</v>
      </c>
      <c r="G2838" s="1" t="s">
        <v>20</v>
      </c>
      <c r="H2838" t="s">
        <v>21</v>
      </c>
      <c r="I2838" s="1" t="s">
        <v>26</v>
      </c>
      <c r="J2838" s="2">
        <v>43536.584293981483</v>
      </c>
      <c r="K2838" s="2">
        <v>43538.584293981483</v>
      </c>
      <c r="L2838" s="2">
        <v>43539.584293981483</v>
      </c>
      <c r="M2838" s="1">
        <f>_xlfn.DAYS(Table1[[#This Row],[actual_delivery_date]],Table1[[#This Row],[dispatch_date]])</f>
        <v>2</v>
      </c>
      <c r="N2838">
        <v>25</v>
      </c>
      <c r="O2838">
        <f>Table1[[#This Row],[transit_storage_cost]] * (1-'What -if Analysis'!$D$26)</f>
        <v>25</v>
      </c>
      <c r="P2838">
        <v>110</v>
      </c>
      <c r="Q2838">
        <v>1099.7091125221698</v>
      </c>
    </row>
    <row r="2839" spans="1:17" x14ac:dyDescent="0.3">
      <c r="A2839">
        <v>577897</v>
      </c>
      <c r="B2839" s="1" t="s">
        <v>37</v>
      </c>
      <c r="C2839" s="1" t="s">
        <v>16</v>
      </c>
      <c r="D2839" s="1" t="s">
        <v>16</v>
      </c>
      <c r="E2839" s="1" t="s">
        <v>27</v>
      </c>
      <c r="F2839" s="1" t="s">
        <v>29</v>
      </c>
      <c r="G2839" s="1" t="s">
        <v>20</v>
      </c>
      <c r="H2839" t="s">
        <v>30</v>
      </c>
      <c r="I2839" s="1" t="s">
        <v>22</v>
      </c>
      <c r="J2839" s="2">
        <v>43534.587222222224</v>
      </c>
      <c r="K2839" s="2">
        <v>43538.587222222224</v>
      </c>
      <c r="L2839" s="2">
        <v>43537.587222222224</v>
      </c>
      <c r="M2839" s="1">
        <f>_xlfn.DAYS(Table1[[#This Row],[actual_delivery_date]],Table1[[#This Row],[dispatch_date]])</f>
        <v>4</v>
      </c>
      <c r="N2839">
        <v>0</v>
      </c>
      <c r="O2839">
        <f>Table1[[#This Row],[transit_storage_cost]] * (1-'What -if Analysis'!$D$26)</f>
        <v>0</v>
      </c>
      <c r="P2839">
        <v>126</v>
      </c>
      <c r="Q2839">
        <v>3392.5514221265662</v>
      </c>
    </row>
    <row r="2840" spans="1:17" x14ac:dyDescent="0.3">
      <c r="A2840">
        <v>70565</v>
      </c>
      <c r="B2840" s="1" t="s">
        <v>37</v>
      </c>
      <c r="C2840" s="1" t="s">
        <v>16</v>
      </c>
      <c r="D2840" s="1" t="s">
        <v>32</v>
      </c>
      <c r="E2840" s="1" t="s">
        <v>33</v>
      </c>
      <c r="F2840" s="1" t="s">
        <v>29</v>
      </c>
      <c r="G2840" s="1" t="s">
        <v>20</v>
      </c>
      <c r="H2840" t="s">
        <v>30</v>
      </c>
      <c r="I2840" s="1" t="s">
        <v>22</v>
      </c>
      <c r="J2840" s="2">
        <v>43536.588356481479</v>
      </c>
      <c r="K2840" s="2">
        <v>43538.588356481479</v>
      </c>
      <c r="L2840" s="2">
        <v>43541.588356481479</v>
      </c>
      <c r="M2840" s="1">
        <f>_xlfn.DAYS(Table1[[#This Row],[actual_delivery_date]],Table1[[#This Row],[dispatch_date]])</f>
        <v>2</v>
      </c>
      <c r="N2840">
        <v>36</v>
      </c>
      <c r="O2840">
        <f>Table1[[#This Row],[transit_storage_cost]] * (1-'What -if Analysis'!$D$26)</f>
        <v>36</v>
      </c>
      <c r="P2840">
        <v>115</v>
      </c>
      <c r="Q2840">
        <v>1330.3184540311324</v>
      </c>
    </row>
    <row r="2841" spans="1:17" x14ac:dyDescent="0.3">
      <c r="A2841">
        <v>369968</v>
      </c>
      <c r="B2841" s="1" t="s">
        <v>38</v>
      </c>
      <c r="C2841" s="1" t="s">
        <v>16</v>
      </c>
      <c r="D2841" s="1" t="s">
        <v>17</v>
      </c>
      <c r="E2841" s="1" t="s">
        <v>18</v>
      </c>
      <c r="F2841" s="1" t="s">
        <v>19</v>
      </c>
      <c r="G2841" s="1" t="s">
        <v>20</v>
      </c>
      <c r="H2841" t="s">
        <v>21</v>
      </c>
      <c r="I2841" s="1" t="s">
        <v>22</v>
      </c>
      <c r="J2841" s="2">
        <v>43532.588993055557</v>
      </c>
      <c r="K2841" s="2">
        <v>43538.588993055557</v>
      </c>
      <c r="L2841" s="2">
        <v>43537.588993055557</v>
      </c>
      <c r="M2841" s="1">
        <f>_xlfn.DAYS(Table1[[#This Row],[actual_delivery_date]],Table1[[#This Row],[dispatch_date]])</f>
        <v>6</v>
      </c>
      <c r="N2841">
        <v>41</v>
      </c>
      <c r="O2841">
        <f>Table1[[#This Row],[transit_storage_cost]] * (1-'What -if Analysis'!$D$26)</f>
        <v>41</v>
      </c>
      <c r="P2841">
        <v>112</v>
      </c>
      <c r="Q2841">
        <v>1105.3650737262983</v>
      </c>
    </row>
    <row r="2842" spans="1:17" x14ac:dyDescent="0.3">
      <c r="A2842">
        <v>858194</v>
      </c>
      <c r="B2842" s="1" t="s">
        <v>38</v>
      </c>
      <c r="C2842" s="1" t="s">
        <v>23</v>
      </c>
      <c r="D2842" s="1" t="s">
        <v>23</v>
      </c>
      <c r="E2842" s="1" t="s">
        <v>28</v>
      </c>
      <c r="F2842" s="1" t="s">
        <v>31</v>
      </c>
      <c r="G2842" s="1" t="s">
        <v>20</v>
      </c>
      <c r="H2842" t="s">
        <v>21</v>
      </c>
      <c r="I2842" s="1" t="s">
        <v>22</v>
      </c>
      <c r="J2842" s="2">
        <v>43532.591226851851</v>
      </c>
      <c r="K2842" s="2">
        <v>43538.591226851851</v>
      </c>
      <c r="L2842" s="2">
        <v>43536.591226851851</v>
      </c>
      <c r="M2842" s="1">
        <f>_xlfn.DAYS(Table1[[#This Row],[actual_delivery_date]],Table1[[#This Row],[dispatch_date]])</f>
        <v>6</v>
      </c>
      <c r="N2842">
        <v>0</v>
      </c>
      <c r="O2842">
        <f>Table1[[#This Row],[transit_storage_cost]] * (1-'What -if Analysis'!$D$26)</f>
        <v>0</v>
      </c>
      <c r="P2842">
        <v>127</v>
      </c>
      <c r="Q2842">
        <v>2521</v>
      </c>
    </row>
    <row r="2843" spans="1:17" x14ac:dyDescent="0.3">
      <c r="A2843">
        <v>266558</v>
      </c>
      <c r="B2843" s="1" t="s">
        <v>39</v>
      </c>
      <c r="C2843" s="1" t="s">
        <v>23</v>
      </c>
      <c r="D2843" s="1" t="s">
        <v>23</v>
      </c>
      <c r="E2843" s="1" t="s">
        <v>28</v>
      </c>
      <c r="F2843" s="1" t="s">
        <v>31</v>
      </c>
      <c r="G2843" s="1" t="s">
        <v>20</v>
      </c>
      <c r="H2843" t="s">
        <v>21</v>
      </c>
      <c r="I2843" s="1" t="s">
        <v>22</v>
      </c>
      <c r="J2843" s="2">
        <v>43532.593564814815</v>
      </c>
      <c r="K2843" s="2">
        <v>43538.593564814815</v>
      </c>
      <c r="L2843" s="2">
        <v>43536.593564814815</v>
      </c>
      <c r="M2843" s="1">
        <f>_xlfn.DAYS(Table1[[#This Row],[actual_delivery_date]],Table1[[#This Row],[dispatch_date]])</f>
        <v>6</v>
      </c>
      <c r="N2843">
        <v>0</v>
      </c>
      <c r="O2843">
        <f>Table1[[#This Row],[transit_storage_cost]] * (1-'What -if Analysis'!$D$26)</f>
        <v>0</v>
      </c>
      <c r="P2843">
        <v>125</v>
      </c>
      <c r="Q2843">
        <v>307.31243149549516</v>
      </c>
    </row>
    <row r="2844" spans="1:17" x14ac:dyDescent="0.3">
      <c r="A2844">
        <v>36096</v>
      </c>
      <c r="B2844" s="1" t="s">
        <v>38</v>
      </c>
      <c r="C2844" s="1" t="s">
        <v>16</v>
      </c>
      <c r="D2844" s="1" t="s">
        <v>32</v>
      </c>
      <c r="E2844" s="1" t="s">
        <v>33</v>
      </c>
      <c r="F2844" s="1" t="s">
        <v>19</v>
      </c>
      <c r="G2844" s="1" t="s">
        <v>20</v>
      </c>
      <c r="H2844" t="s">
        <v>21</v>
      </c>
      <c r="I2844" s="1" t="s">
        <v>26</v>
      </c>
      <c r="J2844" s="2">
        <v>43530.59983796296</v>
      </c>
      <c r="K2844" s="2">
        <v>43538.59983796296</v>
      </c>
      <c r="L2844" s="2">
        <v>43535.59983796296</v>
      </c>
      <c r="M2844" s="1">
        <f>_xlfn.DAYS(Table1[[#This Row],[actual_delivery_date]],Table1[[#This Row],[dispatch_date]])</f>
        <v>8</v>
      </c>
      <c r="N2844">
        <v>38</v>
      </c>
      <c r="O2844">
        <f>Table1[[#This Row],[transit_storage_cost]] * (1-'What -if Analysis'!$D$26)</f>
        <v>38</v>
      </c>
      <c r="P2844">
        <v>108</v>
      </c>
      <c r="Q2844">
        <v>379</v>
      </c>
    </row>
    <row r="2845" spans="1:17" x14ac:dyDescent="0.3">
      <c r="A2845">
        <v>520870</v>
      </c>
      <c r="B2845" s="1" t="s">
        <v>40</v>
      </c>
      <c r="C2845" s="1" t="s">
        <v>16</v>
      </c>
      <c r="D2845" s="1" t="s">
        <v>17</v>
      </c>
      <c r="E2845" s="1" t="s">
        <v>18</v>
      </c>
      <c r="F2845" s="1" t="s">
        <v>19</v>
      </c>
      <c r="G2845" s="1" t="s">
        <v>20</v>
      </c>
      <c r="H2845" t="s">
        <v>21</v>
      </c>
      <c r="I2845" s="1" t="s">
        <v>22</v>
      </c>
      <c r="J2845" s="2">
        <v>43533.603495370371</v>
      </c>
      <c r="K2845" s="2">
        <v>43538.603495370371</v>
      </c>
      <c r="L2845" s="2">
        <v>43540.603495370371</v>
      </c>
      <c r="M2845" s="1">
        <f>_xlfn.DAYS(Table1[[#This Row],[actual_delivery_date]],Table1[[#This Row],[dispatch_date]])</f>
        <v>5</v>
      </c>
      <c r="N2845">
        <v>63</v>
      </c>
      <c r="O2845">
        <f>Table1[[#This Row],[transit_storage_cost]] * (1-'What -if Analysis'!$D$26)</f>
        <v>63</v>
      </c>
      <c r="P2845">
        <v>89</v>
      </c>
      <c r="Q2845">
        <v>391</v>
      </c>
    </row>
    <row r="2846" spans="1:17" x14ac:dyDescent="0.3">
      <c r="A2846">
        <v>191728</v>
      </c>
      <c r="B2846" s="1" t="s">
        <v>40</v>
      </c>
      <c r="C2846" s="1" t="s">
        <v>16</v>
      </c>
      <c r="D2846" s="1" t="s">
        <v>24</v>
      </c>
      <c r="E2846" s="1" t="s">
        <v>25</v>
      </c>
      <c r="F2846" s="1" t="s">
        <v>19</v>
      </c>
      <c r="G2846" s="1" t="s">
        <v>20</v>
      </c>
      <c r="H2846" t="s">
        <v>21</v>
      </c>
      <c r="I2846" s="1" t="s">
        <v>22</v>
      </c>
      <c r="J2846" s="2">
        <v>43530.604212962964</v>
      </c>
      <c r="K2846" s="2">
        <v>43538.604212962964</v>
      </c>
      <c r="L2846" s="2">
        <v>43533.604212962964</v>
      </c>
      <c r="M2846" s="1">
        <f>_xlfn.DAYS(Table1[[#This Row],[actual_delivery_date]],Table1[[#This Row],[dispatch_date]])</f>
        <v>8</v>
      </c>
      <c r="N2846">
        <v>30</v>
      </c>
      <c r="O2846">
        <f>Table1[[#This Row],[transit_storage_cost]] * (1-'What -if Analysis'!$D$26)</f>
        <v>30</v>
      </c>
      <c r="P2846">
        <v>124</v>
      </c>
      <c r="Q2846">
        <v>3556.8159111979239</v>
      </c>
    </row>
    <row r="2847" spans="1:17" x14ac:dyDescent="0.3">
      <c r="A2847">
        <v>191783</v>
      </c>
      <c r="B2847" s="1" t="s">
        <v>40</v>
      </c>
      <c r="C2847" s="1" t="s">
        <v>16</v>
      </c>
      <c r="D2847" s="1" t="s">
        <v>24</v>
      </c>
      <c r="E2847" s="1" t="s">
        <v>25</v>
      </c>
      <c r="F2847" s="1" t="s">
        <v>29</v>
      </c>
      <c r="G2847" s="1" t="s">
        <v>20</v>
      </c>
      <c r="H2847" t="s">
        <v>30</v>
      </c>
      <c r="I2847" s="1" t="s">
        <v>22</v>
      </c>
      <c r="J2847" s="2">
        <v>43536.609270833331</v>
      </c>
      <c r="K2847" s="2">
        <v>43538.609270833331</v>
      </c>
      <c r="L2847" s="2">
        <v>43539.609270833331</v>
      </c>
      <c r="M2847" s="1">
        <f>_xlfn.DAYS(Table1[[#This Row],[actual_delivery_date]],Table1[[#This Row],[dispatch_date]])</f>
        <v>2</v>
      </c>
      <c r="N2847">
        <v>29</v>
      </c>
      <c r="O2847">
        <f>Table1[[#This Row],[transit_storage_cost]] * (1-'What -if Analysis'!$D$26)</f>
        <v>29</v>
      </c>
      <c r="P2847">
        <v>126</v>
      </c>
      <c r="Q2847">
        <v>1327.1399771794356</v>
      </c>
    </row>
    <row r="2848" spans="1:17" x14ac:dyDescent="0.3">
      <c r="A2848">
        <v>222354</v>
      </c>
      <c r="B2848" s="1" t="s">
        <v>41</v>
      </c>
      <c r="C2848" s="1" t="s">
        <v>16</v>
      </c>
      <c r="D2848" s="1" t="s">
        <v>16</v>
      </c>
      <c r="E2848" s="1" t="s">
        <v>27</v>
      </c>
      <c r="F2848" s="1" t="s">
        <v>31</v>
      </c>
      <c r="G2848" s="1" t="s">
        <v>20</v>
      </c>
      <c r="H2848" t="s">
        <v>21</v>
      </c>
      <c r="I2848" s="1" t="s">
        <v>26</v>
      </c>
      <c r="J2848" s="2">
        <v>43534.610115740739</v>
      </c>
      <c r="K2848" s="2">
        <v>43538.610115740739</v>
      </c>
      <c r="L2848" s="2">
        <v>43539.610115740739</v>
      </c>
      <c r="M2848" s="1">
        <f>_xlfn.DAYS(Table1[[#This Row],[actual_delivery_date]],Table1[[#This Row],[dispatch_date]])</f>
        <v>4</v>
      </c>
      <c r="N2848">
        <v>0</v>
      </c>
      <c r="O2848">
        <f>Table1[[#This Row],[transit_storage_cost]] * (1-'What -if Analysis'!$D$26)</f>
        <v>0</v>
      </c>
      <c r="P2848">
        <v>124</v>
      </c>
      <c r="Q2848">
        <v>1573.9267572589072</v>
      </c>
    </row>
    <row r="2849" spans="1:17" x14ac:dyDescent="0.3">
      <c r="A2849">
        <v>186824</v>
      </c>
      <c r="B2849" s="1" t="s">
        <v>37</v>
      </c>
      <c r="C2849" s="1" t="s">
        <v>16</v>
      </c>
      <c r="D2849" s="1" t="s">
        <v>16</v>
      </c>
      <c r="E2849" s="1" t="s">
        <v>27</v>
      </c>
      <c r="F2849" s="1" t="s">
        <v>19</v>
      </c>
      <c r="G2849" s="1" t="s">
        <v>20</v>
      </c>
      <c r="H2849" t="s">
        <v>21</v>
      </c>
      <c r="I2849" s="1" t="s">
        <v>22</v>
      </c>
      <c r="J2849" s="2">
        <v>43537.610231481478</v>
      </c>
      <c r="K2849" s="2">
        <v>43538.610231481478</v>
      </c>
      <c r="L2849" s="2">
        <v>43544.610231481478</v>
      </c>
      <c r="M2849" s="1">
        <f>_xlfn.DAYS(Table1[[#This Row],[actual_delivery_date]],Table1[[#This Row],[dispatch_date]])</f>
        <v>1</v>
      </c>
      <c r="N2849">
        <v>0</v>
      </c>
      <c r="O2849">
        <f>Table1[[#This Row],[transit_storage_cost]] * (1-'What -if Analysis'!$D$26)</f>
        <v>0</v>
      </c>
      <c r="P2849">
        <v>126</v>
      </c>
      <c r="Q2849">
        <v>883</v>
      </c>
    </row>
    <row r="2850" spans="1:17" x14ac:dyDescent="0.3">
      <c r="A2850">
        <v>815040</v>
      </c>
      <c r="B2850" s="1" t="s">
        <v>15</v>
      </c>
      <c r="C2850" s="1" t="s">
        <v>16</v>
      </c>
      <c r="D2850" s="1" t="s">
        <v>17</v>
      </c>
      <c r="E2850" s="1" t="s">
        <v>18</v>
      </c>
      <c r="F2850" s="1" t="s">
        <v>19</v>
      </c>
      <c r="G2850" s="1" t="s">
        <v>36</v>
      </c>
      <c r="H2850" t="s">
        <v>21</v>
      </c>
      <c r="I2850" s="1" t="s">
        <v>26</v>
      </c>
      <c r="J2850" s="2">
        <v>43536.616759259261</v>
      </c>
      <c r="K2850" s="2">
        <v>43538.616759259261</v>
      </c>
      <c r="L2850" s="2">
        <v>43539.616759259261</v>
      </c>
      <c r="M2850" s="1">
        <f>_xlfn.DAYS(Table1[[#This Row],[actual_delivery_date]],Table1[[#This Row],[dispatch_date]])</f>
        <v>2</v>
      </c>
      <c r="N2850">
        <v>75</v>
      </c>
      <c r="O2850">
        <f>Table1[[#This Row],[transit_storage_cost]] * (1-'What -if Analysis'!$D$26)</f>
        <v>75</v>
      </c>
      <c r="P2850">
        <v>92</v>
      </c>
      <c r="Q2850">
        <v>945</v>
      </c>
    </row>
    <row r="2851" spans="1:17" x14ac:dyDescent="0.3">
      <c r="A2851">
        <v>509788</v>
      </c>
      <c r="B2851" s="1" t="s">
        <v>39</v>
      </c>
      <c r="C2851" s="1" t="s">
        <v>16</v>
      </c>
      <c r="D2851" s="1" t="s">
        <v>24</v>
      </c>
      <c r="E2851" s="1" t="s">
        <v>25</v>
      </c>
      <c r="F2851" s="1" t="s">
        <v>19</v>
      </c>
      <c r="G2851" s="1" t="s">
        <v>20</v>
      </c>
      <c r="H2851" t="s">
        <v>21</v>
      </c>
      <c r="I2851" s="1" t="s">
        <v>22</v>
      </c>
      <c r="J2851" s="2">
        <v>43530.620706018519</v>
      </c>
      <c r="K2851" s="2">
        <v>43538.620706018519</v>
      </c>
      <c r="L2851" s="2">
        <v>43535.620706018519</v>
      </c>
      <c r="M2851" s="1">
        <f>_xlfn.DAYS(Table1[[#This Row],[actual_delivery_date]],Table1[[#This Row],[dispatch_date]])</f>
        <v>8</v>
      </c>
      <c r="N2851">
        <v>50</v>
      </c>
      <c r="O2851">
        <f>Table1[[#This Row],[transit_storage_cost]] * (1-'What -if Analysis'!$D$26)</f>
        <v>50</v>
      </c>
      <c r="P2851">
        <v>122</v>
      </c>
      <c r="Q2851">
        <v>2557.2973540476705</v>
      </c>
    </row>
    <row r="2852" spans="1:17" x14ac:dyDescent="0.3">
      <c r="A2852">
        <v>283068</v>
      </c>
      <c r="B2852" s="1" t="s">
        <v>38</v>
      </c>
      <c r="C2852" s="1" t="s">
        <v>23</v>
      </c>
      <c r="D2852" s="1" t="s">
        <v>17</v>
      </c>
      <c r="E2852" s="1" t="s">
        <v>18</v>
      </c>
      <c r="F2852" s="1" t="s">
        <v>19</v>
      </c>
      <c r="G2852" s="1" t="s">
        <v>20</v>
      </c>
      <c r="H2852" t="s">
        <v>21</v>
      </c>
      <c r="I2852" s="1" t="s">
        <v>26</v>
      </c>
      <c r="J2852" s="2">
        <v>43535.627905092595</v>
      </c>
      <c r="K2852" s="2">
        <v>43538.627905092595</v>
      </c>
      <c r="L2852" s="2">
        <v>43541.627905092595</v>
      </c>
      <c r="M2852" s="1">
        <f>_xlfn.DAYS(Table1[[#This Row],[actual_delivery_date]],Table1[[#This Row],[dispatch_date]])</f>
        <v>3</v>
      </c>
      <c r="N2852">
        <v>50</v>
      </c>
      <c r="O2852">
        <f>Table1[[#This Row],[transit_storage_cost]] * (1-'What -if Analysis'!$D$26)</f>
        <v>50</v>
      </c>
      <c r="P2852">
        <v>107</v>
      </c>
      <c r="Q2852">
        <v>2135.4946367920052</v>
      </c>
    </row>
    <row r="2853" spans="1:17" x14ac:dyDescent="0.3">
      <c r="A2853">
        <v>68495</v>
      </c>
      <c r="B2853" s="1" t="s">
        <v>39</v>
      </c>
      <c r="C2853" s="1" t="s">
        <v>23</v>
      </c>
      <c r="D2853" s="1" t="s">
        <v>23</v>
      </c>
      <c r="E2853" s="1" t="s">
        <v>28</v>
      </c>
      <c r="F2853" s="1" t="s">
        <v>29</v>
      </c>
      <c r="G2853" s="1" t="s">
        <v>20</v>
      </c>
      <c r="H2853" t="s">
        <v>34</v>
      </c>
      <c r="I2853" s="1" t="s">
        <v>22</v>
      </c>
      <c r="J2853" s="2">
        <v>43532.630277777775</v>
      </c>
      <c r="K2853" s="2">
        <v>43538.630277777775</v>
      </c>
      <c r="L2853" s="2">
        <v>43539.630277777775</v>
      </c>
      <c r="M2853" s="1">
        <f>_xlfn.DAYS(Table1[[#This Row],[actual_delivery_date]],Table1[[#This Row],[dispatch_date]])</f>
        <v>6</v>
      </c>
      <c r="N2853">
        <v>0</v>
      </c>
      <c r="O2853">
        <f>Table1[[#This Row],[transit_storage_cost]] * (1-'What -if Analysis'!$D$26)</f>
        <v>0</v>
      </c>
      <c r="P2853">
        <v>128</v>
      </c>
      <c r="Q2853">
        <v>3318.635537359396</v>
      </c>
    </row>
    <row r="2854" spans="1:17" x14ac:dyDescent="0.3">
      <c r="A2854">
        <v>227542</v>
      </c>
      <c r="B2854" s="1" t="s">
        <v>37</v>
      </c>
      <c r="C2854" s="1" t="s">
        <v>16</v>
      </c>
      <c r="D2854" s="1" t="s">
        <v>23</v>
      </c>
      <c r="E2854" s="1" t="s">
        <v>28</v>
      </c>
      <c r="F2854" s="1" t="s">
        <v>19</v>
      </c>
      <c r="G2854" s="1" t="s">
        <v>20</v>
      </c>
      <c r="H2854" t="s">
        <v>21</v>
      </c>
      <c r="I2854" s="1" t="s">
        <v>22</v>
      </c>
      <c r="J2854" s="2">
        <v>43536.634594907409</v>
      </c>
      <c r="K2854" s="2">
        <v>43538.634594907409</v>
      </c>
      <c r="L2854" s="2">
        <v>43541.634594907409</v>
      </c>
      <c r="M2854" s="1">
        <f>_xlfn.DAYS(Table1[[#This Row],[actual_delivery_date]],Table1[[#This Row],[dispatch_date]])</f>
        <v>2</v>
      </c>
      <c r="N2854">
        <v>74</v>
      </c>
      <c r="O2854">
        <f>Table1[[#This Row],[transit_storage_cost]] * (1-'What -if Analysis'!$D$26)</f>
        <v>74</v>
      </c>
      <c r="P2854">
        <v>103</v>
      </c>
      <c r="Q2854">
        <v>2582.2079085394489</v>
      </c>
    </row>
    <row r="2855" spans="1:17" x14ac:dyDescent="0.3">
      <c r="A2855">
        <v>991192</v>
      </c>
      <c r="B2855" s="1" t="s">
        <v>41</v>
      </c>
      <c r="C2855" s="1" t="s">
        <v>16</v>
      </c>
      <c r="D2855" s="1" t="s">
        <v>24</v>
      </c>
      <c r="E2855" s="1" t="s">
        <v>25</v>
      </c>
      <c r="F2855" s="1" t="s">
        <v>19</v>
      </c>
      <c r="G2855" s="1" t="s">
        <v>20</v>
      </c>
      <c r="H2855" t="s">
        <v>21</v>
      </c>
      <c r="I2855" s="1" t="s">
        <v>22</v>
      </c>
      <c r="J2855" s="2">
        <v>43530.641226851854</v>
      </c>
      <c r="K2855" s="2">
        <v>43538.641226851854</v>
      </c>
      <c r="L2855" s="2">
        <v>43534.641226851854</v>
      </c>
      <c r="M2855" s="1">
        <f>_xlfn.DAYS(Table1[[#This Row],[actual_delivery_date]],Table1[[#This Row],[dispatch_date]])</f>
        <v>8</v>
      </c>
      <c r="N2855">
        <v>39</v>
      </c>
      <c r="O2855">
        <f>Table1[[#This Row],[transit_storage_cost]] * (1-'What -if Analysis'!$D$26)</f>
        <v>39</v>
      </c>
      <c r="P2855">
        <v>128</v>
      </c>
      <c r="Q2855">
        <v>704</v>
      </c>
    </row>
    <row r="2856" spans="1:17" x14ac:dyDescent="0.3">
      <c r="A2856">
        <v>579745</v>
      </c>
      <c r="B2856" s="1" t="s">
        <v>38</v>
      </c>
      <c r="C2856" s="1" t="s">
        <v>16</v>
      </c>
      <c r="D2856" s="1" t="s">
        <v>16</v>
      </c>
      <c r="E2856" s="1" t="s">
        <v>27</v>
      </c>
      <c r="F2856" s="1" t="s">
        <v>29</v>
      </c>
      <c r="G2856" s="1" t="s">
        <v>20</v>
      </c>
      <c r="H2856" t="s">
        <v>30</v>
      </c>
      <c r="I2856" s="1" t="s">
        <v>22</v>
      </c>
      <c r="J2856" s="2">
        <v>43531.642256944448</v>
      </c>
      <c r="K2856" s="2">
        <v>43538.642256944448</v>
      </c>
      <c r="L2856" s="2">
        <v>43536.642256944448</v>
      </c>
      <c r="M2856" s="1">
        <f>_xlfn.DAYS(Table1[[#This Row],[actual_delivery_date]],Table1[[#This Row],[dispatch_date]])</f>
        <v>7</v>
      </c>
      <c r="N2856">
        <v>0</v>
      </c>
      <c r="O2856">
        <f>Table1[[#This Row],[transit_storage_cost]] * (1-'What -if Analysis'!$D$26)</f>
        <v>0</v>
      </c>
      <c r="P2856">
        <v>122</v>
      </c>
      <c r="Q2856">
        <v>3855.3887090777862</v>
      </c>
    </row>
    <row r="2857" spans="1:17" x14ac:dyDescent="0.3">
      <c r="A2857">
        <v>54647</v>
      </c>
      <c r="B2857" s="1" t="s">
        <v>38</v>
      </c>
      <c r="C2857" s="1" t="s">
        <v>23</v>
      </c>
      <c r="D2857" s="1" t="s">
        <v>23</v>
      </c>
      <c r="E2857" s="1" t="s">
        <v>28</v>
      </c>
      <c r="F2857" s="1" t="s">
        <v>29</v>
      </c>
      <c r="G2857" s="1" t="s">
        <v>20</v>
      </c>
      <c r="H2857" t="s">
        <v>30</v>
      </c>
      <c r="I2857" s="1" t="s">
        <v>22</v>
      </c>
      <c r="J2857" s="2">
        <v>43532.646180555559</v>
      </c>
      <c r="K2857" s="2">
        <v>43538.646180555559</v>
      </c>
      <c r="L2857" s="2">
        <v>43539.646180555559</v>
      </c>
      <c r="M2857" s="1">
        <f>_xlfn.DAYS(Table1[[#This Row],[actual_delivery_date]],Table1[[#This Row],[dispatch_date]])</f>
        <v>6</v>
      </c>
      <c r="N2857">
        <v>0</v>
      </c>
      <c r="O2857">
        <f>Table1[[#This Row],[transit_storage_cost]] * (1-'What -if Analysis'!$D$26)</f>
        <v>0</v>
      </c>
      <c r="P2857">
        <v>126</v>
      </c>
      <c r="Q2857">
        <v>302.81727693144882</v>
      </c>
    </row>
    <row r="2858" spans="1:17" x14ac:dyDescent="0.3">
      <c r="A2858">
        <v>376372</v>
      </c>
      <c r="B2858" s="1" t="s">
        <v>37</v>
      </c>
      <c r="C2858" s="1" t="s">
        <v>16</v>
      </c>
      <c r="D2858" s="1" t="s">
        <v>24</v>
      </c>
      <c r="E2858" s="1" t="s">
        <v>25</v>
      </c>
      <c r="F2858" s="1" t="s">
        <v>19</v>
      </c>
      <c r="G2858" s="1" t="s">
        <v>20</v>
      </c>
      <c r="H2858" t="s">
        <v>21</v>
      </c>
      <c r="I2858" s="1" t="s">
        <v>22</v>
      </c>
      <c r="J2858" s="2">
        <v>43528.655462962961</v>
      </c>
      <c r="K2858" s="2">
        <v>43538.655462962961</v>
      </c>
      <c r="L2858" s="2">
        <v>43532.655462962961</v>
      </c>
      <c r="M2858" s="1">
        <f>_xlfn.DAYS(Table1[[#This Row],[actual_delivery_date]],Table1[[#This Row],[dispatch_date]])</f>
        <v>10</v>
      </c>
      <c r="N2858">
        <v>48</v>
      </c>
      <c r="O2858">
        <f>Table1[[#This Row],[transit_storage_cost]] * (1-'What -if Analysis'!$D$26)</f>
        <v>48</v>
      </c>
      <c r="P2858">
        <v>129</v>
      </c>
      <c r="Q2858">
        <v>1535.462968590055</v>
      </c>
    </row>
    <row r="2859" spans="1:17" x14ac:dyDescent="0.3">
      <c r="A2859">
        <v>556915</v>
      </c>
      <c r="B2859" s="1" t="s">
        <v>39</v>
      </c>
      <c r="C2859" s="1" t="s">
        <v>23</v>
      </c>
      <c r="D2859" s="1" t="s">
        <v>17</v>
      </c>
      <c r="E2859" s="1" t="s">
        <v>18</v>
      </c>
      <c r="F2859" s="1" t="s">
        <v>29</v>
      </c>
      <c r="G2859" s="1" t="s">
        <v>20</v>
      </c>
      <c r="H2859" t="s">
        <v>30</v>
      </c>
      <c r="I2859" s="1" t="s">
        <v>22</v>
      </c>
      <c r="J2859" s="2">
        <v>43534.65898148148</v>
      </c>
      <c r="K2859" s="2">
        <v>43538.65898148148</v>
      </c>
      <c r="L2859" s="2">
        <v>43541.65898148148</v>
      </c>
      <c r="M2859" s="1">
        <f>_xlfn.DAYS(Table1[[#This Row],[actual_delivery_date]],Table1[[#This Row],[dispatch_date]])</f>
        <v>4</v>
      </c>
      <c r="N2859">
        <v>26</v>
      </c>
      <c r="O2859">
        <f>Table1[[#This Row],[transit_storage_cost]] * (1-'What -if Analysis'!$D$26)</f>
        <v>26</v>
      </c>
      <c r="P2859">
        <v>109</v>
      </c>
      <c r="Q2859">
        <v>2799.3842399545806</v>
      </c>
    </row>
    <row r="2860" spans="1:17" x14ac:dyDescent="0.3">
      <c r="A2860">
        <v>1447</v>
      </c>
      <c r="B2860" s="1" t="s">
        <v>38</v>
      </c>
      <c r="C2860" s="1" t="s">
        <v>23</v>
      </c>
      <c r="D2860" s="1" t="s">
        <v>17</v>
      </c>
      <c r="E2860" s="1" t="s">
        <v>18</v>
      </c>
      <c r="F2860" s="1" t="s">
        <v>19</v>
      </c>
      <c r="G2860" s="1" t="s">
        <v>20</v>
      </c>
      <c r="H2860" t="s">
        <v>30</v>
      </c>
      <c r="I2860" s="1" t="s">
        <v>22</v>
      </c>
      <c r="J2860" s="2">
        <v>43536.66510416667</v>
      </c>
      <c r="K2860" s="2">
        <v>43538.66510416667</v>
      </c>
      <c r="L2860" s="2">
        <v>43542.66510416667</v>
      </c>
      <c r="M2860" s="1">
        <f>_xlfn.DAYS(Table1[[#This Row],[actual_delivery_date]],Table1[[#This Row],[dispatch_date]])</f>
        <v>2</v>
      </c>
      <c r="N2860">
        <v>63</v>
      </c>
      <c r="O2860">
        <f>Table1[[#This Row],[transit_storage_cost]] * (1-'What -if Analysis'!$D$26)</f>
        <v>63</v>
      </c>
      <c r="P2860">
        <v>87</v>
      </c>
      <c r="Q2860">
        <v>2638.9150815522175</v>
      </c>
    </row>
    <row r="2861" spans="1:17" x14ac:dyDescent="0.3">
      <c r="A2861">
        <v>799771</v>
      </c>
      <c r="B2861" s="1" t="s">
        <v>38</v>
      </c>
      <c r="C2861" s="1" t="s">
        <v>16</v>
      </c>
      <c r="D2861" s="1" t="s">
        <v>23</v>
      </c>
      <c r="E2861" s="1" t="s">
        <v>28</v>
      </c>
      <c r="F2861" s="1" t="s">
        <v>29</v>
      </c>
      <c r="G2861" s="1" t="s">
        <v>20</v>
      </c>
      <c r="H2861" t="s">
        <v>34</v>
      </c>
      <c r="I2861" s="1" t="s">
        <v>22</v>
      </c>
      <c r="J2861" s="2">
        <v>43528.665821759256</v>
      </c>
      <c r="K2861" s="2">
        <v>43538.665821759256</v>
      </c>
      <c r="L2861" s="2">
        <v>43531.665821759256</v>
      </c>
      <c r="M2861" s="1">
        <f>_xlfn.DAYS(Table1[[#This Row],[actual_delivery_date]],Table1[[#This Row],[dispatch_date]])</f>
        <v>10</v>
      </c>
      <c r="N2861">
        <v>42</v>
      </c>
      <c r="O2861">
        <f>Table1[[#This Row],[transit_storage_cost]] * (1-'What -if Analysis'!$D$26)</f>
        <v>42</v>
      </c>
      <c r="P2861">
        <v>127</v>
      </c>
      <c r="Q2861">
        <v>2439.6311791137518</v>
      </c>
    </row>
    <row r="2862" spans="1:17" x14ac:dyDescent="0.3">
      <c r="A2862">
        <v>412329</v>
      </c>
      <c r="B2862" s="1" t="s">
        <v>40</v>
      </c>
      <c r="C2862" s="1" t="s">
        <v>16</v>
      </c>
      <c r="D2862" s="1" t="s">
        <v>17</v>
      </c>
      <c r="E2862" s="1" t="s">
        <v>18</v>
      </c>
      <c r="F2862" s="1" t="s">
        <v>29</v>
      </c>
      <c r="G2862" s="1" t="s">
        <v>20</v>
      </c>
      <c r="H2862" t="s">
        <v>30</v>
      </c>
      <c r="I2862" s="1" t="s">
        <v>26</v>
      </c>
      <c r="J2862" s="2">
        <v>43535.671851851854</v>
      </c>
      <c r="K2862" s="2">
        <v>43538.671851851854</v>
      </c>
      <c r="L2862" s="2">
        <v>43540.671851851854</v>
      </c>
      <c r="M2862" s="1">
        <f>_xlfn.DAYS(Table1[[#This Row],[actual_delivery_date]],Table1[[#This Row],[dispatch_date]])</f>
        <v>3</v>
      </c>
      <c r="N2862">
        <v>40</v>
      </c>
      <c r="O2862">
        <f>Table1[[#This Row],[transit_storage_cost]] * (1-'What -if Analysis'!$D$26)</f>
        <v>40</v>
      </c>
      <c r="P2862">
        <v>115</v>
      </c>
      <c r="Q2862">
        <v>2462.1091745987505</v>
      </c>
    </row>
    <row r="2863" spans="1:17" x14ac:dyDescent="0.3">
      <c r="A2863">
        <v>646720</v>
      </c>
      <c r="B2863" s="1" t="s">
        <v>38</v>
      </c>
      <c r="C2863" s="1" t="s">
        <v>16</v>
      </c>
      <c r="D2863" s="1" t="s">
        <v>32</v>
      </c>
      <c r="E2863" s="1" t="s">
        <v>33</v>
      </c>
      <c r="F2863" s="1" t="s">
        <v>19</v>
      </c>
      <c r="G2863" s="1" t="s">
        <v>20</v>
      </c>
      <c r="H2863" t="s">
        <v>21</v>
      </c>
      <c r="I2863" s="1" t="s">
        <v>22</v>
      </c>
      <c r="J2863" s="2">
        <v>43535.673368055555</v>
      </c>
      <c r="K2863" s="2">
        <v>43538.673368055555</v>
      </c>
      <c r="L2863" s="2">
        <v>43538.673368055555</v>
      </c>
      <c r="M2863" s="1">
        <f>_xlfn.DAYS(Table1[[#This Row],[actual_delivery_date]],Table1[[#This Row],[dispatch_date]])</f>
        <v>3</v>
      </c>
      <c r="N2863">
        <v>34</v>
      </c>
      <c r="O2863">
        <f>Table1[[#This Row],[transit_storage_cost]] * (1-'What -if Analysis'!$D$26)</f>
        <v>34</v>
      </c>
      <c r="P2863">
        <v>115</v>
      </c>
      <c r="Q2863">
        <v>982.99317505098236</v>
      </c>
    </row>
    <row r="2864" spans="1:17" x14ac:dyDescent="0.3">
      <c r="A2864">
        <v>647923</v>
      </c>
      <c r="B2864" s="1" t="s">
        <v>37</v>
      </c>
      <c r="C2864" s="1" t="s">
        <v>23</v>
      </c>
      <c r="D2864" s="1" t="s">
        <v>16</v>
      </c>
      <c r="E2864" s="1" t="s">
        <v>27</v>
      </c>
      <c r="F2864" s="1" t="s">
        <v>29</v>
      </c>
      <c r="G2864" s="1" t="s">
        <v>20</v>
      </c>
      <c r="H2864" t="s">
        <v>30</v>
      </c>
      <c r="I2864" s="1" t="s">
        <v>22</v>
      </c>
      <c r="J2864" s="2">
        <v>43532.68891203704</v>
      </c>
      <c r="K2864" s="2">
        <v>43538.68891203704</v>
      </c>
      <c r="L2864" s="2">
        <v>43537.68891203704</v>
      </c>
      <c r="M2864" s="1">
        <f>_xlfn.DAYS(Table1[[#This Row],[actual_delivery_date]],Table1[[#This Row],[dispatch_date]])</f>
        <v>6</v>
      </c>
      <c r="N2864">
        <v>29</v>
      </c>
      <c r="O2864">
        <f>Table1[[#This Row],[transit_storage_cost]] * (1-'What -if Analysis'!$D$26)</f>
        <v>29</v>
      </c>
      <c r="P2864">
        <v>127</v>
      </c>
      <c r="Q2864">
        <v>3510.0559924548188</v>
      </c>
    </row>
    <row r="2865" spans="1:17" x14ac:dyDescent="0.3">
      <c r="A2865">
        <v>159385</v>
      </c>
      <c r="B2865" s="1" t="s">
        <v>41</v>
      </c>
      <c r="C2865" s="1" t="s">
        <v>16</v>
      </c>
      <c r="D2865" s="1" t="s">
        <v>16</v>
      </c>
      <c r="E2865" s="1" t="s">
        <v>27</v>
      </c>
      <c r="F2865" s="1" t="s">
        <v>29</v>
      </c>
      <c r="G2865" s="1" t="s">
        <v>20</v>
      </c>
      <c r="H2865" t="s">
        <v>30</v>
      </c>
      <c r="I2865" s="1" t="s">
        <v>22</v>
      </c>
      <c r="J2865" s="2">
        <v>43536.688993055555</v>
      </c>
      <c r="K2865" s="2">
        <v>43538.688993055555</v>
      </c>
      <c r="L2865" s="2">
        <v>43543.688993055555</v>
      </c>
      <c r="M2865" s="1">
        <f>_xlfn.DAYS(Table1[[#This Row],[actual_delivery_date]],Table1[[#This Row],[dispatch_date]])</f>
        <v>2</v>
      </c>
      <c r="N2865">
        <v>0</v>
      </c>
      <c r="O2865">
        <f>Table1[[#This Row],[transit_storage_cost]] * (1-'What -if Analysis'!$D$26)</f>
        <v>0</v>
      </c>
      <c r="P2865">
        <v>124</v>
      </c>
      <c r="Q2865">
        <v>3324.5128095892856</v>
      </c>
    </row>
    <row r="2866" spans="1:17" x14ac:dyDescent="0.3">
      <c r="A2866">
        <v>727326</v>
      </c>
      <c r="B2866" s="1" t="s">
        <v>37</v>
      </c>
      <c r="C2866" s="1" t="s">
        <v>16</v>
      </c>
      <c r="D2866" s="1" t="s">
        <v>16</v>
      </c>
      <c r="E2866" s="1" t="s">
        <v>27</v>
      </c>
      <c r="F2866" s="1" t="s">
        <v>31</v>
      </c>
      <c r="G2866" s="1" t="s">
        <v>20</v>
      </c>
      <c r="H2866" t="s">
        <v>21</v>
      </c>
      <c r="I2866" s="1" t="s">
        <v>26</v>
      </c>
      <c r="J2866" s="2">
        <v>43536.689803240741</v>
      </c>
      <c r="K2866" s="2">
        <v>43538.689803240741</v>
      </c>
      <c r="L2866" s="2">
        <v>43543.689803240741</v>
      </c>
      <c r="M2866" s="1">
        <f>_xlfn.DAYS(Table1[[#This Row],[actual_delivery_date]],Table1[[#This Row],[dispatch_date]])</f>
        <v>2</v>
      </c>
      <c r="N2866">
        <v>0</v>
      </c>
      <c r="O2866">
        <f>Table1[[#This Row],[transit_storage_cost]] * (1-'What -if Analysis'!$D$26)</f>
        <v>0</v>
      </c>
      <c r="P2866">
        <v>129</v>
      </c>
      <c r="Q2866">
        <v>708</v>
      </c>
    </row>
    <row r="2867" spans="1:17" x14ac:dyDescent="0.3">
      <c r="A2867">
        <v>534651</v>
      </c>
      <c r="B2867" s="1" t="s">
        <v>38</v>
      </c>
      <c r="C2867" s="1" t="s">
        <v>16</v>
      </c>
      <c r="D2867" s="1" t="s">
        <v>24</v>
      </c>
      <c r="E2867" s="1" t="s">
        <v>25</v>
      </c>
      <c r="F2867" s="1" t="s">
        <v>29</v>
      </c>
      <c r="G2867" s="1" t="s">
        <v>20</v>
      </c>
      <c r="H2867" t="s">
        <v>30</v>
      </c>
      <c r="I2867" s="1" t="s">
        <v>26</v>
      </c>
      <c r="J2867" s="2">
        <v>43533.691504629627</v>
      </c>
      <c r="K2867" s="2">
        <v>43538.691504629627</v>
      </c>
      <c r="L2867" s="2">
        <v>43539.691504629627</v>
      </c>
      <c r="M2867" s="1">
        <f>_xlfn.DAYS(Table1[[#This Row],[actual_delivery_date]],Table1[[#This Row],[dispatch_date]])</f>
        <v>5</v>
      </c>
      <c r="N2867">
        <v>25</v>
      </c>
      <c r="O2867">
        <f>Table1[[#This Row],[transit_storage_cost]] * (1-'What -if Analysis'!$D$26)</f>
        <v>25</v>
      </c>
      <c r="P2867">
        <v>124</v>
      </c>
      <c r="Q2867">
        <v>1174.0166805873428</v>
      </c>
    </row>
    <row r="2868" spans="1:17" x14ac:dyDescent="0.3">
      <c r="A2868">
        <v>73751</v>
      </c>
      <c r="B2868" s="1" t="s">
        <v>38</v>
      </c>
      <c r="C2868" s="1" t="s">
        <v>23</v>
      </c>
      <c r="D2868" s="1" t="s">
        <v>32</v>
      </c>
      <c r="E2868" s="1" t="s">
        <v>33</v>
      </c>
      <c r="F2868" s="1" t="s">
        <v>29</v>
      </c>
      <c r="G2868" s="1" t="s">
        <v>20</v>
      </c>
      <c r="H2868" t="s">
        <v>30</v>
      </c>
      <c r="I2868" s="1" t="s">
        <v>22</v>
      </c>
      <c r="J2868" s="2">
        <v>43534.691736111112</v>
      </c>
      <c r="K2868" s="2">
        <v>43538.691736111112</v>
      </c>
      <c r="L2868" s="2">
        <v>43540.691736111112</v>
      </c>
      <c r="M2868" s="1">
        <f>_xlfn.DAYS(Table1[[#This Row],[actual_delivery_date]],Table1[[#This Row],[dispatch_date]])</f>
        <v>4</v>
      </c>
      <c r="N2868">
        <v>40</v>
      </c>
      <c r="O2868">
        <f>Table1[[#This Row],[transit_storage_cost]] * (1-'What -if Analysis'!$D$26)</f>
        <v>40</v>
      </c>
      <c r="P2868">
        <v>107</v>
      </c>
      <c r="Q2868">
        <v>3202.1584787743095</v>
      </c>
    </row>
    <row r="2869" spans="1:17" x14ac:dyDescent="0.3">
      <c r="A2869">
        <v>569314</v>
      </c>
      <c r="B2869" s="1" t="s">
        <v>39</v>
      </c>
      <c r="C2869" s="1" t="s">
        <v>16</v>
      </c>
      <c r="D2869" s="1" t="s">
        <v>17</v>
      </c>
      <c r="E2869" s="1" t="s">
        <v>18</v>
      </c>
      <c r="F2869" s="1" t="s">
        <v>19</v>
      </c>
      <c r="G2869" s="1" t="s">
        <v>20</v>
      </c>
      <c r="H2869" t="s">
        <v>21</v>
      </c>
      <c r="I2869" s="1" t="s">
        <v>22</v>
      </c>
      <c r="J2869" s="2">
        <v>43536.701562499999</v>
      </c>
      <c r="K2869" s="2">
        <v>43538.701562499999</v>
      </c>
      <c r="L2869" s="2">
        <v>43543.701562499999</v>
      </c>
      <c r="M2869" s="1">
        <f>_xlfn.DAYS(Table1[[#This Row],[actual_delivery_date]],Table1[[#This Row],[dispatch_date]])</f>
        <v>2</v>
      </c>
      <c r="N2869">
        <v>83</v>
      </c>
      <c r="O2869">
        <f>Table1[[#This Row],[transit_storage_cost]] * (1-'What -if Analysis'!$D$26)</f>
        <v>83</v>
      </c>
      <c r="P2869">
        <v>89</v>
      </c>
      <c r="Q2869">
        <v>1820.0513909618323</v>
      </c>
    </row>
    <row r="2870" spans="1:17" x14ac:dyDescent="0.3">
      <c r="A2870">
        <v>565850</v>
      </c>
      <c r="B2870" s="1" t="s">
        <v>39</v>
      </c>
      <c r="C2870" s="1" t="s">
        <v>16</v>
      </c>
      <c r="D2870" s="1" t="s">
        <v>32</v>
      </c>
      <c r="E2870" s="1" t="s">
        <v>33</v>
      </c>
      <c r="F2870" s="1" t="s">
        <v>31</v>
      </c>
      <c r="G2870" s="1" t="s">
        <v>20</v>
      </c>
      <c r="H2870" t="s">
        <v>21</v>
      </c>
      <c r="I2870" s="1" t="s">
        <v>22</v>
      </c>
      <c r="J2870" s="2">
        <v>43531.70921296296</v>
      </c>
      <c r="K2870" s="2">
        <v>43538.70921296296</v>
      </c>
      <c r="L2870" s="2">
        <v>43534.70921296296</v>
      </c>
      <c r="M2870" s="1">
        <f>_xlfn.DAYS(Table1[[#This Row],[actual_delivery_date]],Table1[[#This Row],[dispatch_date]])</f>
        <v>7</v>
      </c>
      <c r="N2870">
        <v>45</v>
      </c>
      <c r="O2870">
        <f>Table1[[#This Row],[transit_storage_cost]] * (1-'What -if Analysis'!$D$26)</f>
        <v>45</v>
      </c>
      <c r="P2870">
        <v>115</v>
      </c>
      <c r="Q2870">
        <v>1338</v>
      </c>
    </row>
    <row r="2871" spans="1:17" x14ac:dyDescent="0.3">
      <c r="A2871">
        <v>182493</v>
      </c>
      <c r="B2871" s="1" t="s">
        <v>38</v>
      </c>
      <c r="C2871" s="1" t="s">
        <v>23</v>
      </c>
      <c r="D2871" s="1" t="s">
        <v>23</v>
      </c>
      <c r="E2871" s="1" t="s">
        <v>28</v>
      </c>
      <c r="F2871" s="1" t="s">
        <v>19</v>
      </c>
      <c r="G2871" s="1" t="s">
        <v>20</v>
      </c>
      <c r="H2871" t="s">
        <v>30</v>
      </c>
      <c r="I2871" s="1" t="s">
        <v>26</v>
      </c>
      <c r="J2871" s="2">
        <v>43533.710289351853</v>
      </c>
      <c r="K2871" s="2">
        <v>43538.710289351853</v>
      </c>
      <c r="L2871" s="2">
        <v>43540.710289351853</v>
      </c>
      <c r="M2871" s="1">
        <f>_xlfn.DAYS(Table1[[#This Row],[actual_delivery_date]],Table1[[#This Row],[dispatch_date]])</f>
        <v>5</v>
      </c>
      <c r="N2871">
        <v>0</v>
      </c>
      <c r="O2871">
        <f>Table1[[#This Row],[transit_storage_cost]] * (1-'What -if Analysis'!$D$26)</f>
        <v>0</v>
      </c>
      <c r="P2871">
        <v>105</v>
      </c>
      <c r="Q2871">
        <v>1559</v>
      </c>
    </row>
    <row r="2872" spans="1:17" x14ac:dyDescent="0.3">
      <c r="A2872">
        <v>400228</v>
      </c>
      <c r="B2872" s="1" t="s">
        <v>15</v>
      </c>
      <c r="C2872" s="1" t="s">
        <v>23</v>
      </c>
      <c r="D2872" s="1" t="s">
        <v>32</v>
      </c>
      <c r="E2872" s="1" t="s">
        <v>33</v>
      </c>
      <c r="F2872" s="1" t="s">
        <v>19</v>
      </c>
      <c r="G2872" s="1" t="s">
        <v>20</v>
      </c>
      <c r="H2872" t="s">
        <v>21</v>
      </c>
      <c r="I2872" s="1" t="s">
        <v>22</v>
      </c>
      <c r="J2872" s="2">
        <v>43534.714479166665</v>
      </c>
      <c r="K2872" s="2">
        <v>43538.714479166665</v>
      </c>
      <c r="L2872" s="2">
        <v>43539.714479166665</v>
      </c>
      <c r="M2872" s="1">
        <f>_xlfn.DAYS(Table1[[#This Row],[actual_delivery_date]],Table1[[#This Row],[dispatch_date]])</f>
        <v>4</v>
      </c>
      <c r="N2872">
        <v>76</v>
      </c>
      <c r="O2872">
        <f>Table1[[#This Row],[transit_storage_cost]] * (1-'What -if Analysis'!$D$26)</f>
        <v>76</v>
      </c>
      <c r="P2872">
        <v>85</v>
      </c>
      <c r="Q2872">
        <v>1227</v>
      </c>
    </row>
    <row r="2873" spans="1:17" x14ac:dyDescent="0.3">
      <c r="A2873">
        <v>289790</v>
      </c>
      <c r="B2873" s="1" t="s">
        <v>38</v>
      </c>
      <c r="C2873" s="1" t="s">
        <v>23</v>
      </c>
      <c r="D2873" s="1" t="s">
        <v>23</v>
      </c>
      <c r="E2873" s="1" t="s">
        <v>28</v>
      </c>
      <c r="F2873" s="1" t="s">
        <v>31</v>
      </c>
      <c r="G2873" s="1" t="s">
        <v>20</v>
      </c>
      <c r="H2873" t="s">
        <v>21</v>
      </c>
      <c r="I2873" s="1" t="s">
        <v>22</v>
      </c>
      <c r="J2873" s="2">
        <v>43538.715428240743</v>
      </c>
      <c r="K2873" s="2">
        <v>43538.715428240743</v>
      </c>
      <c r="L2873" s="2">
        <v>43542.715428240743</v>
      </c>
      <c r="M2873" s="1">
        <f>_xlfn.DAYS(Table1[[#This Row],[actual_delivery_date]],Table1[[#This Row],[dispatch_date]])</f>
        <v>0</v>
      </c>
      <c r="N2873">
        <v>0</v>
      </c>
      <c r="O2873">
        <f>Table1[[#This Row],[transit_storage_cost]] * (1-'What -if Analysis'!$D$26)</f>
        <v>0</v>
      </c>
      <c r="P2873">
        <v>128</v>
      </c>
      <c r="Q2873">
        <v>3550.4153071125393</v>
      </c>
    </row>
    <row r="2874" spans="1:17" x14ac:dyDescent="0.3">
      <c r="A2874">
        <v>23289</v>
      </c>
      <c r="B2874" s="1" t="s">
        <v>41</v>
      </c>
      <c r="C2874" s="1" t="s">
        <v>23</v>
      </c>
      <c r="D2874" s="1" t="s">
        <v>23</v>
      </c>
      <c r="E2874" s="1" t="s">
        <v>28</v>
      </c>
      <c r="F2874" s="1" t="s">
        <v>29</v>
      </c>
      <c r="G2874" s="1" t="s">
        <v>20</v>
      </c>
      <c r="H2874" t="s">
        <v>34</v>
      </c>
      <c r="I2874" s="1" t="s">
        <v>26</v>
      </c>
      <c r="J2874" s="2">
        <v>43536.715428240743</v>
      </c>
      <c r="K2874" s="2">
        <v>43538.715428240743</v>
      </c>
      <c r="L2874" s="2">
        <v>43543.715428240743</v>
      </c>
      <c r="M2874" s="1">
        <f>_xlfn.DAYS(Table1[[#This Row],[actual_delivery_date]],Table1[[#This Row],[dispatch_date]])</f>
        <v>2</v>
      </c>
      <c r="N2874">
        <v>0</v>
      </c>
      <c r="O2874">
        <f>Table1[[#This Row],[transit_storage_cost]] * (1-'What -if Analysis'!$D$26)</f>
        <v>0</v>
      </c>
      <c r="P2874">
        <v>127</v>
      </c>
      <c r="Q2874">
        <v>251.03131940105081</v>
      </c>
    </row>
    <row r="2875" spans="1:17" x14ac:dyDescent="0.3">
      <c r="A2875">
        <v>159062</v>
      </c>
      <c r="B2875" s="1" t="s">
        <v>37</v>
      </c>
      <c r="C2875" s="1" t="s">
        <v>16</v>
      </c>
      <c r="D2875" s="1" t="s">
        <v>16</v>
      </c>
      <c r="E2875" s="1" t="s">
        <v>27</v>
      </c>
      <c r="F2875" s="1" t="s">
        <v>31</v>
      </c>
      <c r="G2875" s="1" t="s">
        <v>20</v>
      </c>
      <c r="H2875" t="s">
        <v>21</v>
      </c>
      <c r="I2875" s="1" t="s">
        <v>22</v>
      </c>
      <c r="J2875" s="2">
        <v>43534.715532407405</v>
      </c>
      <c r="K2875" s="2">
        <v>43538.715532407405</v>
      </c>
      <c r="L2875" s="2">
        <v>43538.715532407405</v>
      </c>
      <c r="M2875" s="1">
        <f>_xlfn.DAYS(Table1[[#This Row],[actual_delivery_date]],Table1[[#This Row],[dispatch_date]])</f>
        <v>4</v>
      </c>
      <c r="N2875">
        <v>0</v>
      </c>
      <c r="O2875">
        <f>Table1[[#This Row],[transit_storage_cost]] * (1-'What -if Analysis'!$D$26)</f>
        <v>0</v>
      </c>
      <c r="P2875">
        <v>125</v>
      </c>
      <c r="Q2875">
        <v>3542.0681664937783</v>
      </c>
    </row>
    <row r="2876" spans="1:17" x14ac:dyDescent="0.3">
      <c r="A2876">
        <v>84705</v>
      </c>
      <c r="B2876" s="1" t="s">
        <v>39</v>
      </c>
      <c r="C2876" s="1" t="s">
        <v>23</v>
      </c>
      <c r="D2876" s="1" t="s">
        <v>17</v>
      </c>
      <c r="E2876" s="1" t="s">
        <v>18</v>
      </c>
      <c r="F2876" s="1" t="s">
        <v>19</v>
      </c>
      <c r="G2876" s="1" t="s">
        <v>20</v>
      </c>
      <c r="H2876" t="s">
        <v>30</v>
      </c>
      <c r="I2876" s="1" t="s">
        <v>26</v>
      </c>
      <c r="J2876" s="2">
        <v>43532.717291666668</v>
      </c>
      <c r="K2876" s="2">
        <v>43538.717291666668</v>
      </c>
      <c r="L2876" s="2">
        <v>43538.717291666668</v>
      </c>
      <c r="M2876" s="1">
        <f>_xlfn.DAYS(Table1[[#This Row],[actual_delivery_date]],Table1[[#This Row],[dispatch_date]])</f>
        <v>6</v>
      </c>
      <c r="N2876">
        <v>78</v>
      </c>
      <c r="O2876">
        <f>Table1[[#This Row],[transit_storage_cost]] * (1-'What -if Analysis'!$D$26)</f>
        <v>78</v>
      </c>
      <c r="P2876">
        <v>92</v>
      </c>
      <c r="Q2876">
        <v>2570</v>
      </c>
    </row>
    <row r="2877" spans="1:17" x14ac:dyDescent="0.3">
      <c r="A2877">
        <v>230785</v>
      </c>
      <c r="B2877" s="1" t="s">
        <v>38</v>
      </c>
      <c r="C2877" s="1" t="s">
        <v>16</v>
      </c>
      <c r="D2877" s="1" t="s">
        <v>17</v>
      </c>
      <c r="E2877" s="1" t="s">
        <v>18</v>
      </c>
      <c r="F2877" s="1" t="s">
        <v>29</v>
      </c>
      <c r="G2877" s="1" t="s">
        <v>20</v>
      </c>
      <c r="H2877" t="s">
        <v>30</v>
      </c>
      <c r="I2877" s="1" t="s">
        <v>22</v>
      </c>
      <c r="J2877" s="2">
        <v>43534.724259259259</v>
      </c>
      <c r="K2877" s="2">
        <v>43538.724259259259</v>
      </c>
      <c r="L2877" s="2">
        <v>43540.724259259259</v>
      </c>
      <c r="M2877" s="1">
        <f>_xlfn.DAYS(Table1[[#This Row],[actual_delivery_date]],Table1[[#This Row],[dispatch_date]])</f>
        <v>4</v>
      </c>
      <c r="N2877">
        <v>29</v>
      </c>
      <c r="O2877">
        <f>Table1[[#This Row],[transit_storage_cost]] * (1-'What -if Analysis'!$D$26)</f>
        <v>29</v>
      </c>
      <c r="P2877">
        <v>106</v>
      </c>
      <c r="Q2877">
        <v>3034</v>
      </c>
    </row>
    <row r="2878" spans="1:17" x14ac:dyDescent="0.3">
      <c r="A2878">
        <v>604272</v>
      </c>
      <c r="B2878" s="1" t="s">
        <v>39</v>
      </c>
      <c r="C2878" s="1" t="s">
        <v>23</v>
      </c>
      <c r="D2878" s="1" t="s">
        <v>23</v>
      </c>
      <c r="E2878" s="1" t="s">
        <v>28</v>
      </c>
      <c r="F2878" s="1" t="s">
        <v>19</v>
      </c>
      <c r="G2878" s="1" t="s">
        <v>20</v>
      </c>
      <c r="H2878" t="s">
        <v>21</v>
      </c>
      <c r="I2878" s="1" t="s">
        <v>26</v>
      </c>
      <c r="J2878" s="2">
        <v>43533.728993055556</v>
      </c>
      <c r="K2878" s="2">
        <v>43538.728993055556</v>
      </c>
      <c r="L2878" s="2">
        <v>43540.728993055556</v>
      </c>
      <c r="M2878" s="1">
        <f>_xlfn.DAYS(Table1[[#This Row],[actual_delivery_date]],Table1[[#This Row],[dispatch_date]])</f>
        <v>5</v>
      </c>
      <c r="N2878">
        <v>0</v>
      </c>
      <c r="O2878">
        <f>Table1[[#This Row],[transit_storage_cost]] * (1-'What -if Analysis'!$D$26)</f>
        <v>0</v>
      </c>
      <c r="P2878">
        <v>129</v>
      </c>
      <c r="Q2878">
        <v>691</v>
      </c>
    </row>
    <row r="2879" spans="1:17" x14ac:dyDescent="0.3">
      <c r="A2879">
        <v>538604</v>
      </c>
      <c r="B2879" s="1" t="s">
        <v>38</v>
      </c>
      <c r="C2879" s="1" t="s">
        <v>23</v>
      </c>
      <c r="D2879" s="1" t="s">
        <v>32</v>
      </c>
      <c r="E2879" s="1" t="s">
        <v>33</v>
      </c>
      <c r="F2879" s="1" t="s">
        <v>19</v>
      </c>
      <c r="G2879" s="1" t="s">
        <v>20</v>
      </c>
      <c r="H2879" t="s">
        <v>21</v>
      </c>
      <c r="I2879" s="1" t="s">
        <v>22</v>
      </c>
      <c r="J2879" s="2">
        <v>43535.732314814813</v>
      </c>
      <c r="K2879" s="2">
        <v>43538.732314814813</v>
      </c>
      <c r="L2879" s="2">
        <v>43540.732314814813</v>
      </c>
      <c r="M2879" s="1">
        <f>_xlfn.DAYS(Table1[[#This Row],[actual_delivery_date]],Table1[[#This Row],[dispatch_date]])</f>
        <v>3</v>
      </c>
      <c r="N2879">
        <v>62</v>
      </c>
      <c r="O2879">
        <f>Table1[[#This Row],[transit_storage_cost]] * (1-'What -if Analysis'!$D$26)</f>
        <v>62</v>
      </c>
      <c r="P2879">
        <v>92</v>
      </c>
      <c r="Q2879">
        <v>3784.1185170431177</v>
      </c>
    </row>
    <row r="2880" spans="1:17" x14ac:dyDescent="0.3">
      <c r="A2880">
        <v>687999</v>
      </c>
      <c r="B2880" s="1" t="s">
        <v>39</v>
      </c>
      <c r="C2880" s="1" t="s">
        <v>23</v>
      </c>
      <c r="D2880" s="1" t="s">
        <v>24</v>
      </c>
      <c r="E2880" s="1" t="s">
        <v>25</v>
      </c>
      <c r="F2880" s="1" t="s">
        <v>29</v>
      </c>
      <c r="G2880" s="1" t="s">
        <v>20</v>
      </c>
      <c r="H2880" t="s">
        <v>30</v>
      </c>
      <c r="I2880" s="1" t="s">
        <v>26</v>
      </c>
      <c r="J2880" s="2">
        <v>43534.739687499998</v>
      </c>
      <c r="K2880" s="2">
        <v>43538.739687499998</v>
      </c>
      <c r="L2880" s="2">
        <v>43537.739687499998</v>
      </c>
      <c r="M2880" s="1">
        <f>_xlfn.DAYS(Table1[[#This Row],[actual_delivery_date]],Table1[[#This Row],[dispatch_date]])</f>
        <v>4</v>
      </c>
      <c r="N2880">
        <v>46</v>
      </c>
      <c r="O2880">
        <f>Table1[[#This Row],[transit_storage_cost]] * (1-'What -if Analysis'!$D$26)</f>
        <v>46</v>
      </c>
      <c r="P2880">
        <v>128</v>
      </c>
      <c r="Q2880">
        <v>2831</v>
      </c>
    </row>
    <row r="2881" spans="1:17" x14ac:dyDescent="0.3">
      <c r="A2881">
        <v>959529</v>
      </c>
      <c r="B2881" s="1" t="s">
        <v>41</v>
      </c>
      <c r="C2881" s="1" t="s">
        <v>23</v>
      </c>
      <c r="D2881" s="1" t="s">
        <v>17</v>
      </c>
      <c r="E2881" s="1" t="s">
        <v>18</v>
      </c>
      <c r="F2881" s="1" t="s">
        <v>29</v>
      </c>
      <c r="G2881" s="1" t="s">
        <v>20</v>
      </c>
      <c r="H2881" t="s">
        <v>30</v>
      </c>
      <c r="I2881" s="1" t="s">
        <v>26</v>
      </c>
      <c r="J2881" s="2">
        <v>43534.741585648146</v>
      </c>
      <c r="K2881" s="2">
        <v>43538.741585648146</v>
      </c>
      <c r="L2881" s="2">
        <v>43539.741585648146</v>
      </c>
      <c r="M2881" s="1">
        <f>_xlfn.DAYS(Table1[[#This Row],[actual_delivery_date]],Table1[[#This Row],[dispatch_date]])</f>
        <v>4</v>
      </c>
      <c r="N2881">
        <v>48</v>
      </c>
      <c r="O2881">
        <f>Table1[[#This Row],[transit_storage_cost]] * (1-'What -if Analysis'!$D$26)</f>
        <v>48</v>
      </c>
      <c r="P2881">
        <v>106</v>
      </c>
      <c r="Q2881">
        <v>1961.2890994512777</v>
      </c>
    </row>
    <row r="2882" spans="1:17" x14ac:dyDescent="0.3">
      <c r="A2882">
        <v>209416</v>
      </c>
      <c r="B2882" s="1" t="s">
        <v>37</v>
      </c>
      <c r="C2882" s="1" t="s">
        <v>23</v>
      </c>
      <c r="D2882" s="1" t="s">
        <v>17</v>
      </c>
      <c r="E2882" s="1" t="s">
        <v>18</v>
      </c>
      <c r="F2882" s="1" t="s">
        <v>19</v>
      </c>
      <c r="G2882" s="1" t="s">
        <v>20</v>
      </c>
      <c r="H2882" t="s">
        <v>21</v>
      </c>
      <c r="I2882" s="1" t="s">
        <v>22</v>
      </c>
      <c r="J2882" s="2">
        <v>43536.746481481481</v>
      </c>
      <c r="K2882" s="2">
        <v>43538.746481481481</v>
      </c>
      <c r="L2882" s="2">
        <v>43541.746481481481</v>
      </c>
      <c r="M2882" s="1">
        <f>_xlfn.DAYS(Table1[[#This Row],[actual_delivery_date]],Table1[[#This Row],[dispatch_date]])</f>
        <v>2</v>
      </c>
      <c r="N2882">
        <v>88</v>
      </c>
      <c r="O2882">
        <f>Table1[[#This Row],[transit_storage_cost]] * (1-'What -if Analysis'!$D$26)</f>
        <v>88</v>
      </c>
      <c r="P2882">
        <v>93</v>
      </c>
      <c r="Q2882">
        <v>603.91240335279394</v>
      </c>
    </row>
    <row r="2883" spans="1:17" x14ac:dyDescent="0.3">
      <c r="A2883">
        <v>888167</v>
      </c>
      <c r="B2883" s="1" t="s">
        <v>38</v>
      </c>
      <c r="C2883" s="1" t="s">
        <v>16</v>
      </c>
      <c r="D2883" s="1" t="s">
        <v>17</v>
      </c>
      <c r="E2883" s="1" t="s">
        <v>18</v>
      </c>
      <c r="F2883" s="1" t="s">
        <v>35</v>
      </c>
      <c r="G2883" s="1" t="s">
        <v>20</v>
      </c>
      <c r="H2883" t="s">
        <v>34</v>
      </c>
      <c r="I2883" s="1" t="s">
        <v>22</v>
      </c>
      <c r="J2883" s="2">
        <v>43536.749826388892</v>
      </c>
      <c r="K2883" s="2">
        <v>43538.749826388892</v>
      </c>
      <c r="L2883" s="2">
        <v>43541.749826388892</v>
      </c>
      <c r="M2883" s="1">
        <f>_xlfn.DAYS(Table1[[#This Row],[actual_delivery_date]],Table1[[#This Row],[dispatch_date]])</f>
        <v>2</v>
      </c>
      <c r="N2883">
        <v>49</v>
      </c>
      <c r="O2883">
        <f>Table1[[#This Row],[transit_storage_cost]] * (1-'What -if Analysis'!$D$26)</f>
        <v>49</v>
      </c>
      <c r="P2883">
        <v>107</v>
      </c>
      <c r="Q2883">
        <v>2977.1654577017716</v>
      </c>
    </row>
    <row r="2884" spans="1:17" x14ac:dyDescent="0.3">
      <c r="A2884">
        <v>344461</v>
      </c>
      <c r="B2884" s="1" t="s">
        <v>37</v>
      </c>
      <c r="C2884" s="1" t="s">
        <v>16</v>
      </c>
      <c r="D2884" s="1" t="s">
        <v>23</v>
      </c>
      <c r="E2884" s="1" t="s">
        <v>28</v>
      </c>
      <c r="F2884" s="1" t="s">
        <v>19</v>
      </c>
      <c r="G2884" s="1" t="s">
        <v>20</v>
      </c>
      <c r="H2884" t="s">
        <v>30</v>
      </c>
      <c r="I2884" s="1" t="s">
        <v>22</v>
      </c>
      <c r="J2884" s="2">
        <v>43532.750057870369</v>
      </c>
      <c r="K2884" s="2">
        <v>43538.750057870369</v>
      </c>
      <c r="L2884" s="2">
        <v>43539.750057870369</v>
      </c>
      <c r="M2884" s="1">
        <f>_xlfn.DAYS(Table1[[#This Row],[actual_delivery_date]],Table1[[#This Row],[dispatch_date]])</f>
        <v>6</v>
      </c>
      <c r="N2884">
        <v>74</v>
      </c>
      <c r="O2884">
        <f>Table1[[#This Row],[transit_storage_cost]] * (1-'What -if Analysis'!$D$26)</f>
        <v>74</v>
      </c>
      <c r="P2884">
        <v>105</v>
      </c>
      <c r="Q2884">
        <v>1701.6729153385172</v>
      </c>
    </row>
    <row r="2885" spans="1:17" x14ac:dyDescent="0.3">
      <c r="A2885">
        <v>421332</v>
      </c>
      <c r="B2885" s="1" t="s">
        <v>41</v>
      </c>
      <c r="C2885" s="1" t="s">
        <v>23</v>
      </c>
      <c r="D2885" s="1" t="s">
        <v>24</v>
      </c>
      <c r="E2885" s="1" t="s">
        <v>25</v>
      </c>
      <c r="F2885" s="1" t="s">
        <v>19</v>
      </c>
      <c r="G2885" s="1" t="s">
        <v>20</v>
      </c>
      <c r="H2885" t="s">
        <v>21</v>
      </c>
      <c r="I2885" s="1" t="s">
        <v>26</v>
      </c>
      <c r="J2885" s="2">
        <v>43528.765590277777</v>
      </c>
      <c r="K2885" s="2">
        <v>43538.765590277777</v>
      </c>
      <c r="L2885" s="2">
        <v>43531.765590277777</v>
      </c>
      <c r="M2885" s="1">
        <f>_xlfn.DAYS(Table1[[#This Row],[actual_delivery_date]],Table1[[#This Row],[dispatch_date]])</f>
        <v>10</v>
      </c>
      <c r="N2885">
        <v>65</v>
      </c>
      <c r="O2885">
        <f>Table1[[#This Row],[transit_storage_cost]] * (1-'What -if Analysis'!$D$26)</f>
        <v>65</v>
      </c>
      <c r="P2885">
        <v>100</v>
      </c>
      <c r="Q2885">
        <v>1042.3699999999999</v>
      </c>
    </row>
    <row r="2886" spans="1:17" x14ac:dyDescent="0.3">
      <c r="A2886">
        <v>502739</v>
      </c>
      <c r="B2886" s="1" t="s">
        <v>40</v>
      </c>
      <c r="C2886" s="1" t="s">
        <v>16</v>
      </c>
      <c r="D2886" s="1" t="s">
        <v>23</v>
      </c>
      <c r="E2886" s="1" t="s">
        <v>28</v>
      </c>
      <c r="F2886" s="1" t="s">
        <v>29</v>
      </c>
      <c r="G2886" s="1" t="s">
        <v>20</v>
      </c>
      <c r="H2886" t="s">
        <v>30</v>
      </c>
      <c r="I2886" s="1" t="s">
        <v>22</v>
      </c>
      <c r="J2886" s="2">
        <v>43528.766643518517</v>
      </c>
      <c r="K2886" s="2">
        <v>43538.766643518517</v>
      </c>
      <c r="L2886" s="2">
        <v>43535.766643518517</v>
      </c>
      <c r="M2886" s="1">
        <f>_xlfn.DAYS(Table1[[#This Row],[actual_delivery_date]],Table1[[#This Row],[dispatch_date]])</f>
        <v>10</v>
      </c>
      <c r="N2886">
        <v>46</v>
      </c>
      <c r="O2886">
        <f>Table1[[#This Row],[transit_storage_cost]] * (1-'What -if Analysis'!$D$26)</f>
        <v>46</v>
      </c>
      <c r="P2886">
        <v>124</v>
      </c>
      <c r="Q2886">
        <v>908.23091264258062</v>
      </c>
    </row>
    <row r="2887" spans="1:17" x14ac:dyDescent="0.3">
      <c r="A2887">
        <v>44404</v>
      </c>
      <c r="B2887" s="1" t="s">
        <v>39</v>
      </c>
      <c r="C2887" s="1" t="s">
        <v>23</v>
      </c>
      <c r="D2887" s="1" t="s">
        <v>17</v>
      </c>
      <c r="E2887" s="1" t="s">
        <v>18</v>
      </c>
      <c r="F2887" s="1" t="s">
        <v>19</v>
      </c>
      <c r="G2887" s="1" t="s">
        <v>20</v>
      </c>
      <c r="H2887" t="s">
        <v>21</v>
      </c>
      <c r="I2887" s="1" t="s">
        <v>22</v>
      </c>
      <c r="J2887" s="2">
        <v>43533.766828703701</v>
      </c>
      <c r="K2887" s="2">
        <v>43538.766828703701</v>
      </c>
      <c r="L2887" s="2">
        <v>43540.766828703701</v>
      </c>
      <c r="M2887" s="1">
        <f>_xlfn.DAYS(Table1[[#This Row],[actual_delivery_date]],Table1[[#This Row],[dispatch_date]])</f>
        <v>5</v>
      </c>
      <c r="N2887">
        <v>38</v>
      </c>
      <c r="O2887">
        <f>Table1[[#This Row],[transit_storage_cost]] * (1-'What -if Analysis'!$D$26)</f>
        <v>38</v>
      </c>
      <c r="P2887">
        <v>107</v>
      </c>
      <c r="Q2887">
        <v>3492.1823479016562</v>
      </c>
    </row>
    <row r="2888" spans="1:17" x14ac:dyDescent="0.3">
      <c r="A2888">
        <v>679117</v>
      </c>
      <c r="B2888" s="1" t="s">
        <v>37</v>
      </c>
      <c r="C2888" s="1" t="s">
        <v>23</v>
      </c>
      <c r="D2888" s="1" t="s">
        <v>16</v>
      </c>
      <c r="E2888" s="1" t="s">
        <v>27</v>
      </c>
      <c r="F2888" s="1" t="s">
        <v>19</v>
      </c>
      <c r="G2888" s="1" t="s">
        <v>20</v>
      </c>
      <c r="H2888" t="s">
        <v>30</v>
      </c>
      <c r="I2888" s="1" t="s">
        <v>22</v>
      </c>
      <c r="J2888" s="2">
        <v>43532.768680555557</v>
      </c>
      <c r="K2888" s="2">
        <v>43538.768680555557</v>
      </c>
      <c r="L2888" s="2">
        <v>43539.768680555557</v>
      </c>
      <c r="M2888" s="1">
        <f>_xlfn.DAYS(Table1[[#This Row],[actual_delivery_date]],Table1[[#This Row],[dispatch_date]])</f>
        <v>6</v>
      </c>
      <c r="N2888">
        <v>67</v>
      </c>
      <c r="O2888">
        <f>Table1[[#This Row],[transit_storage_cost]] * (1-'What -if Analysis'!$D$26)</f>
        <v>67</v>
      </c>
      <c r="P2888">
        <v>104</v>
      </c>
      <c r="Q2888">
        <v>1231.2745548861501</v>
      </c>
    </row>
    <row r="2889" spans="1:17" x14ac:dyDescent="0.3">
      <c r="A2889">
        <v>892678</v>
      </c>
      <c r="B2889" s="1" t="s">
        <v>39</v>
      </c>
      <c r="C2889" s="1" t="s">
        <v>16</v>
      </c>
      <c r="D2889" s="1" t="s">
        <v>24</v>
      </c>
      <c r="E2889" s="1" t="s">
        <v>25</v>
      </c>
      <c r="F2889" s="1" t="s">
        <v>31</v>
      </c>
      <c r="G2889" s="1" t="s">
        <v>20</v>
      </c>
      <c r="H2889" t="s">
        <v>21</v>
      </c>
      <c r="I2889" s="1" t="s">
        <v>22</v>
      </c>
      <c r="J2889" s="2">
        <v>43534.780995370369</v>
      </c>
      <c r="K2889" s="2">
        <v>43538.780995370369</v>
      </c>
      <c r="L2889" s="2">
        <v>43540.780995370369</v>
      </c>
      <c r="M2889" s="1">
        <f>_xlfn.DAYS(Table1[[#This Row],[actual_delivery_date]],Table1[[#This Row],[dispatch_date]])</f>
        <v>4</v>
      </c>
      <c r="N2889">
        <v>35</v>
      </c>
      <c r="O2889">
        <f>Table1[[#This Row],[transit_storage_cost]] * (1-'What -if Analysis'!$D$26)</f>
        <v>35</v>
      </c>
      <c r="P2889">
        <v>129</v>
      </c>
      <c r="Q2889">
        <v>3239</v>
      </c>
    </row>
    <row r="2890" spans="1:17" x14ac:dyDescent="0.3">
      <c r="A2890">
        <v>439516</v>
      </c>
      <c r="B2890" s="1" t="s">
        <v>37</v>
      </c>
      <c r="C2890" s="1" t="s">
        <v>23</v>
      </c>
      <c r="D2890" s="1" t="s">
        <v>17</v>
      </c>
      <c r="E2890" s="1" t="s">
        <v>18</v>
      </c>
      <c r="F2890" s="1" t="s">
        <v>19</v>
      </c>
      <c r="G2890" s="1" t="s">
        <v>20</v>
      </c>
      <c r="H2890" t="s">
        <v>21</v>
      </c>
      <c r="I2890" s="1" t="s">
        <v>22</v>
      </c>
      <c r="J2890" s="2">
        <v>43532.784745370373</v>
      </c>
      <c r="K2890" s="2">
        <v>43538.784745370373</v>
      </c>
      <c r="L2890" s="2">
        <v>43535.784745370373</v>
      </c>
      <c r="M2890" s="1">
        <f>_xlfn.DAYS(Table1[[#This Row],[actual_delivery_date]],Table1[[#This Row],[dispatch_date]])</f>
        <v>6</v>
      </c>
      <c r="N2890">
        <v>83</v>
      </c>
      <c r="O2890">
        <f>Table1[[#This Row],[transit_storage_cost]] * (1-'What -if Analysis'!$D$26)</f>
        <v>83</v>
      </c>
      <c r="P2890">
        <v>94</v>
      </c>
      <c r="Q2890">
        <v>2348.1281191888675</v>
      </c>
    </row>
    <row r="2891" spans="1:17" x14ac:dyDescent="0.3">
      <c r="A2891">
        <v>671405</v>
      </c>
      <c r="B2891" s="1" t="s">
        <v>38</v>
      </c>
      <c r="C2891" s="1" t="s">
        <v>23</v>
      </c>
      <c r="D2891" s="1" t="s">
        <v>16</v>
      </c>
      <c r="E2891" s="1" t="s">
        <v>27</v>
      </c>
      <c r="F2891" s="1" t="s">
        <v>29</v>
      </c>
      <c r="G2891" s="1" t="s">
        <v>20</v>
      </c>
      <c r="H2891" t="s">
        <v>34</v>
      </c>
      <c r="I2891" s="1" t="s">
        <v>22</v>
      </c>
      <c r="J2891" s="2">
        <v>43535.784780092596</v>
      </c>
      <c r="K2891" s="2">
        <v>43538.784780092596</v>
      </c>
      <c r="L2891" s="2">
        <v>43541.784780092596</v>
      </c>
      <c r="M2891" s="1">
        <f>_xlfn.DAYS(Table1[[#This Row],[actual_delivery_date]],Table1[[#This Row],[dispatch_date]])</f>
        <v>3</v>
      </c>
      <c r="N2891">
        <v>37</v>
      </c>
      <c r="O2891">
        <f>Table1[[#This Row],[transit_storage_cost]] * (1-'What -if Analysis'!$D$26)</f>
        <v>37</v>
      </c>
      <c r="P2891">
        <v>129</v>
      </c>
      <c r="Q2891">
        <v>784.50681646788485</v>
      </c>
    </row>
    <row r="2892" spans="1:17" x14ac:dyDescent="0.3">
      <c r="A2892">
        <v>228742</v>
      </c>
      <c r="B2892" s="1" t="s">
        <v>37</v>
      </c>
      <c r="C2892" s="1" t="s">
        <v>16</v>
      </c>
      <c r="D2892" s="1" t="s">
        <v>23</v>
      </c>
      <c r="E2892" s="1" t="s">
        <v>28</v>
      </c>
      <c r="F2892" s="1" t="s">
        <v>31</v>
      </c>
      <c r="G2892" s="1" t="s">
        <v>20</v>
      </c>
      <c r="H2892" t="s">
        <v>21</v>
      </c>
      <c r="I2892" s="1" t="s">
        <v>22</v>
      </c>
      <c r="J2892" s="2">
        <v>43530.786678240744</v>
      </c>
      <c r="K2892" s="2">
        <v>43538.786678240744</v>
      </c>
      <c r="L2892" s="2">
        <v>43533.786678240744</v>
      </c>
      <c r="M2892" s="1">
        <f>_xlfn.DAYS(Table1[[#This Row],[actual_delivery_date]],Table1[[#This Row],[dispatch_date]])</f>
        <v>8</v>
      </c>
      <c r="N2892">
        <v>50</v>
      </c>
      <c r="O2892">
        <f>Table1[[#This Row],[transit_storage_cost]] * (1-'What -if Analysis'!$D$26)</f>
        <v>50</v>
      </c>
      <c r="P2892">
        <v>122</v>
      </c>
      <c r="Q2892">
        <v>289</v>
      </c>
    </row>
    <row r="2893" spans="1:17" x14ac:dyDescent="0.3">
      <c r="A2893">
        <v>441189</v>
      </c>
      <c r="B2893" s="1" t="s">
        <v>39</v>
      </c>
      <c r="C2893" s="1" t="s">
        <v>16</v>
      </c>
      <c r="D2893" s="1" t="s">
        <v>16</v>
      </c>
      <c r="E2893" s="1" t="s">
        <v>27</v>
      </c>
      <c r="F2893" s="1" t="s">
        <v>29</v>
      </c>
      <c r="G2893" s="1" t="s">
        <v>20</v>
      </c>
      <c r="H2893" t="s">
        <v>34</v>
      </c>
      <c r="I2893" s="1" t="s">
        <v>26</v>
      </c>
      <c r="J2893" s="2">
        <v>43537.787083333336</v>
      </c>
      <c r="K2893" s="2">
        <v>43538.787083333336</v>
      </c>
      <c r="L2893" s="2">
        <v>43540.787083333336</v>
      </c>
      <c r="M2893" s="1">
        <f>_xlfn.DAYS(Table1[[#This Row],[actual_delivery_date]],Table1[[#This Row],[dispatch_date]])</f>
        <v>1</v>
      </c>
      <c r="N2893">
        <v>0</v>
      </c>
      <c r="O2893">
        <f>Table1[[#This Row],[transit_storage_cost]] * (1-'What -if Analysis'!$D$26)</f>
        <v>0</v>
      </c>
      <c r="P2893">
        <v>130</v>
      </c>
      <c r="Q2893">
        <v>564</v>
      </c>
    </row>
    <row r="2894" spans="1:17" x14ac:dyDescent="0.3">
      <c r="A2894">
        <v>727793</v>
      </c>
      <c r="B2894" s="1" t="s">
        <v>40</v>
      </c>
      <c r="C2894" s="1" t="s">
        <v>16</v>
      </c>
      <c r="D2894" s="1" t="s">
        <v>17</v>
      </c>
      <c r="E2894" s="1" t="s">
        <v>18</v>
      </c>
      <c r="F2894" s="1" t="s">
        <v>29</v>
      </c>
      <c r="G2894" s="1" t="s">
        <v>20</v>
      </c>
      <c r="H2894" t="s">
        <v>30</v>
      </c>
      <c r="I2894" s="1" t="s">
        <v>22</v>
      </c>
      <c r="J2894" s="2">
        <v>43531.790567129632</v>
      </c>
      <c r="K2894" s="2">
        <v>43538.790567129632</v>
      </c>
      <c r="L2894" s="2">
        <v>43534.790567129632</v>
      </c>
      <c r="M2894" s="1">
        <f>_xlfn.DAYS(Table1[[#This Row],[actual_delivery_date]],Table1[[#This Row],[dispatch_date]])</f>
        <v>7</v>
      </c>
      <c r="N2894">
        <v>37</v>
      </c>
      <c r="O2894">
        <f>Table1[[#This Row],[transit_storage_cost]] * (1-'What -if Analysis'!$D$26)</f>
        <v>37</v>
      </c>
      <c r="P2894">
        <v>111</v>
      </c>
      <c r="Q2894">
        <v>3391.7309798590964</v>
      </c>
    </row>
    <row r="2895" spans="1:17" x14ac:dyDescent="0.3">
      <c r="A2895">
        <v>104249</v>
      </c>
      <c r="B2895" s="1" t="s">
        <v>37</v>
      </c>
      <c r="C2895" s="1" t="s">
        <v>23</v>
      </c>
      <c r="D2895" s="1" t="s">
        <v>23</v>
      </c>
      <c r="E2895" s="1" t="s">
        <v>28</v>
      </c>
      <c r="F2895" s="1" t="s">
        <v>29</v>
      </c>
      <c r="G2895" s="1" t="s">
        <v>20</v>
      </c>
      <c r="H2895" t="s">
        <v>30</v>
      </c>
      <c r="I2895" s="1" t="s">
        <v>22</v>
      </c>
      <c r="J2895" s="2">
        <v>43538.800752314812</v>
      </c>
      <c r="K2895" s="2">
        <v>43538.800752314812</v>
      </c>
      <c r="L2895" s="2">
        <v>43542.800752314812</v>
      </c>
      <c r="M2895" s="1">
        <f>_xlfn.DAYS(Table1[[#This Row],[actual_delivery_date]],Table1[[#This Row],[dispatch_date]])</f>
        <v>0</v>
      </c>
      <c r="N2895">
        <v>0</v>
      </c>
      <c r="O2895">
        <f>Table1[[#This Row],[transit_storage_cost]] * (1-'What -if Analysis'!$D$26)</f>
        <v>0</v>
      </c>
      <c r="P2895">
        <v>128</v>
      </c>
      <c r="Q2895">
        <v>302.46858451130419</v>
      </c>
    </row>
    <row r="2896" spans="1:17" x14ac:dyDescent="0.3">
      <c r="A2896">
        <v>637949</v>
      </c>
      <c r="B2896" s="1" t="s">
        <v>41</v>
      </c>
      <c r="C2896" s="1" t="s">
        <v>16</v>
      </c>
      <c r="D2896" s="1" t="s">
        <v>24</v>
      </c>
      <c r="E2896" s="1" t="s">
        <v>25</v>
      </c>
      <c r="F2896" s="1" t="s">
        <v>29</v>
      </c>
      <c r="G2896" s="1" t="s">
        <v>20</v>
      </c>
      <c r="H2896" t="s">
        <v>30</v>
      </c>
      <c r="I2896" s="1" t="s">
        <v>22</v>
      </c>
      <c r="J2896" s="2">
        <v>43532.801886574074</v>
      </c>
      <c r="K2896" s="2">
        <v>43538.801886574074</v>
      </c>
      <c r="L2896" s="2">
        <v>43538.801886574074</v>
      </c>
      <c r="M2896" s="1">
        <f>_xlfn.DAYS(Table1[[#This Row],[actual_delivery_date]],Table1[[#This Row],[dispatch_date]])</f>
        <v>6</v>
      </c>
      <c r="N2896">
        <v>42</v>
      </c>
      <c r="O2896">
        <f>Table1[[#This Row],[transit_storage_cost]] * (1-'What -if Analysis'!$D$26)</f>
        <v>42</v>
      </c>
      <c r="P2896">
        <v>127</v>
      </c>
      <c r="Q2896">
        <v>1781.1924213584475</v>
      </c>
    </row>
    <row r="2897" spans="1:17" x14ac:dyDescent="0.3">
      <c r="A2897">
        <v>404252</v>
      </c>
      <c r="B2897" s="1" t="s">
        <v>38</v>
      </c>
      <c r="C2897" s="1" t="s">
        <v>16</v>
      </c>
      <c r="D2897" s="1" t="s">
        <v>23</v>
      </c>
      <c r="E2897" s="1" t="s">
        <v>28</v>
      </c>
      <c r="F2897" s="1" t="s">
        <v>19</v>
      </c>
      <c r="G2897" s="1" t="s">
        <v>20</v>
      </c>
      <c r="H2897" t="s">
        <v>21</v>
      </c>
      <c r="I2897" s="1" t="s">
        <v>22</v>
      </c>
      <c r="J2897" s="2">
        <v>43533.803935185184</v>
      </c>
      <c r="K2897" s="2">
        <v>43538.803935185184</v>
      </c>
      <c r="L2897" s="2">
        <v>43539.803935185184</v>
      </c>
      <c r="M2897" s="1">
        <f>_xlfn.DAYS(Table1[[#This Row],[actual_delivery_date]],Table1[[#This Row],[dispatch_date]])</f>
        <v>5</v>
      </c>
      <c r="N2897">
        <v>45</v>
      </c>
      <c r="O2897">
        <f>Table1[[#This Row],[transit_storage_cost]] * (1-'What -if Analysis'!$D$26)</f>
        <v>45</v>
      </c>
      <c r="P2897">
        <v>125</v>
      </c>
      <c r="Q2897">
        <v>2080.8709889842157</v>
      </c>
    </row>
    <row r="2898" spans="1:17" x14ac:dyDescent="0.3">
      <c r="A2898">
        <v>696194</v>
      </c>
      <c r="B2898" s="1" t="s">
        <v>41</v>
      </c>
      <c r="C2898" s="1" t="s">
        <v>16</v>
      </c>
      <c r="D2898" s="1" t="s">
        <v>32</v>
      </c>
      <c r="E2898" s="1" t="s">
        <v>33</v>
      </c>
      <c r="F2898" s="1" t="s">
        <v>31</v>
      </c>
      <c r="G2898" s="1" t="s">
        <v>20</v>
      </c>
      <c r="H2898" t="s">
        <v>21</v>
      </c>
      <c r="I2898" s="1" t="s">
        <v>22</v>
      </c>
      <c r="J2898" s="2">
        <v>43535.804722222223</v>
      </c>
      <c r="K2898" s="2">
        <v>43538.804722222223</v>
      </c>
      <c r="L2898" s="2">
        <v>43540.804722222223</v>
      </c>
      <c r="M2898" s="1">
        <f>_xlfn.DAYS(Table1[[#This Row],[actual_delivery_date]],Table1[[#This Row],[dispatch_date]])</f>
        <v>3</v>
      </c>
      <c r="N2898">
        <v>35</v>
      </c>
      <c r="O2898">
        <f>Table1[[#This Row],[transit_storage_cost]] * (1-'What -if Analysis'!$D$26)</f>
        <v>35</v>
      </c>
      <c r="P2898">
        <v>114</v>
      </c>
      <c r="Q2898">
        <v>2724.40357359571</v>
      </c>
    </row>
    <row r="2899" spans="1:17" x14ac:dyDescent="0.3">
      <c r="A2899">
        <v>846736</v>
      </c>
      <c r="B2899" s="1" t="s">
        <v>37</v>
      </c>
      <c r="C2899" s="1" t="s">
        <v>23</v>
      </c>
      <c r="D2899" s="1" t="s">
        <v>32</v>
      </c>
      <c r="E2899" s="1" t="s">
        <v>33</v>
      </c>
      <c r="F2899" s="1" t="s">
        <v>19</v>
      </c>
      <c r="G2899" s="1" t="s">
        <v>20</v>
      </c>
      <c r="H2899" t="s">
        <v>21</v>
      </c>
      <c r="I2899" s="1" t="s">
        <v>22</v>
      </c>
      <c r="J2899" s="2">
        <v>43533.810081018521</v>
      </c>
      <c r="K2899" s="2">
        <v>43538.810081018521</v>
      </c>
      <c r="L2899" s="2">
        <v>43537.810081018521</v>
      </c>
      <c r="M2899" s="1">
        <f>_xlfn.DAYS(Table1[[#This Row],[actual_delivery_date]],Table1[[#This Row],[dispatch_date]])</f>
        <v>5</v>
      </c>
      <c r="N2899">
        <v>63</v>
      </c>
      <c r="O2899">
        <f>Table1[[#This Row],[transit_storage_cost]] * (1-'What -if Analysis'!$D$26)</f>
        <v>63</v>
      </c>
      <c r="P2899">
        <v>92</v>
      </c>
      <c r="Q2899">
        <v>3452</v>
      </c>
    </row>
    <row r="2900" spans="1:17" x14ac:dyDescent="0.3">
      <c r="A2900">
        <v>184863</v>
      </c>
      <c r="B2900" s="1" t="s">
        <v>37</v>
      </c>
      <c r="C2900" s="1" t="s">
        <v>16</v>
      </c>
      <c r="D2900" s="1" t="s">
        <v>24</v>
      </c>
      <c r="E2900" s="1" t="s">
        <v>25</v>
      </c>
      <c r="F2900" s="1" t="s">
        <v>29</v>
      </c>
      <c r="G2900" s="1" t="s">
        <v>20</v>
      </c>
      <c r="H2900" t="s">
        <v>34</v>
      </c>
      <c r="I2900" s="1" t="s">
        <v>26</v>
      </c>
      <c r="J2900" s="2">
        <v>43531.813171296293</v>
      </c>
      <c r="K2900" s="2">
        <v>43538.813171296293</v>
      </c>
      <c r="L2900" s="2">
        <v>43535.813171296293</v>
      </c>
      <c r="M2900" s="1">
        <f>_xlfn.DAYS(Table1[[#This Row],[actual_delivery_date]],Table1[[#This Row],[dispatch_date]])</f>
        <v>7</v>
      </c>
      <c r="N2900">
        <v>49</v>
      </c>
      <c r="O2900">
        <f>Table1[[#This Row],[transit_storage_cost]] * (1-'What -if Analysis'!$D$26)</f>
        <v>49</v>
      </c>
      <c r="P2900">
        <v>130</v>
      </c>
      <c r="Q2900">
        <v>2557</v>
      </c>
    </row>
    <row r="2901" spans="1:17" x14ac:dyDescent="0.3">
      <c r="A2901">
        <v>275228</v>
      </c>
      <c r="B2901" s="1" t="s">
        <v>38</v>
      </c>
      <c r="C2901" s="1" t="s">
        <v>23</v>
      </c>
      <c r="D2901" s="1" t="s">
        <v>23</v>
      </c>
      <c r="E2901" s="1" t="s">
        <v>28</v>
      </c>
      <c r="F2901" s="1" t="s">
        <v>19</v>
      </c>
      <c r="G2901" s="1" t="s">
        <v>20</v>
      </c>
      <c r="H2901" t="s">
        <v>21</v>
      </c>
      <c r="I2901" s="1" t="s">
        <v>22</v>
      </c>
      <c r="J2901" s="2">
        <v>43538.818124999998</v>
      </c>
      <c r="K2901" s="2">
        <v>43538.818124999998</v>
      </c>
      <c r="L2901" s="2">
        <v>43543.818124999998</v>
      </c>
      <c r="M2901" s="1">
        <f>_xlfn.DAYS(Table1[[#This Row],[actual_delivery_date]],Table1[[#This Row],[dispatch_date]])</f>
        <v>0</v>
      </c>
      <c r="N2901">
        <v>0</v>
      </c>
      <c r="O2901">
        <f>Table1[[#This Row],[transit_storage_cost]] * (1-'What -if Analysis'!$D$26)</f>
        <v>0</v>
      </c>
      <c r="P2901">
        <v>109</v>
      </c>
      <c r="Q2901">
        <v>3379</v>
      </c>
    </row>
    <row r="2902" spans="1:17" x14ac:dyDescent="0.3">
      <c r="A2902">
        <v>151511</v>
      </c>
      <c r="B2902" s="1" t="s">
        <v>37</v>
      </c>
      <c r="C2902" s="1" t="s">
        <v>16</v>
      </c>
      <c r="D2902" s="1" t="s">
        <v>23</v>
      </c>
      <c r="E2902" s="1" t="s">
        <v>28</v>
      </c>
      <c r="F2902" s="1" t="s">
        <v>29</v>
      </c>
      <c r="G2902" s="1" t="s">
        <v>20</v>
      </c>
      <c r="H2902" t="s">
        <v>30</v>
      </c>
      <c r="I2902" s="1" t="s">
        <v>22</v>
      </c>
      <c r="J2902" s="2">
        <v>43532.820671296293</v>
      </c>
      <c r="K2902" s="2">
        <v>43538.820671296293</v>
      </c>
      <c r="L2902" s="2">
        <v>43535.820671296293</v>
      </c>
      <c r="M2902" s="1">
        <f>_xlfn.DAYS(Table1[[#This Row],[actual_delivery_date]],Table1[[#This Row],[dispatch_date]])</f>
        <v>6</v>
      </c>
      <c r="N2902">
        <v>42</v>
      </c>
      <c r="O2902">
        <f>Table1[[#This Row],[transit_storage_cost]] * (1-'What -if Analysis'!$D$26)</f>
        <v>42</v>
      </c>
      <c r="P2902">
        <v>122</v>
      </c>
      <c r="Q2902">
        <v>2923.5327831123641</v>
      </c>
    </row>
    <row r="2903" spans="1:17" x14ac:dyDescent="0.3">
      <c r="A2903">
        <v>389413</v>
      </c>
      <c r="B2903" s="1" t="s">
        <v>38</v>
      </c>
      <c r="C2903" s="1" t="s">
        <v>23</v>
      </c>
      <c r="D2903" s="1" t="s">
        <v>24</v>
      </c>
      <c r="E2903" s="1" t="s">
        <v>25</v>
      </c>
      <c r="F2903" s="1" t="s">
        <v>29</v>
      </c>
      <c r="G2903" s="1" t="s">
        <v>20</v>
      </c>
      <c r="H2903" t="s">
        <v>30</v>
      </c>
      <c r="I2903" s="1" t="s">
        <v>22</v>
      </c>
      <c r="J2903" s="2">
        <v>43536.822465277779</v>
      </c>
      <c r="K2903" s="2">
        <v>43538.822465277779</v>
      </c>
      <c r="L2903" s="2">
        <v>43541.822465277779</v>
      </c>
      <c r="M2903" s="1">
        <f>_xlfn.DAYS(Table1[[#This Row],[actual_delivery_date]],Table1[[#This Row],[dispatch_date]])</f>
        <v>2</v>
      </c>
      <c r="N2903">
        <v>49</v>
      </c>
      <c r="O2903">
        <f>Table1[[#This Row],[transit_storage_cost]] * (1-'What -if Analysis'!$D$26)</f>
        <v>49</v>
      </c>
      <c r="P2903">
        <v>122</v>
      </c>
      <c r="Q2903">
        <v>2569.4180780808965</v>
      </c>
    </row>
    <row r="2904" spans="1:17" x14ac:dyDescent="0.3">
      <c r="A2904">
        <v>950748</v>
      </c>
      <c r="B2904" s="1" t="s">
        <v>38</v>
      </c>
      <c r="C2904" s="1" t="s">
        <v>16</v>
      </c>
      <c r="D2904" s="1" t="s">
        <v>24</v>
      </c>
      <c r="E2904" s="1" t="s">
        <v>25</v>
      </c>
      <c r="F2904" s="1" t="s">
        <v>19</v>
      </c>
      <c r="G2904" s="1" t="s">
        <v>20</v>
      </c>
      <c r="H2904" t="s">
        <v>21</v>
      </c>
      <c r="I2904" s="1" t="s">
        <v>26</v>
      </c>
      <c r="J2904" s="2">
        <v>43532.829351851855</v>
      </c>
      <c r="K2904" s="2">
        <v>43538.829351851855</v>
      </c>
      <c r="L2904" s="2">
        <v>43537.829351851855</v>
      </c>
      <c r="M2904" s="1">
        <f>_xlfn.DAYS(Table1[[#This Row],[actual_delivery_date]],Table1[[#This Row],[dispatch_date]])</f>
        <v>6</v>
      </c>
      <c r="N2904">
        <v>72</v>
      </c>
      <c r="O2904">
        <f>Table1[[#This Row],[transit_storage_cost]] * (1-'What -if Analysis'!$D$26)</f>
        <v>72</v>
      </c>
      <c r="P2904">
        <v>101</v>
      </c>
      <c r="Q2904">
        <v>1806.895595339726</v>
      </c>
    </row>
    <row r="2905" spans="1:17" x14ac:dyDescent="0.3">
      <c r="A2905">
        <v>935970</v>
      </c>
      <c r="B2905" s="1" t="s">
        <v>38</v>
      </c>
      <c r="C2905" s="1" t="s">
        <v>23</v>
      </c>
      <c r="D2905" s="1" t="s">
        <v>23</v>
      </c>
      <c r="E2905" s="1" t="s">
        <v>28</v>
      </c>
      <c r="F2905" s="1" t="s">
        <v>31</v>
      </c>
      <c r="G2905" s="1" t="s">
        <v>20</v>
      </c>
      <c r="H2905" t="s">
        <v>21</v>
      </c>
      <c r="I2905" s="1" t="s">
        <v>26</v>
      </c>
      <c r="J2905" s="2">
        <v>43536.8358912037</v>
      </c>
      <c r="K2905" s="2">
        <v>43538.8358912037</v>
      </c>
      <c r="L2905" s="2">
        <v>43543.8358912037</v>
      </c>
      <c r="M2905" s="1">
        <f>_xlfn.DAYS(Table1[[#This Row],[actual_delivery_date]],Table1[[#This Row],[dispatch_date]])</f>
        <v>2</v>
      </c>
      <c r="N2905">
        <v>0</v>
      </c>
      <c r="O2905">
        <f>Table1[[#This Row],[transit_storage_cost]] * (1-'What -if Analysis'!$D$26)</f>
        <v>0</v>
      </c>
      <c r="P2905">
        <v>121</v>
      </c>
      <c r="Q2905">
        <v>1648</v>
      </c>
    </row>
    <row r="2906" spans="1:17" x14ac:dyDescent="0.3">
      <c r="A2906">
        <v>143157</v>
      </c>
      <c r="B2906" s="1" t="s">
        <v>39</v>
      </c>
      <c r="C2906" s="1" t="s">
        <v>16</v>
      </c>
      <c r="D2906" s="1" t="s">
        <v>17</v>
      </c>
      <c r="E2906" s="1" t="s">
        <v>18</v>
      </c>
      <c r="F2906" s="1" t="s">
        <v>19</v>
      </c>
      <c r="G2906" s="1" t="s">
        <v>20</v>
      </c>
      <c r="H2906" t="s">
        <v>34</v>
      </c>
      <c r="I2906" s="1" t="s">
        <v>26</v>
      </c>
      <c r="J2906" s="2">
        <v>43533.836331018516</v>
      </c>
      <c r="K2906" s="2">
        <v>43538.836331018516</v>
      </c>
      <c r="L2906" s="2">
        <v>43540.836331018516</v>
      </c>
      <c r="M2906" s="1">
        <f>_xlfn.DAYS(Table1[[#This Row],[actual_delivery_date]],Table1[[#This Row],[dispatch_date]])</f>
        <v>5</v>
      </c>
      <c r="N2906">
        <v>78</v>
      </c>
      <c r="O2906">
        <f>Table1[[#This Row],[transit_storage_cost]] * (1-'What -if Analysis'!$D$26)</f>
        <v>78</v>
      </c>
      <c r="P2906">
        <v>85</v>
      </c>
      <c r="Q2906">
        <v>3657.2916882759191</v>
      </c>
    </row>
    <row r="2907" spans="1:17" x14ac:dyDescent="0.3">
      <c r="A2907">
        <v>305456</v>
      </c>
      <c r="B2907" s="1" t="s">
        <v>39</v>
      </c>
      <c r="C2907" s="1" t="s">
        <v>16</v>
      </c>
      <c r="D2907" s="1" t="s">
        <v>16</v>
      </c>
      <c r="E2907" s="1" t="s">
        <v>27</v>
      </c>
      <c r="F2907" s="1" t="s">
        <v>19</v>
      </c>
      <c r="G2907" s="1" t="s">
        <v>20</v>
      </c>
      <c r="H2907" t="s">
        <v>21</v>
      </c>
      <c r="I2907" s="1" t="s">
        <v>22</v>
      </c>
      <c r="J2907" s="2">
        <v>43536.837002314816</v>
      </c>
      <c r="K2907" s="2">
        <v>43538.837002314816</v>
      </c>
      <c r="L2907" s="2">
        <v>43543.837002314816</v>
      </c>
      <c r="M2907" s="1">
        <f>_xlfn.DAYS(Table1[[#This Row],[actual_delivery_date]],Table1[[#This Row],[dispatch_date]])</f>
        <v>2</v>
      </c>
      <c r="N2907">
        <v>0</v>
      </c>
      <c r="O2907">
        <f>Table1[[#This Row],[transit_storage_cost]] * (1-'What -if Analysis'!$D$26)</f>
        <v>0</v>
      </c>
      <c r="P2907">
        <v>124</v>
      </c>
      <c r="Q2907">
        <v>3510</v>
      </c>
    </row>
    <row r="2908" spans="1:17" x14ac:dyDescent="0.3">
      <c r="A2908">
        <v>246169</v>
      </c>
      <c r="B2908" s="1" t="s">
        <v>41</v>
      </c>
      <c r="C2908" s="1" t="s">
        <v>23</v>
      </c>
      <c r="D2908" s="1" t="s">
        <v>16</v>
      </c>
      <c r="E2908" s="1" t="s">
        <v>27</v>
      </c>
      <c r="F2908" s="1" t="s">
        <v>19</v>
      </c>
      <c r="G2908" s="1" t="s">
        <v>20</v>
      </c>
      <c r="H2908" t="s">
        <v>34</v>
      </c>
      <c r="I2908" s="1" t="s">
        <v>22</v>
      </c>
      <c r="J2908" s="2">
        <v>43536.84337962963</v>
      </c>
      <c r="K2908" s="2">
        <v>43538.84337962963</v>
      </c>
      <c r="L2908" s="2">
        <v>43542.84337962963</v>
      </c>
      <c r="M2908" s="1">
        <f>_xlfn.DAYS(Table1[[#This Row],[actual_delivery_date]],Table1[[#This Row],[dispatch_date]])</f>
        <v>2</v>
      </c>
      <c r="N2908">
        <v>73</v>
      </c>
      <c r="O2908">
        <f>Table1[[#This Row],[transit_storage_cost]] * (1-'What -if Analysis'!$D$26)</f>
        <v>73</v>
      </c>
      <c r="P2908">
        <v>110</v>
      </c>
      <c r="Q2908">
        <v>326.47572276022578</v>
      </c>
    </row>
    <row r="2909" spans="1:17" x14ac:dyDescent="0.3">
      <c r="A2909">
        <v>68236</v>
      </c>
      <c r="B2909" s="1" t="s">
        <v>39</v>
      </c>
      <c r="C2909" s="1" t="s">
        <v>16</v>
      </c>
      <c r="D2909" s="1" t="s">
        <v>16</v>
      </c>
      <c r="E2909" s="1" t="s">
        <v>27</v>
      </c>
      <c r="F2909" s="1" t="s">
        <v>19</v>
      </c>
      <c r="G2909" s="1" t="s">
        <v>20</v>
      </c>
      <c r="H2909" t="s">
        <v>21</v>
      </c>
      <c r="I2909" s="1" t="s">
        <v>22</v>
      </c>
      <c r="J2909" s="2">
        <v>43534.844131944446</v>
      </c>
      <c r="K2909" s="2">
        <v>43538.844131944446</v>
      </c>
      <c r="L2909" s="2">
        <v>43540.844131944446</v>
      </c>
      <c r="M2909" s="1">
        <f>_xlfn.DAYS(Table1[[#This Row],[actual_delivery_date]],Table1[[#This Row],[dispatch_date]])</f>
        <v>4</v>
      </c>
      <c r="N2909">
        <v>0</v>
      </c>
      <c r="O2909">
        <f>Table1[[#This Row],[transit_storage_cost]] * (1-'What -if Analysis'!$D$26)</f>
        <v>0</v>
      </c>
      <c r="P2909">
        <v>102</v>
      </c>
      <c r="Q2909">
        <v>2664.7432751557199</v>
      </c>
    </row>
    <row r="2910" spans="1:17" x14ac:dyDescent="0.3">
      <c r="A2910">
        <v>760635</v>
      </c>
      <c r="B2910" s="1" t="s">
        <v>38</v>
      </c>
      <c r="C2910" s="1" t="s">
        <v>16</v>
      </c>
      <c r="D2910" s="1" t="s">
        <v>32</v>
      </c>
      <c r="E2910" s="1" t="s">
        <v>33</v>
      </c>
      <c r="F2910" s="1" t="s">
        <v>29</v>
      </c>
      <c r="G2910" s="1" t="s">
        <v>20</v>
      </c>
      <c r="H2910" t="s">
        <v>30</v>
      </c>
      <c r="I2910" s="1" t="s">
        <v>26</v>
      </c>
      <c r="J2910" s="2">
        <v>43536.844618055555</v>
      </c>
      <c r="K2910" s="2">
        <v>43538.844618055555</v>
      </c>
      <c r="L2910" s="2">
        <v>43540.844618055555</v>
      </c>
      <c r="M2910" s="1">
        <f>_xlfn.DAYS(Table1[[#This Row],[actual_delivery_date]],Table1[[#This Row],[dispatch_date]])</f>
        <v>2</v>
      </c>
      <c r="N2910">
        <v>39</v>
      </c>
      <c r="O2910">
        <f>Table1[[#This Row],[transit_storage_cost]] * (1-'What -if Analysis'!$D$26)</f>
        <v>39</v>
      </c>
      <c r="P2910">
        <v>109</v>
      </c>
      <c r="Q2910">
        <v>347</v>
      </c>
    </row>
    <row r="2911" spans="1:17" x14ac:dyDescent="0.3">
      <c r="A2911">
        <v>732325</v>
      </c>
      <c r="B2911" s="1" t="s">
        <v>37</v>
      </c>
      <c r="C2911" s="1" t="s">
        <v>23</v>
      </c>
      <c r="D2911" s="1" t="s">
        <v>16</v>
      </c>
      <c r="E2911" s="1" t="s">
        <v>27</v>
      </c>
      <c r="F2911" s="1" t="s">
        <v>19</v>
      </c>
      <c r="G2911" s="1" t="s">
        <v>36</v>
      </c>
      <c r="H2911" t="s">
        <v>30</v>
      </c>
      <c r="I2911" s="1" t="s">
        <v>22</v>
      </c>
      <c r="J2911" s="2">
        <v>43535.845486111109</v>
      </c>
      <c r="K2911" s="2">
        <v>43538.845486111109</v>
      </c>
      <c r="L2911" s="2">
        <v>43540.845486111109</v>
      </c>
      <c r="M2911" s="1">
        <f>_xlfn.DAYS(Table1[[#This Row],[actual_delivery_date]],Table1[[#This Row],[dispatch_date]])</f>
        <v>3</v>
      </c>
      <c r="N2911">
        <v>85</v>
      </c>
      <c r="O2911">
        <f>Table1[[#This Row],[transit_storage_cost]] * (1-'What -if Analysis'!$D$26)</f>
        <v>85</v>
      </c>
      <c r="P2911">
        <v>105</v>
      </c>
      <c r="Q2911">
        <v>1568.089769788314</v>
      </c>
    </row>
    <row r="2912" spans="1:17" x14ac:dyDescent="0.3">
      <c r="A2912">
        <v>730468</v>
      </c>
      <c r="B2912" s="1" t="s">
        <v>38</v>
      </c>
      <c r="C2912" s="1" t="s">
        <v>16</v>
      </c>
      <c r="D2912" s="1" t="s">
        <v>16</v>
      </c>
      <c r="E2912" s="1" t="s">
        <v>27</v>
      </c>
      <c r="F2912" s="1" t="s">
        <v>19</v>
      </c>
      <c r="G2912" s="1" t="s">
        <v>20</v>
      </c>
      <c r="H2912" t="s">
        <v>21</v>
      </c>
      <c r="I2912" s="1" t="s">
        <v>22</v>
      </c>
      <c r="J2912" s="2">
        <v>43537.846388888887</v>
      </c>
      <c r="K2912" s="2">
        <v>43538.846388888887</v>
      </c>
      <c r="L2912" s="2">
        <v>43542.846388888887</v>
      </c>
      <c r="M2912" s="1">
        <f>_xlfn.DAYS(Table1[[#This Row],[actual_delivery_date]],Table1[[#This Row],[dispatch_date]])</f>
        <v>1</v>
      </c>
      <c r="N2912">
        <v>0</v>
      </c>
      <c r="O2912">
        <f>Table1[[#This Row],[transit_storage_cost]] * (1-'What -if Analysis'!$D$26)</f>
        <v>0</v>
      </c>
      <c r="P2912">
        <v>128</v>
      </c>
      <c r="Q2912">
        <v>1433.2584590723786</v>
      </c>
    </row>
    <row r="2913" spans="1:17" x14ac:dyDescent="0.3">
      <c r="A2913">
        <v>37844</v>
      </c>
      <c r="B2913" s="1" t="s">
        <v>39</v>
      </c>
      <c r="C2913" s="1" t="s">
        <v>16</v>
      </c>
      <c r="D2913" s="1" t="s">
        <v>23</v>
      </c>
      <c r="E2913" s="1" t="s">
        <v>28</v>
      </c>
      <c r="F2913" s="1" t="s">
        <v>19</v>
      </c>
      <c r="G2913" s="1" t="s">
        <v>20</v>
      </c>
      <c r="H2913" t="s">
        <v>21</v>
      </c>
      <c r="I2913" s="1" t="s">
        <v>22</v>
      </c>
      <c r="J2913" s="2">
        <v>43536.846863425926</v>
      </c>
      <c r="K2913" s="2">
        <v>43538.846863425926</v>
      </c>
      <c r="L2913" s="2">
        <v>43542.846863425926</v>
      </c>
      <c r="M2913" s="1">
        <f>_xlfn.DAYS(Table1[[#This Row],[actual_delivery_date]],Table1[[#This Row],[dispatch_date]])</f>
        <v>2</v>
      </c>
      <c r="N2913">
        <v>36</v>
      </c>
      <c r="O2913">
        <f>Table1[[#This Row],[transit_storage_cost]] * (1-'What -if Analysis'!$D$26)</f>
        <v>36</v>
      </c>
      <c r="P2913">
        <v>130</v>
      </c>
      <c r="Q2913">
        <v>1832.9670149565195</v>
      </c>
    </row>
    <row r="2914" spans="1:17" x14ac:dyDescent="0.3">
      <c r="A2914">
        <v>277320</v>
      </c>
      <c r="B2914" s="1" t="s">
        <v>39</v>
      </c>
      <c r="C2914" s="1" t="s">
        <v>23</v>
      </c>
      <c r="D2914" s="1" t="s">
        <v>32</v>
      </c>
      <c r="E2914" s="1" t="s">
        <v>33</v>
      </c>
      <c r="F2914" s="1" t="s">
        <v>19</v>
      </c>
      <c r="G2914" s="1" t="s">
        <v>20</v>
      </c>
      <c r="H2914" t="s">
        <v>21</v>
      </c>
      <c r="I2914" s="1" t="s">
        <v>26</v>
      </c>
      <c r="J2914" s="2">
        <v>43534.847129629627</v>
      </c>
      <c r="K2914" s="2">
        <v>43538.847129629627</v>
      </c>
      <c r="L2914" s="2">
        <v>43539.847129629627</v>
      </c>
      <c r="M2914" s="1">
        <f>_xlfn.DAYS(Table1[[#This Row],[actual_delivery_date]],Table1[[#This Row],[dispatch_date]])</f>
        <v>4</v>
      </c>
      <c r="N2914">
        <v>64</v>
      </c>
      <c r="O2914">
        <f>Table1[[#This Row],[transit_storage_cost]] * (1-'What -if Analysis'!$D$26)</f>
        <v>64</v>
      </c>
      <c r="P2914">
        <v>93</v>
      </c>
      <c r="Q2914">
        <v>614.50842234489369</v>
      </c>
    </row>
    <row r="2915" spans="1:17" x14ac:dyDescent="0.3">
      <c r="A2915">
        <v>383719</v>
      </c>
      <c r="B2915" s="1" t="s">
        <v>41</v>
      </c>
      <c r="C2915" s="1" t="s">
        <v>16</v>
      </c>
      <c r="D2915" s="1" t="s">
        <v>23</v>
      </c>
      <c r="E2915" s="1" t="s">
        <v>28</v>
      </c>
      <c r="F2915" s="1" t="s">
        <v>29</v>
      </c>
      <c r="G2915" s="1" t="s">
        <v>20</v>
      </c>
      <c r="H2915" t="s">
        <v>34</v>
      </c>
      <c r="I2915" s="1" t="s">
        <v>22</v>
      </c>
      <c r="J2915" s="2">
        <v>43533.850694444445</v>
      </c>
      <c r="K2915" s="2">
        <v>43538.850694444445</v>
      </c>
      <c r="L2915" s="2">
        <v>43538.850694444445</v>
      </c>
      <c r="M2915" s="1">
        <f>_xlfn.DAYS(Table1[[#This Row],[actual_delivery_date]],Table1[[#This Row],[dispatch_date]])</f>
        <v>5</v>
      </c>
      <c r="N2915">
        <v>50</v>
      </c>
      <c r="O2915">
        <f>Table1[[#This Row],[transit_storage_cost]] * (1-'What -if Analysis'!$D$26)</f>
        <v>50</v>
      </c>
      <c r="P2915">
        <v>122</v>
      </c>
      <c r="Q2915">
        <v>2652</v>
      </c>
    </row>
    <row r="2916" spans="1:17" x14ac:dyDescent="0.3">
      <c r="A2916">
        <v>806346</v>
      </c>
      <c r="B2916" s="1" t="s">
        <v>38</v>
      </c>
      <c r="C2916" s="1" t="s">
        <v>16</v>
      </c>
      <c r="D2916" s="1" t="s">
        <v>24</v>
      </c>
      <c r="E2916" s="1" t="s">
        <v>25</v>
      </c>
      <c r="F2916" s="1" t="s">
        <v>31</v>
      </c>
      <c r="G2916" s="1" t="s">
        <v>20</v>
      </c>
      <c r="H2916" t="s">
        <v>21</v>
      </c>
      <c r="I2916" s="1" t="s">
        <v>26</v>
      </c>
      <c r="J2916" s="2">
        <v>43536.855590277781</v>
      </c>
      <c r="K2916" s="2">
        <v>43538.855590277781</v>
      </c>
      <c r="L2916" s="2">
        <v>43543.855590277781</v>
      </c>
      <c r="M2916" s="1">
        <f>_xlfn.DAYS(Table1[[#This Row],[actual_delivery_date]],Table1[[#This Row],[dispatch_date]])</f>
        <v>2</v>
      </c>
      <c r="N2916">
        <v>49</v>
      </c>
      <c r="O2916">
        <f>Table1[[#This Row],[transit_storage_cost]] * (1-'What -if Analysis'!$D$26)</f>
        <v>49</v>
      </c>
      <c r="P2916">
        <v>125</v>
      </c>
      <c r="Q2916">
        <v>727.07658239751333</v>
      </c>
    </row>
    <row r="2917" spans="1:17" x14ac:dyDescent="0.3">
      <c r="A2917">
        <v>666590</v>
      </c>
      <c r="B2917" s="1" t="s">
        <v>37</v>
      </c>
      <c r="C2917" s="1" t="s">
        <v>16</v>
      </c>
      <c r="D2917" s="1" t="s">
        <v>23</v>
      </c>
      <c r="E2917" s="1" t="s">
        <v>28</v>
      </c>
      <c r="F2917" s="1" t="s">
        <v>31</v>
      </c>
      <c r="G2917" s="1" t="s">
        <v>20</v>
      </c>
      <c r="H2917" t="s">
        <v>21</v>
      </c>
      <c r="I2917" s="1" t="s">
        <v>22</v>
      </c>
      <c r="J2917" s="2">
        <v>43531.860150462962</v>
      </c>
      <c r="K2917" s="2">
        <v>43538.860150462962</v>
      </c>
      <c r="L2917" s="2">
        <v>43538.860150462962</v>
      </c>
      <c r="M2917" s="1">
        <f>_xlfn.DAYS(Table1[[#This Row],[actual_delivery_date]],Table1[[#This Row],[dispatch_date]])</f>
        <v>7</v>
      </c>
      <c r="N2917">
        <v>47</v>
      </c>
      <c r="O2917">
        <f>Table1[[#This Row],[transit_storage_cost]] * (1-'What -if Analysis'!$D$26)</f>
        <v>47</v>
      </c>
      <c r="P2917">
        <v>123</v>
      </c>
      <c r="Q2917">
        <v>2175</v>
      </c>
    </row>
    <row r="2918" spans="1:17" x14ac:dyDescent="0.3">
      <c r="A2918">
        <v>735053</v>
      </c>
      <c r="B2918" s="1" t="s">
        <v>15</v>
      </c>
      <c r="C2918" s="1" t="s">
        <v>23</v>
      </c>
      <c r="D2918" s="1" t="s">
        <v>24</v>
      </c>
      <c r="E2918" s="1" t="s">
        <v>25</v>
      </c>
      <c r="F2918" s="1" t="s">
        <v>29</v>
      </c>
      <c r="G2918" s="1" t="s">
        <v>20</v>
      </c>
      <c r="H2918" t="s">
        <v>30</v>
      </c>
      <c r="I2918" s="1" t="s">
        <v>22</v>
      </c>
      <c r="J2918" s="2">
        <v>43533.872662037036</v>
      </c>
      <c r="K2918" s="2">
        <v>43538.872662037036</v>
      </c>
      <c r="L2918" s="2">
        <v>43537.872662037036</v>
      </c>
      <c r="M2918" s="1">
        <f>_xlfn.DAYS(Table1[[#This Row],[actual_delivery_date]],Table1[[#This Row],[dispatch_date]])</f>
        <v>5</v>
      </c>
      <c r="N2918">
        <v>47</v>
      </c>
      <c r="O2918">
        <f>Table1[[#This Row],[transit_storage_cost]] * (1-'What -if Analysis'!$D$26)</f>
        <v>47</v>
      </c>
      <c r="P2918">
        <v>123</v>
      </c>
      <c r="Q2918">
        <v>3268.1489458654091</v>
      </c>
    </row>
    <row r="2919" spans="1:17" x14ac:dyDescent="0.3">
      <c r="A2919">
        <v>882776</v>
      </c>
      <c r="B2919" s="1" t="s">
        <v>15</v>
      </c>
      <c r="C2919" s="1" t="s">
        <v>23</v>
      </c>
      <c r="D2919" s="1" t="s">
        <v>24</v>
      </c>
      <c r="E2919" s="1" t="s">
        <v>25</v>
      </c>
      <c r="F2919" s="1" t="s">
        <v>19</v>
      </c>
      <c r="G2919" s="1" t="s">
        <v>20</v>
      </c>
      <c r="H2919" t="s">
        <v>21</v>
      </c>
      <c r="I2919" s="1" t="s">
        <v>22</v>
      </c>
      <c r="J2919" s="2">
        <v>43528.880648148152</v>
      </c>
      <c r="K2919" s="2">
        <v>43538.880648148152</v>
      </c>
      <c r="L2919" s="2">
        <v>43535.880648148152</v>
      </c>
      <c r="M2919" s="1">
        <f>_xlfn.DAYS(Table1[[#This Row],[actual_delivery_date]],Table1[[#This Row],[dispatch_date]])</f>
        <v>10</v>
      </c>
      <c r="N2919">
        <v>35</v>
      </c>
      <c r="O2919">
        <f>Table1[[#This Row],[transit_storage_cost]] * (1-'What -if Analysis'!$D$26)</f>
        <v>35</v>
      </c>
      <c r="P2919">
        <v>127</v>
      </c>
      <c r="Q2919">
        <v>3567.7260780139786</v>
      </c>
    </row>
    <row r="2920" spans="1:17" x14ac:dyDescent="0.3">
      <c r="A2920">
        <v>859022</v>
      </c>
      <c r="B2920" s="1" t="s">
        <v>37</v>
      </c>
      <c r="C2920" s="1" t="s">
        <v>23</v>
      </c>
      <c r="D2920" s="1" t="s">
        <v>32</v>
      </c>
      <c r="E2920" s="1" t="s">
        <v>33</v>
      </c>
      <c r="F2920" s="1" t="s">
        <v>31</v>
      </c>
      <c r="G2920" s="1" t="s">
        <v>20</v>
      </c>
      <c r="H2920" t="s">
        <v>21</v>
      </c>
      <c r="I2920" s="1" t="s">
        <v>22</v>
      </c>
      <c r="J2920" s="2">
        <v>43533.88177083333</v>
      </c>
      <c r="K2920" s="2">
        <v>43538.88177083333</v>
      </c>
      <c r="L2920" s="2">
        <v>43537.88177083333</v>
      </c>
      <c r="M2920" s="1">
        <f>_xlfn.DAYS(Table1[[#This Row],[actual_delivery_date]],Table1[[#This Row],[dispatch_date]])</f>
        <v>5</v>
      </c>
      <c r="N2920">
        <v>39</v>
      </c>
      <c r="O2920">
        <f>Table1[[#This Row],[transit_storage_cost]] * (1-'What -if Analysis'!$D$26)</f>
        <v>39</v>
      </c>
      <c r="P2920">
        <v>110</v>
      </c>
      <c r="Q2920">
        <v>2616.29954766419</v>
      </c>
    </row>
    <row r="2921" spans="1:17" x14ac:dyDescent="0.3">
      <c r="A2921">
        <v>752682</v>
      </c>
      <c r="B2921" s="1" t="s">
        <v>40</v>
      </c>
      <c r="C2921" s="1" t="s">
        <v>23</v>
      </c>
      <c r="D2921" s="1" t="s">
        <v>32</v>
      </c>
      <c r="E2921" s="1" t="s">
        <v>33</v>
      </c>
      <c r="F2921" s="1" t="s">
        <v>31</v>
      </c>
      <c r="G2921" s="1" t="s">
        <v>20</v>
      </c>
      <c r="H2921" t="s">
        <v>21</v>
      </c>
      <c r="I2921" s="1" t="s">
        <v>26</v>
      </c>
      <c r="J2921" s="2">
        <v>43534.884085648147</v>
      </c>
      <c r="K2921" s="2">
        <v>43538.884085648147</v>
      </c>
      <c r="L2921" s="2">
        <v>43539.884085648147</v>
      </c>
      <c r="M2921" s="1">
        <f>_xlfn.DAYS(Table1[[#This Row],[actual_delivery_date]],Table1[[#This Row],[dispatch_date]])</f>
        <v>4</v>
      </c>
      <c r="N2921">
        <v>49</v>
      </c>
      <c r="O2921">
        <f>Table1[[#This Row],[transit_storage_cost]] * (1-'What -if Analysis'!$D$26)</f>
        <v>49</v>
      </c>
      <c r="P2921">
        <v>114</v>
      </c>
      <c r="Q2921">
        <v>3582.61765245683</v>
      </c>
    </row>
    <row r="2922" spans="1:17" x14ac:dyDescent="0.3">
      <c r="A2922">
        <v>178248</v>
      </c>
      <c r="B2922" s="1" t="s">
        <v>40</v>
      </c>
      <c r="C2922" s="1" t="s">
        <v>16</v>
      </c>
      <c r="D2922" s="1" t="s">
        <v>16</v>
      </c>
      <c r="E2922" s="1" t="s">
        <v>27</v>
      </c>
      <c r="F2922" s="1" t="s">
        <v>19</v>
      </c>
      <c r="G2922" s="1" t="s">
        <v>20</v>
      </c>
      <c r="H2922" t="s">
        <v>21</v>
      </c>
      <c r="I2922" s="1" t="s">
        <v>26</v>
      </c>
      <c r="J2922" s="2">
        <v>43534.897523148145</v>
      </c>
      <c r="K2922" s="2">
        <v>43538.897523148145</v>
      </c>
      <c r="L2922" s="2">
        <v>43538.897523148145</v>
      </c>
      <c r="M2922" s="1">
        <f>_xlfn.DAYS(Table1[[#This Row],[actual_delivery_date]],Table1[[#This Row],[dispatch_date]])</f>
        <v>4</v>
      </c>
      <c r="N2922">
        <v>0</v>
      </c>
      <c r="O2922">
        <f>Table1[[#This Row],[transit_storage_cost]] * (1-'What -if Analysis'!$D$26)</f>
        <v>0</v>
      </c>
      <c r="P2922">
        <v>121</v>
      </c>
      <c r="Q2922">
        <v>1455.0960312571981</v>
      </c>
    </row>
    <row r="2923" spans="1:17" x14ac:dyDescent="0.3">
      <c r="A2923">
        <v>826874</v>
      </c>
      <c r="B2923" s="1" t="s">
        <v>37</v>
      </c>
      <c r="C2923" s="1" t="s">
        <v>16</v>
      </c>
      <c r="D2923" s="1" t="s">
        <v>16</v>
      </c>
      <c r="E2923" s="1" t="s">
        <v>27</v>
      </c>
      <c r="F2923" s="1" t="s">
        <v>19</v>
      </c>
      <c r="G2923" s="1" t="s">
        <v>20</v>
      </c>
      <c r="H2923" t="s">
        <v>21</v>
      </c>
      <c r="I2923" s="1" t="s">
        <v>22</v>
      </c>
      <c r="J2923" s="2">
        <v>43538.898796296293</v>
      </c>
      <c r="K2923" s="2">
        <v>43538.898796296293</v>
      </c>
      <c r="L2923" s="2">
        <v>43545.898796296293</v>
      </c>
      <c r="M2923" s="1">
        <f>_xlfn.DAYS(Table1[[#This Row],[actual_delivery_date]],Table1[[#This Row],[dispatch_date]])</f>
        <v>0</v>
      </c>
      <c r="N2923">
        <v>0</v>
      </c>
      <c r="O2923">
        <f>Table1[[#This Row],[transit_storage_cost]] * (1-'What -if Analysis'!$D$26)</f>
        <v>0</v>
      </c>
      <c r="P2923">
        <v>108</v>
      </c>
      <c r="Q2923">
        <v>1835.6696434846424</v>
      </c>
    </row>
    <row r="2924" spans="1:17" x14ac:dyDescent="0.3">
      <c r="A2924">
        <v>948343</v>
      </c>
      <c r="B2924" s="1" t="s">
        <v>37</v>
      </c>
      <c r="C2924" s="1" t="s">
        <v>16</v>
      </c>
      <c r="D2924" s="1" t="s">
        <v>23</v>
      </c>
      <c r="E2924" s="1" t="s">
        <v>28</v>
      </c>
      <c r="F2924" s="1" t="s">
        <v>29</v>
      </c>
      <c r="G2924" s="1" t="s">
        <v>20</v>
      </c>
      <c r="H2924" t="s">
        <v>30</v>
      </c>
      <c r="I2924" s="1" t="s">
        <v>22</v>
      </c>
      <c r="J2924" s="2">
        <v>43530.910567129627</v>
      </c>
      <c r="K2924" s="2">
        <v>43538.910567129627</v>
      </c>
      <c r="L2924" s="2">
        <v>43534.910567129627</v>
      </c>
      <c r="M2924" s="1">
        <f>_xlfn.DAYS(Table1[[#This Row],[actual_delivery_date]],Table1[[#This Row],[dispatch_date]])</f>
        <v>8</v>
      </c>
      <c r="N2924">
        <v>29</v>
      </c>
      <c r="O2924">
        <f>Table1[[#This Row],[transit_storage_cost]] * (1-'What -if Analysis'!$D$26)</f>
        <v>29</v>
      </c>
      <c r="P2924">
        <v>123</v>
      </c>
      <c r="Q2924">
        <v>2539.7569450574952</v>
      </c>
    </row>
    <row r="2925" spans="1:17" x14ac:dyDescent="0.3">
      <c r="A2925">
        <v>485231</v>
      </c>
      <c r="B2925" s="1" t="s">
        <v>41</v>
      </c>
      <c r="C2925" s="1" t="s">
        <v>23</v>
      </c>
      <c r="D2925" s="1" t="s">
        <v>17</v>
      </c>
      <c r="E2925" s="1" t="s">
        <v>18</v>
      </c>
      <c r="F2925" s="1" t="s">
        <v>29</v>
      </c>
      <c r="G2925" s="1" t="s">
        <v>20</v>
      </c>
      <c r="H2925" t="s">
        <v>30</v>
      </c>
      <c r="I2925" s="1" t="s">
        <v>22</v>
      </c>
      <c r="J2925" s="2">
        <v>43535.91170138889</v>
      </c>
      <c r="K2925" s="2">
        <v>43538.91170138889</v>
      </c>
      <c r="L2925" s="2">
        <v>43538.91170138889</v>
      </c>
      <c r="M2925" s="1">
        <f>_xlfn.DAYS(Table1[[#This Row],[actual_delivery_date]],Table1[[#This Row],[dispatch_date]])</f>
        <v>3</v>
      </c>
      <c r="N2925">
        <v>40</v>
      </c>
      <c r="O2925">
        <f>Table1[[#This Row],[transit_storage_cost]] * (1-'What -if Analysis'!$D$26)</f>
        <v>40</v>
      </c>
      <c r="P2925">
        <v>111</v>
      </c>
      <c r="Q2925">
        <v>647.34057445794065</v>
      </c>
    </row>
    <row r="2926" spans="1:17" x14ac:dyDescent="0.3">
      <c r="A2926">
        <v>382667</v>
      </c>
      <c r="B2926" s="1" t="s">
        <v>37</v>
      </c>
      <c r="C2926" s="1" t="s">
        <v>23</v>
      </c>
      <c r="D2926" s="1" t="s">
        <v>16</v>
      </c>
      <c r="E2926" s="1" t="s">
        <v>27</v>
      </c>
      <c r="F2926" s="1" t="s">
        <v>29</v>
      </c>
      <c r="G2926" s="1" t="s">
        <v>20</v>
      </c>
      <c r="H2926" t="s">
        <v>30</v>
      </c>
      <c r="I2926" s="1" t="s">
        <v>22</v>
      </c>
      <c r="J2926" s="2">
        <v>43532.921215277776</v>
      </c>
      <c r="K2926" s="2">
        <v>43538.921215277776</v>
      </c>
      <c r="L2926" s="2">
        <v>43539.921215277776</v>
      </c>
      <c r="M2926" s="1">
        <f>_xlfn.DAYS(Table1[[#This Row],[actual_delivery_date]],Table1[[#This Row],[dispatch_date]])</f>
        <v>6</v>
      </c>
      <c r="N2926">
        <v>32</v>
      </c>
      <c r="O2926">
        <f>Table1[[#This Row],[transit_storage_cost]] * (1-'What -if Analysis'!$D$26)</f>
        <v>32</v>
      </c>
      <c r="P2926">
        <v>121</v>
      </c>
      <c r="Q2926">
        <v>3266</v>
      </c>
    </row>
    <row r="2927" spans="1:17" x14ac:dyDescent="0.3">
      <c r="A2927">
        <v>960004</v>
      </c>
      <c r="B2927" s="1" t="s">
        <v>15</v>
      </c>
      <c r="C2927" s="1" t="s">
        <v>16</v>
      </c>
      <c r="D2927" s="1" t="s">
        <v>17</v>
      </c>
      <c r="E2927" s="1" t="s">
        <v>18</v>
      </c>
      <c r="F2927" s="1" t="s">
        <v>19</v>
      </c>
      <c r="G2927" s="1" t="s">
        <v>20</v>
      </c>
      <c r="H2927" t="s">
        <v>21</v>
      </c>
      <c r="I2927" s="1" t="s">
        <v>22</v>
      </c>
      <c r="J2927" s="2">
        <v>43536.92396990741</v>
      </c>
      <c r="K2927" s="2">
        <v>43538.92396990741</v>
      </c>
      <c r="L2927" s="2">
        <v>43540.92396990741</v>
      </c>
      <c r="M2927" s="1">
        <f>_xlfn.DAYS(Table1[[#This Row],[actual_delivery_date]],Table1[[#This Row],[dispatch_date]])</f>
        <v>2</v>
      </c>
      <c r="N2927">
        <v>70</v>
      </c>
      <c r="O2927">
        <f>Table1[[#This Row],[transit_storage_cost]] * (1-'What -if Analysis'!$D$26)</f>
        <v>70</v>
      </c>
      <c r="P2927">
        <v>87</v>
      </c>
      <c r="Q2927">
        <v>2558.9373140847247</v>
      </c>
    </row>
    <row r="2928" spans="1:17" x14ac:dyDescent="0.3">
      <c r="A2928">
        <v>247049</v>
      </c>
      <c r="B2928" s="1" t="s">
        <v>37</v>
      </c>
      <c r="C2928" s="1" t="s">
        <v>23</v>
      </c>
      <c r="D2928" s="1" t="s">
        <v>23</v>
      </c>
      <c r="E2928" s="1" t="s">
        <v>28</v>
      </c>
      <c r="F2928" s="1" t="s">
        <v>19</v>
      </c>
      <c r="G2928" s="1" t="s">
        <v>20</v>
      </c>
      <c r="H2928" t="s">
        <v>30</v>
      </c>
      <c r="I2928" s="1" t="s">
        <v>22</v>
      </c>
      <c r="J2928" s="2">
        <v>43537.926354166666</v>
      </c>
      <c r="K2928" s="2">
        <v>43538.926354166666</v>
      </c>
      <c r="L2928" s="2">
        <v>43540.926354166666</v>
      </c>
      <c r="M2928" s="1">
        <f>_xlfn.DAYS(Table1[[#This Row],[actual_delivery_date]],Table1[[#This Row],[dispatch_date]])</f>
        <v>1</v>
      </c>
      <c r="N2928">
        <v>0</v>
      </c>
      <c r="O2928">
        <f>Table1[[#This Row],[transit_storage_cost]] * (1-'What -if Analysis'!$D$26)</f>
        <v>0</v>
      </c>
      <c r="P2928">
        <v>103</v>
      </c>
      <c r="Q2928">
        <v>1239.2893642382542</v>
      </c>
    </row>
    <row r="2929" spans="1:17" x14ac:dyDescent="0.3">
      <c r="A2929">
        <v>588122</v>
      </c>
      <c r="B2929" s="1" t="s">
        <v>15</v>
      </c>
      <c r="C2929" s="1" t="s">
        <v>16</v>
      </c>
      <c r="D2929" s="1" t="s">
        <v>24</v>
      </c>
      <c r="E2929" s="1" t="s">
        <v>25</v>
      </c>
      <c r="F2929" s="1" t="s">
        <v>31</v>
      </c>
      <c r="G2929" s="1" t="s">
        <v>20</v>
      </c>
      <c r="H2929" t="s">
        <v>21</v>
      </c>
      <c r="I2929" s="1" t="s">
        <v>22</v>
      </c>
      <c r="J2929" s="2">
        <v>43534.933807870373</v>
      </c>
      <c r="K2929" s="2">
        <v>43538.933807870373</v>
      </c>
      <c r="L2929" s="2">
        <v>43541.933807870373</v>
      </c>
      <c r="M2929" s="1">
        <f>_xlfn.DAYS(Table1[[#This Row],[actual_delivery_date]],Table1[[#This Row],[dispatch_date]])</f>
        <v>4</v>
      </c>
      <c r="N2929">
        <v>36</v>
      </c>
      <c r="O2929">
        <f>Table1[[#This Row],[transit_storage_cost]] * (1-'What -if Analysis'!$D$26)</f>
        <v>36</v>
      </c>
      <c r="P2929">
        <v>123</v>
      </c>
      <c r="Q2929">
        <v>1692.4021185246686</v>
      </c>
    </row>
    <row r="2930" spans="1:17" x14ac:dyDescent="0.3">
      <c r="A2930">
        <v>405599</v>
      </c>
      <c r="B2930" s="1" t="s">
        <v>38</v>
      </c>
      <c r="C2930" s="1" t="s">
        <v>16</v>
      </c>
      <c r="D2930" s="1" t="s">
        <v>17</v>
      </c>
      <c r="E2930" s="1" t="s">
        <v>18</v>
      </c>
      <c r="F2930" s="1" t="s">
        <v>29</v>
      </c>
      <c r="G2930" s="1" t="s">
        <v>20</v>
      </c>
      <c r="H2930" t="s">
        <v>30</v>
      </c>
      <c r="I2930" s="1" t="s">
        <v>22</v>
      </c>
      <c r="J2930" s="2">
        <v>43531.937708333331</v>
      </c>
      <c r="K2930" s="2">
        <v>43538.937708333331</v>
      </c>
      <c r="L2930" s="2">
        <v>43535.937708333331</v>
      </c>
      <c r="M2930" s="1">
        <f>_xlfn.DAYS(Table1[[#This Row],[actual_delivery_date]],Table1[[#This Row],[dispatch_date]])</f>
        <v>7</v>
      </c>
      <c r="N2930">
        <v>50</v>
      </c>
      <c r="O2930">
        <f>Table1[[#This Row],[transit_storage_cost]] * (1-'What -if Analysis'!$D$26)</f>
        <v>50</v>
      </c>
      <c r="P2930">
        <v>107</v>
      </c>
      <c r="Q2930">
        <v>2467</v>
      </c>
    </row>
    <row r="2931" spans="1:17" x14ac:dyDescent="0.3">
      <c r="A2931">
        <v>512749</v>
      </c>
      <c r="B2931" s="1" t="s">
        <v>41</v>
      </c>
      <c r="C2931" s="1" t="s">
        <v>16</v>
      </c>
      <c r="D2931" s="1" t="s">
        <v>24</v>
      </c>
      <c r="E2931" s="1" t="s">
        <v>25</v>
      </c>
      <c r="F2931" s="1" t="s">
        <v>29</v>
      </c>
      <c r="G2931" s="1" t="s">
        <v>20</v>
      </c>
      <c r="H2931" t="s">
        <v>30</v>
      </c>
      <c r="I2931" s="1" t="s">
        <v>22</v>
      </c>
      <c r="J2931" s="2">
        <v>43536.945034722223</v>
      </c>
      <c r="K2931" s="2">
        <v>43538.945034722223</v>
      </c>
      <c r="L2931" s="2">
        <v>43540.945034722223</v>
      </c>
      <c r="M2931" s="1">
        <f>_xlfn.DAYS(Table1[[#This Row],[actual_delivery_date]],Table1[[#This Row],[dispatch_date]])</f>
        <v>2</v>
      </c>
      <c r="N2931">
        <v>33</v>
      </c>
      <c r="O2931">
        <f>Table1[[#This Row],[transit_storage_cost]] * (1-'What -if Analysis'!$D$26)</f>
        <v>33</v>
      </c>
      <c r="P2931">
        <v>127</v>
      </c>
      <c r="Q2931">
        <v>893.45571459252801</v>
      </c>
    </row>
    <row r="2932" spans="1:17" x14ac:dyDescent="0.3">
      <c r="A2932">
        <v>342582</v>
      </c>
      <c r="B2932" s="1" t="s">
        <v>39</v>
      </c>
      <c r="C2932" s="1" t="s">
        <v>23</v>
      </c>
      <c r="D2932" s="1" t="s">
        <v>17</v>
      </c>
      <c r="E2932" s="1" t="s">
        <v>18</v>
      </c>
      <c r="F2932" s="1" t="s">
        <v>31</v>
      </c>
      <c r="G2932" s="1" t="s">
        <v>20</v>
      </c>
      <c r="H2932" t="s">
        <v>21</v>
      </c>
      <c r="I2932" s="1" t="s">
        <v>26</v>
      </c>
      <c r="J2932" s="2">
        <v>43531.946875000001</v>
      </c>
      <c r="K2932" s="2">
        <v>43538.946875000001</v>
      </c>
      <c r="L2932" s="2">
        <v>43535.946875000001</v>
      </c>
      <c r="M2932" s="1">
        <f>_xlfn.DAYS(Table1[[#This Row],[actual_delivery_date]],Table1[[#This Row],[dispatch_date]])</f>
        <v>7</v>
      </c>
      <c r="N2932">
        <v>39</v>
      </c>
      <c r="O2932">
        <f>Table1[[#This Row],[transit_storage_cost]] * (1-'What -if Analysis'!$D$26)</f>
        <v>39</v>
      </c>
      <c r="P2932">
        <v>109</v>
      </c>
      <c r="Q2932">
        <v>331</v>
      </c>
    </row>
    <row r="2933" spans="1:17" x14ac:dyDescent="0.3">
      <c r="A2933">
        <v>568733</v>
      </c>
      <c r="B2933" s="1" t="s">
        <v>38</v>
      </c>
      <c r="C2933" s="1" t="s">
        <v>16</v>
      </c>
      <c r="D2933" s="1" t="s">
        <v>16</v>
      </c>
      <c r="E2933" s="1" t="s">
        <v>27</v>
      </c>
      <c r="F2933" s="1" t="s">
        <v>29</v>
      </c>
      <c r="G2933" s="1" t="s">
        <v>20</v>
      </c>
      <c r="H2933" t="s">
        <v>30</v>
      </c>
      <c r="I2933" s="1" t="s">
        <v>22</v>
      </c>
      <c r="J2933" s="2">
        <v>43531.947939814818</v>
      </c>
      <c r="K2933" s="2">
        <v>43538.947939814818</v>
      </c>
      <c r="L2933" s="2">
        <v>43535.947939814818</v>
      </c>
      <c r="M2933" s="1">
        <f>_xlfn.DAYS(Table1[[#This Row],[actual_delivery_date]],Table1[[#This Row],[dispatch_date]])</f>
        <v>7</v>
      </c>
      <c r="N2933">
        <v>0</v>
      </c>
      <c r="O2933">
        <f>Table1[[#This Row],[transit_storage_cost]] * (1-'What -if Analysis'!$D$26)</f>
        <v>0</v>
      </c>
      <c r="P2933">
        <v>122</v>
      </c>
      <c r="Q2933">
        <v>3244.8732688378827</v>
      </c>
    </row>
    <row r="2934" spans="1:17" x14ac:dyDescent="0.3">
      <c r="A2934">
        <v>386020</v>
      </c>
      <c r="B2934" s="1" t="s">
        <v>15</v>
      </c>
      <c r="C2934" s="1" t="s">
        <v>23</v>
      </c>
      <c r="D2934" s="1" t="s">
        <v>24</v>
      </c>
      <c r="E2934" s="1" t="s">
        <v>25</v>
      </c>
      <c r="F2934" s="1" t="s">
        <v>19</v>
      </c>
      <c r="G2934" s="1" t="s">
        <v>20</v>
      </c>
      <c r="H2934" t="s">
        <v>21</v>
      </c>
      <c r="I2934" s="1" t="s">
        <v>22</v>
      </c>
      <c r="J2934" s="2">
        <v>43530.948831018519</v>
      </c>
      <c r="K2934" s="2">
        <v>43538.948831018519</v>
      </c>
      <c r="L2934" s="2">
        <v>43537.948831018519</v>
      </c>
      <c r="M2934" s="1">
        <f>_xlfn.DAYS(Table1[[#This Row],[actual_delivery_date]],Table1[[#This Row],[dispatch_date]])</f>
        <v>8</v>
      </c>
      <c r="N2934">
        <v>74</v>
      </c>
      <c r="O2934">
        <f>Table1[[#This Row],[transit_storage_cost]] * (1-'What -if Analysis'!$D$26)</f>
        <v>74</v>
      </c>
      <c r="P2934">
        <v>106</v>
      </c>
      <c r="Q2934">
        <v>2588.5902743099923</v>
      </c>
    </row>
    <row r="2935" spans="1:17" x14ac:dyDescent="0.3">
      <c r="A2935">
        <v>325388</v>
      </c>
      <c r="B2935" s="1" t="s">
        <v>37</v>
      </c>
      <c r="C2935" s="1" t="s">
        <v>23</v>
      </c>
      <c r="D2935" s="1" t="s">
        <v>16</v>
      </c>
      <c r="E2935" s="1" t="s">
        <v>27</v>
      </c>
      <c r="F2935" s="1" t="s">
        <v>19</v>
      </c>
      <c r="G2935" s="1" t="s">
        <v>20</v>
      </c>
      <c r="H2935" t="s">
        <v>21</v>
      </c>
      <c r="I2935" s="1" t="s">
        <v>22</v>
      </c>
      <c r="J2935" s="2">
        <v>43532.949733796297</v>
      </c>
      <c r="K2935" s="2">
        <v>43538.949733796297</v>
      </c>
      <c r="L2935" s="2">
        <v>43537.949733796297</v>
      </c>
      <c r="M2935" s="1">
        <f>_xlfn.DAYS(Table1[[#This Row],[actual_delivery_date]],Table1[[#This Row],[dispatch_date]])</f>
        <v>6</v>
      </c>
      <c r="N2935">
        <v>42</v>
      </c>
      <c r="O2935">
        <f>Table1[[#This Row],[transit_storage_cost]] * (1-'What -if Analysis'!$D$26)</f>
        <v>42</v>
      </c>
      <c r="P2935">
        <v>129</v>
      </c>
      <c r="Q2935">
        <v>2934.6319690443947</v>
      </c>
    </row>
    <row r="2936" spans="1:17" x14ac:dyDescent="0.3">
      <c r="A2936">
        <v>954841</v>
      </c>
      <c r="B2936" s="1" t="s">
        <v>38</v>
      </c>
      <c r="C2936" s="1" t="s">
        <v>23</v>
      </c>
      <c r="D2936" s="1" t="s">
        <v>17</v>
      </c>
      <c r="E2936" s="1" t="s">
        <v>18</v>
      </c>
      <c r="F2936" s="1" t="s">
        <v>29</v>
      </c>
      <c r="G2936" s="1" t="s">
        <v>20</v>
      </c>
      <c r="H2936" t="s">
        <v>30</v>
      </c>
      <c r="I2936" s="1" t="s">
        <v>22</v>
      </c>
      <c r="J2936" s="2">
        <v>43531.957106481481</v>
      </c>
      <c r="K2936" s="2">
        <v>43538.957106481481</v>
      </c>
      <c r="L2936" s="2">
        <v>43537.957106481481</v>
      </c>
      <c r="M2936" s="1">
        <f>_xlfn.DAYS(Table1[[#This Row],[actual_delivery_date]],Table1[[#This Row],[dispatch_date]])</f>
        <v>7</v>
      </c>
      <c r="N2936">
        <v>46</v>
      </c>
      <c r="O2936">
        <f>Table1[[#This Row],[transit_storage_cost]] * (1-'What -if Analysis'!$D$26)</f>
        <v>46</v>
      </c>
      <c r="P2936">
        <v>113</v>
      </c>
      <c r="Q2936">
        <v>3052.7473875283872</v>
      </c>
    </row>
    <row r="2937" spans="1:17" x14ac:dyDescent="0.3">
      <c r="A2937">
        <v>993655</v>
      </c>
      <c r="B2937" s="1" t="s">
        <v>37</v>
      </c>
      <c r="C2937" s="1" t="s">
        <v>16</v>
      </c>
      <c r="D2937" s="1" t="s">
        <v>23</v>
      </c>
      <c r="E2937" s="1" t="s">
        <v>28</v>
      </c>
      <c r="F2937" s="1" t="s">
        <v>29</v>
      </c>
      <c r="G2937" s="1" t="s">
        <v>20</v>
      </c>
      <c r="H2937" t="s">
        <v>30</v>
      </c>
      <c r="I2937" s="1" t="s">
        <v>22</v>
      </c>
      <c r="J2937" s="2">
        <v>43531.959305555552</v>
      </c>
      <c r="K2937" s="2">
        <v>43538.959305555552</v>
      </c>
      <c r="L2937" s="2">
        <v>43538.959305555552</v>
      </c>
      <c r="M2937" s="1">
        <f>_xlfn.DAYS(Table1[[#This Row],[actual_delivery_date]],Table1[[#This Row],[dispatch_date]])</f>
        <v>7</v>
      </c>
      <c r="N2937">
        <v>42</v>
      </c>
      <c r="O2937">
        <f>Table1[[#This Row],[transit_storage_cost]] * (1-'What -if Analysis'!$D$26)</f>
        <v>42</v>
      </c>
      <c r="P2937">
        <v>121</v>
      </c>
      <c r="Q2937">
        <v>309.65050075969066</v>
      </c>
    </row>
    <row r="2938" spans="1:17" x14ac:dyDescent="0.3">
      <c r="A2938">
        <v>574821</v>
      </c>
      <c r="B2938" s="1" t="s">
        <v>37</v>
      </c>
      <c r="C2938" s="1" t="s">
        <v>23</v>
      </c>
      <c r="D2938" s="1" t="s">
        <v>17</v>
      </c>
      <c r="E2938" s="1" t="s">
        <v>18</v>
      </c>
      <c r="F2938" s="1" t="s">
        <v>29</v>
      </c>
      <c r="G2938" s="1" t="s">
        <v>20</v>
      </c>
      <c r="H2938" t="s">
        <v>30</v>
      </c>
      <c r="I2938" s="1" t="s">
        <v>26</v>
      </c>
      <c r="J2938" s="2">
        <v>43533.965497685182</v>
      </c>
      <c r="K2938" s="2">
        <v>43538.965497685182</v>
      </c>
      <c r="L2938" s="2">
        <v>43539.965497685182</v>
      </c>
      <c r="M2938" s="1">
        <f>_xlfn.DAYS(Table1[[#This Row],[actual_delivery_date]],Table1[[#This Row],[dispatch_date]])</f>
        <v>5</v>
      </c>
      <c r="N2938">
        <v>44</v>
      </c>
      <c r="O2938">
        <f>Table1[[#This Row],[transit_storage_cost]] * (1-'What -if Analysis'!$D$26)</f>
        <v>44</v>
      </c>
      <c r="P2938">
        <v>109</v>
      </c>
      <c r="Q2938">
        <v>3628.2111106715888</v>
      </c>
    </row>
    <row r="2939" spans="1:17" x14ac:dyDescent="0.3">
      <c r="A2939">
        <v>199108</v>
      </c>
      <c r="B2939" s="1" t="s">
        <v>39</v>
      </c>
      <c r="C2939" s="1" t="s">
        <v>16</v>
      </c>
      <c r="D2939" s="1" t="s">
        <v>24</v>
      </c>
      <c r="E2939" s="1" t="s">
        <v>25</v>
      </c>
      <c r="F2939" s="1" t="s">
        <v>19</v>
      </c>
      <c r="G2939" s="1" t="s">
        <v>20</v>
      </c>
      <c r="H2939" t="s">
        <v>21</v>
      </c>
      <c r="I2939" s="1" t="s">
        <v>22</v>
      </c>
      <c r="J2939" s="2">
        <v>43531.966249999998</v>
      </c>
      <c r="K2939" s="2">
        <v>43538.966249999998</v>
      </c>
      <c r="L2939" s="2">
        <v>43537.966249999998</v>
      </c>
      <c r="M2939" s="1">
        <f>_xlfn.DAYS(Table1[[#This Row],[actual_delivery_date]],Table1[[#This Row],[dispatch_date]])</f>
        <v>7</v>
      </c>
      <c r="N2939">
        <v>25</v>
      </c>
      <c r="O2939">
        <f>Table1[[#This Row],[transit_storage_cost]] * (1-'What -if Analysis'!$D$26)</f>
        <v>25</v>
      </c>
      <c r="P2939">
        <v>121</v>
      </c>
      <c r="Q2939">
        <v>1298</v>
      </c>
    </row>
    <row r="2940" spans="1:17" x14ac:dyDescent="0.3">
      <c r="A2940">
        <v>510898</v>
      </c>
      <c r="B2940" s="1" t="s">
        <v>38</v>
      </c>
      <c r="C2940" s="1" t="s">
        <v>16</v>
      </c>
      <c r="D2940" s="1" t="s">
        <v>16</v>
      </c>
      <c r="E2940" s="1" t="s">
        <v>27</v>
      </c>
      <c r="F2940" s="1" t="s">
        <v>31</v>
      </c>
      <c r="G2940" s="1" t="s">
        <v>20</v>
      </c>
      <c r="H2940" t="s">
        <v>21</v>
      </c>
      <c r="I2940" s="1" t="s">
        <v>22</v>
      </c>
      <c r="J2940" s="2">
        <v>43531.969074074077</v>
      </c>
      <c r="K2940" s="2">
        <v>43538.969074074077</v>
      </c>
      <c r="L2940" s="2">
        <v>43537.969074074077</v>
      </c>
      <c r="M2940" s="1">
        <f>_xlfn.DAYS(Table1[[#This Row],[actual_delivery_date]],Table1[[#This Row],[dispatch_date]])</f>
        <v>7</v>
      </c>
      <c r="N2940">
        <v>0</v>
      </c>
      <c r="O2940">
        <f>Table1[[#This Row],[transit_storage_cost]] * (1-'What -if Analysis'!$D$26)</f>
        <v>0</v>
      </c>
      <c r="P2940">
        <v>121</v>
      </c>
      <c r="Q2940">
        <v>3178.9677362012108</v>
      </c>
    </row>
    <row r="2941" spans="1:17" x14ac:dyDescent="0.3">
      <c r="A2941">
        <v>807051</v>
      </c>
      <c r="B2941" s="1" t="s">
        <v>37</v>
      </c>
      <c r="C2941" s="1" t="s">
        <v>16</v>
      </c>
      <c r="D2941" s="1" t="s">
        <v>17</v>
      </c>
      <c r="E2941" s="1" t="s">
        <v>18</v>
      </c>
      <c r="F2941" s="1" t="s">
        <v>29</v>
      </c>
      <c r="G2941" s="1" t="s">
        <v>20</v>
      </c>
      <c r="H2941" t="s">
        <v>34</v>
      </c>
      <c r="I2941" s="1" t="s">
        <v>26</v>
      </c>
      <c r="J2941" s="2">
        <v>43531.969606481478</v>
      </c>
      <c r="K2941" s="2">
        <v>43538.969606481478</v>
      </c>
      <c r="L2941" s="2">
        <v>43537.969606481478</v>
      </c>
      <c r="M2941" s="1">
        <f>_xlfn.DAYS(Table1[[#This Row],[actual_delivery_date]],Table1[[#This Row],[dispatch_date]])</f>
        <v>7</v>
      </c>
      <c r="N2941">
        <v>40</v>
      </c>
      <c r="O2941">
        <f>Table1[[#This Row],[transit_storage_cost]] * (1-'What -if Analysis'!$D$26)</f>
        <v>40</v>
      </c>
      <c r="P2941">
        <v>113</v>
      </c>
      <c r="Q2941">
        <v>2969</v>
      </c>
    </row>
    <row r="2942" spans="1:17" x14ac:dyDescent="0.3">
      <c r="A2942">
        <v>651279</v>
      </c>
      <c r="B2942" s="1" t="s">
        <v>38</v>
      </c>
      <c r="C2942" s="1" t="s">
        <v>23</v>
      </c>
      <c r="D2942" s="1" t="s">
        <v>23</v>
      </c>
      <c r="E2942" s="1" t="s">
        <v>28</v>
      </c>
      <c r="F2942" s="1" t="s">
        <v>19</v>
      </c>
      <c r="G2942" s="1" t="s">
        <v>20</v>
      </c>
      <c r="H2942" t="s">
        <v>30</v>
      </c>
      <c r="I2942" s="1" t="s">
        <v>26</v>
      </c>
      <c r="J2942" s="2">
        <v>43538.981886574074</v>
      </c>
      <c r="K2942" s="2">
        <v>43538.981886574074</v>
      </c>
      <c r="L2942" s="2">
        <v>43541.981886574074</v>
      </c>
      <c r="M2942" s="1">
        <f>_xlfn.DAYS(Table1[[#This Row],[actual_delivery_date]],Table1[[#This Row],[dispatch_date]])</f>
        <v>0</v>
      </c>
      <c r="N2942">
        <v>0</v>
      </c>
      <c r="O2942">
        <f>Table1[[#This Row],[transit_storage_cost]] * (1-'What -if Analysis'!$D$26)</f>
        <v>0</v>
      </c>
      <c r="P2942">
        <v>101</v>
      </c>
      <c r="Q2942">
        <v>2812.5415342191395</v>
      </c>
    </row>
    <row r="2943" spans="1:17" x14ac:dyDescent="0.3">
      <c r="A2943">
        <v>105604</v>
      </c>
      <c r="B2943" s="1" t="s">
        <v>38</v>
      </c>
      <c r="C2943" s="1" t="s">
        <v>23</v>
      </c>
      <c r="D2943" s="1" t="s">
        <v>17</v>
      </c>
      <c r="E2943" s="1" t="s">
        <v>18</v>
      </c>
      <c r="F2943" s="1" t="s">
        <v>19</v>
      </c>
      <c r="G2943" s="1" t="s">
        <v>20</v>
      </c>
      <c r="H2943" t="s">
        <v>21</v>
      </c>
      <c r="I2943" s="1" t="s">
        <v>22</v>
      </c>
      <c r="J2943" s="2">
        <v>43536.988842592589</v>
      </c>
      <c r="K2943" s="2">
        <v>43538.988842592589</v>
      </c>
      <c r="L2943" s="2">
        <v>43542.988842592589</v>
      </c>
      <c r="M2943" s="1">
        <f>_xlfn.DAYS(Table1[[#This Row],[actual_delivery_date]],Table1[[#This Row],[dispatch_date]])</f>
        <v>2</v>
      </c>
      <c r="N2943">
        <v>29</v>
      </c>
      <c r="O2943">
        <f>Table1[[#This Row],[transit_storage_cost]] * (1-'What -if Analysis'!$D$26)</f>
        <v>29</v>
      </c>
      <c r="P2943">
        <v>106</v>
      </c>
      <c r="Q2943">
        <v>3716.016957801824</v>
      </c>
    </row>
    <row r="2944" spans="1:17" x14ac:dyDescent="0.3">
      <c r="A2944">
        <v>988190</v>
      </c>
      <c r="B2944" s="1" t="s">
        <v>40</v>
      </c>
      <c r="C2944" s="1" t="s">
        <v>16</v>
      </c>
      <c r="D2944" s="1" t="s">
        <v>24</v>
      </c>
      <c r="E2944" s="1" t="s">
        <v>25</v>
      </c>
      <c r="F2944" s="1" t="s">
        <v>31</v>
      </c>
      <c r="G2944" s="1" t="s">
        <v>20</v>
      </c>
      <c r="H2944" t="s">
        <v>21</v>
      </c>
      <c r="I2944" s="1" t="s">
        <v>22</v>
      </c>
      <c r="J2944" s="2">
        <v>43531.992118055554</v>
      </c>
      <c r="K2944" s="2">
        <v>43538.992118055554</v>
      </c>
      <c r="L2944" s="2">
        <v>43536.992118055554</v>
      </c>
      <c r="M2944" s="1">
        <f>_xlfn.DAYS(Table1[[#This Row],[actual_delivery_date]],Table1[[#This Row],[dispatch_date]])</f>
        <v>7</v>
      </c>
      <c r="N2944">
        <v>30</v>
      </c>
      <c r="O2944">
        <f>Table1[[#This Row],[transit_storage_cost]] * (1-'What -if Analysis'!$D$26)</f>
        <v>30</v>
      </c>
      <c r="P2944">
        <v>127</v>
      </c>
      <c r="Q2944">
        <v>1315.1293179103327</v>
      </c>
    </row>
    <row r="2945" spans="1:17" x14ac:dyDescent="0.3">
      <c r="A2945">
        <v>553029</v>
      </c>
      <c r="B2945" s="1" t="s">
        <v>39</v>
      </c>
      <c r="C2945" s="1" t="s">
        <v>16</v>
      </c>
      <c r="D2945" s="1" t="s">
        <v>23</v>
      </c>
      <c r="E2945" s="1" t="s">
        <v>28</v>
      </c>
      <c r="F2945" s="1" t="s">
        <v>29</v>
      </c>
      <c r="G2945" s="1" t="s">
        <v>20</v>
      </c>
      <c r="H2945" t="s">
        <v>30</v>
      </c>
      <c r="I2945" s="1" t="s">
        <v>26</v>
      </c>
      <c r="J2945" s="2">
        <v>43530.002534722225</v>
      </c>
      <c r="K2945" s="2">
        <v>43539.002534722225</v>
      </c>
      <c r="L2945" s="2">
        <v>43536.002534722225</v>
      </c>
      <c r="M2945" s="1">
        <f>_xlfn.DAYS(Table1[[#This Row],[actual_delivery_date]],Table1[[#This Row],[dispatch_date]])</f>
        <v>9</v>
      </c>
      <c r="N2945">
        <v>27</v>
      </c>
      <c r="O2945">
        <f>Table1[[#This Row],[transit_storage_cost]] * (1-'What -if Analysis'!$D$26)</f>
        <v>27</v>
      </c>
      <c r="P2945">
        <v>120</v>
      </c>
      <c r="Q2945">
        <v>1025.21</v>
      </c>
    </row>
    <row r="2946" spans="1:17" x14ac:dyDescent="0.3">
      <c r="A2946">
        <v>343646</v>
      </c>
      <c r="B2946" s="1" t="s">
        <v>38</v>
      </c>
      <c r="C2946" s="1" t="s">
        <v>16</v>
      </c>
      <c r="D2946" s="1" t="s">
        <v>32</v>
      </c>
      <c r="E2946" s="1" t="s">
        <v>33</v>
      </c>
      <c r="F2946" s="1" t="s">
        <v>31</v>
      </c>
      <c r="G2946" s="1" t="s">
        <v>20</v>
      </c>
      <c r="H2946" t="s">
        <v>21</v>
      </c>
      <c r="I2946" s="1" t="s">
        <v>22</v>
      </c>
      <c r="J2946" s="2">
        <v>43537.002581018518</v>
      </c>
      <c r="K2946" s="2">
        <v>43539.002581018518</v>
      </c>
      <c r="L2946" s="2">
        <v>43543.002581018518</v>
      </c>
      <c r="M2946" s="1">
        <f>_xlfn.DAYS(Table1[[#This Row],[actual_delivery_date]],Table1[[#This Row],[dispatch_date]])</f>
        <v>2</v>
      </c>
      <c r="N2946">
        <v>28</v>
      </c>
      <c r="O2946">
        <f>Table1[[#This Row],[transit_storage_cost]] * (1-'What -if Analysis'!$D$26)</f>
        <v>28</v>
      </c>
      <c r="P2946">
        <v>107</v>
      </c>
      <c r="Q2946">
        <v>2387.5248072971858</v>
      </c>
    </row>
    <row r="2947" spans="1:17" x14ac:dyDescent="0.3">
      <c r="A2947">
        <v>313376</v>
      </c>
      <c r="B2947" s="1" t="s">
        <v>39</v>
      </c>
      <c r="C2947" s="1" t="s">
        <v>23</v>
      </c>
      <c r="D2947" s="1" t="s">
        <v>32</v>
      </c>
      <c r="E2947" s="1" t="s">
        <v>33</v>
      </c>
      <c r="F2947" s="1" t="s">
        <v>19</v>
      </c>
      <c r="G2947" s="1" t="s">
        <v>20</v>
      </c>
      <c r="H2947" t="s">
        <v>21</v>
      </c>
      <c r="I2947" s="1" t="s">
        <v>22</v>
      </c>
      <c r="J2947" s="2">
        <v>43536.006284722222</v>
      </c>
      <c r="K2947" s="2">
        <v>43539.006284722222</v>
      </c>
      <c r="L2947" s="2">
        <v>43541.006284722222</v>
      </c>
      <c r="M2947" s="1">
        <f>_xlfn.DAYS(Table1[[#This Row],[actual_delivery_date]],Table1[[#This Row],[dispatch_date]])</f>
        <v>3</v>
      </c>
      <c r="N2947">
        <v>70</v>
      </c>
      <c r="O2947">
        <f>Table1[[#This Row],[transit_storage_cost]] * (1-'What -if Analysis'!$D$26)</f>
        <v>70</v>
      </c>
      <c r="P2947">
        <v>92</v>
      </c>
      <c r="Q2947">
        <v>2706.242042611897</v>
      </c>
    </row>
    <row r="2948" spans="1:17" x14ac:dyDescent="0.3">
      <c r="A2948">
        <v>75784</v>
      </c>
      <c r="B2948" s="1" t="s">
        <v>38</v>
      </c>
      <c r="C2948" s="1" t="s">
        <v>23</v>
      </c>
      <c r="D2948" s="1" t="s">
        <v>23</v>
      </c>
      <c r="E2948" s="1" t="s">
        <v>28</v>
      </c>
      <c r="F2948" s="1" t="s">
        <v>19</v>
      </c>
      <c r="G2948" s="1" t="s">
        <v>20</v>
      </c>
      <c r="H2948" t="s">
        <v>21</v>
      </c>
      <c r="I2948" s="1" t="s">
        <v>22</v>
      </c>
      <c r="J2948" s="2">
        <v>43538.009236111109</v>
      </c>
      <c r="K2948" s="2">
        <v>43539.009236111109</v>
      </c>
      <c r="L2948" s="2">
        <v>43543.009236111109</v>
      </c>
      <c r="M2948" s="1">
        <f>_xlfn.DAYS(Table1[[#This Row],[actual_delivery_date]],Table1[[#This Row],[dispatch_date]])</f>
        <v>1</v>
      </c>
      <c r="N2948">
        <v>0</v>
      </c>
      <c r="O2948">
        <f>Table1[[#This Row],[transit_storage_cost]] * (1-'What -if Analysis'!$D$26)</f>
        <v>0</v>
      </c>
      <c r="P2948">
        <v>101</v>
      </c>
      <c r="Q2948">
        <v>2412.4018238600479</v>
      </c>
    </row>
    <row r="2949" spans="1:17" x14ac:dyDescent="0.3">
      <c r="A2949">
        <v>807194</v>
      </c>
      <c r="B2949" s="1" t="s">
        <v>38</v>
      </c>
      <c r="C2949" s="1" t="s">
        <v>16</v>
      </c>
      <c r="D2949" s="1" t="s">
        <v>17</v>
      </c>
      <c r="E2949" s="1" t="s">
        <v>18</v>
      </c>
      <c r="F2949" s="1" t="s">
        <v>31</v>
      </c>
      <c r="G2949" s="1" t="s">
        <v>20</v>
      </c>
      <c r="H2949" t="s">
        <v>21</v>
      </c>
      <c r="I2949" s="1" t="s">
        <v>22</v>
      </c>
      <c r="J2949" s="2">
        <v>43531.016018518516</v>
      </c>
      <c r="K2949" s="2">
        <v>43539.016018518516</v>
      </c>
      <c r="L2949" s="2">
        <v>43535.016018518516</v>
      </c>
      <c r="M2949" s="1">
        <f>_xlfn.DAYS(Table1[[#This Row],[actual_delivery_date]],Table1[[#This Row],[dispatch_date]])</f>
        <v>8</v>
      </c>
      <c r="N2949">
        <v>33</v>
      </c>
      <c r="O2949">
        <f>Table1[[#This Row],[transit_storage_cost]] * (1-'What -if Analysis'!$D$26)</f>
        <v>33</v>
      </c>
      <c r="P2949">
        <v>108</v>
      </c>
      <c r="Q2949">
        <v>3059</v>
      </c>
    </row>
    <row r="2950" spans="1:17" x14ac:dyDescent="0.3">
      <c r="A2950">
        <v>721513</v>
      </c>
      <c r="B2950" s="1" t="s">
        <v>40</v>
      </c>
      <c r="C2950" s="1" t="s">
        <v>16</v>
      </c>
      <c r="D2950" s="1" t="s">
        <v>17</v>
      </c>
      <c r="E2950" s="1" t="s">
        <v>18</v>
      </c>
      <c r="F2950" s="1" t="s">
        <v>29</v>
      </c>
      <c r="G2950" s="1" t="s">
        <v>20</v>
      </c>
      <c r="H2950" t="s">
        <v>30</v>
      </c>
      <c r="I2950" s="1" t="s">
        <v>22</v>
      </c>
      <c r="J2950" s="2">
        <v>43535.028067129628</v>
      </c>
      <c r="K2950" s="2">
        <v>43539.028067129628</v>
      </c>
      <c r="L2950" s="2">
        <v>43542.028067129628</v>
      </c>
      <c r="M2950" s="1">
        <f>_xlfn.DAYS(Table1[[#This Row],[actual_delivery_date]],Table1[[#This Row],[dispatch_date]])</f>
        <v>4</v>
      </c>
      <c r="N2950">
        <v>34</v>
      </c>
      <c r="O2950">
        <f>Table1[[#This Row],[transit_storage_cost]] * (1-'What -if Analysis'!$D$26)</f>
        <v>34</v>
      </c>
      <c r="P2950">
        <v>108</v>
      </c>
      <c r="Q2950">
        <v>571.45578796422319</v>
      </c>
    </row>
    <row r="2951" spans="1:17" x14ac:dyDescent="0.3">
      <c r="A2951">
        <v>958990</v>
      </c>
      <c r="B2951" s="1" t="s">
        <v>38</v>
      </c>
      <c r="C2951" s="1" t="s">
        <v>23</v>
      </c>
      <c r="D2951" s="1" t="s">
        <v>24</v>
      </c>
      <c r="E2951" s="1" t="s">
        <v>25</v>
      </c>
      <c r="F2951" s="1" t="s">
        <v>19</v>
      </c>
      <c r="G2951" s="1" t="s">
        <v>20</v>
      </c>
      <c r="H2951" t="s">
        <v>21</v>
      </c>
      <c r="I2951" s="1" t="s">
        <v>22</v>
      </c>
      <c r="J2951" s="2">
        <v>43532.030358796299</v>
      </c>
      <c r="K2951" s="2">
        <v>43539.030358796299</v>
      </c>
      <c r="L2951" s="2">
        <v>43535.030358796299</v>
      </c>
      <c r="M2951" s="1">
        <f>_xlfn.DAYS(Table1[[#This Row],[actual_delivery_date]],Table1[[#This Row],[dispatch_date]])</f>
        <v>7</v>
      </c>
      <c r="N2951">
        <v>77</v>
      </c>
      <c r="O2951">
        <f>Table1[[#This Row],[transit_storage_cost]] * (1-'What -if Analysis'!$D$26)</f>
        <v>77</v>
      </c>
      <c r="P2951">
        <v>104</v>
      </c>
      <c r="Q2951">
        <v>2363.9485181854411</v>
      </c>
    </row>
    <row r="2952" spans="1:17" x14ac:dyDescent="0.3">
      <c r="A2952">
        <v>777710</v>
      </c>
      <c r="B2952" s="1" t="s">
        <v>38</v>
      </c>
      <c r="C2952" s="1" t="s">
        <v>16</v>
      </c>
      <c r="D2952" s="1" t="s">
        <v>16</v>
      </c>
      <c r="E2952" s="1" t="s">
        <v>27</v>
      </c>
      <c r="F2952" s="1" t="s">
        <v>31</v>
      </c>
      <c r="G2952" s="1" t="s">
        <v>20</v>
      </c>
      <c r="H2952" t="s">
        <v>21</v>
      </c>
      <c r="I2952" s="1" t="s">
        <v>22</v>
      </c>
      <c r="J2952" s="2">
        <v>43532.0309837963</v>
      </c>
      <c r="K2952" s="2">
        <v>43539.0309837963</v>
      </c>
      <c r="L2952" s="2">
        <v>43537.0309837963</v>
      </c>
      <c r="M2952" s="1">
        <f>_xlfn.DAYS(Table1[[#This Row],[actual_delivery_date]],Table1[[#This Row],[dispatch_date]])</f>
        <v>7</v>
      </c>
      <c r="N2952">
        <v>0</v>
      </c>
      <c r="O2952">
        <f>Table1[[#This Row],[transit_storage_cost]] * (1-'What -if Analysis'!$D$26)</f>
        <v>0</v>
      </c>
      <c r="P2952">
        <v>127</v>
      </c>
      <c r="Q2952">
        <v>3515.0482503914536</v>
      </c>
    </row>
    <row r="2953" spans="1:17" x14ac:dyDescent="0.3">
      <c r="A2953">
        <v>894964</v>
      </c>
      <c r="B2953" s="1" t="s">
        <v>39</v>
      </c>
      <c r="C2953" s="1" t="s">
        <v>16</v>
      </c>
      <c r="D2953" s="1" t="s">
        <v>24</v>
      </c>
      <c r="E2953" s="1" t="s">
        <v>25</v>
      </c>
      <c r="F2953" s="1" t="s">
        <v>19</v>
      </c>
      <c r="G2953" s="1" t="s">
        <v>20</v>
      </c>
      <c r="H2953" t="s">
        <v>21</v>
      </c>
      <c r="I2953" s="1" t="s">
        <v>22</v>
      </c>
      <c r="J2953" s="2">
        <v>43532.032881944448</v>
      </c>
      <c r="K2953" s="2">
        <v>43539.032881944448</v>
      </c>
      <c r="L2953" s="2">
        <v>43537.032881944448</v>
      </c>
      <c r="M2953" s="1">
        <f>_xlfn.DAYS(Table1[[#This Row],[actual_delivery_date]],Table1[[#This Row],[dispatch_date]])</f>
        <v>7</v>
      </c>
      <c r="N2953">
        <v>67</v>
      </c>
      <c r="O2953">
        <f>Table1[[#This Row],[transit_storage_cost]] * (1-'What -if Analysis'!$D$26)</f>
        <v>67</v>
      </c>
      <c r="P2953">
        <v>106</v>
      </c>
      <c r="Q2953">
        <v>483</v>
      </c>
    </row>
    <row r="2954" spans="1:17" x14ac:dyDescent="0.3">
      <c r="A2954">
        <v>433678</v>
      </c>
      <c r="B2954" s="1" t="s">
        <v>38</v>
      </c>
      <c r="C2954" s="1" t="s">
        <v>16</v>
      </c>
      <c r="D2954" s="1" t="s">
        <v>16</v>
      </c>
      <c r="E2954" s="1" t="s">
        <v>27</v>
      </c>
      <c r="F2954" s="1" t="s">
        <v>19</v>
      </c>
      <c r="G2954" s="1" t="s">
        <v>20</v>
      </c>
      <c r="H2954" t="s">
        <v>21</v>
      </c>
      <c r="I2954" s="1" t="s">
        <v>22</v>
      </c>
      <c r="J2954" s="2">
        <v>43535.038159722222</v>
      </c>
      <c r="K2954" s="2">
        <v>43539.038159722222</v>
      </c>
      <c r="L2954" s="2">
        <v>43542.038159722222</v>
      </c>
      <c r="M2954" s="1">
        <f>_xlfn.DAYS(Table1[[#This Row],[actual_delivery_date]],Table1[[#This Row],[dispatch_date]])</f>
        <v>4</v>
      </c>
      <c r="N2954">
        <v>0</v>
      </c>
      <c r="O2954">
        <f>Table1[[#This Row],[transit_storage_cost]] * (1-'What -if Analysis'!$D$26)</f>
        <v>0</v>
      </c>
      <c r="P2954">
        <v>103</v>
      </c>
      <c r="Q2954">
        <v>607.22846794804502</v>
      </c>
    </row>
    <row r="2955" spans="1:17" x14ac:dyDescent="0.3">
      <c r="A2955">
        <v>431296</v>
      </c>
      <c r="B2955" s="1" t="s">
        <v>37</v>
      </c>
      <c r="C2955" s="1" t="s">
        <v>16</v>
      </c>
      <c r="D2955" s="1" t="s">
        <v>32</v>
      </c>
      <c r="E2955" s="1" t="s">
        <v>33</v>
      </c>
      <c r="F2955" s="1" t="s">
        <v>19</v>
      </c>
      <c r="G2955" s="1" t="s">
        <v>20</v>
      </c>
      <c r="H2955" t="s">
        <v>21</v>
      </c>
      <c r="I2955" s="1" t="s">
        <v>22</v>
      </c>
      <c r="J2955" s="2">
        <v>43531.038819444446</v>
      </c>
      <c r="K2955" s="2">
        <v>43539.038819444446</v>
      </c>
      <c r="L2955" s="2">
        <v>43534.038819444446</v>
      </c>
      <c r="M2955" s="1">
        <f>_xlfn.DAYS(Table1[[#This Row],[actual_delivery_date]],Table1[[#This Row],[dispatch_date]])</f>
        <v>8</v>
      </c>
      <c r="N2955">
        <v>47</v>
      </c>
      <c r="O2955">
        <f>Table1[[#This Row],[transit_storage_cost]] * (1-'What -if Analysis'!$D$26)</f>
        <v>47</v>
      </c>
      <c r="P2955">
        <v>109</v>
      </c>
      <c r="Q2955">
        <v>1113.8913872318528</v>
      </c>
    </row>
    <row r="2956" spans="1:17" x14ac:dyDescent="0.3">
      <c r="A2956">
        <v>274788</v>
      </c>
      <c r="B2956" s="1" t="s">
        <v>38</v>
      </c>
      <c r="C2956" s="1" t="s">
        <v>16</v>
      </c>
      <c r="D2956" s="1" t="s">
        <v>23</v>
      </c>
      <c r="E2956" s="1" t="s">
        <v>28</v>
      </c>
      <c r="F2956" s="1" t="s">
        <v>19</v>
      </c>
      <c r="G2956" s="1" t="s">
        <v>20</v>
      </c>
      <c r="H2956" t="s">
        <v>21</v>
      </c>
      <c r="I2956" s="1" t="s">
        <v>26</v>
      </c>
      <c r="J2956" s="2">
        <v>43535.045081018521</v>
      </c>
      <c r="K2956" s="2">
        <v>43539.045081018521</v>
      </c>
      <c r="L2956" s="2">
        <v>43540.045081018521</v>
      </c>
      <c r="M2956" s="1">
        <f>_xlfn.DAYS(Table1[[#This Row],[actual_delivery_date]],Table1[[#This Row],[dispatch_date]])</f>
        <v>4</v>
      </c>
      <c r="N2956">
        <v>86</v>
      </c>
      <c r="O2956">
        <f>Table1[[#This Row],[transit_storage_cost]] * (1-'What -if Analysis'!$D$26)</f>
        <v>86</v>
      </c>
      <c r="P2956">
        <v>101</v>
      </c>
      <c r="Q2956">
        <v>2519.058568798715</v>
      </c>
    </row>
    <row r="2957" spans="1:17" x14ac:dyDescent="0.3">
      <c r="A2957">
        <v>845343</v>
      </c>
      <c r="B2957" s="1" t="s">
        <v>40</v>
      </c>
      <c r="C2957" s="1" t="s">
        <v>16</v>
      </c>
      <c r="D2957" s="1" t="s">
        <v>23</v>
      </c>
      <c r="E2957" s="1" t="s">
        <v>28</v>
      </c>
      <c r="F2957" s="1" t="s">
        <v>19</v>
      </c>
      <c r="G2957" s="1" t="s">
        <v>20</v>
      </c>
      <c r="H2957" t="s">
        <v>30</v>
      </c>
      <c r="I2957" s="1" t="s">
        <v>26</v>
      </c>
      <c r="J2957" s="2">
        <v>43533.051435185182</v>
      </c>
      <c r="K2957" s="2">
        <v>43539.051435185182</v>
      </c>
      <c r="L2957" s="2">
        <v>43538.051435185182</v>
      </c>
      <c r="M2957" s="1">
        <f>_xlfn.DAYS(Table1[[#This Row],[actual_delivery_date]],Table1[[#This Row],[dispatch_date]])</f>
        <v>6</v>
      </c>
      <c r="N2957">
        <v>65</v>
      </c>
      <c r="O2957">
        <f>Table1[[#This Row],[transit_storage_cost]] * (1-'What -if Analysis'!$D$26)</f>
        <v>65</v>
      </c>
      <c r="P2957">
        <v>109</v>
      </c>
      <c r="Q2957">
        <v>2656.9502768313932</v>
      </c>
    </row>
    <row r="2958" spans="1:17" x14ac:dyDescent="0.3">
      <c r="A2958">
        <v>370301</v>
      </c>
      <c r="B2958" s="1" t="s">
        <v>38</v>
      </c>
      <c r="C2958" s="1" t="s">
        <v>16</v>
      </c>
      <c r="D2958" s="1" t="s">
        <v>16</v>
      </c>
      <c r="E2958" s="1" t="s">
        <v>27</v>
      </c>
      <c r="F2958" s="1" t="s">
        <v>29</v>
      </c>
      <c r="G2958" s="1" t="s">
        <v>20</v>
      </c>
      <c r="H2958" t="s">
        <v>30</v>
      </c>
      <c r="I2958" s="1" t="s">
        <v>22</v>
      </c>
      <c r="J2958" s="2">
        <v>43538.053900462961</v>
      </c>
      <c r="K2958" s="2">
        <v>43539.053900462961</v>
      </c>
      <c r="L2958" s="2">
        <v>43542.053900462961</v>
      </c>
      <c r="M2958" s="1">
        <f>_xlfn.DAYS(Table1[[#This Row],[actual_delivery_date]],Table1[[#This Row],[dispatch_date]])</f>
        <v>1</v>
      </c>
      <c r="N2958">
        <v>0</v>
      </c>
      <c r="O2958">
        <f>Table1[[#This Row],[transit_storage_cost]] * (1-'What -if Analysis'!$D$26)</f>
        <v>0</v>
      </c>
      <c r="P2958">
        <v>121</v>
      </c>
      <c r="Q2958">
        <v>3763.7622409137225</v>
      </c>
    </row>
    <row r="2959" spans="1:17" x14ac:dyDescent="0.3">
      <c r="A2959">
        <v>864137</v>
      </c>
      <c r="B2959" s="1" t="s">
        <v>38</v>
      </c>
      <c r="C2959" s="1" t="s">
        <v>16</v>
      </c>
      <c r="D2959" s="1" t="s">
        <v>24</v>
      </c>
      <c r="E2959" s="1" t="s">
        <v>25</v>
      </c>
      <c r="F2959" s="1" t="s">
        <v>29</v>
      </c>
      <c r="G2959" s="1" t="s">
        <v>20</v>
      </c>
      <c r="H2959" t="s">
        <v>30</v>
      </c>
      <c r="I2959" s="1" t="s">
        <v>22</v>
      </c>
      <c r="J2959" s="2">
        <v>43533.05878472222</v>
      </c>
      <c r="K2959" s="2">
        <v>43539.05878472222</v>
      </c>
      <c r="L2959" s="2">
        <v>43540.05878472222</v>
      </c>
      <c r="M2959" s="1">
        <f>_xlfn.DAYS(Table1[[#This Row],[actual_delivery_date]],Table1[[#This Row],[dispatch_date]])</f>
        <v>6</v>
      </c>
      <c r="N2959">
        <v>25</v>
      </c>
      <c r="O2959">
        <f>Table1[[#This Row],[transit_storage_cost]] * (1-'What -if Analysis'!$D$26)</f>
        <v>25</v>
      </c>
      <c r="P2959">
        <v>121</v>
      </c>
      <c r="Q2959">
        <v>3145.8442947564154</v>
      </c>
    </row>
    <row r="2960" spans="1:17" x14ac:dyDescent="0.3">
      <c r="A2960">
        <v>688775</v>
      </c>
      <c r="B2960" s="1" t="s">
        <v>37</v>
      </c>
      <c r="C2960" s="1" t="s">
        <v>23</v>
      </c>
      <c r="D2960" s="1" t="s">
        <v>17</v>
      </c>
      <c r="E2960" s="1" t="s">
        <v>18</v>
      </c>
      <c r="F2960" s="1" t="s">
        <v>19</v>
      </c>
      <c r="G2960" s="1" t="s">
        <v>20</v>
      </c>
      <c r="H2960" t="s">
        <v>30</v>
      </c>
      <c r="I2960" s="1" t="s">
        <v>22</v>
      </c>
      <c r="J2960" s="2">
        <v>43533.059479166666</v>
      </c>
      <c r="K2960" s="2">
        <v>43539.059479166666</v>
      </c>
      <c r="L2960" s="2">
        <v>43539.059479166666</v>
      </c>
      <c r="M2960" s="1">
        <f>_xlfn.DAYS(Table1[[#This Row],[actual_delivery_date]],Table1[[#This Row],[dispatch_date]])</f>
        <v>6</v>
      </c>
      <c r="N2960">
        <v>86</v>
      </c>
      <c r="O2960">
        <f>Table1[[#This Row],[transit_storage_cost]] * (1-'What -if Analysis'!$D$26)</f>
        <v>86</v>
      </c>
      <c r="P2960">
        <v>91</v>
      </c>
      <c r="Q2960">
        <v>1778.2445138855094</v>
      </c>
    </row>
    <row r="2961" spans="1:17" x14ac:dyDescent="0.3">
      <c r="A2961">
        <v>415498</v>
      </c>
      <c r="B2961" s="1" t="s">
        <v>37</v>
      </c>
      <c r="C2961" s="1" t="s">
        <v>16</v>
      </c>
      <c r="D2961" s="1" t="s">
        <v>16</v>
      </c>
      <c r="E2961" s="1" t="s">
        <v>27</v>
      </c>
      <c r="F2961" s="1" t="s">
        <v>31</v>
      </c>
      <c r="G2961" s="1" t="s">
        <v>20</v>
      </c>
      <c r="H2961" t="s">
        <v>21</v>
      </c>
      <c r="I2961" s="1" t="s">
        <v>22</v>
      </c>
      <c r="J2961" s="2">
        <v>43535.061759259261</v>
      </c>
      <c r="K2961" s="2">
        <v>43539.061759259261</v>
      </c>
      <c r="L2961" s="2">
        <v>43540.061759259261</v>
      </c>
      <c r="M2961" s="1">
        <f>_xlfn.DAYS(Table1[[#This Row],[actual_delivery_date]],Table1[[#This Row],[dispatch_date]])</f>
        <v>4</v>
      </c>
      <c r="N2961">
        <v>0</v>
      </c>
      <c r="O2961">
        <f>Table1[[#This Row],[transit_storage_cost]] * (1-'What -if Analysis'!$D$26)</f>
        <v>0</v>
      </c>
      <c r="P2961">
        <v>127</v>
      </c>
      <c r="Q2961">
        <v>702.73704661521435</v>
      </c>
    </row>
    <row r="2962" spans="1:17" x14ac:dyDescent="0.3">
      <c r="A2962">
        <v>294582</v>
      </c>
      <c r="B2962" s="1" t="s">
        <v>40</v>
      </c>
      <c r="C2962" s="1" t="s">
        <v>16</v>
      </c>
      <c r="D2962" s="1" t="s">
        <v>17</v>
      </c>
      <c r="E2962" s="1" t="s">
        <v>18</v>
      </c>
      <c r="F2962" s="1" t="s">
        <v>19</v>
      </c>
      <c r="G2962" s="1" t="s">
        <v>20</v>
      </c>
      <c r="H2962" t="s">
        <v>21</v>
      </c>
      <c r="I2962" s="1" t="s">
        <v>26</v>
      </c>
      <c r="J2962" s="2">
        <v>43537.063761574071</v>
      </c>
      <c r="K2962" s="2">
        <v>43539.063761574071</v>
      </c>
      <c r="L2962" s="2">
        <v>43542.063761574071</v>
      </c>
      <c r="M2962" s="1">
        <f>_xlfn.DAYS(Table1[[#This Row],[actual_delivery_date]],Table1[[#This Row],[dispatch_date]])</f>
        <v>2</v>
      </c>
      <c r="N2962">
        <v>79</v>
      </c>
      <c r="O2962">
        <f>Table1[[#This Row],[transit_storage_cost]] * (1-'What -if Analysis'!$D$26)</f>
        <v>79</v>
      </c>
      <c r="P2962">
        <v>85</v>
      </c>
      <c r="Q2962">
        <v>716</v>
      </c>
    </row>
    <row r="2963" spans="1:17" x14ac:dyDescent="0.3">
      <c r="A2963">
        <v>626031</v>
      </c>
      <c r="B2963" s="1" t="s">
        <v>41</v>
      </c>
      <c r="C2963" s="1" t="s">
        <v>16</v>
      </c>
      <c r="D2963" s="1" t="s">
        <v>24</v>
      </c>
      <c r="E2963" s="1" t="s">
        <v>25</v>
      </c>
      <c r="F2963" s="1" t="s">
        <v>29</v>
      </c>
      <c r="G2963" s="1" t="s">
        <v>20</v>
      </c>
      <c r="H2963" t="s">
        <v>34</v>
      </c>
      <c r="I2963" s="1" t="s">
        <v>26</v>
      </c>
      <c r="J2963" s="2">
        <v>43537.065081018518</v>
      </c>
      <c r="K2963" s="2">
        <v>43539.065081018518</v>
      </c>
      <c r="L2963" s="2">
        <v>43541.065081018518</v>
      </c>
      <c r="M2963" s="1">
        <f>_xlfn.DAYS(Table1[[#This Row],[actual_delivery_date]],Table1[[#This Row],[dispatch_date]])</f>
        <v>2</v>
      </c>
      <c r="N2963">
        <v>30</v>
      </c>
      <c r="O2963">
        <f>Table1[[#This Row],[transit_storage_cost]] * (1-'What -if Analysis'!$D$26)</f>
        <v>30</v>
      </c>
      <c r="P2963">
        <v>120</v>
      </c>
      <c r="Q2963">
        <v>867.50129641126512</v>
      </c>
    </row>
    <row r="2964" spans="1:17" x14ac:dyDescent="0.3">
      <c r="A2964">
        <v>934499</v>
      </c>
      <c r="B2964" s="1" t="s">
        <v>40</v>
      </c>
      <c r="C2964" s="1" t="s">
        <v>16</v>
      </c>
      <c r="D2964" s="1" t="s">
        <v>17</v>
      </c>
      <c r="E2964" s="1" t="s">
        <v>18</v>
      </c>
      <c r="F2964" s="1" t="s">
        <v>29</v>
      </c>
      <c r="G2964" s="1" t="s">
        <v>20</v>
      </c>
      <c r="H2964" t="s">
        <v>30</v>
      </c>
      <c r="I2964" s="1" t="s">
        <v>22</v>
      </c>
      <c r="J2964" s="2">
        <v>43530.067152777781</v>
      </c>
      <c r="K2964" s="2">
        <v>43539.067152777781</v>
      </c>
      <c r="L2964" s="2">
        <v>43536.067152777781</v>
      </c>
      <c r="M2964" s="1">
        <f>_xlfn.DAYS(Table1[[#This Row],[actual_delivery_date]],Table1[[#This Row],[dispatch_date]])</f>
        <v>9</v>
      </c>
      <c r="N2964">
        <v>32</v>
      </c>
      <c r="O2964">
        <f>Table1[[#This Row],[transit_storage_cost]] * (1-'What -if Analysis'!$D$26)</f>
        <v>32</v>
      </c>
      <c r="P2964">
        <v>110</v>
      </c>
      <c r="Q2964">
        <v>1175.1620893727747</v>
      </c>
    </row>
    <row r="2965" spans="1:17" x14ac:dyDescent="0.3">
      <c r="A2965">
        <v>989756</v>
      </c>
      <c r="B2965" s="1" t="s">
        <v>38</v>
      </c>
      <c r="C2965" s="1" t="s">
        <v>16</v>
      </c>
      <c r="D2965" s="1" t="s">
        <v>23</v>
      </c>
      <c r="E2965" s="1" t="s">
        <v>28</v>
      </c>
      <c r="F2965" s="1" t="s">
        <v>19</v>
      </c>
      <c r="G2965" s="1" t="s">
        <v>20</v>
      </c>
      <c r="H2965" t="s">
        <v>21</v>
      </c>
      <c r="I2965" s="1" t="s">
        <v>22</v>
      </c>
      <c r="J2965" s="2">
        <v>43533.068078703705</v>
      </c>
      <c r="K2965" s="2">
        <v>43539.068078703705</v>
      </c>
      <c r="L2965" s="2">
        <v>43538.068078703705</v>
      </c>
      <c r="M2965" s="1">
        <f>_xlfn.DAYS(Table1[[#This Row],[actual_delivery_date]],Table1[[#This Row],[dispatch_date]])</f>
        <v>6</v>
      </c>
      <c r="N2965">
        <v>40</v>
      </c>
      <c r="O2965">
        <f>Table1[[#This Row],[transit_storage_cost]] * (1-'What -if Analysis'!$D$26)</f>
        <v>40</v>
      </c>
      <c r="P2965">
        <v>120</v>
      </c>
      <c r="Q2965">
        <v>3206.6965549967485</v>
      </c>
    </row>
    <row r="2966" spans="1:17" x14ac:dyDescent="0.3">
      <c r="A2966">
        <v>422115</v>
      </c>
      <c r="B2966" s="1" t="s">
        <v>38</v>
      </c>
      <c r="C2966" s="1" t="s">
        <v>16</v>
      </c>
      <c r="D2966" s="1" t="s">
        <v>17</v>
      </c>
      <c r="E2966" s="1" t="s">
        <v>18</v>
      </c>
      <c r="F2966" s="1" t="s">
        <v>29</v>
      </c>
      <c r="G2966" s="1" t="s">
        <v>20</v>
      </c>
      <c r="H2966" t="s">
        <v>30</v>
      </c>
      <c r="I2966" s="1" t="s">
        <v>26</v>
      </c>
      <c r="J2966" s="2">
        <v>43535.071608796294</v>
      </c>
      <c r="K2966" s="2">
        <v>43539.071608796294</v>
      </c>
      <c r="L2966" s="2">
        <v>43540.071608796294</v>
      </c>
      <c r="M2966" s="1">
        <f>_xlfn.DAYS(Table1[[#This Row],[actual_delivery_date]],Table1[[#This Row],[dispatch_date]])</f>
        <v>4</v>
      </c>
      <c r="N2966">
        <v>45</v>
      </c>
      <c r="O2966">
        <f>Table1[[#This Row],[transit_storage_cost]] * (1-'What -if Analysis'!$D$26)</f>
        <v>45</v>
      </c>
      <c r="P2966">
        <v>115</v>
      </c>
      <c r="Q2966">
        <v>2031.3380121481168</v>
      </c>
    </row>
    <row r="2967" spans="1:17" x14ac:dyDescent="0.3">
      <c r="A2967">
        <v>870361</v>
      </c>
      <c r="B2967" s="1" t="s">
        <v>38</v>
      </c>
      <c r="C2967" s="1" t="s">
        <v>23</v>
      </c>
      <c r="D2967" s="1" t="s">
        <v>16</v>
      </c>
      <c r="E2967" s="1" t="s">
        <v>27</v>
      </c>
      <c r="F2967" s="1" t="s">
        <v>29</v>
      </c>
      <c r="G2967" s="1" t="s">
        <v>20</v>
      </c>
      <c r="H2967" t="s">
        <v>30</v>
      </c>
      <c r="I2967" s="1" t="s">
        <v>22</v>
      </c>
      <c r="J2967" s="2">
        <v>43535.07267361111</v>
      </c>
      <c r="K2967" s="2">
        <v>43539.07267361111</v>
      </c>
      <c r="L2967" s="2">
        <v>43541.07267361111</v>
      </c>
      <c r="M2967" s="1">
        <f>_xlfn.DAYS(Table1[[#This Row],[actual_delivery_date]],Table1[[#This Row],[dispatch_date]])</f>
        <v>4</v>
      </c>
      <c r="N2967">
        <v>25</v>
      </c>
      <c r="O2967">
        <f>Table1[[#This Row],[transit_storage_cost]] * (1-'What -if Analysis'!$D$26)</f>
        <v>25</v>
      </c>
      <c r="P2967">
        <v>125</v>
      </c>
      <c r="Q2967">
        <v>2728.6493042697762</v>
      </c>
    </row>
    <row r="2968" spans="1:17" x14ac:dyDescent="0.3">
      <c r="A2968">
        <v>772343</v>
      </c>
      <c r="B2968" s="1" t="s">
        <v>38</v>
      </c>
      <c r="C2968" s="1" t="s">
        <v>16</v>
      </c>
      <c r="D2968" s="1" t="s">
        <v>16</v>
      </c>
      <c r="E2968" s="1" t="s">
        <v>27</v>
      </c>
      <c r="F2968" s="1" t="s">
        <v>29</v>
      </c>
      <c r="G2968" s="1" t="s">
        <v>20</v>
      </c>
      <c r="H2968" t="s">
        <v>30</v>
      </c>
      <c r="I2968" s="1" t="s">
        <v>22</v>
      </c>
      <c r="J2968" s="2">
        <v>43534.073587962965</v>
      </c>
      <c r="K2968" s="2">
        <v>43539.073587962965</v>
      </c>
      <c r="L2968" s="2">
        <v>43538.073587962965</v>
      </c>
      <c r="M2968" s="1">
        <f>_xlfn.DAYS(Table1[[#This Row],[actual_delivery_date]],Table1[[#This Row],[dispatch_date]])</f>
        <v>5</v>
      </c>
      <c r="N2968">
        <v>0</v>
      </c>
      <c r="O2968">
        <f>Table1[[#This Row],[transit_storage_cost]] * (1-'What -if Analysis'!$D$26)</f>
        <v>0</v>
      </c>
      <c r="P2968">
        <v>123</v>
      </c>
      <c r="Q2968">
        <v>803.50293024532834</v>
      </c>
    </row>
    <row r="2969" spans="1:17" x14ac:dyDescent="0.3">
      <c r="A2969">
        <v>196863</v>
      </c>
      <c r="B2969" s="1" t="s">
        <v>41</v>
      </c>
      <c r="C2969" s="1" t="s">
        <v>16</v>
      </c>
      <c r="D2969" s="1" t="s">
        <v>23</v>
      </c>
      <c r="E2969" s="1" t="s">
        <v>28</v>
      </c>
      <c r="F2969" s="1" t="s">
        <v>29</v>
      </c>
      <c r="G2969" s="1" t="s">
        <v>20</v>
      </c>
      <c r="H2969" t="s">
        <v>30</v>
      </c>
      <c r="I2969" s="1" t="s">
        <v>26</v>
      </c>
      <c r="J2969" s="2">
        <v>43535.089733796296</v>
      </c>
      <c r="K2969" s="2">
        <v>43539.089733796296</v>
      </c>
      <c r="L2969" s="2">
        <v>43538.089733796296</v>
      </c>
      <c r="M2969" s="1">
        <f>_xlfn.DAYS(Table1[[#This Row],[actual_delivery_date]],Table1[[#This Row],[dispatch_date]])</f>
        <v>4</v>
      </c>
      <c r="N2969">
        <v>43</v>
      </c>
      <c r="O2969">
        <f>Table1[[#This Row],[transit_storage_cost]] * (1-'What -if Analysis'!$D$26)</f>
        <v>43</v>
      </c>
      <c r="P2969">
        <v>120</v>
      </c>
      <c r="Q2969">
        <v>3515.816845652429</v>
      </c>
    </row>
    <row r="2970" spans="1:17" x14ac:dyDescent="0.3">
      <c r="A2970">
        <v>190280</v>
      </c>
      <c r="B2970" s="1" t="s">
        <v>38</v>
      </c>
      <c r="C2970" s="1" t="s">
        <v>23</v>
      </c>
      <c r="D2970" s="1" t="s">
        <v>24</v>
      </c>
      <c r="E2970" s="1" t="s">
        <v>25</v>
      </c>
      <c r="F2970" s="1" t="s">
        <v>19</v>
      </c>
      <c r="G2970" s="1" t="s">
        <v>20</v>
      </c>
      <c r="H2970" t="s">
        <v>21</v>
      </c>
      <c r="I2970" s="1" t="s">
        <v>22</v>
      </c>
      <c r="J2970" s="2">
        <v>43534.094756944447</v>
      </c>
      <c r="K2970" s="2">
        <v>43539.094756944447</v>
      </c>
      <c r="L2970" s="2">
        <v>43538.094756944447</v>
      </c>
      <c r="M2970" s="1">
        <f>_xlfn.DAYS(Table1[[#This Row],[actual_delivery_date]],Table1[[#This Row],[dispatch_date]])</f>
        <v>5</v>
      </c>
      <c r="N2970">
        <v>76</v>
      </c>
      <c r="O2970">
        <f>Table1[[#This Row],[transit_storage_cost]] * (1-'What -if Analysis'!$D$26)</f>
        <v>76</v>
      </c>
      <c r="P2970">
        <v>103</v>
      </c>
      <c r="Q2970">
        <v>441.91046255583831</v>
      </c>
    </row>
    <row r="2971" spans="1:17" x14ac:dyDescent="0.3">
      <c r="A2971">
        <v>59558</v>
      </c>
      <c r="B2971" s="1" t="s">
        <v>39</v>
      </c>
      <c r="C2971" s="1" t="s">
        <v>16</v>
      </c>
      <c r="D2971" s="1" t="s">
        <v>16</v>
      </c>
      <c r="E2971" s="1" t="s">
        <v>27</v>
      </c>
      <c r="F2971" s="1" t="s">
        <v>19</v>
      </c>
      <c r="G2971" s="1" t="s">
        <v>20</v>
      </c>
      <c r="H2971" t="s">
        <v>21</v>
      </c>
      <c r="I2971" s="1" t="s">
        <v>22</v>
      </c>
      <c r="J2971" s="2">
        <v>43537.10796296296</v>
      </c>
      <c r="K2971" s="2">
        <v>43539.10796296296</v>
      </c>
      <c r="L2971" s="2">
        <v>43540.10796296296</v>
      </c>
      <c r="M2971" s="1">
        <f>_xlfn.DAYS(Table1[[#This Row],[actual_delivery_date]],Table1[[#This Row],[dispatch_date]])</f>
        <v>2</v>
      </c>
      <c r="N2971">
        <v>0</v>
      </c>
      <c r="O2971">
        <f>Table1[[#This Row],[transit_storage_cost]] * (1-'What -if Analysis'!$D$26)</f>
        <v>0</v>
      </c>
      <c r="P2971">
        <v>108</v>
      </c>
      <c r="Q2971">
        <v>2190.8398830514961</v>
      </c>
    </row>
    <row r="2972" spans="1:17" x14ac:dyDescent="0.3">
      <c r="A2972">
        <v>55549</v>
      </c>
      <c r="B2972" s="1" t="s">
        <v>38</v>
      </c>
      <c r="C2972" s="1" t="s">
        <v>23</v>
      </c>
      <c r="D2972" s="1" t="s">
        <v>17</v>
      </c>
      <c r="E2972" s="1" t="s">
        <v>18</v>
      </c>
      <c r="F2972" s="1" t="s">
        <v>19</v>
      </c>
      <c r="G2972" s="1" t="s">
        <v>20</v>
      </c>
      <c r="H2972" t="s">
        <v>30</v>
      </c>
      <c r="I2972" s="1" t="s">
        <v>22</v>
      </c>
      <c r="J2972" s="2">
        <v>43536.115856481483</v>
      </c>
      <c r="K2972" s="2">
        <v>43539.115856481483</v>
      </c>
      <c r="L2972" s="2">
        <v>43542.115856481483</v>
      </c>
      <c r="M2972" s="1">
        <f>_xlfn.DAYS(Table1[[#This Row],[actual_delivery_date]],Table1[[#This Row],[dispatch_date]])</f>
        <v>3</v>
      </c>
      <c r="N2972">
        <v>61</v>
      </c>
      <c r="O2972">
        <f>Table1[[#This Row],[transit_storage_cost]] * (1-'What -if Analysis'!$D$26)</f>
        <v>61</v>
      </c>
      <c r="P2972">
        <v>92</v>
      </c>
      <c r="Q2972">
        <v>3041.8977195703237</v>
      </c>
    </row>
    <row r="2973" spans="1:17" x14ac:dyDescent="0.3">
      <c r="A2973">
        <v>56454</v>
      </c>
      <c r="B2973" s="1" t="s">
        <v>38</v>
      </c>
      <c r="C2973" s="1" t="s">
        <v>16</v>
      </c>
      <c r="D2973" s="1" t="s">
        <v>24</v>
      </c>
      <c r="E2973" s="1" t="s">
        <v>25</v>
      </c>
      <c r="F2973" s="1" t="s">
        <v>31</v>
      </c>
      <c r="G2973" s="1" t="s">
        <v>20</v>
      </c>
      <c r="H2973" t="s">
        <v>21</v>
      </c>
      <c r="I2973" s="1" t="s">
        <v>26</v>
      </c>
      <c r="J2973" s="2">
        <v>43536.118495370371</v>
      </c>
      <c r="K2973" s="2">
        <v>43539.118495370371</v>
      </c>
      <c r="L2973" s="2">
        <v>43539.118495370371</v>
      </c>
      <c r="M2973" s="1">
        <f>_xlfn.DAYS(Table1[[#This Row],[actual_delivery_date]],Table1[[#This Row],[dispatch_date]])</f>
        <v>3</v>
      </c>
      <c r="N2973">
        <v>26</v>
      </c>
      <c r="O2973">
        <f>Table1[[#This Row],[transit_storage_cost]] * (1-'What -if Analysis'!$D$26)</f>
        <v>26</v>
      </c>
      <c r="P2973">
        <v>125</v>
      </c>
      <c r="Q2973">
        <v>2555.439288015968</v>
      </c>
    </row>
    <row r="2974" spans="1:17" x14ac:dyDescent="0.3">
      <c r="A2974">
        <v>398193</v>
      </c>
      <c r="B2974" s="1" t="s">
        <v>38</v>
      </c>
      <c r="C2974" s="1" t="s">
        <v>23</v>
      </c>
      <c r="D2974" s="1" t="s">
        <v>17</v>
      </c>
      <c r="E2974" s="1" t="s">
        <v>18</v>
      </c>
      <c r="F2974" s="1" t="s">
        <v>29</v>
      </c>
      <c r="G2974" s="1" t="s">
        <v>20</v>
      </c>
      <c r="H2974" t="s">
        <v>30</v>
      </c>
      <c r="I2974" s="1" t="s">
        <v>26</v>
      </c>
      <c r="J2974" s="2">
        <v>43534.118831018517</v>
      </c>
      <c r="K2974" s="2">
        <v>43539.118831018517</v>
      </c>
      <c r="L2974" s="2">
        <v>43539.118831018517</v>
      </c>
      <c r="M2974" s="1">
        <f>_xlfn.DAYS(Table1[[#This Row],[actual_delivery_date]],Table1[[#This Row],[dispatch_date]])</f>
        <v>5</v>
      </c>
      <c r="N2974">
        <v>35</v>
      </c>
      <c r="O2974">
        <f>Table1[[#This Row],[transit_storage_cost]] * (1-'What -if Analysis'!$D$26)</f>
        <v>35</v>
      </c>
      <c r="P2974">
        <v>111</v>
      </c>
      <c r="Q2974">
        <v>3469.6117559304371</v>
      </c>
    </row>
    <row r="2975" spans="1:17" x14ac:dyDescent="0.3">
      <c r="A2975">
        <v>723584</v>
      </c>
      <c r="B2975" s="1" t="s">
        <v>41</v>
      </c>
      <c r="C2975" s="1" t="s">
        <v>16</v>
      </c>
      <c r="D2975" s="1" t="s">
        <v>17</v>
      </c>
      <c r="E2975" s="1" t="s">
        <v>18</v>
      </c>
      <c r="F2975" s="1" t="s">
        <v>19</v>
      </c>
      <c r="G2975" s="1" t="s">
        <v>20</v>
      </c>
      <c r="H2975" t="s">
        <v>21</v>
      </c>
      <c r="I2975" s="1" t="s">
        <v>22</v>
      </c>
      <c r="J2975" s="2">
        <v>43535.125671296293</v>
      </c>
      <c r="K2975" s="2">
        <v>43539.125671296293</v>
      </c>
      <c r="L2975" s="2">
        <v>43538.125671296293</v>
      </c>
      <c r="M2975" s="1">
        <f>_xlfn.DAYS(Table1[[#This Row],[actual_delivery_date]],Table1[[#This Row],[dispatch_date]])</f>
        <v>4</v>
      </c>
      <c r="N2975">
        <v>46</v>
      </c>
      <c r="O2975">
        <f>Table1[[#This Row],[transit_storage_cost]] * (1-'What -if Analysis'!$D$26)</f>
        <v>46</v>
      </c>
      <c r="P2975">
        <v>108</v>
      </c>
      <c r="Q2975">
        <v>2674</v>
      </c>
    </row>
    <row r="2976" spans="1:17" x14ac:dyDescent="0.3">
      <c r="A2976">
        <v>48494</v>
      </c>
      <c r="B2976" s="1" t="s">
        <v>38</v>
      </c>
      <c r="C2976" s="1" t="s">
        <v>16</v>
      </c>
      <c r="D2976" s="1" t="s">
        <v>17</v>
      </c>
      <c r="E2976" s="1" t="s">
        <v>18</v>
      </c>
      <c r="F2976" s="1" t="s">
        <v>31</v>
      </c>
      <c r="G2976" s="1" t="s">
        <v>20</v>
      </c>
      <c r="H2976" t="s">
        <v>21</v>
      </c>
      <c r="I2976" s="1" t="s">
        <v>22</v>
      </c>
      <c r="J2976" s="2">
        <v>43536.135324074072</v>
      </c>
      <c r="K2976" s="2">
        <v>43539.135324074072</v>
      </c>
      <c r="L2976" s="2">
        <v>43542.135324074072</v>
      </c>
      <c r="M2976" s="1">
        <f>_xlfn.DAYS(Table1[[#This Row],[actual_delivery_date]],Table1[[#This Row],[dispatch_date]])</f>
        <v>3</v>
      </c>
      <c r="N2976">
        <v>39</v>
      </c>
      <c r="O2976">
        <f>Table1[[#This Row],[transit_storage_cost]] * (1-'What -if Analysis'!$D$26)</f>
        <v>39</v>
      </c>
      <c r="P2976">
        <v>109</v>
      </c>
      <c r="Q2976">
        <v>564.97796227374738</v>
      </c>
    </row>
    <row r="2977" spans="1:17" x14ac:dyDescent="0.3">
      <c r="A2977">
        <v>598828</v>
      </c>
      <c r="B2977" s="1" t="s">
        <v>39</v>
      </c>
      <c r="C2977" s="1" t="s">
        <v>16</v>
      </c>
      <c r="D2977" s="1" t="s">
        <v>24</v>
      </c>
      <c r="E2977" s="1" t="s">
        <v>25</v>
      </c>
      <c r="F2977" s="1" t="s">
        <v>19</v>
      </c>
      <c r="G2977" s="1" t="s">
        <v>36</v>
      </c>
      <c r="H2977" t="s">
        <v>21</v>
      </c>
      <c r="I2977" s="1" t="s">
        <v>22</v>
      </c>
      <c r="J2977" s="2">
        <v>43528.142199074071</v>
      </c>
      <c r="K2977" s="2">
        <v>43539.142199074071</v>
      </c>
      <c r="L2977" s="2">
        <v>43531.142199074071</v>
      </c>
      <c r="M2977" s="1">
        <f>_xlfn.DAYS(Table1[[#This Row],[actual_delivery_date]],Table1[[#This Row],[dispatch_date]])</f>
        <v>11</v>
      </c>
      <c r="N2977">
        <v>45</v>
      </c>
      <c r="O2977">
        <f>Table1[[#This Row],[transit_storage_cost]] * (1-'What -if Analysis'!$D$26)</f>
        <v>45</v>
      </c>
      <c r="P2977">
        <v>123</v>
      </c>
      <c r="Q2977">
        <v>1400.8962952753309</v>
      </c>
    </row>
    <row r="2978" spans="1:17" x14ac:dyDescent="0.3">
      <c r="A2978">
        <v>472915</v>
      </c>
      <c r="B2978" s="1" t="s">
        <v>41</v>
      </c>
      <c r="C2978" s="1" t="s">
        <v>16</v>
      </c>
      <c r="D2978" s="1" t="s">
        <v>16</v>
      </c>
      <c r="E2978" s="1" t="s">
        <v>27</v>
      </c>
      <c r="F2978" s="1" t="s">
        <v>29</v>
      </c>
      <c r="G2978" s="1" t="s">
        <v>20</v>
      </c>
      <c r="H2978" t="s">
        <v>30</v>
      </c>
      <c r="I2978" s="1" t="s">
        <v>22</v>
      </c>
      <c r="J2978" s="2">
        <v>43532.146689814814</v>
      </c>
      <c r="K2978" s="2">
        <v>43539.146689814814</v>
      </c>
      <c r="L2978" s="2">
        <v>43536.146689814814</v>
      </c>
      <c r="M2978" s="1">
        <f>_xlfn.DAYS(Table1[[#This Row],[actual_delivery_date]],Table1[[#This Row],[dispatch_date]])</f>
        <v>7</v>
      </c>
      <c r="N2978">
        <v>0</v>
      </c>
      <c r="O2978">
        <f>Table1[[#This Row],[transit_storage_cost]] * (1-'What -if Analysis'!$D$26)</f>
        <v>0</v>
      </c>
      <c r="P2978">
        <v>125</v>
      </c>
      <c r="Q2978">
        <v>1456.5947177433422</v>
      </c>
    </row>
    <row r="2979" spans="1:17" x14ac:dyDescent="0.3">
      <c r="A2979">
        <v>702848</v>
      </c>
      <c r="B2979" s="1" t="s">
        <v>38</v>
      </c>
      <c r="C2979" s="1" t="s">
        <v>23</v>
      </c>
      <c r="D2979" s="1" t="s">
        <v>23</v>
      </c>
      <c r="E2979" s="1" t="s">
        <v>28</v>
      </c>
      <c r="F2979" s="1" t="s">
        <v>19</v>
      </c>
      <c r="G2979" s="1" t="s">
        <v>20</v>
      </c>
      <c r="H2979" t="s">
        <v>21</v>
      </c>
      <c r="I2979" s="1" t="s">
        <v>22</v>
      </c>
      <c r="J2979" s="2">
        <v>43536.147199074076</v>
      </c>
      <c r="K2979" s="2">
        <v>43539.147199074076</v>
      </c>
      <c r="L2979" s="2">
        <v>43543.147199074076</v>
      </c>
      <c r="M2979" s="1">
        <f>_xlfn.DAYS(Table1[[#This Row],[actual_delivery_date]],Table1[[#This Row],[dispatch_date]])</f>
        <v>3</v>
      </c>
      <c r="N2979">
        <v>0</v>
      </c>
      <c r="O2979">
        <f>Table1[[#This Row],[transit_storage_cost]] * (1-'What -if Analysis'!$D$26)</f>
        <v>0</v>
      </c>
      <c r="P2979">
        <v>129</v>
      </c>
      <c r="Q2979">
        <v>3672.4477090397122</v>
      </c>
    </row>
    <row r="2980" spans="1:17" x14ac:dyDescent="0.3">
      <c r="A2980">
        <v>10031</v>
      </c>
      <c r="B2980" s="1" t="s">
        <v>39</v>
      </c>
      <c r="C2980" s="1" t="s">
        <v>16</v>
      </c>
      <c r="D2980" s="1" t="s">
        <v>32</v>
      </c>
      <c r="E2980" s="1" t="s">
        <v>33</v>
      </c>
      <c r="F2980" s="1" t="s">
        <v>29</v>
      </c>
      <c r="G2980" s="1" t="s">
        <v>20</v>
      </c>
      <c r="H2980" t="s">
        <v>34</v>
      </c>
      <c r="I2980" s="1" t="s">
        <v>22</v>
      </c>
      <c r="J2980" s="2">
        <v>43537.150254629632</v>
      </c>
      <c r="K2980" s="2">
        <v>43539.150254629632</v>
      </c>
      <c r="L2980" s="2">
        <v>43543.150254629632</v>
      </c>
      <c r="M2980" s="1">
        <f>_xlfn.DAYS(Table1[[#This Row],[actual_delivery_date]],Table1[[#This Row],[dispatch_date]])</f>
        <v>2</v>
      </c>
      <c r="N2980">
        <v>30</v>
      </c>
      <c r="O2980">
        <f>Table1[[#This Row],[transit_storage_cost]] * (1-'What -if Analysis'!$D$26)</f>
        <v>30</v>
      </c>
      <c r="P2980">
        <v>114</v>
      </c>
      <c r="Q2980">
        <v>2200.8516597864018</v>
      </c>
    </row>
    <row r="2981" spans="1:17" x14ac:dyDescent="0.3">
      <c r="A2981">
        <v>635133</v>
      </c>
      <c r="B2981" s="1" t="s">
        <v>37</v>
      </c>
      <c r="C2981" s="1" t="s">
        <v>16</v>
      </c>
      <c r="D2981" s="1" t="s">
        <v>16</v>
      </c>
      <c r="E2981" s="1" t="s">
        <v>27</v>
      </c>
      <c r="F2981" s="1" t="s">
        <v>29</v>
      </c>
      <c r="G2981" s="1" t="s">
        <v>20</v>
      </c>
      <c r="H2981" t="s">
        <v>30</v>
      </c>
      <c r="I2981" s="1" t="s">
        <v>26</v>
      </c>
      <c r="J2981" s="2">
        <v>43534.153634259259</v>
      </c>
      <c r="K2981" s="2">
        <v>43539.153634259259</v>
      </c>
      <c r="L2981" s="2">
        <v>43539.153634259259</v>
      </c>
      <c r="M2981" s="1">
        <f>_xlfn.DAYS(Table1[[#This Row],[actual_delivery_date]],Table1[[#This Row],[dispatch_date]])</f>
        <v>5</v>
      </c>
      <c r="N2981">
        <v>0</v>
      </c>
      <c r="O2981">
        <f>Table1[[#This Row],[transit_storage_cost]] * (1-'What -if Analysis'!$D$26)</f>
        <v>0</v>
      </c>
      <c r="P2981">
        <v>128</v>
      </c>
      <c r="Q2981">
        <v>2394</v>
      </c>
    </row>
    <row r="2982" spans="1:17" x14ac:dyDescent="0.3">
      <c r="A2982">
        <v>774856</v>
      </c>
      <c r="B2982" s="1" t="s">
        <v>38</v>
      </c>
      <c r="C2982" s="1" t="s">
        <v>16</v>
      </c>
      <c r="D2982" s="1" t="s">
        <v>24</v>
      </c>
      <c r="E2982" s="1" t="s">
        <v>25</v>
      </c>
      <c r="F2982" s="1" t="s">
        <v>19</v>
      </c>
      <c r="G2982" s="1" t="s">
        <v>20</v>
      </c>
      <c r="H2982" t="s">
        <v>21</v>
      </c>
      <c r="I2982" s="1" t="s">
        <v>22</v>
      </c>
      <c r="J2982" s="2">
        <v>43531.156631944446</v>
      </c>
      <c r="K2982" s="2">
        <v>43539.156631944446</v>
      </c>
      <c r="L2982" s="2">
        <v>43537.156631944446</v>
      </c>
      <c r="M2982" s="1">
        <f>_xlfn.DAYS(Table1[[#This Row],[actual_delivery_date]],Table1[[#This Row],[dispatch_date]])</f>
        <v>8</v>
      </c>
      <c r="N2982">
        <v>76</v>
      </c>
      <c r="O2982">
        <f>Table1[[#This Row],[transit_storage_cost]] * (1-'What -if Analysis'!$D$26)</f>
        <v>76</v>
      </c>
      <c r="P2982">
        <v>109</v>
      </c>
      <c r="Q2982">
        <v>1244.6533665657521</v>
      </c>
    </row>
    <row r="2983" spans="1:17" x14ac:dyDescent="0.3">
      <c r="A2983">
        <v>950441</v>
      </c>
      <c r="B2983" s="1" t="s">
        <v>38</v>
      </c>
      <c r="C2983" s="1" t="s">
        <v>16</v>
      </c>
      <c r="D2983" s="1" t="s">
        <v>23</v>
      </c>
      <c r="E2983" s="1" t="s">
        <v>28</v>
      </c>
      <c r="F2983" s="1" t="s">
        <v>29</v>
      </c>
      <c r="G2983" s="1" t="s">
        <v>20</v>
      </c>
      <c r="H2983" t="s">
        <v>30</v>
      </c>
      <c r="I2983" s="1" t="s">
        <v>22</v>
      </c>
      <c r="J2983" s="2">
        <v>43534.157187500001</v>
      </c>
      <c r="K2983" s="2">
        <v>43539.157187500001</v>
      </c>
      <c r="L2983" s="2">
        <v>43538.157187500001</v>
      </c>
      <c r="M2983" s="1">
        <f>_xlfn.DAYS(Table1[[#This Row],[actual_delivery_date]],Table1[[#This Row],[dispatch_date]])</f>
        <v>5</v>
      </c>
      <c r="N2983">
        <v>49</v>
      </c>
      <c r="O2983">
        <f>Table1[[#This Row],[transit_storage_cost]] * (1-'What -if Analysis'!$D$26)</f>
        <v>49</v>
      </c>
      <c r="P2983">
        <v>121</v>
      </c>
      <c r="Q2983">
        <v>1052.5209090675185</v>
      </c>
    </row>
    <row r="2984" spans="1:17" x14ac:dyDescent="0.3">
      <c r="A2984">
        <v>625005</v>
      </c>
      <c r="B2984" s="1" t="s">
        <v>40</v>
      </c>
      <c r="C2984" s="1" t="s">
        <v>16</v>
      </c>
      <c r="D2984" s="1" t="s">
        <v>17</v>
      </c>
      <c r="E2984" s="1" t="s">
        <v>18</v>
      </c>
      <c r="F2984" s="1" t="s">
        <v>19</v>
      </c>
      <c r="G2984" s="1" t="s">
        <v>20</v>
      </c>
      <c r="H2984" t="s">
        <v>30</v>
      </c>
      <c r="I2984" s="1" t="s">
        <v>26</v>
      </c>
      <c r="J2984" s="2">
        <v>43534.162256944444</v>
      </c>
      <c r="K2984" s="2">
        <v>43539.162256944444</v>
      </c>
      <c r="L2984" s="2">
        <v>43541.162256944444</v>
      </c>
      <c r="M2984" s="1">
        <f>_xlfn.DAYS(Table1[[#This Row],[actual_delivery_date]],Table1[[#This Row],[dispatch_date]])</f>
        <v>5</v>
      </c>
      <c r="N2984">
        <v>86</v>
      </c>
      <c r="O2984">
        <f>Table1[[#This Row],[transit_storage_cost]] * (1-'What -if Analysis'!$D$26)</f>
        <v>86</v>
      </c>
      <c r="P2984">
        <v>87</v>
      </c>
      <c r="Q2984">
        <v>1022</v>
      </c>
    </row>
    <row r="2985" spans="1:17" x14ac:dyDescent="0.3">
      <c r="A2985">
        <v>705300</v>
      </c>
      <c r="B2985" s="1" t="s">
        <v>38</v>
      </c>
      <c r="C2985" s="1" t="s">
        <v>23</v>
      </c>
      <c r="D2985" s="1" t="s">
        <v>24</v>
      </c>
      <c r="E2985" s="1" t="s">
        <v>25</v>
      </c>
      <c r="F2985" s="1" t="s">
        <v>19</v>
      </c>
      <c r="G2985" s="1" t="s">
        <v>20</v>
      </c>
      <c r="H2985" t="s">
        <v>21</v>
      </c>
      <c r="I2985" s="1" t="s">
        <v>26</v>
      </c>
      <c r="J2985" s="2">
        <v>43534.16609953704</v>
      </c>
      <c r="K2985" s="2">
        <v>43539.16609953704</v>
      </c>
      <c r="L2985" s="2">
        <v>43537.16609953704</v>
      </c>
      <c r="M2985" s="1">
        <f>_xlfn.DAYS(Table1[[#This Row],[actual_delivery_date]],Table1[[#This Row],[dispatch_date]])</f>
        <v>5</v>
      </c>
      <c r="N2985">
        <v>33</v>
      </c>
      <c r="O2985">
        <f>Table1[[#This Row],[transit_storage_cost]] * (1-'What -if Analysis'!$D$26)</f>
        <v>33</v>
      </c>
      <c r="P2985">
        <v>129</v>
      </c>
      <c r="Q2985">
        <v>564.72639216614448</v>
      </c>
    </row>
    <row r="2986" spans="1:17" x14ac:dyDescent="0.3">
      <c r="A2986">
        <v>370134</v>
      </c>
      <c r="B2986" s="1" t="s">
        <v>37</v>
      </c>
      <c r="C2986" s="1" t="s">
        <v>16</v>
      </c>
      <c r="D2986" s="1" t="s">
        <v>24</v>
      </c>
      <c r="E2986" s="1" t="s">
        <v>25</v>
      </c>
      <c r="F2986" s="1" t="s">
        <v>19</v>
      </c>
      <c r="G2986" s="1" t="s">
        <v>20</v>
      </c>
      <c r="H2986" t="s">
        <v>21</v>
      </c>
      <c r="I2986" s="1" t="s">
        <v>26</v>
      </c>
      <c r="J2986" s="2">
        <v>43530.168414351851</v>
      </c>
      <c r="K2986" s="2">
        <v>43539.168414351851</v>
      </c>
      <c r="L2986" s="2">
        <v>43536.168414351851</v>
      </c>
      <c r="M2986" s="1">
        <f>_xlfn.DAYS(Table1[[#This Row],[actual_delivery_date]],Table1[[#This Row],[dispatch_date]])</f>
        <v>9</v>
      </c>
      <c r="N2986">
        <v>81</v>
      </c>
      <c r="O2986">
        <f>Table1[[#This Row],[transit_storage_cost]] * (1-'What -if Analysis'!$D$26)</f>
        <v>81</v>
      </c>
      <c r="P2986">
        <v>102</v>
      </c>
      <c r="Q2986">
        <v>3232.19</v>
      </c>
    </row>
    <row r="2987" spans="1:17" x14ac:dyDescent="0.3">
      <c r="A2987">
        <v>409555</v>
      </c>
      <c r="B2987" s="1" t="s">
        <v>40</v>
      </c>
      <c r="C2987" s="1" t="s">
        <v>23</v>
      </c>
      <c r="D2987" s="1" t="s">
        <v>23</v>
      </c>
      <c r="E2987" s="1" t="s">
        <v>28</v>
      </c>
      <c r="F2987" s="1" t="s">
        <v>19</v>
      </c>
      <c r="G2987" s="1" t="s">
        <v>20</v>
      </c>
      <c r="H2987" t="s">
        <v>30</v>
      </c>
      <c r="I2987" s="1" t="s">
        <v>22</v>
      </c>
      <c r="J2987" s="2">
        <v>43532.168877314813</v>
      </c>
      <c r="K2987" s="2">
        <v>43539.168877314813</v>
      </c>
      <c r="L2987" s="2">
        <v>43535.168877314813</v>
      </c>
      <c r="M2987" s="1">
        <f>_xlfn.DAYS(Table1[[#This Row],[actual_delivery_date]],Table1[[#This Row],[dispatch_date]])</f>
        <v>7</v>
      </c>
      <c r="N2987">
        <v>0</v>
      </c>
      <c r="O2987">
        <f>Table1[[#This Row],[transit_storage_cost]] * (1-'What -if Analysis'!$D$26)</f>
        <v>0</v>
      </c>
      <c r="P2987">
        <v>102</v>
      </c>
      <c r="Q2987">
        <v>1844.0418571220296</v>
      </c>
    </row>
    <row r="2988" spans="1:17" x14ac:dyDescent="0.3">
      <c r="A2988">
        <v>65761</v>
      </c>
      <c r="B2988" s="1" t="s">
        <v>15</v>
      </c>
      <c r="C2988" s="1" t="s">
        <v>23</v>
      </c>
      <c r="D2988" s="1" t="s">
        <v>16</v>
      </c>
      <c r="E2988" s="1" t="s">
        <v>27</v>
      </c>
      <c r="F2988" s="1" t="s">
        <v>29</v>
      </c>
      <c r="G2988" s="1" t="s">
        <v>20</v>
      </c>
      <c r="H2988" t="s">
        <v>30</v>
      </c>
      <c r="I2988" s="1" t="s">
        <v>22</v>
      </c>
      <c r="J2988" s="2">
        <v>43531.16978009259</v>
      </c>
      <c r="K2988" s="2">
        <v>43539.16978009259</v>
      </c>
      <c r="L2988" s="2">
        <v>43536.16978009259</v>
      </c>
      <c r="M2988" s="1">
        <f>_xlfn.DAYS(Table1[[#This Row],[actual_delivery_date]],Table1[[#This Row],[dispatch_date]])</f>
        <v>8</v>
      </c>
      <c r="N2988">
        <v>29</v>
      </c>
      <c r="O2988">
        <f>Table1[[#This Row],[transit_storage_cost]] * (1-'What -if Analysis'!$D$26)</f>
        <v>29</v>
      </c>
      <c r="P2988">
        <v>127</v>
      </c>
      <c r="Q2988">
        <v>810.85020681296737</v>
      </c>
    </row>
    <row r="2989" spans="1:17" x14ac:dyDescent="0.3">
      <c r="A2989">
        <v>626519</v>
      </c>
      <c r="B2989" s="1" t="s">
        <v>40</v>
      </c>
      <c r="C2989" s="1" t="s">
        <v>16</v>
      </c>
      <c r="D2989" s="1" t="s">
        <v>16</v>
      </c>
      <c r="E2989" s="1" t="s">
        <v>27</v>
      </c>
      <c r="F2989" s="1" t="s">
        <v>29</v>
      </c>
      <c r="G2989" s="1" t="s">
        <v>20</v>
      </c>
      <c r="H2989" t="s">
        <v>30</v>
      </c>
      <c r="I2989" s="1" t="s">
        <v>22</v>
      </c>
      <c r="J2989" s="2">
        <v>43537.169918981483</v>
      </c>
      <c r="K2989" s="2">
        <v>43539.169918981483</v>
      </c>
      <c r="L2989" s="2">
        <v>43541.169918981483</v>
      </c>
      <c r="M2989" s="1">
        <f>_xlfn.DAYS(Table1[[#This Row],[actual_delivery_date]],Table1[[#This Row],[dispatch_date]])</f>
        <v>2</v>
      </c>
      <c r="N2989">
        <v>0</v>
      </c>
      <c r="O2989">
        <f>Table1[[#This Row],[transit_storage_cost]] * (1-'What -if Analysis'!$D$26)</f>
        <v>0</v>
      </c>
      <c r="P2989">
        <v>126</v>
      </c>
      <c r="Q2989">
        <v>1169.3431559179701</v>
      </c>
    </row>
    <row r="2990" spans="1:17" x14ac:dyDescent="0.3">
      <c r="A2990">
        <v>67851</v>
      </c>
      <c r="B2990" s="1" t="s">
        <v>38</v>
      </c>
      <c r="C2990" s="1" t="s">
        <v>16</v>
      </c>
      <c r="D2990" s="1" t="s">
        <v>16</v>
      </c>
      <c r="E2990" s="1" t="s">
        <v>27</v>
      </c>
      <c r="F2990" s="1" t="s">
        <v>29</v>
      </c>
      <c r="G2990" s="1" t="s">
        <v>20</v>
      </c>
      <c r="H2990" t="s">
        <v>34</v>
      </c>
      <c r="I2990" s="1" t="s">
        <v>26</v>
      </c>
      <c r="J2990" s="2">
        <v>43538.171215277776</v>
      </c>
      <c r="K2990" s="2">
        <v>43539.171215277776</v>
      </c>
      <c r="L2990" s="2">
        <v>43543.171215277776</v>
      </c>
      <c r="M2990" s="1">
        <f>_xlfn.DAYS(Table1[[#This Row],[actual_delivery_date]],Table1[[#This Row],[dispatch_date]])</f>
        <v>1</v>
      </c>
      <c r="N2990">
        <v>0</v>
      </c>
      <c r="O2990">
        <f>Table1[[#This Row],[transit_storage_cost]] * (1-'What -if Analysis'!$D$26)</f>
        <v>0</v>
      </c>
      <c r="P2990">
        <v>128</v>
      </c>
      <c r="Q2990">
        <v>412.45368124664242</v>
      </c>
    </row>
    <row r="2991" spans="1:17" x14ac:dyDescent="0.3">
      <c r="A2991">
        <v>200296</v>
      </c>
      <c r="B2991" s="1" t="s">
        <v>38</v>
      </c>
      <c r="C2991" s="1" t="s">
        <v>23</v>
      </c>
      <c r="D2991" s="1" t="s">
        <v>17</v>
      </c>
      <c r="E2991" s="1" t="s">
        <v>18</v>
      </c>
      <c r="F2991" s="1" t="s">
        <v>19</v>
      </c>
      <c r="G2991" s="1" t="s">
        <v>20</v>
      </c>
      <c r="H2991" t="s">
        <v>21</v>
      </c>
      <c r="I2991" s="1" t="s">
        <v>22</v>
      </c>
      <c r="J2991" s="2">
        <v>43535.171307870369</v>
      </c>
      <c r="K2991" s="2">
        <v>43539.171307870369</v>
      </c>
      <c r="L2991" s="2">
        <v>43538.171307870369</v>
      </c>
      <c r="M2991" s="1">
        <f>_xlfn.DAYS(Table1[[#This Row],[actual_delivery_date]],Table1[[#This Row],[dispatch_date]])</f>
        <v>4</v>
      </c>
      <c r="N2991">
        <v>33</v>
      </c>
      <c r="O2991">
        <f>Table1[[#This Row],[transit_storage_cost]] * (1-'What -if Analysis'!$D$26)</f>
        <v>33</v>
      </c>
      <c r="P2991">
        <v>111</v>
      </c>
      <c r="Q2991">
        <v>519.32131666805424</v>
      </c>
    </row>
    <row r="2992" spans="1:17" x14ac:dyDescent="0.3">
      <c r="A2992">
        <v>565529</v>
      </c>
      <c r="B2992" s="1" t="s">
        <v>37</v>
      </c>
      <c r="C2992" s="1" t="s">
        <v>16</v>
      </c>
      <c r="D2992" s="1" t="s">
        <v>16</v>
      </c>
      <c r="E2992" s="1" t="s">
        <v>27</v>
      </c>
      <c r="F2992" s="1" t="s">
        <v>29</v>
      </c>
      <c r="G2992" s="1" t="s">
        <v>20</v>
      </c>
      <c r="H2992" t="s">
        <v>30</v>
      </c>
      <c r="I2992" s="1" t="s">
        <v>22</v>
      </c>
      <c r="J2992" s="2">
        <v>43535.186608796299</v>
      </c>
      <c r="K2992" s="2">
        <v>43539.186608796299</v>
      </c>
      <c r="L2992" s="2">
        <v>43542.186608796299</v>
      </c>
      <c r="M2992" s="1">
        <f>_xlfn.DAYS(Table1[[#This Row],[actual_delivery_date]],Table1[[#This Row],[dispatch_date]])</f>
        <v>4</v>
      </c>
      <c r="N2992">
        <v>0</v>
      </c>
      <c r="O2992">
        <f>Table1[[#This Row],[transit_storage_cost]] * (1-'What -if Analysis'!$D$26)</f>
        <v>0</v>
      </c>
      <c r="P2992">
        <v>124</v>
      </c>
      <c r="Q2992">
        <v>3704.3922169575817</v>
      </c>
    </row>
    <row r="2993" spans="1:17" x14ac:dyDescent="0.3">
      <c r="A2993">
        <v>454180</v>
      </c>
      <c r="B2993" s="1" t="s">
        <v>38</v>
      </c>
      <c r="C2993" s="1" t="s">
        <v>16</v>
      </c>
      <c r="D2993" s="1" t="s">
        <v>17</v>
      </c>
      <c r="E2993" s="1" t="s">
        <v>18</v>
      </c>
      <c r="F2993" s="1" t="s">
        <v>19</v>
      </c>
      <c r="G2993" s="1" t="s">
        <v>20</v>
      </c>
      <c r="H2993" t="s">
        <v>21</v>
      </c>
      <c r="I2993" s="1" t="s">
        <v>22</v>
      </c>
      <c r="J2993" s="2">
        <v>43536.186631944445</v>
      </c>
      <c r="K2993" s="2">
        <v>43539.186631944445</v>
      </c>
      <c r="L2993" s="2">
        <v>43540.186631944445</v>
      </c>
      <c r="M2993" s="1">
        <f>_xlfn.DAYS(Table1[[#This Row],[actual_delivery_date]],Table1[[#This Row],[dispatch_date]])</f>
        <v>3</v>
      </c>
      <c r="N2993">
        <v>42</v>
      </c>
      <c r="O2993">
        <f>Table1[[#This Row],[transit_storage_cost]] * (1-'What -if Analysis'!$D$26)</f>
        <v>42</v>
      </c>
      <c r="P2993">
        <v>107</v>
      </c>
      <c r="Q2993">
        <v>756.84376600855455</v>
      </c>
    </row>
    <row r="2994" spans="1:17" x14ac:dyDescent="0.3">
      <c r="A2994">
        <v>399718</v>
      </c>
      <c r="B2994" s="1" t="s">
        <v>38</v>
      </c>
      <c r="C2994" s="1" t="s">
        <v>23</v>
      </c>
      <c r="D2994" s="1" t="s">
        <v>24</v>
      </c>
      <c r="E2994" s="1" t="s">
        <v>25</v>
      </c>
      <c r="F2994" s="1" t="s">
        <v>31</v>
      </c>
      <c r="G2994" s="1" t="s">
        <v>20</v>
      </c>
      <c r="H2994" t="s">
        <v>21</v>
      </c>
      <c r="I2994" s="1" t="s">
        <v>22</v>
      </c>
      <c r="J2994" s="2">
        <v>43533.186990740738</v>
      </c>
      <c r="K2994" s="2">
        <v>43539.186990740738</v>
      </c>
      <c r="L2994" s="2">
        <v>43540.186990740738</v>
      </c>
      <c r="M2994" s="1">
        <f>_xlfn.DAYS(Table1[[#This Row],[actual_delivery_date]],Table1[[#This Row],[dispatch_date]])</f>
        <v>6</v>
      </c>
      <c r="N2994">
        <v>25</v>
      </c>
      <c r="O2994">
        <f>Table1[[#This Row],[transit_storage_cost]] * (1-'What -if Analysis'!$D$26)</f>
        <v>25</v>
      </c>
      <c r="P2994">
        <v>125</v>
      </c>
      <c r="Q2994">
        <v>2715</v>
      </c>
    </row>
    <row r="2995" spans="1:17" x14ac:dyDescent="0.3">
      <c r="A2995">
        <v>474813</v>
      </c>
      <c r="B2995" s="1" t="s">
        <v>40</v>
      </c>
      <c r="C2995" s="1" t="s">
        <v>16</v>
      </c>
      <c r="D2995" s="1" t="s">
        <v>17</v>
      </c>
      <c r="E2995" s="1" t="s">
        <v>18</v>
      </c>
      <c r="F2995" s="1" t="s">
        <v>29</v>
      </c>
      <c r="G2995" s="1" t="s">
        <v>20</v>
      </c>
      <c r="H2995" t="s">
        <v>30</v>
      </c>
      <c r="I2995" s="1" t="s">
        <v>26</v>
      </c>
      <c r="J2995" s="2">
        <v>43530.190891203703</v>
      </c>
      <c r="K2995" s="2">
        <v>43539.190891203703</v>
      </c>
      <c r="L2995" s="2">
        <v>43536.190891203703</v>
      </c>
      <c r="M2995" s="1">
        <f>_xlfn.DAYS(Table1[[#This Row],[actual_delivery_date]],Table1[[#This Row],[dispatch_date]])</f>
        <v>9</v>
      </c>
      <c r="N2995">
        <v>26</v>
      </c>
      <c r="O2995">
        <f>Table1[[#This Row],[transit_storage_cost]] * (1-'What -if Analysis'!$D$26)</f>
        <v>26</v>
      </c>
      <c r="P2995">
        <v>114</v>
      </c>
      <c r="Q2995">
        <v>3410.96</v>
      </c>
    </row>
    <row r="2996" spans="1:17" x14ac:dyDescent="0.3">
      <c r="A2996">
        <v>470071</v>
      </c>
      <c r="B2996" s="1" t="s">
        <v>38</v>
      </c>
      <c r="C2996" s="1" t="s">
        <v>23</v>
      </c>
      <c r="D2996" s="1" t="s">
        <v>17</v>
      </c>
      <c r="E2996" s="1" t="s">
        <v>18</v>
      </c>
      <c r="F2996" s="1" t="s">
        <v>19</v>
      </c>
      <c r="G2996" s="1" t="s">
        <v>20</v>
      </c>
      <c r="H2996" t="s">
        <v>34</v>
      </c>
      <c r="I2996" s="1" t="s">
        <v>22</v>
      </c>
      <c r="J2996" s="2">
        <v>43537.191203703704</v>
      </c>
      <c r="K2996" s="2">
        <v>43539.191203703704</v>
      </c>
      <c r="L2996" s="2">
        <v>43542.191203703704</v>
      </c>
      <c r="M2996" s="1">
        <f>_xlfn.DAYS(Table1[[#This Row],[actual_delivery_date]],Table1[[#This Row],[dispatch_date]])</f>
        <v>2</v>
      </c>
      <c r="N2996">
        <v>68</v>
      </c>
      <c r="O2996">
        <f>Table1[[#This Row],[transit_storage_cost]] * (1-'What -if Analysis'!$D$26)</f>
        <v>68</v>
      </c>
      <c r="P2996">
        <v>88</v>
      </c>
      <c r="Q2996">
        <v>1644.9667217485849</v>
      </c>
    </row>
    <row r="2997" spans="1:17" x14ac:dyDescent="0.3">
      <c r="A2997">
        <v>756021</v>
      </c>
      <c r="B2997" s="1" t="s">
        <v>41</v>
      </c>
      <c r="C2997" s="1" t="s">
        <v>23</v>
      </c>
      <c r="D2997" s="1" t="s">
        <v>17</v>
      </c>
      <c r="E2997" s="1" t="s">
        <v>18</v>
      </c>
      <c r="F2997" s="1" t="s">
        <v>29</v>
      </c>
      <c r="G2997" s="1" t="s">
        <v>20</v>
      </c>
      <c r="H2997" t="s">
        <v>34</v>
      </c>
      <c r="I2997" s="1" t="s">
        <v>26</v>
      </c>
      <c r="J2997" s="2">
        <v>43530.192731481482</v>
      </c>
      <c r="K2997" s="2">
        <v>43539.192731481482</v>
      </c>
      <c r="L2997" s="2">
        <v>43536.192731481482</v>
      </c>
      <c r="M2997" s="1">
        <f>_xlfn.DAYS(Table1[[#This Row],[actual_delivery_date]],Table1[[#This Row],[dispatch_date]])</f>
        <v>9</v>
      </c>
      <c r="N2997">
        <v>26</v>
      </c>
      <c r="O2997">
        <f>Table1[[#This Row],[transit_storage_cost]] * (1-'What -if Analysis'!$D$26)</f>
        <v>26</v>
      </c>
      <c r="P2997">
        <v>114</v>
      </c>
      <c r="Q2997">
        <v>1657.1</v>
      </c>
    </row>
    <row r="2998" spans="1:17" x14ac:dyDescent="0.3">
      <c r="A2998">
        <v>292187</v>
      </c>
      <c r="B2998" s="1" t="s">
        <v>39</v>
      </c>
      <c r="C2998" s="1" t="s">
        <v>23</v>
      </c>
      <c r="D2998" s="1" t="s">
        <v>23</v>
      </c>
      <c r="E2998" s="1" t="s">
        <v>28</v>
      </c>
      <c r="F2998" s="1" t="s">
        <v>29</v>
      </c>
      <c r="G2998" s="1" t="s">
        <v>20</v>
      </c>
      <c r="H2998" t="s">
        <v>34</v>
      </c>
      <c r="I2998" s="1" t="s">
        <v>22</v>
      </c>
      <c r="J2998" s="2">
        <v>43535.1953587963</v>
      </c>
      <c r="K2998" s="2">
        <v>43539.1953587963</v>
      </c>
      <c r="L2998" s="2">
        <v>43538.1953587963</v>
      </c>
      <c r="M2998" s="1">
        <f>_xlfn.DAYS(Table1[[#This Row],[actual_delivery_date]],Table1[[#This Row],[dispatch_date]])</f>
        <v>4</v>
      </c>
      <c r="N2998">
        <v>0</v>
      </c>
      <c r="O2998">
        <f>Table1[[#This Row],[transit_storage_cost]] * (1-'What -if Analysis'!$D$26)</f>
        <v>0</v>
      </c>
      <c r="P2998">
        <v>123</v>
      </c>
      <c r="Q2998">
        <v>1984.9594545377115</v>
      </c>
    </row>
    <row r="2999" spans="1:17" x14ac:dyDescent="0.3">
      <c r="A2999">
        <v>173769</v>
      </c>
      <c r="B2999" s="1" t="s">
        <v>38</v>
      </c>
      <c r="C2999" s="1" t="s">
        <v>16</v>
      </c>
      <c r="D2999" s="1" t="s">
        <v>32</v>
      </c>
      <c r="E2999" s="1" t="s">
        <v>33</v>
      </c>
      <c r="F2999" s="1" t="s">
        <v>29</v>
      </c>
      <c r="G2999" s="1" t="s">
        <v>20</v>
      </c>
      <c r="H2999" t="s">
        <v>30</v>
      </c>
      <c r="I2999" s="1" t="s">
        <v>26</v>
      </c>
      <c r="J2999" s="2">
        <v>43533.197743055556</v>
      </c>
      <c r="K2999" s="2">
        <v>43539.197743055556</v>
      </c>
      <c r="L2999" s="2">
        <v>43539.197743055556</v>
      </c>
      <c r="M2999" s="1">
        <f>_xlfn.DAYS(Table1[[#This Row],[actual_delivery_date]],Table1[[#This Row],[dispatch_date]])</f>
        <v>6</v>
      </c>
      <c r="N2999">
        <v>40</v>
      </c>
      <c r="O2999">
        <f>Table1[[#This Row],[transit_storage_cost]] * (1-'What -if Analysis'!$D$26)</f>
        <v>40</v>
      </c>
      <c r="P2999">
        <v>110</v>
      </c>
      <c r="Q2999">
        <v>2173.6938393087098</v>
      </c>
    </row>
    <row r="3000" spans="1:17" x14ac:dyDescent="0.3">
      <c r="A3000">
        <v>847979</v>
      </c>
      <c r="B3000" s="1" t="s">
        <v>15</v>
      </c>
      <c r="C3000" s="1" t="s">
        <v>16</v>
      </c>
      <c r="D3000" s="1" t="s">
        <v>23</v>
      </c>
      <c r="E3000" s="1" t="s">
        <v>28</v>
      </c>
      <c r="F3000" s="1" t="s">
        <v>29</v>
      </c>
      <c r="G3000" s="1" t="s">
        <v>20</v>
      </c>
      <c r="H3000" t="s">
        <v>30</v>
      </c>
      <c r="I3000" s="1" t="s">
        <v>22</v>
      </c>
      <c r="J3000" s="2">
        <v>43534.199837962966</v>
      </c>
      <c r="K3000" s="2">
        <v>43539.199837962966</v>
      </c>
      <c r="L3000" s="2">
        <v>43537.199837962966</v>
      </c>
      <c r="M3000" s="1">
        <f>_xlfn.DAYS(Table1[[#This Row],[actual_delivery_date]],Table1[[#This Row],[dispatch_date]])</f>
        <v>5</v>
      </c>
      <c r="N3000">
        <v>36</v>
      </c>
      <c r="O3000">
        <f>Table1[[#This Row],[transit_storage_cost]] * (1-'What -if Analysis'!$D$26)</f>
        <v>36</v>
      </c>
      <c r="P3000">
        <v>128</v>
      </c>
      <c r="Q3000">
        <v>1902.8715688583077</v>
      </c>
    </row>
    <row r="3001" spans="1:17" x14ac:dyDescent="0.3">
      <c r="A3001">
        <v>921811</v>
      </c>
      <c r="B3001" s="1" t="s">
        <v>39</v>
      </c>
      <c r="C3001" s="1" t="s">
        <v>23</v>
      </c>
      <c r="D3001" s="1" t="s">
        <v>16</v>
      </c>
      <c r="E3001" s="1" t="s">
        <v>27</v>
      </c>
      <c r="F3001" s="1" t="s">
        <v>29</v>
      </c>
      <c r="G3001" s="1" t="s">
        <v>20</v>
      </c>
      <c r="H3001" t="s">
        <v>30</v>
      </c>
      <c r="I3001" s="1" t="s">
        <v>22</v>
      </c>
      <c r="J3001" s="2">
        <v>43535.207743055558</v>
      </c>
      <c r="K3001" s="2">
        <v>43539.207743055558</v>
      </c>
      <c r="L3001" s="2">
        <v>43540.207743055558</v>
      </c>
      <c r="M3001" s="1">
        <f>_xlfn.DAYS(Table1[[#This Row],[actual_delivery_date]],Table1[[#This Row],[dispatch_date]])</f>
        <v>4</v>
      </c>
      <c r="N3001">
        <v>34</v>
      </c>
      <c r="O3001">
        <f>Table1[[#This Row],[transit_storage_cost]] * (1-'What -if Analysis'!$D$26)</f>
        <v>34</v>
      </c>
      <c r="P3001">
        <v>121</v>
      </c>
      <c r="Q3001">
        <v>506.29940280804624</v>
      </c>
    </row>
    <row r="3002" spans="1:17" x14ac:dyDescent="0.3">
      <c r="A3002">
        <v>183744</v>
      </c>
      <c r="B3002" s="1" t="s">
        <v>40</v>
      </c>
      <c r="C3002" s="1" t="s">
        <v>23</v>
      </c>
      <c r="D3002" s="1" t="s">
        <v>24</v>
      </c>
      <c r="E3002" s="1" t="s">
        <v>25</v>
      </c>
      <c r="F3002" s="1" t="s">
        <v>19</v>
      </c>
      <c r="G3002" s="1" t="s">
        <v>20</v>
      </c>
      <c r="H3002" t="s">
        <v>21</v>
      </c>
      <c r="I3002" s="1" t="s">
        <v>26</v>
      </c>
      <c r="J3002" s="2">
        <v>43532.208090277774</v>
      </c>
      <c r="K3002" s="2">
        <v>43539.208090277774</v>
      </c>
      <c r="L3002" s="2">
        <v>43539.208090277774</v>
      </c>
      <c r="M3002" s="1">
        <f>_xlfn.DAYS(Table1[[#This Row],[actual_delivery_date]],Table1[[#This Row],[dispatch_date]])</f>
        <v>7</v>
      </c>
      <c r="N3002">
        <v>34</v>
      </c>
      <c r="O3002">
        <f>Table1[[#This Row],[transit_storage_cost]] * (1-'What -if Analysis'!$D$26)</f>
        <v>34</v>
      </c>
      <c r="P3002">
        <v>127</v>
      </c>
      <c r="Q3002">
        <v>2309</v>
      </c>
    </row>
    <row r="3003" spans="1:17" x14ac:dyDescent="0.3">
      <c r="A3003">
        <v>129572</v>
      </c>
      <c r="B3003" s="1" t="s">
        <v>39</v>
      </c>
      <c r="C3003" s="1" t="s">
        <v>23</v>
      </c>
      <c r="D3003" s="1" t="s">
        <v>16</v>
      </c>
      <c r="E3003" s="1" t="s">
        <v>27</v>
      </c>
      <c r="F3003" s="1" t="s">
        <v>19</v>
      </c>
      <c r="G3003" s="1" t="s">
        <v>20</v>
      </c>
      <c r="H3003" t="s">
        <v>21</v>
      </c>
      <c r="I3003" s="1" t="s">
        <v>22</v>
      </c>
      <c r="J3003" s="2">
        <v>43537.208344907405</v>
      </c>
      <c r="K3003" s="2">
        <v>43539.208344907405</v>
      </c>
      <c r="L3003" s="2">
        <v>43542.208344907405</v>
      </c>
      <c r="M3003" s="1">
        <f>_xlfn.DAYS(Table1[[#This Row],[actual_delivery_date]],Table1[[#This Row],[dispatch_date]])</f>
        <v>2</v>
      </c>
      <c r="N3003">
        <v>45</v>
      </c>
      <c r="O3003">
        <f>Table1[[#This Row],[transit_storage_cost]] * (1-'What -if Analysis'!$D$26)</f>
        <v>45</v>
      </c>
      <c r="P3003">
        <v>120</v>
      </c>
      <c r="Q3003">
        <v>1537.7910570943243</v>
      </c>
    </row>
    <row r="3004" spans="1:17" x14ac:dyDescent="0.3">
      <c r="A3004">
        <v>202497</v>
      </c>
      <c r="B3004" s="1" t="s">
        <v>37</v>
      </c>
      <c r="C3004" s="1" t="s">
        <v>16</v>
      </c>
      <c r="D3004" s="1" t="s">
        <v>16</v>
      </c>
      <c r="E3004" s="1" t="s">
        <v>27</v>
      </c>
      <c r="F3004" s="1" t="s">
        <v>29</v>
      </c>
      <c r="G3004" s="1" t="s">
        <v>20</v>
      </c>
      <c r="H3004" t="s">
        <v>30</v>
      </c>
      <c r="I3004" s="1" t="s">
        <v>26</v>
      </c>
      <c r="J3004" s="2">
        <v>43533.21534722222</v>
      </c>
      <c r="K3004" s="2">
        <v>43539.21534722222</v>
      </c>
      <c r="L3004" s="2">
        <v>43538.21534722222</v>
      </c>
      <c r="M3004" s="1">
        <f>_xlfn.DAYS(Table1[[#This Row],[actual_delivery_date]],Table1[[#This Row],[dispatch_date]])</f>
        <v>6</v>
      </c>
      <c r="N3004">
        <v>0</v>
      </c>
      <c r="O3004">
        <f>Table1[[#This Row],[transit_storage_cost]] * (1-'What -if Analysis'!$D$26)</f>
        <v>0</v>
      </c>
      <c r="P3004">
        <v>125</v>
      </c>
      <c r="Q3004">
        <v>1390.2291866375192</v>
      </c>
    </row>
    <row r="3005" spans="1:17" x14ac:dyDescent="0.3">
      <c r="A3005">
        <v>414926</v>
      </c>
      <c r="B3005" s="1" t="s">
        <v>37</v>
      </c>
      <c r="C3005" s="1" t="s">
        <v>16</v>
      </c>
      <c r="D3005" s="1" t="s">
        <v>32</v>
      </c>
      <c r="E3005" s="1" t="s">
        <v>33</v>
      </c>
      <c r="F3005" s="1" t="s">
        <v>31</v>
      </c>
      <c r="G3005" s="1" t="s">
        <v>20</v>
      </c>
      <c r="H3005" t="s">
        <v>21</v>
      </c>
      <c r="I3005" s="1" t="s">
        <v>22</v>
      </c>
      <c r="J3005" s="2">
        <v>43537.215520833335</v>
      </c>
      <c r="K3005" s="2">
        <v>43539.215520833335</v>
      </c>
      <c r="L3005" s="2">
        <v>43541.215520833335</v>
      </c>
      <c r="M3005" s="1">
        <f>_xlfn.DAYS(Table1[[#This Row],[actual_delivery_date]],Table1[[#This Row],[dispatch_date]])</f>
        <v>2</v>
      </c>
      <c r="N3005">
        <v>35</v>
      </c>
      <c r="O3005">
        <f>Table1[[#This Row],[transit_storage_cost]] * (1-'What -if Analysis'!$D$26)</f>
        <v>35</v>
      </c>
      <c r="P3005">
        <v>112</v>
      </c>
      <c r="Q3005">
        <v>3120.8732778799922</v>
      </c>
    </row>
    <row r="3006" spans="1:17" x14ac:dyDescent="0.3">
      <c r="A3006">
        <v>476963</v>
      </c>
      <c r="B3006" s="1" t="s">
        <v>15</v>
      </c>
      <c r="C3006" s="1" t="s">
        <v>16</v>
      </c>
      <c r="D3006" s="1" t="s">
        <v>23</v>
      </c>
      <c r="E3006" s="1" t="s">
        <v>28</v>
      </c>
      <c r="F3006" s="1" t="s">
        <v>29</v>
      </c>
      <c r="G3006" s="1" t="s">
        <v>20</v>
      </c>
      <c r="H3006" t="s">
        <v>30</v>
      </c>
      <c r="I3006" s="1" t="s">
        <v>22</v>
      </c>
      <c r="J3006" s="2">
        <v>43533.221331018518</v>
      </c>
      <c r="K3006" s="2">
        <v>43539.221331018518</v>
      </c>
      <c r="L3006" s="2">
        <v>43540.221331018518</v>
      </c>
      <c r="M3006" s="1">
        <f>_xlfn.DAYS(Table1[[#This Row],[actual_delivery_date]],Table1[[#This Row],[dispatch_date]])</f>
        <v>6</v>
      </c>
      <c r="N3006">
        <v>29</v>
      </c>
      <c r="O3006">
        <f>Table1[[#This Row],[transit_storage_cost]] * (1-'What -if Analysis'!$D$26)</f>
        <v>29</v>
      </c>
      <c r="P3006">
        <v>125</v>
      </c>
      <c r="Q3006">
        <v>829.08157174775602</v>
      </c>
    </row>
    <row r="3007" spans="1:17" x14ac:dyDescent="0.3">
      <c r="A3007">
        <v>519884</v>
      </c>
      <c r="B3007" s="1" t="s">
        <v>38</v>
      </c>
      <c r="C3007" s="1" t="s">
        <v>23</v>
      </c>
      <c r="D3007" s="1" t="s">
        <v>17</v>
      </c>
      <c r="E3007" s="1" t="s">
        <v>18</v>
      </c>
      <c r="F3007" s="1" t="s">
        <v>19</v>
      </c>
      <c r="G3007" s="1" t="s">
        <v>20</v>
      </c>
      <c r="H3007" t="s">
        <v>21</v>
      </c>
      <c r="I3007" s="1" t="s">
        <v>22</v>
      </c>
      <c r="J3007" s="2">
        <v>43537.222430555557</v>
      </c>
      <c r="K3007" s="2">
        <v>43539.222430555557</v>
      </c>
      <c r="L3007" s="2">
        <v>43544.222430555557</v>
      </c>
      <c r="M3007" s="1">
        <f>_xlfn.DAYS(Table1[[#This Row],[actual_delivery_date]],Table1[[#This Row],[dispatch_date]])</f>
        <v>2</v>
      </c>
      <c r="N3007">
        <v>32</v>
      </c>
      <c r="O3007">
        <f>Table1[[#This Row],[transit_storage_cost]] * (1-'What -if Analysis'!$D$26)</f>
        <v>32</v>
      </c>
      <c r="P3007">
        <v>110</v>
      </c>
      <c r="Q3007">
        <v>350</v>
      </c>
    </row>
    <row r="3008" spans="1:17" x14ac:dyDescent="0.3">
      <c r="A3008">
        <v>988387</v>
      </c>
      <c r="B3008" s="1" t="s">
        <v>39</v>
      </c>
      <c r="C3008" s="1" t="s">
        <v>16</v>
      </c>
      <c r="D3008" s="1" t="s">
        <v>23</v>
      </c>
      <c r="E3008" s="1" t="s">
        <v>28</v>
      </c>
      <c r="F3008" s="1" t="s">
        <v>29</v>
      </c>
      <c r="G3008" s="1" t="s">
        <v>20</v>
      </c>
      <c r="H3008" t="s">
        <v>30</v>
      </c>
      <c r="I3008" s="1" t="s">
        <v>22</v>
      </c>
      <c r="J3008" s="2">
        <v>43535.227071759262</v>
      </c>
      <c r="K3008" s="2">
        <v>43539.227071759262</v>
      </c>
      <c r="L3008" s="2">
        <v>43538.227071759262</v>
      </c>
      <c r="M3008" s="1">
        <f>_xlfn.DAYS(Table1[[#This Row],[actual_delivery_date]],Table1[[#This Row],[dispatch_date]])</f>
        <v>4</v>
      </c>
      <c r="N3008">
        <v>47</v>
      </c>
      <c r="O3008">
        <f>Table1[[#This Row],[transit_storage_cost]] * (1-'What -if Analysis'!$D$26)</f>
        <v>47</v>
      </c>
      <c r="P3008">
        <v>120</v>
      </c>
      <c r="Q3008">
        <v>2836.5420250854063</v>
      </c>
    </row>
    <row r="3009" spans="1:17" x14ac:dyDescent="0.3">
      <c r="A3009">
        <v>313662</v>
      </c>
      <c r="B3009" s="1" t="s">
        <v>38</v>
      </c>
      <c r="C3009" s="1" t="s">
        <v>16</v>
      </c>
      <c r="D3009" s="1" t="s">
        <v>24</v>
      </c>
      <c r="E3009" s="1" t="s">
        <v>25</v>
      </c>
      <c r="F3009" s="1" t="s">
        <v>31</v>
      </c>
      <c r="G3009" s="1" t="s">
        <v>36</v>
      </c>
      <c r="H3009" t="s">
        <v>21</v>
      </c>
      <c r="I3009" s="1" t="s">
        <v>26</v>
      </c>
      <c r="J3009" s="2">
        <v>43534.228310185186</v>
      </c>
      <c r="K3009" s="2">
        <v>43539.228310185186</v>
      </c>
      <c r="L3009" s="2">
        <v>43540.228310185186</v>
      </c>
      <c r="M3009" s="1">
        <f>_xlfn.DAYS(Table1[[#This Row],[actual_delivery_date]],Table1[[#This Row],[dispatch_date]])</f>
        <v>5</v>
      </c>
      <c r="N3009">
        <v>40</v>
      </c>
      <c r="O3009">
        <f>Table1[[#This Row],[transit_storage_cost]] * (1-'What -if Analysis'!$D$26)</f>
        <v>40</v>
      </c>
      <c r="P3009">
        <v>127</v>
      </c>
      <c r="Q3009">
        <v>894</v>
      </c>
    </row>
    <row r="3010" spans="1:17" x14ac:dyDescent="0.3">
      <c r="A3010">
        <v>650994</v>
      </c>
      <c r="B3010" s="1" t="s">
        <v>41</v>
      </c>
      <c r="C3010" s="1" t="s">
        <v>16</v>
      </c>
      <c r="D3010" s="1" t="s">
        <v>17</v>
      </c>
      <c r="E3010" s="1" t="s">
        <v>18</v>
      </c>
      <c r="F3010" s="1" t="s">
        <v>31</v>
      </c>
      <c r="G3010" s="1" t="s">
        <v>20</v>
      </c>
      <c r="H3010" t="s">
        <v>21</v>
      </c>
      <c r="I3010" s="1" t="s">
        <v>26</v>
      </c>
      <c r="J3010" s="2">
        <v>43533.228310185186</v>
      </c>
      <c r="K3010" s="2">
        <v>43539.228310185186</v>
      </c>
      <c r="L3010" s="2">
        <v>43537.228310185186</v>
      </c>
      <c r="M3010" s="1">
        <f>_xlfn.DAYS(Table1[[#This Row],[actual_delivery_date]],Table1[[#This Row],[dispatch_date]])</f>
        <v>6</v>
      </c>
      <c r="N3010">
        <v>28</v>
      </c>
      <c r="O3010">
        <f>Table1[[#This Row],[transit_storage_cost]] * (1-'What -if Analysis'!$D$26)</f>
        <v>28</v>
      </c>
      <c r="P3010">
        <v>113</v>
      </c>
      <c r="Q3010">
        <v>3526.3702798990716</v>
      </c>
    </row>
    <row r="3011" spans="1:17" x14ac:dyDescent="0.3">
      <c r="A3011">
        <v>885909</v>
      </c>
      <c r="B3011" s="1" t="s">
        <v>15</v>
      </c>
      <c r="C3011" s="1" t="s">
        <v>16</v>
      </c>
      <c r="D3011" s="1" t="s">
        <v>17</v>
      </c>
      <c r="E3011" s="1" t="s">
        <v>18</v>
      </c>
      <c r="F3011" s="1" t="s">
        <v>29</v>
      </c>
      <c r="G3011" s="1" t="s">
        <v>20</v>
      </c>
      <c r="H3011" t="s">
        <v>30</v>
      </c>
      <c r="I3011" s="1" t="s">
        <v>26</v>
      </c>
      <c r="J3011" s="2">
        <v>43532.228993055556</v>
      </c>
      <c r="K3011" s="2">
        <v>43539.228993055556</v>
      </c>
      <c r="L3011" s="2">
        <v>43536.228993055556</v>
      </c>
      <c r="M3011" s="1">
        <f>_xlfn.DAYS(Table1[[#This Row],[actual_delivery_date]],Table1[[#This Row],[dispatch_date]])</f>
        <v>7</v>
      </c>
      <c r="N3011">
        <v>40</v>
      </c>
      <c r="O3011">
        <f>Table1[[#This Row],[transit_storage_cost]] * (1-'What -if Analysis'!$D$26)</f>
        <v>40</v>
      </c>
      <c r="P3011">
        <v>105</v>
      </c>
      <c r="Q3011">
        <v>3078</v>
      </c>
    </row>
    <row r="3012" spans="1:17" x14ac:dyDescent="0.3">
      <c r="A3012">
        <v>676469</v>
      </c>
      <c r="B3012" s="1" t="s">
        <v>15</v>
      </c>
      <c r="C3012" s="1" t="s">
        <v>23</v>
      </c>
      <c r="D3012" s="1" t="s">
        <v>17</v>
      </c>
      <c r="E3012" s="1" t="s">
        <v>18</v>
      </c>
      <c r="F3012" s="1" t="s">
        <v>29</v>
      </c>
      <c r="G3012" s="1" t="s">
        <v>20</v>
      </c>
      <c r="H3012" t="s">
        <v>30</v>
      </c>
      <c r="I3012" s="1" t="s">
        <v>22</v>
      </c>
      <c r="J3012" s="2">
        <v>43534.229085648149</v>
      </c>
      <c r="K3012" s="2">
        <v>43539.229085648149</v>
      </c>
      <c r="L3012" s="2">
        <v>43538.229085648149</v>
      </c>
      <c r="M3012" s="1">
        <f>_xlfn.DAYS(Table1[[#This Row],[actual_delivery_date]],Table1[[#This Row],[dispatch_date]])</f>
        <v>5</v>
      </c>
      <c r="N3012">
        <v>30</v>
      </c>
      <c r="O3012">
        <f>Table1[[#This Row],[transit_storage_cost]] * (1-'What -if Analysis'!$D$26)</f>
        <v>30</v>
      </c>
      <c r="P3012">
        <v>112</v>
      </c>
      <c r="Q3012">
        <v>1860.4168043994448</v>
      </c>
    </row>
    <row r="3013" spans="1:17" x14ac:dyDescent="0.3">
      <c r="A3013">
        <v>881086</v>
      </c>
      <c r="B3013" s="1" t="s">
        <v>37</v>
      </c>
      <c r="C3013" s="1" t="s">
        <v>16</v>
      </c>
      <c r="D3013" s="1" t="s">
        <v>24</v>
      </c>
      <c r="E3013" s="1" t="s">
        <v>25</v>
      </c>
      <c r="F3013" s="1" t="s">
        <v>31</v>
      </c>
      <c r="G3013" s="1" t="s">
        <v>20</v>
      </c>
      <c r="H3013" t="s">
        <v>21</v>
      </c>
      <c r="I3013" s="1" t="s">
        <v>22</v>
      </c>
      <c r="J3013" s="2">
        <v>43534.235879629632</v>
      </c>
      <c r="K3013" s="2">
        <v>43539.235879629632</v>
      </c>
      <c r="L3013" s="2">
        <v>43541.235879629632</v>
      </c>
      <c r="M3013" s="1">
        <f>_xlfn.DAYS(Table1[[#This Row],[actual_delivery_date]],Table1[[#This Row],[dispatch_date]])</f>
        <v>5</v>
      </c>
      <c r="N3013">
        <v>50</v>
      </c>
      <c r="O3013">
        <f>Table1[[#This Row],[transit_storage_cost]] * (1-'What -if Analysis'!$D$26)</f>
        <v>50</v>
      </c>
      <c r="P3013">
        <v>122</v>
      </c>
      <c r="Q3013">
        <v>2059.4553187446354</v>
      </c>
    </row>
    <row r="3014" spans="1:17" x14ac:dyDescent="0.3">
      <c r="A3014">
        <v>431966</v>
      </c>
      <c r="B3014" s="1" t="s">
        <v>40</v>
      </c>
      <c r="C3014" s="1" t="s">
        <v>16</v>
      </c>
      <c r="D3014" s="1" t="s">
        <v>23</v>
      </c>
      <c r="E3014" s="1" t="s">
        <v>28</v>
      </c>
      <c r="F3014" s="1" t="s">
        <v>31</v>
      </c>
      <c r="G3014" s="1" t="s">
        <v>20</v>
      </c>
      <c r="H3014" t="s">
        <v>21</v>
      </c>
      <c r="I3014" s="1" t="s">
        <v>22</v>
      </c>
      <c r="J3014" s="2">
        <v>43534.240428240744</v>
      </c>
      <c r="K3014" s="2">
        <v>43539.240428240744</v>
      </c>
      <c r="L3014" s="2">
        <v>43538.240428240744</v>
      </c>
      <c r="M3014" s="1">
        <f>_xlfn.DAYS(Table1[[#This Row],[actual_delivery_date]],Table1[[#This Row],[dispatch_date]])</f>
        <v>5</v>
      </c>
      <c r="N3014">
        <v>36</v>
      </c>
      <c r="O3014">
        <f>Table1[[#This Row],[transit_storage_cost]] * (1-'What -if Analysis'!$D$26)</f>
        <v>36</v>
      </c>
      <c r="P3014">
        <v>126</v>
      </c>
      <c r="Q3014">
        <v>1881</v>
      </c>
    </row>
    <row r="3015" spans="1:17" x14ac:dyDescent="0.3">
      <c r="A3015">
        <v>472704</v>
      </c>
      <c r="B3015" s="1" t="s">
        <v>41</v>
      </c>
      <c r="C3015" s="1" t="s">
        <v>16</v>
      </c>
      <c r="D3015" s="1" t="s">
        <v>17</v>
      </c>
      <c r="E3015" s="1" t="s">
        <v>18</v>
      </c>
      <c r="F3015" s="1" t="s">
        <v>19</v>
      </c>
      <c r="G3015" s="1" t="s">
        <v>20</v>
      </c>
      <c r="H3015" t="s">
        <v>21</v>
      </c>
      <c r="I3015" s="1" t="s">
        <v>26</v>
      </c>
      <c r="J3015" s="2">
        <v>43537.240648148145</v>
      </c>
      <c r="K3015" s="2">
        <v>43539.240648148145</v>
      </c>
      <c r="L3015" s="2">
        <v>43540.240648148145</v>
      </c>
      <c r="M3015" s="1">
        <f>_xlfn.DAYS(Table1[[#This Row],[actual_delivery_date]],Table1[[#This Row],[dispatch_date]])</f>
        <v>2</v>
      </c>
      <c r="N3015">
        <v>81</v>
      </c>
      <c r="O3015">
        <f>Table1[[#This Row],[transit_storage_cost]] * (1-'What -if Analysis'!$D$26)</f>
        <v>81</v>
      </c>
      <c r="P3015">
        <v>86</v>
      </c>
      <c r="Q3015">
        <v>2205.1272908206583</v>
      </c>
    </row>
    <row r="3016" spans="1:17" x14ac:dyDescent="0.3">
      <c r="A3016">
        <v>639456</v>
      </c>
      <c r="B3016" s="1" t="s">
        <v>37</v>
      </c>
      <c r="C3016" s="1" t="s">
        <v>16</v>
      </c>
      <c r="D3016" s="1" t="s">
        <v>23</v>
      </c>
      <c r="E3016" s="1" t="s">
        <v>28</v>
      </c>
      <c r="F3016" s="1" t="s">
        <v>19</v>
      </c>
      <c r="G3016" s="1" t="s">
        <v>20</v>
      </c>
      <c r="H3016" t="s">
        <v>21</v>
      </c>
      <c r="I3016" s="1" t="s">
        <v>26</v>
      </c>
      <c r="J3016" s="2">
        <v>43536.247303240743</v>
      </c>
      <c r="K3016" s="2">
        <v>43539.247303240743</v>
      </c>
      <c r="L3016" s="2">
        <v>43543.247303240743</v>
      </c>
      <c r="M3016" s="1">
        <f>_xlfn.DAYS(Table1[[#This Row],[actual_delivery_date]],Table1[[#This Row],[dispatch_date]])</f>
        <v>3</v>
      </c>
      <c r="N3016">
        <v>29</v>
      </c>
      <c r="O3016">
        <f>Table1[[#This Row],[transit_storage_cost]] * (1-'What -if Analysis'!$D$26)</f>
        <v>29</v>
      </c>
      <c r="P3016">
        <v>129</v>
      </c>
      <c r="Q3016">
        <v>883.70578614469139</v>
      </c>
    </row>
    <row r="3017" spans="1:17" x14ac:dyDescent="0.3">
      <c r="A3017">
        <v>413718</v>
      </c>
      <c r="B3017" s="1" t="s">
        <v>15</v>
      </c>
      <c r="C3017" s="1" t="s">
        <v>16</v>
      </c>
      <c r="D3017" s="1" t="s">
        <v>16</v>
      </c>
      <c r="E3017" s="1" t="s">
        <v>27</v>
      </c>
      <c r="F3017" s="1" t="s">
        <v>19</v>
      </c>
      <c r="G3017" s="1" t="s">
        <v>20</v>
      </c>
      <c r="H3017" t="s">
        <v>21</v>
      </c>
      <c r="I3017" s="1" t="s">
        <v>26</v>
      </c>
      <c r="J3017" s="2">
        <v>43535.248969907407</v>
      </c>
      <c r="K3017" s="2">
        <v>43539.248969907407</v>
      </c>
      <c r="L3017" s="2">
        <v>43541.248969907407</v>
      </c>
      <c r="M3017" s="1">
        <f>_xlfn.DAYS(Table1[[#This Row],[actual_delivery_date]],Table1[[#This Row],[dispatch_date]])</f>
        <v>4</v>
      </c>
      <c r="N3017">
        <v>0</v>
      </c>
      <c r="O3017">
        <f>Table1[[#This Row],[transit_storage_cost]] * (1-'What -if Analysis'!$D$26)</f>
        <v>0</v>
      </c>
      <c r="P3017">
        <v>103</v>
      </c>
      <c r="Q3017">
        <v>1238.5195461500114</v>
      </c>
    </row>
    <row r="3018" spans="1:17" x14ac:dyDescent="0.3">
      <c r="A3018">
        <v>665651</v>
      </c>
      <c r="B3018" s="1" t="s">
        <v>37</v>
      </c>
      <c r="C3018" s="1" t="s">
        <v>16</v>
      </c>
      <c r="D3018" s="1" t="s">
        <v>16</v>
      </c>
      <c r="E3018" s="1" t="s">
        <v>27</v>
      </c>
      <c r="F3018" s="1" t="s">
        <v>19</v>
      </c>
      <c r="G3018" s="1" t="s">
        <v>20</v>
      </c>
      <c r="H3018" t="s">
        <v>34</v>
      </c>
      <c r="I3018" s="1" t="s">
        <v>22</v>
      </c>
      <c r="J3018" s="2">
        <v>43537.250358796293</v>
      </c>
      <c r="K3018" s="2">
        <v>43539.250358796293</v>
      </c>
      <c r="L3018" s="2">
        <v>43543.250358796293</v>
      </c>
      <c r="M3018" s="1">
        <f>_xlfn.DAYS(Table1[[#This Row],[actual_delivery_date]],Table1[[#This Row],[dispatch_date]])</f>
        <v>2</v>
      </c>
      <c r="N3018">
        <v>0</v>
      </c>
      <c r="O3018">
        <f>Table1[[#This Row],[transit_storage_cost]] * (1-'What -if Analysis'!$D$26)</f>
        <v>0</v>
      </c>
      <c r="P3018">
        <v>105</v>
      </c>
      <c r="Q3018">
        <v>1105.49291973501</v>
      </c>
    </row>
    <row r="3019" spans="1:17" x14ac:dyDescent="0.3">
      <c r="A3019">
        <v>122920</v>
      </c>
      <c r="B3019" s="1" t="s">
        <v>37</v>
      </c>
      <c r="C3019" s="1" t="s">
        <v>23</v>
      </c>
      <c r="D3019" s="1" t="s">
        <v>17</v>
      </c>
      <c r="E3019" s="1" t="s">
        <v>18</v>
      </c>
      <c r="F3019" s="1" t="s">
        <v>19</v>
      </c>
      <c r="G3019" s="1" t="s">
        <v>20</v>
      </c>
      <c r="H3019" t="s">
        <v>21</v>
      </c>
      <c r="I3019" s="1" t="s">
        <v>22</v>
      </c>
      <c r="J3019" s="2">
        <v>43533.260555555556</v>
      </c>
      <c r="K3019" s="2">
        <v>43539.260555555556</v>
      </c>
      <c r="L3019" s="2">
        <v>43537.260555555556</v>
      </c>
      <c r="M3019" s="1">
        <f>_xlfn.DAYS(Table1[[#This Row],[actual_delivery_date]],Table1[[#This Row],[dispatch_date]])</f>
        <v>6</v>
      </c>
      <c r="N3019">
        <v>33</v>
      </c>
      <c r="O3019">
        <f>Table1[[#This Row],[transit_storage_cost]] * (1-'What -if Analysis'!$D$26)</f>
        <v>33</v>
      </c>
      <c r="P3019">
        <v>112</v>
      </c>
      <c r="Q3019">
        <v>3001</v>
      </c>
    </row>
    <row r="3020" spans="1:17" x14ac:dyDescent="0.3">
      <c r="A3020">
        <v>526055</v>
      </c>
      <c r="B3020" s="1" t="s">
        <v>40</v>
      </c>
      <c r="C3020" s="1" t="s">
        <v>23</v>
      </c>
      <c r="D3020" s="1" t="s">
        <v>17</v>
      </c>
      <c r="E3020" s="1" t="s">
        <v>18</v>
      </c>
      <c r="F3020" s="1" t="s">
        <v>19</v>
      </c>
      <c r="G3020" s="1" t="s">
        <v>20</v>
      </c>
      <c r="H3020" t="s">
        <v>30</v>
      </c>
      <c r="I3020" s="1" t="s">
        <v>22</v>
      </c>
      <c r="J3020" s="2">
        <v>43536.263287037036</v>
      </c>
      <c r="K3020" s="2">
        <v>43539.263287037036</v>
      </c>
      <c r="L3020" s="2">
        <v>43539.263287037036</v>
      </c>
      <c r="M3020" s="1">
        <f>_xlfn.DAYS(Table1[[#This Row],[actual_delivery_date]],Table1[[#This Row],[dispatch_date]])</f>
        <v>3</v>
      </c>
      <c r="N3020">
        <v>67</v>
      </c>
      <c r="O3020">
        <f>Table1[[#This Row],[transit_storage_cost]] * (1-'What -if Analysis'!$D$26)</f>
        <v>67</v>
      </c>
      <c r="P3020">
        <v>87</v>
      </c>
      <c r="Q3020">
        <v>3493.7569329334651</v>
      </c>
    </row>
    <row r="3021" spans="1:17" x14ac:dyDescent="0.3">
      <c r="A3021">
        <v>155919</v>
      </c>
      <c r="B3021" s="1" t="s">
        <v>39</v>
      </c>
      <c r="C3021" s="1" t="s">
        <v>23</v>
      </c>
      <c r="D3021" s="1" t="s">
        <v>16</v>
      </c>
      <c r="E3021" s="1" t="s">
        <v>27</v>
      </c>
      <c r="F3021" s="1" t="s">
        <v>29</v>
      </c>
      <c r="G3021" s="1" t="s">
        <v>20</v>
      </c>
      <c r="H3021" t="s">
        <v>30</v>
      </c>
      <c r="I3021" s="1" t="s">
        <v>26</v>
      </c>
      <c r="J3021" s="2">
        <v>43530.265196759261</v>
      </c>
      <c r="K3021" s="2">
        <v>43539.265196759261</v>
      </c>
      <c r="L3021" s="2">
        <v>43533.265196759261</v>
      </c>
      <c r="M3021" s="1">
        <f>_xlfn.DAYS(Table1[[#This Row],[actual_delivery_date]],Table1[[#This Row],[dispatch_date]])</f>
        <v>9</v>
      </c>
      <c r="N3021">
        <v>30</v>
      </c>
      <c r="O3021">
        <f>Table1[[#This Row],[transit_storage_cost]] * (1-'What -if Analysis'!$D$26)</f>
        <v>30</v>
      </c>
      <c r="P3021">
        <v>125</v>
      </c>
      <c r="Q3021">
        <v>1832.5483054141891</v>
      </c>
    </row>
    <row r="3022" spans="1:17" x14ac:dyDescent="0.3">
      <c r="A3022">
        <v>765223</v>
      </c>
      <c r="B3022" s="1" t="s">
        <v>39</v>
      </c>
      <c r="C3022" s="1" t="s">
        <v>16</v>
      </c>
      <c r="D3022" s="1" t="s">
        <v>16</v>
      </c>
      <c r="E3022" s="1" t="s">
        <v>27</v>
      </c>
      <c r="F3022" s="1" t="s">
        <v>29</v>
      </c>
      <c r="G3022" s="1" t="s">
        <v>20</v>
      </c>
      <c r="H3022" t="s">
        <v>30</v>
      </c>
      <c r="I3022" s="1" t="s">
        <v>22</v>
      </c>
      <c r="J3022" s="2">
        <v>43533.268796296295</v>
      </c>
      <c r="K3022" s="2">
        <v>43539.268796296295</v>
      </c>
      <c r="L3022" s="2">
        <v>43536.268796296295</v>
      </c>
      <c r="M3022" s="1">
        <f>_xlfn.DAYS(Table1[[#This Row],[actual_delivery_date]],Table1[[#This Row],[dispatch_date]])</f>
        <v>6</v>
      </c>
      <c r="N3022">
        <v>0</v>
      </c>
      <c r="O3022">
        <f>Table1[[#This Row],[transit_storage_cost]] * (1-'What -if Analysis'!$D$26)</f>
        <v>0</v>
      </c>
      <c r="P3022">
        <v>121</v>
      </c>
      <c r="Q3022">
        <v>3007.8461010086926</v>
      </c>
    </row>
    <row r="3023" spans="1:17" x14ac:dyDescent="0.3">
      <c r="A3023">
        <v>182921</v>
      </c>
      <c r="B3023" s="1" t="s">
        <v>38</v>
      </c>
      <c r="C3023" s="1" t="s">
        <v>16</v>
      </c>
      <c r="D3023" s="1" t="s">
        <v>16</v>
      </c>
      <c r="E3023" s="1" t="s">
        <v>27</v>
      </c>
      <c r="F3023" s="1" t="s">
        <v>29</v>
      </c>
      <c r="G3023" s="1" t="s">
        <v>20</v>
      </c>
      <c r="H3023" t="s">
        <v>30</v>
      </c>
      <c r="I3023" s="1" t="s">
        <v>22</v>
      </c>
      <c r="J3023" s="2">
        <v>43538.271666666667</v>
      </c>
      <c r="K3023" s="2">
        <v>43539.271666666667</v>
      </c>
      <c r="L3023" s="2">
        <v>43544.271666666667</v>
      </c>
      <c r="M3023" s="1">
        <f>_xlfn.DAYS(Table1[[#This Row],[actual_delivery_date]],Table1[[#This Row],[dispatch_date]])</f>
        <v>1</v>
      </c>
      <c r="N3023">
        <v>0</v>
      </c>
      <c r="O3023">
        <f>Table1[[#This Row],[transit_storage_cost]] * (1-'What -if Analysis'!$D$26)</f>
        <v>0</v>
      </c>
      <c r="P3023">
        <v>129</v>
      </c>
      <c r="Q3023">
        <v>1176</v>
      </c>
    </row>
    <row r="3024" spans="1:17" x14ac:dyDescent="0.3">
      <c r="A3024">
        <v>305469</v>
      </c>
      <c r="B3024" s="1" t="s">
        <v>39</v>
      </c>
      <c r="C3024" s="1" t="s">
        <v>16</v>
      </c>
      <c r="D3024" s="1" t="s">
        <v>23</v>
      </c>
      <c r="E3024" s="1" t="s">
        <v>28</v>
      </c>
      <c r="F3024" s="1" t="s">
        <v>29</v>
      </c>
      <c r="G3024" s="1" t="s">
        <v>20</v>
      </c>
      <c r="H3024" t="s">
        <v>30</v>
      </c>
      <c r="I3024" s="1" t="s">
        <v>26</v>
      </c>
      <c r="J3024" s="2">
        <v>43531.275208333333</v>
      </c>
      <c r="K3024" s="2">
        <v>43539.275208333333</v>
      </c>
      <c r="L3024" s="2">
        <v>43535.275208333333</v>
      </c>
      <c r="M3024" s="1">
        <f>_xlfn.DAYS(Table1[[#This Row],[actual_delivery_date]],Table1[[#This Row],[dispatch_date]])</f>
        <v>8</v>
      </c>
      <c r="N3024">
        <v>25</v>
      </c>
      <c r="O3024">
        <f>Table1[[#This Row],[transit_storage_cost]] * (1-'What -if Analysis'!$D$26)</f>
        <v>25</v>
      </c>
      <c r="P3024">
        <v>122</v>
      </c>
      <c r="Q3024">
        <v>3183.8633377210895</v>
      </c>
    </row>
    <row r="3025" spans="1:17" x14ac:dyDescent="0.3">
      <c r="A3025">
        <v>746862</v>
      </c>
      <c r="B3025" s="1" t="s">
        <v>38</v>
      </c>
      <c r="C3025" s="1" t="s">
        <v>23</v>
      </c>
      <c r="D3025" s="1" t="s">
        <v>23</v>
      </c>
      <c r="E3025" s="1" t="s">
        <v>28</v>
      </c>
      <c r="F3025" s="1" t="s">
        <v>31</v>
      </c>
      <c r="G3025" s="1" t="s">
        <v>20</v>
      </c>
      <c r="H3025" t="s">
        <v>21</v>
      </c>
      <c r="I3025" s="1" t="s">
        <v>26</v>
      </c>
      <c r="J3025" s="2">
        <v>43536.275520833333</v>
      </c>
      <c r="K3025" s="2">
        <v>43539.275520833333</v>
      </c>
      <c r="L3025" s="2">
        <v>43539.275520833333</v>
      </c>
      <c r="M3025" s="1">
        <f>_xlfn.DAYS(Table1[[#This Row],[actual_delivery_date]],Table1[[#This Row],[dispatch_date]])</f>
        <v>3</v>
      </c>
      <c r="N3025">
        <v>0</v>
      </c>
      <c r="O3025">
        <f>Table1[[#This Row],[transit_storage_cost]] * (1-'What -if Analysis'!$D$26)</f>
        <v>0</v>
      </c>
      <c r="P3025">
        <v>125</v>
      </c>
      <c r="Q3025">
        <v>2911.2204023848913</v>
      </c>
    </row>
    <row r="3026" spans="1:17" x14ac:dyDescent="0.3">
      <c r="A3026">
        <v>319394</v>
      </c>
      <c r="B3026" s="1" t="s">
        <v>38</v>
      </c>
      <c r="C3026" s="1" t="s">
        <v>23</v>
      </c>
      <c r="D3026" s="1" t="s">
        <v>17</v>
      </c>
      <c r="E3026" s="1" t="s">
        <v>18</v>
      </c>
      <c r="F3026" s="1" t="s">
        <v>31</v>
      </c>
      <c r="G3026" s="1" t="s">
        <v>20</v>
      </c>
      <c r="H3026" t="s">
        <v>21</v>
      </c>
      <c r="I3026" s="1" t="s">
        <v>22</v>
      </c>
      <c r="J3026" s="2">
        <v>43531.277569444443</v>
      </c>
      <c r="K3026" s="2">
        <v>43539.277569444443</v>
      </c>
      <c r="L3026" s="2">
        <v>43534.277569444443</v>
      </c>
      <c r="M3026" s="1">
        <f>_xlfn.DAYS(Table1[[#This Row],[actual_delivery_date]],Table1[[#This Row],[dispatch_date]])</f>
        <v>8</v>
      </c>
      <c r="N3026">
        <v>41</v>
      </c>
      <c r="O3026">
        <f>Table1[[#This Row],[transit_storage_cost]] * (1-'What -if Analysis'!$D$26)</f>
        <v>41</v>
      </c>
      <c r="P3026">
        <v>108</v>
      </c>
      <c r="Q3026">
        <v>466.20776150804443</v>
      </c>
    </row>
    <row r="3027" spans="1:17" x14ac:dyDescent="0.3">
      <c r="A3027">
        <v>796478</v>
      </c>
      <c r="B3027" s="1" t="s">
        <v>15</v>
      </c>
      <c r="C3027" s="1" t="s">
        <v>16</v>
      </c>
      <c r="D3027" s="1" t="s">
        <v>24</v>
      </c>
      <c r="E3027" s="1" t="s">
        <v>25</v>
      </c>
      <c r="F3027" s="1" t="s">
        <v>31</v>
      </c>
      <c r="G3027" s="1" t="s">
        <v>20</v>
      </c>
      <c r="H3027" t="s">
        <v>21</v>
      </c>
      <c r="I3027" s="1" t="s">
        <v>22</v>
      </c>
      <c r="J3027" s="2">
        <v>43535.286076388889</v>
      </c>
      <c r="K3027" s="2">
        <v>43539.286076388889</v>
      </c>
      <c r="L3027" s="2">
        <v>43542.286076388889</v>
      </c>
      <c r="M3027" s="1">
        <f>_xlfn.DAYS(Table1[[#This Row],[actual_delivery_date]],Table1[[#This Row],[dispatch_date]])</f>
        <v>4</v>
      </c>
      <c r="N3027">
        <v>37</v>
      </c>
      <c r="O3027">
        <f>Table1[[#This Row],[transit_storage_cost]] * (1-'What -if Analysis'!$D$26)</f>
        <v>37</v>
      </c>
      <c r="P3027">
        <v>129</v>
      </c>
      <c r="Q3027">
        <v>2845</v>
      </c>
    </row>
    <row r="3028" spans="1:17" x14ac:dyDescent="0.3">
      <c r="A3028">
        <v>289507</v>
      </c>
      <c r="B3028" s="1" t="s">
        <v>40</v>
      </c>
      <c r="C3028" s="1" t="s">
        <v>16</v>
      </c>
      <c r="D3028" s="1" t="s">
        <v>16</v>
      </c>
      <c r="E3028" s="1" t="s">
        <v>27</v>
      </c>
      <c r="F3028" s="1" t="s">
        <v>29</v>
      </c>
      <c r="G3028" s="1" t="s">
        <v>20</v>
      </c>
      <c r="H3028" t="s">
        <v>30</v>
      </c>
      <c r="I3028" s="1" t="s">
        <v>22</v>
      </c>
      <c r="J3028" s="2">
        <v>43535.287777777776</v>
      </c>
      <c r="K3028" s="2">
        <v>43539.287777777776</v>
      </c>
      <c r="L3028" s="2">
        <v>43539.287777777776</v>
      </c>
      <c r="M3028" s="1">
        <f>_xlfn.DAYS(Table1[[#This Row],[actual_delivery_date]],Table1[[#This Row],[dispatch_date]])</f>
        <v>4</v>
      </c>
      <c r="N3028">
        <v>0</v>
      </c>
      <c r="O3028">
        <f>Table1[[#This Row],[transit_storage_cost]] * (1-'What -if Analysis'!$D$26)</f>
        <v>0</v>
      </c>
      <c r="P3028">
        <v>128</v>
      </c>
      <c r="Q3028">
        <v>978</v>
      </c>
    </row>
    <row r="3029" spans="1:17" x14ac:dyDescent="0.3">
      <c r="A3029">
        <v>521854</v>
      </c>
      <c r="B3029" s="1" t="s">
        <v>41</v>
      </c>
      <c r="C3029" s="1" t="s">
        <v>16</v>
      </c>
      <c r="D3029" s="1" t="s">
        <v>17</v>
      </c>
      <c r="E3029" s="1" t="s">
        <v>18</v>
      </c>
      <c r="F3029" s="1" t="s">
        <v>31</v>
      </c>
      <c r="G3029" s="1" t="s">
        <v>20</v>
      </c>
      <c r="H3029" t="s">
        <v>21</v>
      </c>
      <c r="I3029" s="1" t="s">
        <v>22</v>
      </c>
      <c r="J3029" s="2">
        <v>43535.291041666664</v>
      </c>
      <c r="K3029" s="2">
        <v>43539.291041666664</v>
      </c>
      <c r="L3029" s="2">
        <v>43541.291041666664</v>
      </c>
      <c r="M3029" s="1">
        <f>_xlfn.DAYS(Table1[[#This Row],[actual_delivery_date]],Table1[[#This Row],[dispatch_date]])</f>
        <v>4</v>
      </c>
      <c r="N3029">
        <v>47</v>
      </c>
      <c r="O3029">
        <f>Table1[[#This Row],[transit_storage_cost]] * (1-'What -if Analysis'!$D$26)</f>
        <v>47</v>
      </c>
      <c r="P3029">
        <v>106</v>
      </c>
      <c r="Q3029">
        <v>1774.7195833938024</v>
      </c>
    </row>
    <row r="3030" spans="1:17" x14ac:dyDescent="0.3">
      <c r="A3030">
        <v>323659</v>
      </c>
      <c r="B3030" s="1" t="s">
        <v>37</v>
      </c>
      <c r="C3030" s="1" t="s">
        <v>23</v>
      </c>
      <c r="D3030" s="1" t="s">
        <v>16</v>
      </c>
      <c r="E3030" s="1" t="s">
        <v>27</v>
      </c>
      <c r="F3030" s="1" t="s">
        <v>29</v>
      </c>
      <c r="G3030" s="1" t="s">
        <v>20</v>
      </c>
      <c r="H3030" t="s">
        <v>34</v>
      </c>
      <c r="I3030" s="1" t="s">
        <v>22</v>
      </c>
      <c r="J3030" s="2">
        <v>43532.294131944444</v>
      </c>
      <c r="K3030" s="2">
        <v>43539.294131944444</v>
      </c>
      <c r="L3030" s="2">
        <v>43535.294131944444</v>
      </c>
      <c r="M3030" s="1">
        <f>_xlfn.DAYS(Table1[[#This Row],[actual_delivery_date]],Table1[[#This Row],[dispatch_date]])</f>
        <v>7</v>
      </c>
      <c r="N3030">
        <v>46</v>
      </c>
      <c r="O3030">
        <f>Table1[[#This Row],[transit_storage_cost]] * (1-'What -if Analysis'!$D$26)</f>
        <v>46</v>
      </c>
      <c r="P3030">
        <v>130</v>
      </c>
      <c r="Q3030">
        <v>538</v>
      </c>
    </row>
    <row r="3031" spans="1:17" x14ac:dyDescent="0.3">
      <c r="A3031">
        <v>224830</v>
      </c>
      <c r="B3031" s="1" t="s">
        <v>37</v>
      </c>
      <c r="C3031" s="1" t="s">
        <v>16</v>
      </c>
      <c r="D3031" s="1" t="s">
        <v>32</v>
      </c>
      <c r="E3031" s="1" t="s">
        <v>33</v>
      </c>
      <c r="F3031" s="1" t="s">
        <v>31</v>
      </c>
      <c r="G3031" s="1" t="s">
        <v>20</v>
      </c>
      <c r="H3031" t="s">
        <v>21</v>
      </c>
      <c r="I3031" s="1" t="s">
        <v>22</v>
      </c>
      <c r="J3031" s="2">
        <v>43537.296851851854</v>
      </c>
      <c r="K3031" s="2">
        <v>43539.296851851854</v>
      </c>
      <c r="L3031" s="2">
        <v>43543.296851851854</v>
      </c>
      <c r="M3031" s="1">
        <f>_xlfn.DAYS(Table1[[#This Row],[actual_delivery_date]],Table1[[#This Row],[dispatch_date]])</f>
        <v>2</v>
      </c>
      <c r="N3031">
        <v>46</v>
      </c>
      <c r="O3031">
        <f>Table1[[#This Row],[transit_storage_cost]] * (1-'What -if Analysis'!$D$26)</f>
        <v>46</v>
      </c>
      <c r="P3031">
        <v>109</v>
      </c>
      <c r="Q3031">
        <v>436</v>
      </c>
    </row>
    <row r="3032" spans="1:17" x14ac:dyDescent="0.3">
      <c r="A3032">
        <v>715006</v>
      </c>
      <c r="B3032" s="1" t="s">
        <v>41</v>
      </c>
      <c r="C3032" s="1" t="s">
        <v>16</v>
      </c>
      <c r="D3032" s="1" t="s">
        <v>23</v>
      </c>
      <c r="E3032" s="1" t="s">
        <v>28</v>
      </c>
      <c r="F3032" s="1" t="s">
        <v>19</v>
      </c>
      <c r="G3032" s="1" t="s">
        <v>20</v>
      </c>
      <c r="H3032" t="s">
        <v>21</v>
      </c>
      <c r="I3032" s="1" t="s">
        <v>22</v>
      </c>
      <c r="J3032" s="2">
        <v>43534.297233796293</v>
      </c>
      <c r="K3032" s="2">
        <v>43539.297233796293</v>
      </c>
      <c r="L3032" s="2">
        <v>43541.297233796293</v>
      </c>
      <c r="M3032" s="1">
        <f>_xlfn.DAYS(Table1[[#This Row],[actual_delivery_date]],Table1[[#This Row],[dispatch_date]])</f>
        <v>5</v>
      </c>
      <c r="N3032">
        <v>66</v>
      </c>
      <c r="O3032">
        <f>Table1[[#This Row],[transit_storage_cost]] * (1-'What -if Analysis'!$D$26)</f>
        <v>66</v>
      </c>
      <c r="P3032">
        <v>106</v>
      </c>
      <c r="Q3032">
        <v>3760.6518218685583</v>
      </c>
    </row>
    <row r="3033" spans="1:17" x14ac:dyDescent="0.3">
      <c r="A3033">
        <v>933987</v>
      </c>
      <c r="B3033" s="1" t="s">
        <v>37</v>
      </c>
      <c r="C3033" s="1" t="s">
        <v>23</v>
      </c>
      <c r="D3033" s="1" t="s">
        <v>32</v>
      </c>
      <c r="E3033" s="1" t="s">
        <v>33</v>
      </c>
      <c r="F3033" s="1" t="s">
        <v>29</v>
      </c>
      <c r="G3033" s="1" t="s">
        <v>20</v>
      </c>
      <c r="H3033" t="s">
        <v>30</v>
      </c>
      <c r="I3033" s="1" t="s">
        <v>26</v>
      </c>
      <c r="J3033" s="2">
        <v>43537.297754629632</v>
      </c>
      <c r="K3033" s="2">
        <v>43539.297754629632</v>
      </c>
      <c r="L3033" s="2">
        <v>43540.297754629632</v>
      </c>
      <c r="M3033" s="1">
        <f>_xlfn.DAYS(Table1[[#This Row],[actual_delivery_date]],Table1[[#This Row],[dispatch_date]])</f>
        <v>2</v>
      </c>
      <c r="N3033">
        <v>28</v>
      </c>
      <c r="O3033">
        <f>Table1[[#This Row],[transit_storage_cost]] * (1-'What -if Analysis'!$D$26)</f>
        <v>28</v>
      </c>
      <c r="P3033">
        <v>109</v>
      </c>
      <c r="Q3033">
        <v>2384.3284859919854</v>
      </c>
    </row>
    <row r="3034" spans="1:17" x14ac:dyDescent="0.3">
      <c r="A3034">
        <v>368993</v>
      </c>
      <c r="B3034" s="1" t="s">
        <v>37</v>
      </c>
      <c r="C3034" s="1" t="s">
        <v>23</v>
      </c>
      <c r="D3034" s="1" t="s">
        <v>24</v>
      </c>
      <c r="E3034" s="1" t="s">
        <v>25</v>
      </c>
      <c r="F3034" s="1" t="s">
        <v>29</v>
      </c>
      <c r="G3034" s="1" t="s">
        <v>20</v>
      </c>
      <c r="H3034" t="s">
        <v>30</v>
      </c>
      <c r="I3034" s="1" t="s">
        <v>22</v>
      </c>
      <c r="J3034" s="2">
        <v>43537.300185185188</v>
      </c>
      <c r="K3034" s="2">
        <v>43539.300185185188</v>
      </c>
      <c r="L3034" s="2">
        <v>43541.300185185188</v>
      </c>
      <c r="M3034" s="1">
        <f>_xlfn.DAYS(Table1[[#This Row],[actual_delivery_date]],Table1[[#This Row],[dispatch_date]])</f>
        <v>2</v>
      </c>
      <c r="N3034">
        <v>42</v>
      </c>
      <c r="O3034">
        <f>Table1[[#This Row],[transit_storage_cost]] * (1-'What -if Analysis'!$D$26)</f>
        <v>42</v>
      </c>
      <c r="P3034">
        <v>127</v>
      </c>
      <c r="Q3034">
        <v>1325</v>
      </c>
    </row>
    <row r="3035" spans="1:17" x14ac:dyDescent="0.3">
      <c r="A3035">
        <v>354195</v>
      </c>
      <c r="B3035" s="1" t="s">
        <v>37</v>
      </c>
      <c r="C3035" s="1" t="s">
        <v>16</v>
      </c>
      <c r="D3035" s="1" t="s">
        <v>32</v>
      </c>
      <c r="E3035" s="1" t="s">
        <v>33</v>
      </c>
      <c r="F3035" s="1" t="s">
        <v>29</v>
      </c>
      <c r="G3035" s="1" t="s">
        <v>20</v>
      </c>
      <c r="H3035" t="s">
        <v>30</v>
      </c>
      <c r="I3035" s="1" t="s">
        <v>26</v>
      </c>
      <c r="J3035" s="2">
        <v>43532.300416666665</v>
      </c>
      <c r="K3035" s="2">
        <v>43539.300416666665</v>
      </c>
      <c r="L3035" s="2">
        <v>43537.300416666665</v>
      </c>
      <c r="M3035" s="1">
        <f>_xlfn.DAYS(Table1[[#This Row],[actual_delivery_date]],Table1[[#This Row],[dispatch_date]])</f>
        <v>7</v>
      </c>
      <c r="N3035">
        <v>42</v>
      </c>
      <c r="O3035">
        <f>Table1[[#This Row],[transit_storage_cost]] * (1-'What -if Analysis'!$D$26)</f>
        <v>42</v>
      </c>
      <c r="P3035">
        <v>111</v>
      </c>
      <c r="Q3035">
        <v>2036.2151541608653</v>
      </c>
    </row>
    <row r="3036" spans="1:17" x14ac:dyDescent="0.3">
      <c r="A3036">
        <v>470578</v>
      </c>
      <c r="B3036" s="1" t="s">
        <v>37</v>
      </c>
      <c r="C3036" s="1" t="s">
        <v>16</v>
      </c>
      <c r="D3036" s="1" t="s">
        <v>24</v>
      </c>
      <c r="E3036" s="1" t="s">
        <v>25</v>
      </c>
      <c r="F3036" s="1" t="s">
        <v>19</v>
      </c>
      <c r="G3036" s="1" t="s">
        <v>20</v>
      </c>
      <c r="H3036" t="s">
        <v>21</v>
      </c>
      <c r="I3036" s="1" t="s">
        <v>22</v>
      </c>
      <c r="J3036" s="2">
        <v>43533.305763888886</v>
      </c>
      <c r="K3036" s="2">
        <v>43539.305763888886</v>
      </c>
      <c r="L3036" s="2">
        <v>43539.305763888886</v>
      </c>
      <c r="M3036" s="1">
        <f>_xlfn.DAYS(Table1[[#This Row],[actual_delivery_date]],Table1[[#This Row],[dispatch_date]])</f>
        <v>6</v>
      </c>
      <c r="N3036">
        <v>61</v>
      </c>
      <c r="O3036">
        <f>Table1[[#This Row],[transit_storage_cost]] * (1-'What -if Analysis'!$D$26)</f>
        <v>61</v>
      </c>
      <c r="P3036">
        <v>105</v>
      </c>
      <c r="Q3036">
        <v>1070.6354973782641</v>
      </c>
    </row>
    <row r="3037" spans="1:17" x14ac:dyDescent="0.3">
      <c r="A3037">
        <v>965104</v>
      </c>
      <c r="B3037" s="1" t="s">
        <v>41</v>
      </c>
      <c r="C3037" s="1" t="s">
        <v>16</v>
      </c>
      <c r="D3037" s="1" t="s">
        <v>17</v>
      </c>
      <c r="E3037" s="1" t="s">
        <v>18</v>
      </c>
      <c r="F3037" s="1" t="s">
        <v>19</v>
      </c>
      <c r="G3037" s="1" t="s">
        <v>36</v>
      </c>
      <c r="H3037" t="s">
        <v>21</v>
      </c>
      <c r="I3037" s="1" t="s">
        <v>22</v>
      </c>
      <c r="J3037" s="2">
        <v>43534.308865740742</v>
      </c>
      <c r="K3037" s="2">
        <v>43539.308865740742</v>
      </c>
      <c r="L3037" s="2">
        <v>43539.308865740742</v>
      </c>
      <c r="M3037" s="1">
        <f>_xlfn.DAYS(Table1[[#This Row],[actual_delivery_date]],Table1[[#This Row],[dispatch_date]])</f>
        <v>5</v>
      </c>
      <c r="N3037">
        <v>26</v>
      </c>
      <c r="O3037">
        <f>Table1[[#This Row],[transit_storage_cost]] * (1-'What -if Analysis'!$D$26)</f>
        <v>26</v>
      </c>
      <c r="P3037">
        <v>109</v>
      </c>
      <c r="Q3037">
        <v>796</v>
      </c>
    </row>
    <row r="3038" spans="1:17" x14ac:dyDescent="0.3">
      <c r="A3038">
        <v>792337</v>
      </c>
      <c r="B3038" s="1" t="s">
        <v>38</v>
      </c>
      <c r="C3038" s="1" t="s">
        <v>23</v>
      </c>
      <c r="D3038" s="1" t="s">
        <v>24</v>
      </c>
      <c r="E3038" s="1" t="s">
        <v>25</v>
      </c>
      <c r="F3038" s="1" t="s">
        <v>29</v>
      </c>
      <c r="G3038" s="1" t="s">
        <v>20</v>
      </c>
      <c r="H3038" t="s">
        <v>34</v>
      </c>
      <c r="I3038" s="1" t="s">
        <v>22</v>
      </c>
      <c r="J3038" s="2">
        <v>43536.31108796296</v>
      </c>
      <c r="K3038" s="2">
        <v>43539.31108796296</v>
      </c>
      <c r="L3038" s="2">
        <v>43541.31108796296</v>
      </c>
      <c r="M3038" s="1">
        <f>_xlfn.DAYS(Table1[[#This Row],[actual_delivery_date]],Table1[[#This Row],[dispatch_date]])</f>
        <v>3</v>
      </c>
      <c r="N3038">
        <v>29</v>
      </c>
      <c r="O3038">
        <f>Table1[[#This Row],[transit_storage_cost]] * (1-'What -if Analysis'!$D$26)</f>
        <v>29</v>
      </c>
      <c r="P3038">
        <v>125</v>
      </c>
      <c r="Q3038">
        <v>1875.6375584086325</v>
      </c>
    </row>
    <row r="3039" spans="1:17" x14ac:dyDescent="0.3">
      <c r="A3039">
        <v>36419</v>
      </c>
      <c r="B3039" s="1" t="s">
        <v>38</v>
      </c>
      <c r="C3039" s="1" t="s">
        <v>16</v>
      </c>
      <c r="D3039" s="1" t="s">
        <v>24</v>
      </c>
      <c r="E3039" s="1" t="s">
        <v>25</v>
      </c>
      <c r="F3039" s="1" t="s">
        <v>29</v>
      </c>
      <c r="G3039" s="1" t="s">
        <v>20</v>
      </c>
      <c r="H3039" t="s">
        <v>30</v>
      </c>
      <c r="I3039" s="1" t="s">
        <v>22</v>
      </c>
      <c r="J3039" s="2">
        <v>43537.315104166664</v>
      </c>
      <c r="K3039" s="2">
        <v>43539.315104166664</v>
      </c>
      <c r="L3039" s="2">
        <v>43543.315104166664</v>
      </c>
      <c r="M3039" s="1">
        <f>_xlfn.DAYS(Table1[[#This Row],[actual_delivery_date]],Table1[[#This Row],[dispatch_date]])</f>
        <v>2</v>
      </c>
      <c r="N3039">
        <v>31</v>
      </c>
      <c r="O3039">
        <f>Table1[[#This Row],[transit_storage_cost]] * (1-'What -if Analysis'!$D$26)</f>
        <v>31</v>
      </c>
      <c r="P3039">
        <v>122</v>
      </c>
      <c r="Q3039">
        <v>1594</v>
      </c>
    </row>
    <row r="3040" spans="1:17" x14ac:dyDescent="0.3">
      <c r="A3040">
        <v>334762</v>
      </c>
      <c r="B3040" s="1" t="s">
        <v>38</v>
      </c>
      <c r="C3040" s="1" t="s">
        <v>23</v>
      </c>
      <c r="D3040" s="1" t="s">
        <v>17</v>
      </c>
      <c r="E3040" s="1" t="s">
        <v>18</v>
      </c>
      <c r="F3040" s="1" t="s">
        <v>19</v>
      </c>
      <c r="G3040" s="1" t="s">
        <v>20</v>
      </c>
      <c r="H3040" t="s">
        <v>21</v>
      </c>
      <c r="I3040" s="1" t="s">
        <v>22</v>
      </c>
      <c r="J3040" s="2">
        <v>43533.330266203702</v>
      </c>
      <c r="K3040" s="2">
        <v>43539.330266203702</v>
      </c>
      <c r="L3040" s="2">
        <v>43540.330266203702</v>
      </c>
      <c r="M3040" s="1">
        <f>_xlfn.DAYS(Table1[[#This Row],[actual_delivery_date]],Table1[[#This Row],[dispatch_date]])</f>
        <v>6</v>
      </c>
      <c r="N3040">
        <v>78</v>
      </c>
      <c r="O3040">
        <f>Table1[[#This Row],[transit_storage_cost]] * (1-'What -if Analysis'!$D$26)</f>
        <v>78</v>
      </c>
      <c r="P3040">
        <v>94</v>
      </c>
      <c r="Q3040">
        <v>2812</v>
      </c>
    </row>
    <row r="3041" spans="1:17" x14ac:dyDescent="0.3">
      <c r="A3041">
        <v>694028</v>
      </c>
      <c r="B3041" s="1" t="s">
        <v>38</v>
      </c>
      <c r="C3041" s="1" t="s">
        <v>23</v>
      </c>
      <c r="D3041" s="1" t="s">
        <v>23</v>
      </c>
      <c r="E3041" s="1" t="s">
        <v>28</v>
      </c>
      <c r="F3041" s="1" t="s">
        <v>19</v>
      </c>
      <c r="G3041" s="1" t="s">
        <v>20</v>
      </c>
      <c r="H3041" t="s">
        <v>21</v>
      </c>
      <c r="I3041" s="1" t="s">
        <v>22</v>
      </c>
      <c r="J3041" s="2">
        <v>43534.332731481481</v>
      </c>
      <c r="K3041" s="2">
        <v>43539.332731481481</v>
      </c>
      <c r="L3041" s="2">
        <v>43537.332731481481</v>
      </c>
      <c r="M3041" s="1">
        <f>_xlfn.DAYS(Table1[[#This Row],[actual_delivery_date]],Table1[[#This Row],[dispatch_date]])</f>
        <v>5</v>
      </c>
      <c r="N3041">
        <v>0</v>
      </c>
      <c r="O3041">
        <f>Table1[[#This Row],[transit_storage_cost]] * (1-'What -if Analysis'!$D$26)</f>
        <v>0</v>
      </c>
      <c r="P3041">
        <v>101</v>
      </c>
      <c r="Q3041">
        <v>3109.2530298664296</v>
      </c>
    </row>
    <row r="3042" spans="1:17" x14ac:dyDescent="0.3">
      <c r="A3042">
        <v>807029</v>
      </c>
      <c r="B3042" s="1" t="s">
        <v>38</v>
      </c>
      <c r="C3042" s="1" t="s">
        <v>16</v>
      </c>
      <c r="D3042" s="1" t="s">
        <v>24</v>
      </c>
      <c r="E3042" s="1" t="s">
        <v>25</v>
      </c>
      <c r="F3042" s="1" t="s">
        <v>29</v>
      </c>
      <c r="G3042" s="1" t="s">
        <v>20</v>
      </c>
      <c r="H3042" t="s">
        <v>30</v>
      </c>
      <c r="I3042" s="1" t="s">
        <v>22</v>
      </c>
      <c r="J3042" s="2">
        <v>43532.334618055553</v>
      </c>
      <c r="K3042" s="2">
        <v>43539.334618055553</v>
      </c>
      <c r="L3042" s="2">
        <v>43537.334618055553</v>
      </c>
      <c r="M3042" s="1">
        <f>_xlfn.DAYS(Table1[[#This Row],[actual_delivery_date]],Table1[[#This Row],[dispatch_date]])</f>
        <v>7</v>
      </c>
      <c r="N3042">
        <v>35</v>
      </c>
      <c r="O3042">
        <f>Table1[[#This Row],[transit_storage_cost]] * (1-'What -if Analysis'!$D$26)</f>
        <v>35</v>
      </c>
      <c r="P3042">
        <v>125</v>
      </c>
      <c r="Q3042">
        <v>3304.4884765057777</v>
      </c>
    </row>
    <row r="3043" spans="1:17" x14ac:dyDescent="0.3">
      <c r="A3043">
        <v>539382</v>
      </c>
      <c r="B3043" s="1" t="s">
        <v>41</v>
      </c>
      <c r="C3043" s="1" t="s">
        <v>16</v>
      </c>
      <c r="D3043" s="1" t="s">
        <v>24</v>
      </c>
      <c r="E3043" s="1" t="s">
        <v>25</v>
      </c>
      <c r="F3043" s="1" t="s">
        <v>31</v>
      </c>
      <c r="G3043" s="1" t="s">
        <v>20</v>
      </c>
      <c r="H3043" t="s">
        <v>21</v>
      </c>
      <c r="I3043" s="1" t="s">
        <v>26</v>
      </c>
      <c r="J3043" s="2">
        <v>43533.335555555554</v>
      </c>
      <c r="K3043" s="2">
        <v>43539.335555555554</v>
      </c>
      <c r="L3043" s="2">
        <v>43539.335555555554</v>
      </c>
      <c r="M3043" s="1">
        <f>_xlfn.DAYS(Table1[[#This Row],[actual_delivery_date]],Table1[[#This Row],[dispatch_date]])</f>
        <v>6</v>
      </c>
      <c r="N3043">
        <v>37</v>
      </c>
      <c r="O3043">
        <f>Table1[[#This Row],[transit_storage_cost]] * (1-'What -if Analysis'!$D$26)</f>
        <v>37</v>
      </c>
      <c r="P3043">
        <v>120</v>
      </c>
      <c r="Q3043">
        <v>470.20920991111461</v>
      </c>
    </row>
    <row r="3044" spans="1:17" x14ac:dyDescent="0.3">
      <c r="A3044">
        <v>888043</v>
      </c>
      <c r="B3044" s="1" t="s">
        <v>38</v>
      </c>
      <c r="C3044" s="1" t="s">
        <v>23</v>
      </c>
      <c r="D3044" s="1" t="s">
        <v>24</v>
      </c>
      <c r="E3044" s="1" t="s">
        <v>25</v>
      </c>
      <c r="F3044" s="1" t="s">
        <v>19</v>
      </c>
      <c r="G3044" s="1" t="s">
        <v>36</v>
      </c>
      <c r="H3044" t="s">
        <v>30</v>
      </c>
      <c r="I3044" s="1" t="s">
        <v>22</v>
      </c>
      <c r="J3044" s="2">
        <v>43535.340810185182</v>
      </c>
      <c r="K3044" s="2">
        <v>43539.340810185182</v>
      </c>
      <c r="L3044" s="2">
        <v>43541.340810185182</v>
      </c>
      <c r="M3044" s="1">
        <f>_xlfn.DAYS(Table1[[#This Row],[actual_delivery_date]],Table1[[#This Row],[dispatch_date]])</f>
        <v>4</v>
      </c>
      <c r="N3044">
        <v>81</v>
      </c>
      <c r="O3044">
        <f>Table1[[#This Row],[transit_storage_cost]] * (1-'What -if Analysis'!$D$26)</f>
        <v>81</v>
      </c>
      <c r="P3044">
        <v>108</v>
      </c>
      <c r="Q3044">
        <v>343</v>
      </c>
    </row>
    <row r="3045" spans="1:17" x14ac:dyDescent="0.3">
      <c r="A3045">
        <v>771935</v>
      </c>
      <c r="B3045" s="1" t="s">
        <v>39</v>
      </c>
      <c r="C3045" s="1" t="s">
        <v>16</v>
      </c>
      <c r="D3045" s="1" t="s">
        <v>32</v>
      </c>
      <c r="E3045" s="1" t="s">
        <v>33</v>
      </c>
      <c r="F3045" s="1" t="s">
        <v>29</v>
      </c>
      <c r="G3045" s="1" t="s">
        <v>20</v>
      </c>
      <c r="H3045" t="s">
        <v>30</v>
      </c>
      <c r="I3045" s="1" t="s">
        <v>22</v>
      </c>
      <c r="J3045" s="2">
        <v>43532.342592592591</v>
      </c>
      <c r="K3045" s="2">
        <v>43539.342592592591</v>
      </c>
      <c r="L3045" s="2">
        <v>43539.342592592591</v>
      </c>
      <c r="M3045" s="1">
        <f>_xlfn.DAYS(Table1[[#This Row],[actual_delivery_date]],Table1[[#This Row],[dispatch_date]])</f>
        <v>7</v>
      </c>
      <c r="N3045">
        <v>44</v>
      </c>
      <c r="O3045">
        <f>Table1[[#This Row],[transit_storage_cost]] * (1-'What -if Analysis'!$D$26)</f>
        <v>44</v>
      </c>
      <c r="P3045">
        <v>111</v>
      </c>
      <c r="Q3045">
        <v>1395</v>
      </c>
    </row>
    <row r="3046" spans="1:17" x14ac:dyDescent="0.3">
      <c r="A3046">
        <v>449483</v>
      </c>
      <c r="B3046" s="1" t="s">
        <v>15</v>
      </c>
      <c r="C3046" s="1" t="s">
        <v>16</v>
      </c>
      <c r="D3046" s="1" t="s">
        <v>16</v>
      </c>
      <c r="E3046" s="1" t="s">
        <v>27</v>
      </c>
      <c r="F3046" s="1" t="s">
        <v>29</v>
      </c>
      <c r="G3046" s="1" t="s">
        <v>20</v>
      </c>
      <c r="H3046" t="s">
        <v>30</v>
      </c>
      <c r="I3046" s="1" t="s">
        <v>22</v>
      </c>
      <c r="J3046" s="2">
        <v>43538.342893518522</v>
      </c>
      <c r="K3046" s="2">
        <v>43539.342893518522</v>
      </c>
      <c r="L3046" s="2">
        <v>43543.342893518522</v>
      </c>
      <c r="M3046" s="1">
        <f>_xlfn.DAYS(Table1[[#This Row],[actual_delivery_date]],Table1[[#This Row],[dispatch_date]])</f>
        <v>1</v>
      </c>
      <c r="N3046">
        <v>0</v>
      </c>
      <c r="O3046">
        <f>Table1[[#This Row],[transit_storage_cost]] * (1-'What -if Analysis'!$D$26)</f>
        <v>0</v>
      </c>
      <c r="P3046">
        <v>125</v>
      </c>
      <c r="Q3046">
        <v>1037.7305180909402</v>
      </c>
    </row>
    <row r="3047" spans="1:17" x14ac:dyDescent="0.3">
      <c r="A3047">
        <v>381032</v>
      </c>
      <c r="B3047" s="1" t="s">
        <v>40</v>
      </c>
      <c r="C3047" s="1" t="s">
        <v>16</v>
      </c>
      <c r="D3047" s="1" t="s">
        <v>23</v>
      </c>
      <c r="E3047" s="1" t="s">
        <v>28</v>
      </c>
      <c r="F3047" s="1" t="s">
        <v>19</v>
      </c>
      <c r="G3047" s="1" t="s">
        <v>20</v>
      </c>
      <c r="H3047" t="s">
        <v>21</v>
      </c>
      <c r="I3047" s="1" t="s">
        <v>22</v>
      </c>
      <c r="J3047" s="2">
        <v>43537.352303240739</v>
      </c>
      <c r="K3047" s="2">
        <v>43539.352303240739</v>
      </c>
      <c r="L3047" s="2">
        <v>43540.352303240739</v>
      </c>
      <c r="M3047" s="1">
        <f>_xlfn.DAYS(Table1[[#This Row],[actual_delivery_date]],Table1[[#This Row],[dispatch_date]])</f>
        <v>2</v>
      </c>
      <c r="N3047">
        <v>46</v>
      </c>
      <c r="O3047">
        <f>Table1[[#This Row],[transit_storage_cost]] * (1-'What -if Analysis'!$D$26)</f>
        <v>46</v>
      </c>
      <c r="P3047">
        <v>122</v>
      </c>
      <c r="Q3047">
        <v>3322.4163003295748</v>
      </c>
    </row>
    <row r="3048" spans="1:17" x14ac:dyDescent="0.3">
      <c r="A3048">
        <v>145223</v>
      </c>
      <c r="B3048" s="1" t="s">
        <v>37</v>
      </c>
      <c r="C3048" s="1" t="s">
        <v>16</v>
      </c>
      <c r="D3048" s="1" t="s">
        <v>23</v>
      </c>
      <c r="E3048" s="1" t="s">
        <v>28</v>
      </c>
      <c r="F3048" s="1" t="s">
        <v>29</v>
      </c>
      <c r="G3048" s="1" t="s">
        <v>20</v>
      </c>
      <c r="H3048" t="s">
        <v>30</v>
      </c>
      <c r="I3048" s="1" t="s">
        <v>22</v>
      </c>
      <c r="J3048" s="2">
        <v>43533.352870370371</v>
      </c>
      <c r="K3048" s="2">
        <v>43539.352870370371</v>
      </c>
      <c r="L3048" s="2">
        <v>43537.352870370371</v>
      </c>
      <c r="M3048" s="1">
        <f>_xlfn.DAYS(Table1[[#This Row],[actual_delivery_date]],Table1[[#This Row],[dispatch_date]])</f>
        <v>6</v>
      </c>
      <c r="N3048">
        <v>26</v>
      </c>
      <c r="O3048">
        <f>Table1[[#This Row],[transit_storage_cost]] * (1-'What -if Analysis'!$D$26)</f>
        <v>26</v>
      </c>
      <c r="P3048">
        <v>122</v>
      </c>
      <c r="Q3048">
        <v>2393.0162788382368</v>
      </c>
    </row>
    <row r="3049" spans="1:17" x14ac:dyDescent="0.3">
      <c r="A3049">
        <v>737484</v>
      </c>
      <c r="B3049" s="1" t="s">
        <v>40</v>
      </c>
      <c r="C3049" s="1" t="s">
        <v>23</v>
      </c>
      <c r="D3049" s="1" t="s">
        <v>32</v>
      </c>
      <c r="E3049" s="1" t="s">
        <v>33</v>
      </c>
      <c r="F3049" s="1" t="s">
        <v>19</v>
      </c>
      <c r="G3049" s="1" t="s">
        <v>20</v>
      </c>
      <c r="H3049" t="s">
        <v>21</v>
      </c>
      <c r="I3049" s="1" t="s">
        <v>26</v>
      </c>
      <c r="J3049" s="2">
        <v>43534.364768518521</v>
      </c>
      <c r="K3049" s="2">
        <v>43539.364768518521</v>
      </c>
      <c r="L3049" s="2">
        <v>43541.364768518521</v>
      </c>
      <c r="M3049" s="1">
        <f>_xlfn.DAYS(Table1[[#This Row],[actual_delivery_date]],Table1[[#This Row],[dispatch_date]])</f>
        <v>5</v>
      </c>
      <c r="N3049">
        <v>63</v>
      </c>
      <c r="O3049">
        <f>Table1[[#This Row],[transit_storage_cost]] * (1-'What -if Analysis'!$D$26)</f>
        <v>63</v>
      </c>
      <c r="P3049">
        <v>88</v>
      </c>
      <c r="Q3049">
        <v>2202.1756275857911</v>
      </c>
    </row>
    <row r="3050" spans="1:17" x14ac:dyDescent="0.3">
      <c r="A3050">
        <v>649828</v>
      </c>
      <c r="B3050" s="1" t="s">
        <v>15</v>
      </c>
      <c r="C3050" s="1" t="s">
        <v>16</v>
      </c>
      <c r="D3050" s="1" t="s">
        <v>24</v>
      </c>
      <c r="E3050" s="1" t="s">
        <v>25</v>
      </c>
      <c r="F3050" s="1" t="s">
        <v>19</v>
      </c>
      <c r="G3050" s="1" t="s">
        <v>20</v>
      </c>
      <c r="H3050" t="s">
        <v>21</v>
      </c>
      <c r="I3050" s="1" t="s">
        <v>22</v>
      </c>
      <c r="J3050" s="2">
        <v>43530.365405092591</v>
      </c>
      <c r="K3050" s="2">
        <v>43539.365405092591</v>
      </c>
      <c r="L3050" s="2">
        <v>43535.365405092591</v>
      </c>
      <c r="M3050" s="1">
        <f>_xlfn.DAYS(Table1[[#This Row],[actual_delivery_date]],Table1[[#This Row],[dispatch_date]])</f>
        <v>9</v>
      </c>
      <c r="N3050">
        <v>37</v>
      </c>
      <c r="O3050">
        <f>Table1[[#This Row],[transit_storage_cost]] * (1-'What -if Analysis'!$D$26)</f>
        <v>37</v>
      </c>
      <c r="P3050">
        <v>122</v>
      </c>
      <c r="Q3050">
        <v>2191.3418790956612</v>
      </c>
    </row>
    <row r="3051" spans="1:17" x14ac:dyDescent="0.3">
      <c r="A3051">
        <v>220025</v>
      </c>
      <c r="B3051" s="1" t="s">
        <v>37</v>
      </c>
      <c r="C3051" s="1" t="s">
        <v>16</v>
      </c>
      <c r="D3051" s="1" t="s">
        <v>17</v>
      </c>
      <c r="E3051" s="1" t="s">
        <v>18</v>
      </c>
      <c r="F3051" s="1" t="s">
        <v>19</v>
      </c>
      <c r="G3051" s="1" t="s">
        <v>20</v>
      </c>
      <c r="H3051" t="s">
        <v>30</v>
      </c>
      <c r="I3051" s="1" t="s">
        <v>22</v>
      </c>
      <c r="J3051" s="2">
        <v>43537.366527777776</v>
      </c>
      <c r="K3051" s="2">
        <v>43539.366527777776</v>
      </c>
      <c r="L3051" s="2">
        <v>43543.366527777776</v>
      </c>
      <c r="M3051" s="1">
        <f>_xlfn.DAYS(Table1[[#This Row],[actual_delivery_date]],Table1[[#This Row],[dispatch_date]])</f>
        <v>2</v>
      </c>
      <c r="N3051">
        <v>73</v>
      </c>
      <c r="O3051">
        <f>Table1[[#This Row],[transit_storage_cost]] * (1-'What -if Analysis'!$D$26)</f>
        <v>73</v>
      </c>
      <c r="P3051">
        <v>85</v>
      </c>
      <c r="Q3051">
        <v>2449.7208948297898</v>
      </c>
    </row>
    <row r="3052" spans="1:17" x14ac:dyDescent="0.3">
      <c r="A3052">
        <v>445245</v>
      </c>
      <c r="B3052" s="1" t="s">
        <v>38</v>
      </c>
      <c r="C3052" s="1" t="s">
        <v>16</v>
      </c>
      <c r="D3052" s="1" t="s">
        <v>23</v>
      </c>
      <c r="E3052" s="1" t="s">
        <v>28</v>
      </c>
      <c r="F3052" s="1" t="s">
        <v>29</v>
      </c>
      <c r="G3052" s="1" t="s">
        <v>20</v>
      </c>
      <c r="H3052" t="s">
        <v>30</v>
      </c>
      <c r="I3052" s="1" t="s">
        <v>26</v>
      </c>
      <c r="J3052" s="2">
        <v>43533.370995370373</v>
      </c>
      <c r="K3052" s="2">
        <v>43539.370995370373</v>
      </c>
      <c r="L3052" s="2">
        <v>43537.370995370373</v>
      </c>
      <c r="M3052" s="1">
        <f>_xlfn.DAYS(Table1[[#This Row],[actual_delivery_date]],Table1[[#This Row],[dispatch_date]])</f>
        <v>6</v>
      </c>
      <c r="N3052">
        <v>38</v>
      </c>
      <c r="O3052">
        <f>Table1[[#This Row],[transit_storage_cost]] * (1-'What -if Analysis'!$D$26)</f>
        <v>38</v>
      </c>
      <c r="P3052">
        <v>129</v>
      </c>
      <c r="Q3052">
        <v>264</v>
      </c>
    </row>
    <row r="3053" spans="1:17" x14ac:dyDescent="0.3">
      <c r="A3053">
        <v>989203</v>
      </c>
      <c r="B3053" s="1" t="s">
        <v>38</v>
      </c>
      <c r="C3053" s="1" t="s">
        <v>23</v>
      </c>
      <c r="D3053" s="1" t="s">
        <v>23</v>
      </c>
      <c r="E3053" s="1" t="s">
        <v>28</v>
      </c>
      <c r="F3053" s="1" t="s">
        <v>29</v>
      </c>
      <c r="G3053" s="1" t="s">
        <v>20</v>
      </c>
      <c r="H3053" t="s">
        <v>30</v>
      </c>
      <c r="I3053" s="1" t="s">
        <v>22</v>
      </c>
      <c r="J3053" s="2">
        <v>43538.372604166667</v>
      </c>
      <c r="K3053" s="2">
        <v>43539.372604166667</v>
      </c>
      <c r="L3053" s="2">
        <v>43543.372604166667</v>
      </c>
      <c r="M3053" s="1">
        <f>_xlfn.DAYS(Table1[[#This Row],[actual_delivery_date]],Table1[[#This Row],[dispatch_date]])</f>
        <v>1</v>
      </c>
      <c r="N3053">
        <v>0</v>
      </c>
      <c r="O3053">
        <f>Table1[[#This Row],[transit_storage_cost]] * (1-'What -if Analysis'!$D$26)</f>
        <v>0</v>
      </c>
      <c r="P3053">
        <v>121</v>
      </c>
      <c r="Q3053">
        <v>2095</v>
      </c>
    </row>
    <row r="3054" spans="1:17" x14ac:dyDescent="0.3">
      <c r="A3054">
        <v>898439</v>
      </c>
      <c r="B3054" s="1" t="s">
        <v>41</v>
      </c>
      <c r="C3054" s="1" t="s">
        <v>23</v>
      </c>
      <c r="D3054" s="1" t="s">
        <v>17</v>
      </c>
      <c r="E3054" s="1" t="s">
        <v>18</v>
      </c>
      <c r="F3054" s="1" t="s">
        <v>29</v>
      </c>
      <c r="G3054" s="1" t="s">
        <v>20</v>
      </c>
      <c r="H3054" t="s">
        <v>30</v>
      </c>
      <c r="I3054" s="1" t="s">
        <v>22</v>
      </c>
      <c r="J3054" s="2">
        <v>43535.37773148148</v>
      </c>
      <c r="K3054" s="2">
        <v>43539.37773148148</v>
      </c>
      <c r="L3054" s="2">
        <v>43538.37773148148</v>
      </c>
      <c r="M3054" s="1">
        <f>_xlfn.DAYS(Table1[[#This Row],[actual_delivery_date]],Table1[[#This Row],[dispatch_date]])</f>
        <v>4</v>
      </c>
      <c r="N3054">
        <v>25</v>
      </c>
      <c r="O3054">
        <f>Table1[[#This Row],[transit_storage_cost]] * (1-'What -if Analysis'!$D$26)</f>
        <v>25</v>
      </c>
      <c r="P3054">
        <v>109</v>
      </c>
      <c r="Q3054">
        <v>2765</v>
      </c>
    </row>
    <row r="3055" spans="1:17" x14ac:dyDescent="0.3">
      <c r="A3055">
        <v>283434</v>
      </c>
      <c r="B3055" s="1" t="s">
        <v>15</v>
      </c>
      <c r="C3055" s="1" t="s">
        <v>23</v>
      </c>
      <c r="D3055" s="1" t="s">
        <v>17</v>
      </c>
      <c r="E3055" s="1" t="s">
        <v>18</v>
      </c>
      <c r="F3055" s="1" t="s">
        <v>31</v>
      </c>
      <c r="G3055" s="1" t="s">
        <v>20</v>
      </c>
      <c r="H3055" t="s">
        <v>21</v>
      </c>
      <c r="I3055" s="1" t="s">
        <v>26</v>
      </c>
      <c r="J3055" s="2">
        <v>43531.378506944442</v>
      </c>
      <c r="K3055" s="2">
        <v>43539.378506944442</v>
      </c>
      <c r="L3055" s="2">
        <v>43537.378506944442</v>
      </c>
      <c r="M3055" s="1">
        <f>_xlfn.DAYS(Table1[[#This Row],[actual_delivery_date]],Table1[[#This Row],[dispatch_date]])</f>
        <v>8</v>
      </c>
      <c r="N3055">
        <v>40</v>
      </c>
      <c r="O3055">
        <f>Table1[[#This Row],[transit_storage_cost]] * (1-'What -if Analysis'!$D$26)</f>
        <v>40</v>
      </c>
      <c r="P3055">
        <v>111</v>
      </c>
      <c r="Q3055">
        <v>902.38647361262269</v>
      </c>
    </row>
    <row r="3056" spans="1:17" x14ac:dyDescent="0.3">
      <c r="A3056">
        <v>966122</v>
      </c>
      <c r="B3056" s="1" t="s">
        <v>37</v>
      </c>
      <c r="C3056" s="1" t="s">
        <v>23</v>
      </c>
      <c r="D3056" s="1" t="s">
        <v>17</v>
      </c>
      <c r="E3056" s="1" t="s">
        <v>18</v>
      </c>
      <c r="F3056" s="1" t="s">
        <v>19</v>
      </c>
      <c r="G3056" s="1" t="s">
        <v>20</v>
      </c>
      <c r="H3056" t="s">
        <v>21</v>
      </c>
      <c r="I3056" s="1" t="s">
        <v>22</v>
      </c>
      <c r="J3056" s="2">
        <v>43537.37871527778</v>
      </c>
      <c r="K3056" s="2">
        <v>43539.37871527778</v>
      </c>
      <c r="L3056" s="2">
        <v>43542.37871527778</v>
      </c>
      <c r="M3056" s="1">
        <f>_xlfn.DAYS(Table1[[#This Row],[actual_delivery_date]],Table1[[#This Row],[dispatch_date]])</f>
        <v>2</v>
      </c>
      <c r="N3056">
        <v>67</v>
      </c>
      <c r="O3056">
        <f>Table1[[#This Row],[transit_storage_cost]] * (1-'What -if Analysis'!$D$26)</f>
        <v>67</v>
      </c>
      <c r="P3056">
        <v>91</v>
      </c>
      <c r="Q3056">
        <v>1743.2832178578508</v>
      </c>
    </row>
    <row r="3057" spans="1:17" x14ac:dyDescent="0.3">
      <c r="A3057">
        <v>867525</v>
      </c>
      <c r="B3057" s="1" t="s">
        <v>15</v>
      </c>
      <c r="C3057" s="1" t="s">
        <v>23</v>
      </c>
      <c r="D3057" s="1" t="s">
        <v>24</v>
      </c>
      <c r="E3057" s="1" t="s">
        <v>25</v>
      </c>
      <c r="F3057" s="1" t="s">
        <v>29</v>
      </c>
      <c r="G3057" s="1" t="s">
        <v>20</v>
      </c>
      <c r="H3057" t="s">
        <v>30</v>
      </c>
      <c r="I3057" s="1" t="s">
        <v>26</v>
      </c>
      <c r="J3057" s="2">
        <v>43537.380937499998</v>
      </c>
      <c r="K3057" s="2">
        <v>43539.380937499998</v>
      </c>
      <c r="L3057" s="2">
        <v>43544.380937499998</v>
      </c>
      <c r="M3057" s="1">
        <f>_xlfn.DAYS(Table1[[#This Row],[actual_delivery_date]],Table1[[#This Row],[dispatch_date]])</f>
        <v>2</v>
      </c>
      <c r="N3057">
        <v>32</v>
      </c>
      <c r="O3057">
        <f>Table1[[#This Row],[transit_storage_cost]] * (1-'What -if Analysis'!$D$26)</f>
        <v>32</v>
      </c>
      <c r="P3057">
        <v>127</v>
      </c>
      <c r="Q3057">
        <v>1780.4342461579381</v>
      </c>
    </row>
    <row r="3058" spans="1:17" x14ac:dyDescent="0.3">
      <c r="A3058">
        <v>311861</v>
      </c>
      <c r="B3058" s="1" t="s">
        <v>40</v>
      </c>
      <c r="C3058" s="1" t="s">
        <v>23</v>
      </c>
      <c r="D3058" s="1" t="s">
        <v>23</v>
      </c>
      <c r="E3058" s="1" t="s">
        <v>28</v>
      </c>
      <c r="F3058" s="1" t="s">
        <v>19</v>
      </c>
      <c r="G3058" s="1" t="s">
        <v>20</v>
      </c>
      <c r="H3058" t="s">
        <v>30</v>
      </c>
      <c r="I3058" s="1" t="s">
        <v>22</v>
      </c>
      <c r="J3058" s="2">
        <v>43536.383391203701</v>
      </c>
      <c r="K3058" s="2">
        <v>43539.383391203701</v>
      </c>
      <c r="L3058" s="2">
        <v>43542.383391203701</v>
      </c>
      <c r="M3058" s="1">
        <f>_xlfn.DAYS(Table1[[#This Row],[actual_delivery_date]],Table1[[#This Row],[dispatch_date]])</f>
        <v>3</v>
      </c>
      <c r="N3058">
        <v>0</v>
      </c>
      <c r="O3058">
        <f>Table1[[#This Row],[transit_storage_cost]] * (1-'What -if Analysis'!$D$26)</f>
        <v>0</v>
      </c>
      <c r="P3058">
        <v>105</v>
      </c>
      <c r="Q3058">
        <v>1989.9055011457931</v>
      </c>
    </row>
    <row r="3059" spans="1:17" x14ac:dyDescent="0.3">
      <c r="A3059">
        <v>286270</v>
      </c>
      <c r="B3059" s="1" t="s">
        <v>39</v>
      </c>
      <c r="C3059" s="1" t="s">
        <v>23</v>
      </c>
      <c r="D3059" s="1" t="s">
        <v>24</v>
      </c>
      <c r="E3059" s="1" t="s">
        <v>25</v>
      </c>
      <c r="F3059" s="1" t="s">
        <v>31</v>
      </c>
      <c r="G3059" s="1" t="s">
        <v>20</v>
      </c>
      <c r="H3059" t="s">
        <v>21</v>
      </c>
      <c r="I3059" s="1" t="s">
        <v>22</v>
      </c>
      <c r="J3059" s="2">
        <v>43537.391342592593</v>
      </c>
      <c r="K3059" s="2">
        <v>43539.391342592593</v>
      </c>
      <c r="L3059" s="2">
        <v>43542.391342592593</v>
      </c>
      <c r="M3059" s="1">
        <f>_xlfn.DAYS(Table1[[#This Row],[actual_delivery_date]],Table1[[#This Row],[dispatch_date]])</f>
        <v>2</v>
      </c>
      <c r="N3059">
        <v>38</v>
      </c>
      <c r="O3059">
        <f>Table1[[#This Row],[transit_storage_cost]] * (1-'What -if Analysis'!$D$26)</f>
        <v>38</v>
      </c>
      <c r="P3059">
        <v>128</v>
      </c>
      <c r="Q3059">
        <v>1587</v>
      </c>
    </row>
    <row r="3060" spans="1:17" x14ac:dyDescent="0.3">
      <c r="A3060">
        <v>939152</v>
      </c>
      <c r="B3060" s="1" t="s">
        <v>37</v>
      </c>
      <c r="C3060" s="1" t="s">
        <v>23</v>
      </c>
      <c r="D3060" s="1" t="s">
        <v>16</v>
      </c>
      <c r="E3060" s="1" t="s">
        <v>27</v>
      </c>
      <c r="F3060" s="1" t="s">
        <v>19</v>
      </c>
      <c r="G3060" s="1" t="s">
        <v>20</v>
      </c>
      <c r="H3060" t="s">
        <v>21</v>
      </c>
      <c r="I3060" s="1" t="s">
        <v>22</v>
      </c>
      <c r="J3060" s="2">
        <v>43537.397013888891</v>
      </c>
      <c r="K3060" s="2">
        <v>43539.397013888891</v>
      </c>
      <c r="L3060" s="2">
        <v>43544.397013888891</v>
      </c>
      <c r="M3060" s="1">
        <f>_xlfn.DAYS(Table1[[#This Row],[actual_delivery_date]],Table1[[#This Row],[dispatch_date]])</f>
        <v>2</v>
      </c>
      <c r="N3060">
        <v>30</v>
      </c>
      <c r="O3060">
        <f>Table1[[#This Row],[transit_storage_cost]] * (1-'What -if Analysis'!$D$26)</f>
        <v>30</v>
      </c>
      <c r="P3060">
        <v>123</v>
      </c>
      <c r="Q3060">
        <v>1303</v>
      </c>
    </row>
    <row r="3061" spans="1:17" x14ac:dyDescent="0.3">
      <c r="A3061">
        <v>939989</v>
      </c>
      <c r="B3061" s="1" t="s">
        <v>38</v>
      </c>
      <c r="C3061" s="1" t="s">
        <v>16</v>
      </c>
      <c r="D3061" s="1" t="s">
        <v>16</v>
      </c>
      <c r="E3061" s="1" t="s">
        <v>27</v>
      </c>
      <c r="F3061" s="1" t="s">
        <v>19</v>
      </c>
      <c r="G3061" s="1" t="s">
        <v>20</v>
      </c>
      <c r="H3061" t="s">
        <v>30</v>
      </c>
      <c r="I3061" s="1" t="s">
        <v>22</v>
      </c>
      <c r="J3061" s="2">
        <v>43535.40115740741</v>
      </c>
      <c r="K3061" s="2">
        <v>43539.40115740741</v>
      </c>
      <c r="L3061" s="2">
        <v>43538.40115740741</v>
      </c>
      <c r="M3061" s="1">
        <f>_xlfn.DAYS(Table1[[#This Row],[actual_delivery_date]],Table1[[#This Row],[dispatch_date]])</f>
        <v>4</v>
      </c>
      <c r="N3061">
        <v>0</v>
      </c>
      <c r="O3061">
        <f>Table1[[#This Row],[transit_storage_cost]] * (1-'What -if Analysis'!$D$26)</f>
        <v>0</v>
      </c>
      <c r="P3061">
        <v>101</v>
      </c>
      <c r="Q3061">
        <v>2974.2884812963293</v>
      </c>
    </row>
    <row r="3062" spans="1:17" x14ac:dyDescent="0.3">
      <c r="A3062">
        <v>895648</v>
      </c>
      <c r="B3062" s="1" t="s">
        <v>38</v>
      </c>
      <c r="C3062" s="1" t="s">
        <v>16</v>
      </c>
      <c r="D3062" s="1" t="s">
        <v>17</v>
      </c>
      <c r="E3062" s="1" t="s">
        <v>18</v>
      </c>
      <c r="F3062" s="1" t="s">
        <v>19</v>
      </c>
      <c r="G3062" s="1" t="s">
        <v>20</v>
      </c>
      <c r="H3062" t="s">
        <v>21</v>
      </c>
      <c r="I3062" s="1" t="s">
        <v>22</v>
      </c>
      <c r="J3062" s="2">
        <v>43537.401747685188</v>
      </c>
      <c r="K3062" s="2">
        <v>43539.401747685188</v>
      </c>
      <c r="L3062" s="2">
        <v>43544.401747685188</v>
      </c>
      <c r="M3062" s="1">
        <f>_xlfn.DAYS(Table1[[#This Row],[actual_delivery_date]],Table1[[#This Row],[dispatch_date]])</f>
        <v>2</v>
      </c>
      <c r="N3062">
        <v>29</v>
      </c>
      <c r="O3062">
        <f>Table1[[#This Row],[transit_storage_cost]] * (1-'What -if Analysis'!$D$26)</f>
        <v>29</v>
      </c>
      <c r="P3062">
        <v>107</v>
      </c>
      <c r="Q3062">
        <v>3377.1000055459731</v>
      </c>
    </row>
    <row r="3063" spans="1:17" x14ac:dyDescent="0.3">
      <c r="A3063">
        <v>402180</v>
      </c>
      <c r="B3063" s="1" t="s">
        <v>38</v>
      </c>
      <c r="C3063" s="1" t="s">
        <v>16</v>
      </c>
      <c r="D3063" s="1" t="s">
        <v>24</v>
      </c>
      <c r="E3063" s="1" t="s">
        <v>25</v>
      </c>
      <c r="F3063" s="1" t="s">
        <v>19</v>
      </c>
      <c r="G3063" s="1" t="s">
        <v>20</v>
      </c>
      <c r="H3063" t="s">
        <v>21</v>
      </c>
      <c r="I3063" s="1" t="s">
        <v>26</v>
      </c>
      <c r="J3063" s="2">
        <v>43529.402627314812</v>
      </c>
      <c r="K3063" s="2">
        <v>43539.402627314812</v>
      </c>
      <c r="L3063" s="2">
        <v>43532.402627314812</v>
      </c>
      <c r="M3063" s="1">
        <f>_xlfn.DAYS(Table1[[#This Row],[actual_delivery_date]],Table1[[#This Row],[dispatch_date]])</f>
        <v>10</v>
      </c>
      <c r="N3063">
        <v>38</v>
      </c>
      <c r="O3063">
        <f>Table1[[#This Row],[transit_storage_cost]] * (1-'What -if Analysis'!$D$26)</f>
        <v>38</v>
      </c>
      <c r="P3063">
        <v>129</v>
      </c>
      <c r="Q3063">
        <v>2185.5700000000002</v>
      </c>
    </row>
    <row r="3064" spans="1:17" x14ac:dyDescent="0.3">
      <c r="A3064">
        <v>228999</v>
      </c>
      <c r="B3064" s="1" t="s">
        <v>39</v>
      </c>
      <c r="C3064" s="1" t="s">
        <v>16</v>
      </c>
      <c r="D3064" s="1" t="s">
        <v>23</v>
      </c>
      <c r="E3064" s="1" t="s">
        <v>28</v>
      </c>
      <c r="F3064" s="1" t="s">
        <v>29</v>
      </c>
      <c r="G3064" s="1" t="s">
        <v>20</v>
      </c>
      <c r="H3064" t="s">
        <v>30</v>
      </c>
      <c r="I3064" s="1" t="s">
        <v>26</v>
      </c>
      <c r="J3064" s="2">
        <v>43531.403715277775</v>
      </c>
      <c r="K3064" s="2">
        <v>43539.403715277775</v>
      </c>
      <c r="L3064" s="2">
        <v>43537.403715277775</v>
      </c>
      <c r="M3064" s="1">
        <f>_xlfn.DAYS(Table1[[#This Row],[actual_delivery_date]],Table1[[#This Row],[dispatch_date]])</f>
        <v>8</v>
      </c>
      <c r="N3064">
        <v>30</v>
      </c>
      <c r="O3064">
        <f>Table1[[#This Row],[transit_storage_cost]] * (1-'What -if Analysis'!$D$26)</f>
        <v>30</v>
      </c>
      <c r="P3064">
        <v>130</v>
      </c>
      <c r="Q3064">
        <v>417.21088735174197</v>
      </c>
    </row>
    <row r="3065" spans="1:17" x14ac:dyDescent="0.3">
      <c r="A3065">
        <v>92592</v>
      </c>
      <c r="B3065" s="1" t="s">
        <v>41</v>
      </c>
      <c r="C3065" s="1" t="s">
        <v>16</v>
      </c>
      <c r="D3065" s="1" t="s">
        <v>24</v>
      </c>
      <c r="E3065" s="1" t="s">
        <v>25</v>
      </c>
      <c r="F3065" s="1" t="s">
        <v>19</v>
      </c>
      <c r="G3065" s="1" t="s">
        <v>20</v>
      </c>
      <c r="H3065" t="s">
        <v>21</v>
      </c>
      <c r="I3065" s="1" t="s">
        <v>26</v>
      </c>
      <c r="J3065" s="2">
        <v>43529.404363425929</v>
      </c>
      <c r="K3065" s="2">
        <v>43539.404363425929</v>
      </c>
      <c r="L3065" s="2">
        <v>43533.404363425929</v>
      </c>
      <c r="M3065" s="1">
        <f>_xlfn.DAYS(Table1[[#This Row],[actual_delivery_date]],Table1[[#This Row],[dispatch_date]])</f>
        <v>10</v>
      </c>
      <c r="N3065">
        <v>47</v>
      </c>
      <c r="O3065">
        <f>Table1[[#This Row],[transit_storage_cost]] * (1-'What -if Analysis'!$D$26)</f>
        <v>47</v>
      </c>
      <c r="P3065">
        <v>124</v>
      </c>
      <c r="Q3065">
        <v>899.68</v>
      </c>
    </row>
    <row r="3066" spans="1:17" x14ac:dyDescent="0.3">
      <c r="A3066">
        <v>660443</v>
      </c>
      <c r="B3066" s="1" t="s">
        <v>37</v>
      </c>
      <c r="C3066" s="1" t="s">
        <v>23</v>
      </c>
      <c r="D3066" s="1" t="s">
        <v>32</v>
      </c>
      <c r="E3066" s="1" t="s">
        <v>33</v>
      </c>
      <c r="F3066" s="1" t="s">
        <v>29</v>
      </c>
      <c r="G3066" s="1" t="s">
        <v>20</v>
      </c>
      <c r="H3066" t="s">
        <v>34</v>
      </c>
      <c r="I3066" s="1" t="s">
        <v>22</v>
      </c>
      <c r="J3066" s="2">
        <v>43537.404687499999</v>
      </c>
      <c r="K3066" s="2">
        <v>43539.404687499999</v>
      </c>
      <c r="L3066" s="2">
        <v>43540.404687499999</v>
      </c>
      <c r="M3066" s="1">
        <f>_xlfn.DAYS(Table1[[#This Row],[actual_delivery_date]],Table1[[#This Row],[dispatch_date]])</f>
        <v>2</v>
      </c>
      <c r="N3066">
        <v>39</v>
      </c>
      <c r="O3066">
        <f>Table1[[#This Row],[transit_storage_cost]] * (1-'What -if Analysis'!$D$26)</f>
        <v>39</v>
      </c>
      <c r="P3066">
        <v>108</v>
      </c>
      <c r="Q3066">
        <v>1855.5245392952604</v>
      </c>
    </row>
    <row r="3067" spans="1:17" x14ac:dyDescent="0.3">
      <c r="A3067">
        <v>566444</v>
      </c>
      <c r="B3067" s="1" t="s">
        <v>41</v>
      </c>
      <c r="C3067" s="1" t="s">
        <v>16</v>
      </c>
      <c r="D3067" s="1" t="s">
        <v>17</v>
      </c>
      <c r="E3067" s="1" t="s">
        <v>18</v>
      </c>
      <c r="F3067" s="1" t="s">
        <v>19</v>
      </c>
      <c r="G3067" s="1" t="s">
        <v>20</v>
      </c>
      <c r="H3067" t="s">
        <v>21</v>
      </c>
      <c r="I3067" s="1" t="s">
        <v>22</v>
      </c>
      <c r="J3067" s="2">
        <v>43537.404687499999</v>
      </c>
      <c r="K3067" s="2">
        <v>43539.404687499999</v>
      </c>
      <c r="L3067" s="2">
        <v>43540.404687499999</v>
      </c>
      <c r="M3067" s="1">
        <f>_xlfn.DAYS(Table1[[#This Row],[actual_delivery_date]],Table1[[#This Row],[dispatch_date]])</f>
        <v>2</v>
      </c>
      <c r="N3067">
        <v>47</v>
      </c>
      <c r="O3067">
        <f>Table1[[#This Row],[transit_storage_cost]] * (1-'What -if Analysis'!$D$26)</f>
        <v>47</v>
      </c>
      <c r="P3067">
        <v>108</v>
      </c>
      <c r="Q3067">
        <v>1726.7941536636702</v>
      </c>
    </row>
    <row r="3068" spans="1:17" x14ac:dyDescent="0.3">
      <c r="A3068">
        <v>272647</v>
      </c>
      <c r="B3068" s="1" t="s">
        <v>38</v>
      </c>
      <c r="C3068" s="1" t="s">
        <v>16</v>
      </c>
      <c r="D3068" s="1" t="s">
        <v>16</v>
      </c>
      <c r="E3068" s="1" t="s">
        <v>27</v>
      </c>
      <c r="F3068" s="1" t="s">
        <v>19</v>
      </c>
      <c r="G3068" s="1" t="s">
        <v>20</v>
      </c>
      <c r="H3068" t="s">
        <v>30</v>
      </c>
      <c r="I3068" s="1" t="s">
        <v>22</v>
      </c>
      <c r="J3068" s="2">
        <v>43535.409039351849</v>
      </c>
      <c r="K3068" s="2">
        <v>43539.409039351849</v>
      </c>
      <c r="L3068" s="2">
        <v>43539.409039351849</v>
      </c>
      <c r="M3068" s="1">
        <f>_xlfn.DAYS(Table1[[#This Row],[actual_delivery_date]],Table1[[#This Row],[dispatch_date]])</f>
        <v>4</v>
      </c>
      <c r="N3068">
        <v>0</v>
      </c>
      <c r="O3068">
        <f>Table1[[#This Row],[transit_storage_cost]] * (1-'What -if Analysis'!$D$26)</f>
        <v>0</v>
      </c>
      <c r="P3068">
        <v>108</v>
      </c>
      <c r="Q3068">
        <v>809.880703410151</v>
      </c>
    </row>
    <row r="3069" spans="1:17" x14ac:dyDescent="0.3">
      <c r="A3069">
        <v>48069</v>
      </c>
      <c r="B3069" s="1" t="s">
        <v>41</v>
      </c>
      <c r="C3069" s="1" t="s">
        <v>23</v>
      </c>
      <c r="D3069" s="1" t="s">
        <v>17</v>
      </c>
      <c r="E3069" s="1" t="s">
        <v>18</v>
      </c>
      <c r="F3069" s="1" t="s">
        <v>19</v>
      </c>
      <c r="G3069" s="1" t="s">
        <v>20</v>
      </c>
      <c r="H3069" t="s">
        <v>34</v>
      </c>
      <c r="I3069" s="1" t="s">
        <v>26</v>
      </c>
      <c r="J3069" s="2">
        <v>43537.409143518518</v>
      </c>
      <c r="K3069" s="2">
        <v>43539.409143518518</v>
      </c>
      <c r="L3069" s="2">
        <v>43540.409143518518</v>
      </c>
      <c r="M3069" s="1">
        <f>_xlfn.DAYS(Table1[[#This Row],[actual_delivery_date]],Table1[[#This Row],[dispatch_date]])</f>
        <v>2</v>
      </c>
      <c r="N3069">
        <v>65</v>
      </c>
      <c r="O3069">
        <f>Table1[[#This Row],[transit_storage_cost]] * (1-'What -if Analysis'!$D$26)</f>
        <v>65</v>
      </c>
      <c r="P3069">
        <v>87</v>
      </c>
      <c r="Q3069">
        <v>831.53393155003187</v>
      </c>
    </row>
    <row r="3070" spans="1:17" x14ac:dyDescent="0.3">
      <c r="A3070">
        <v>219785</v>
      </c>
      <c r="B3070" s="1" t="s">
        <v>39</v>
      </c>
      <c r="C3070" s="1" t="s">
        <v>16</v>
      </c>
      <c r="D3070" s="1" t="s">
        <v>23</v>
      </c>
      <c r="E3070" s="1" t="s">
        <v>28</v>
      </c>
      <c r="F3070" s="1" t="s">
        <v>19</v>
      </c>
      <c r="G3070" s="1" t="s">
        <v>20</v>
      </c>
      <c r="H3070" t="s">
        <v>30</v>
      </c>
      <c r="I3070" s="1" t="s">
        <v>22</v>
      </c>
      <c r="J3070" s="2">
        <v>43537.409560185188</v>
      </c>
      <c r="K3070" s="2">
        <v>43539.409560185188</v>
      </c>
      <c r="L3070" s="2">
        <v>43542.409560185188</v>
      </c>
      <c r="M3070" s="1">
        <f>_xlfn.DAYS(Table1[[#This Row],[actual_delivery_date]],Table1[[#This Row],[dispatch_date]])</f>
        <v>2</v>
      </c>
      <c r="N3070">
        <v>66</v>
      </c>
      <c r="O3070">
        <f>Table1[[#This Row],[transit_storage_cost]] * (1-'What -if Analysis'!$D$26)</f>
        <v>66</v>
      </c>
      <c r="P3070">
        <v>101</v>
      </c>
      <c r="Q3070">
        <v>2120.3319423926887</v>
      </c>
    </row>
    <row r="3071" spans="1:17" x14ac:dyDescent="0.3">
      <c r="A3071">
        <v>324119</v>
      </c>
      <c r="B3071" s="1" t="s">
        <v>39</v>
      </c>
      <c r="C3071" s="1" t="s">
        <v>16</v>
      </c>
      <c r="D3071" s="1" t="s">
        <v>32</v>
      </c>
      <c r="E3071" s="1" t="s">
        <v>33</v>
      </c>
      <c r="F3071" s="1" t="s">
        <v>19</v>
      </c>
      <c r="G3071" s="1" t="s">
        <v>20</v>
      </c>
      <c r="H3071" t="s">
        <v>30</v>
      </c>
      <c r="I3071" s="1" t="s">
        <v>22</v>
      </c>
      <c r="J3071" s="2">
        <v>43534.410497685189</v>
      </c>
      <c r="K3071" s="2">
        <v>43539.410497685189</v>
      </c>
      <c r="L3071" s="2">
        <v>43541.410497685189</v>
      </c>
      <c r="M3071" s="1">
        <f>_xlfn.DAYS(Table1[[#This Row],[actual_delivery_date]],Table1[[#This Row],[dispatch_date]])</f>
        <v>5</v>
      </c>
      <c r="N3071">
        <v>82</v>
      </c>
      <c r="O3071">
        <f>Table1[[#This Row],[transit_storage_cost]] * (1-'What -if Analysis'!$D$26)</f>
        <v>82</v>
      </c>
      <c r="P3071">
        <v>90</v>
      </c>
      <c r="Q3071">
        <v>2252.7686777659542</v>
      </c>
    </row>
    <row r="3072" spans="1:17" x14ac:dyDescent="0.3">
      <c r="A3072">
        <v>490723</v>
      </c>
      <c r="B3072" s="1" t="s">
        <v>37</v>
      </c>
      <c r="C3072" s="1" t="s">
        <v>16</v>
      </c>
      <c r="D3072" s="1" t="s">
        <v>23</v>
      </c>
      <c r="E3072" s="1" t="s">
        <v>28</v>
      </c>
      <c r="F3072" s="1" t="s">
        <v>29</v>
      </c>
      <c r="G3072" s="1" t="s">
        <v>20</v>
      </c>
      <c r="H3072" t="s">
        <v>30</v>
      </c>
      <c r="I3072" s="1" t="s">
        <v>22</v>
      </c>
      <c r="J3072" s="2">
        <v>43529.413495370369</v>
      </c>
      <c r="K3072" s="2">
        <v>43539.413495370369</v>
      </c>
      <c r="L3072" s="2">
        <v>43534.413495370369</v>
      </c>
      <c r="M3072" s="1">
        <f>_xlfn.DAYS(Table1[[#This Row],[actual_delivery_date]],Table1[[#This Row],[dispatch_date]])</f>
        <v>10</v>
      </c>
      <c r="N3072">
        <v>46</v>
      </c>
      <c r="O3072">
        <f>Table1[[#This Row],[transit_storage_cost]] * (1-'What -if Analysis'!$D$26)</f>
        <v>46</v>
      </c>
      <c r="P3072">
        <v>124</v>
      </c>
      <c r="Q3072">
        <v>1023.7861741833524</v>
      </c>
    </row>
    <row r="3073" spans="1:17" x14ac:dyDescent="0.3">
      <c r="A3073">
        <v>764179</v>
      </c>
      <c r="B3073" s="1" t="s">
        <v>37</v>
      </c>
      <c r="C3073" s="1" t="s">
        <v>16</v>
      </c>
      <c r="D3073" s="1" t="s">
        <v>16</v>
      </c>
      <c r="E3073" s="1" t="s">
        <v>27</v>
      </c>
      <c r="F3073" s="1" t="s">
        <v>29</v>
      </c>
      <c r="G3073" s="1" t="s">
        <v>20</v>
      </c>
      <c r="H3073" t="s">
        <v>30</v>
      </c>
      <c r="I3073" s="1" t="s">
        <v>22</v>
      </c>
      <c r="J3073" s="2">
        <v>43538.423252314817</v>
      </c>
      <c r="K3073" s="2">
        <v>43539.423252314817</v>
      </c>
      <c r="L3073" s="2">
        <v>43544.423252314817</v>
      </c>
      <c r="M3073" s="1">
        <f>_xlfn.DAYS(Table1[[#This Row],[actual_delivery_date]],Table1[[#This Row],[dispatch_date]])</f>
        <v>1</v>
      </c>
      <c r="N3073">
        <v>0</v>
      </c>
      <c r="O3073">
        <f>Table1[[#This Row],[transit_storage_cost]] * (1-'What -if Analysis'!$D$26)</f>
        <v>0</v>
      </c>
      <c r="P3073">
        <v>130</v>
      </c>
      <c r="Q3073">
        <v>1346.7708850689564</v>
      </c>
    </row>
    <row r="3074" spans="1:17" x14ac:dyDescent="0.3">
      <c r="A3074">
        <v>754841</v>
      </c>
      <c r="B3074" s="1" t="s">
        <v>37</v>
      </c>
      <c r="C3074" s="1" t="s">
        <v>16</v>
      </c>
      <c r="D3074" s="1" t="s">
        <v>17</v>
      </c>
      <c r="E3074" s="1" t="s">
        <v>18</v>
      </c>
      <c r="F3074" s="1" t="s">
        <v>29</v>
      </c>
      <c r="G3074" s="1" t="s">
        <v>20</v>
      </c>
      <c r="H3074" t="s">
        <v>30</v>
      </c>
      <c r="I3074" s="1" t="s">
        <v>22</v>
      </c>
      <c r="J3074" s="2">
        <v>43531.425185185188</v>
      </c>
      <c r="K3074" s="2">
        <v>43539.425185185188</v>
      </c>
      <c r="L3074" s="2">
        <v>43536.425185185188</v>
      </c>
      <c r="M3074" s="1">
        <f>_xlfn.DAYS(Table1[[#This Row],[actual_delivery_date]],Table1[[#This Row],[dispatch_date]])</f>
        <v>8</v>
      </c>
      <c r="N3074">
        <v>25</v>
      </c>
      <c r="O3074">
        <f>Table1[[#This Row],[transit_storage_cost]] * (1-'What -if Analysis'!$D$26)</f>
        <v>25</v>
      </c>
      <c r="P3074">
        <v>115</v>
      </c>
      <c r="Q3074">
        <v>1450.0968690435548</v>
      </c>
    </row>
    <row r="3075" spans="1:17" x14ac:dyDescent="0.3">
      <c r="A3075">
        <v>40720</v>
      </c>
      <c r="B3075" s="1" t="s">
        <v>38</v>
      </c>
      <c r="C3075" s="1" t="s">
        <v>16</v>
      </c>
      <c r="D3075" s="1" t="s">
        <v>23</v>
      </c>
      <c r="E3075" s="1" t="s">
        <v>28</v>
      </c>
      <c r="F3075" s="1" t="s">
        <v>19</v>
      </c>
      <c r="G3075" s="1" t="s">
        <v>20</v>
      </c>
      <c r="H3075" t="s">
        <v>21</v>
      </c>
      <c r="I3075" s="1" t="s">
        <v>22</v>
      </c>
      <c r="J3075" s="2">
        <v>43537.427800925929</v>
      </c>
      <c r="K3075" s="2">
        <v>43539.427800925929</v>
      </c>
      <c r="L3075" s="2">
        <v>43543.427800925929</v>
      </c>
      <c r="M3075" s="1">
        <f>_xlfn.DAYS(Table1[[#This Row],[actual_delivery_date]],Table1[[#This Row],[dispatch_date]])</f>
        <v>2</v>
      </c>
      <c r="N3075">
        <v>33</v>
      </c>
      <c r="O3075">
        <f>Table1[[#This Row],[transit_storage_cost]] * (1-'What -if Analysis'!$D$26)</f>
        <v>33</v>
      </c>
      <c r="P3075">
        <v>126</v>
      </c>
      <c r="Q3075">
        <v>287</v>
      </c>
    </row>
    <row r="3076" spans="1:17" x14ac:dyDescent="0.3">
      <c r="A3076">
        <v>227850</v>
      </c>
      <c r="B3076" s="1" t="s">
        <v>38</v>
      </c>
      <c r="C3076" s="1" t="s">
        <v>23</v>
      </c>
      <c r="D3076" s="1" t="s">
        <v>16</v>
      </c>
      <c r="E3076" s="1" t="s">
        <v>27</v>
      </c>
      <c r="F3076" s="1" t="s">
        <v>31</v>
      </c>
      <c r="G3076" s="1" t="s">
        <v>20</v>
      </c>
      <c r="H3076" t="s">
        <v>21</v>
      </c>
      <c r="I3076" s="1" t="s">
        <v>26</v>
      </c>
      <c r="J3076" s="2">
        <v>43530.429409722223</v>
      </c>
      <c r="K3076" s="2">
        <v>43539.429409722223</v>
      </c>
      <c r="L3076" s="2">
        <v>43536.429409722223</v>
      </c>
      <c r="M3076" s="1">
        <f>_xlfn.DAYS(Table1[[#This Row],[actual_delivery_date]],Table1[[#This Row],[dispatch_date]])</f>
        <v>9</v>
      </c>
      <c r="N3076">
        <v>34</v>
      </c>
      <c r="O3076">
        <f>Table1[[#This Row],[transit_storage_cost]] * (1-'What -if Analysis'!$D$26)</f>
        <v>34</v>
      </c>
      <c r="P3076">
        <v>124</v>
      </c>
      <c r="Q3076">
        <v>3448.0458503400741</v>
      </c>
    </row>
    <row r="3077" spans="1:17" x14ac:dyDescent="0.3">
      <c r="A3077">
        <v>657877</v>
      </c>
      <c r="B3077" s="1" t="s">
        <v>41</v>
      </c>
      <c r="C3077" s="1" t="s">
        <v>23</v>
      </c>
      <c r="D3077" s="1" t="s">
        <v>17</v>
      </c>
      <c r="E3077" s="1" t="s">
        <v>18</v>
      </c>
      <c r="F3077" s="1" t="s">
        <v>29</v>
      </c>
      <c r="G3077" s="1" t="s">
        <v>20</v>
      </c>
      <c r="H3077" t="s">
        <v>30</v>
      </c>
      <c r="I3077" s="1" t="s">
        <v>22</v>
      </c>
      <c r="J3077" s="2">
        <v>43534.432326388887</v>
      </c>
      <c r="K3077" s="2">
        <v>43539.432326388887</v>
      </c>
      <c r="L3077" s="2">
        <v>43537.432326388887</v>
      </c>
      <c r="M3077" s="1">
        <f>_xlfn.DAYS(Table1[[#This Row],[actual_delivery_date]],Table1[[#This Row],[dispatch_date]])</f>
        <v>5</v>
      </c>
      <c r="N3077">
        <v>31</v>
      </c>
      <c r="O3077">
        <f>Table1[[#This Row],[transit_storage_cost]] * (1-'What -if Analysis'!$D$26)</f>
        <v>31</v>
      </c>
      <c r="P3077">
        <v>107</v>
      </c>
      <c r="Q3077">
        <v>2012.7973612984936</v>
      </c>
    </row>
    <row r="3078" spans="1:17" x14ac:dyDescent="0.3">
      <c r="A3078">
        <v>322177</v>
      </c>
      <c r="B3078" s="1" t="s">
        <v>15</v>
      </c>
      <c r="C3078" s="1" t="s">
        <v>23</v>
      </c>
      <c r="D3078" s="1" t="s">
        <v>17</v>
      </c>
      <c r="E3078" s="1" t="s">
        <v>18</v>
      </c>
      <c r="F3078" s="1" t="s">
        <v>19</v>
      </c>
      <c r="G3078" s="1" t="s">
        <v>20</v>
      </c>
      <c r="H3078" t="s">
        <v>30</v>
      </c>
      <c r="I3078" s="1" t="s">
        <v>22</v>
      </c>
      <c r="J3078" s="2">
        <v>43534.442974537036</v>
      </c>
      <c r="K3078" s="2">
        <v>43539.442974537036</v>
      </c>
      <c r="L3078" s="2">
        <v>43540.442974537036</v>
      </c>
      <c r="M3078" s="1">
        <f>_xlfn.DAYS(Table1[[#This Row],[actual_delivery_date]],Table1[[#This Row],[dispatch_date]])</f>
        <v>5</v>
      </c>
      <c r="N3078">
        <v>66</v>
      </c>
      <c r="O3078">
        <f>Table1[[#This Row],[transit_storage_cost]] * (1-'What -if Analysis'!$D$26)</f>
        <v>66</v>
      </c>
      <c r="P3078">
        <v>91</v>
      </c>
      <c r="Q3078">
        <v>2389.812965445401</v>
      </c>
    </row>
    <row r="3079" spans="1:17" x14ac:dyDescent="0.3">
      <c r="A3079">
        <v>532967</v>
      </c>
      <c r="B3079" s="1" t="s">
        <v>38</v>
      </c>
      <c r="C3079" s="1" t="s">
        <v>16</v>
      </c>
      <c r="D3079" s="1" t="s">
        <v>17</v>
      </c>
      <c r="E3079" s="1" t="s">
        <v>18</v>
      </c>
      <c r="F3079" s="1" t="s">
        <v>29</v>
      </c>
      <c r="G3079" s="1" t="s">
        <v>20</v>
      </c>
      <c r="H3079" t="s">
        <v>30</v>
      </c>
      <c r="I3079" s="1" t="s">
        <v>22</v>
      </c>
      <c r="J3079" s="2">
        <v>43534.452048611114</v>
      </c>
      <c r="K3079" s="2">
        <v>43539.452048611114</v>
      </c>
      <c r="L3079" s="2">
        <v>43537.452048611114</v>
      </c>
      <c r="M3079" s="1">
        <f>_xlfn.DAYS(Table1[[#This Row],[actual_delivery_date]],Table1[[#This Row],[dispatch_date]])</f>
        <v>5</v>
      </c>
      <c r="N3079">
        <v>26</v>
      </c>
      <c r="O3079">
        <f>Table1[[#This Row],[transit_storage_cost]] * (1-'What -if Analysis'!$D$26)</f>
        <v>26</v>
      </c>
      <c r="P3079">
        <v>110</v>
      </c>
      <c r="Q3079">
        <v>3479.534887626347</v>
      </c>
    </row>
    <row r="3080" spans="1:17" x14ac:dyDescent="0.3">
      <c r="A3080">
        <v>832401</v>
      </c>
      <c r="B3080" s="1" t="s">
        <v>39</v>
      </c>
      <c r="C3080" s="1" t="s">
        <v>16</v>
      </c>
      <c r="D3080" s="1" t="s">
        <v>16</v>
      </c>
      <c r="E3080" s="1" t="s">
        <v>27</v>
      </c>
      <c r="F3080" s="1" t="s">
        <v>29</v>
      </c>
      <c r="G3080" s="1" t="s">
        <v>20</v>
      </c>
      <c r="H3080" t="s">
        <v>30</v>
      </c>
      <c r="I3080" s="1" t="s">
        <v>26</v>
      </c>
      <c r="J3080" s="2">
        <v>43537.462638888886</v>
      </c>
      <c r="K3080" s="2">
        <v>43539.462638888886</v>
      </c>
      <c r="L3080" s="2">
        <v>43541.462638888886</v>
      </c>
      <c r="M3080" s="1">
        <f>_xlfn.DAYS(Table1[[#This Row],[actual_delivery_date]],Table1[[#This Row],[dispatch_date]])</f>
        <v>2</v>
      </c>
      <c r="N3080">
        <v>0</v>
      </c>
      <c r="O3080">
        <f>Table1[[#This Row],[transit_storage_cost]] * (1-'What -if Analysis'!$D$26)</f>
        <v>0</v>
      </c>
      <c r="P3080">
        <v>123</v>
      </c>
      <c r="Q3080">
        <v>1689</v>
      </c>
    </row>
    <row r="3081" spans="1:17" x14ac:dyDescent="0.3">
      <c r="A3081">
        <v>344820</v>
      </c>
      <c r="B3081" s="1" t="s">
        <v>15</v>
      </c>
      <c r="C3081" s="1" t="s">
        <v>16</v>
      </c>
      <c r="D3081" s="1" t="s">
        <v>24</v>
      </c>
      <c r="E3081" s="1" t="s">
        <v>25</v>
      </c>
      <c r="F3081" s="1" t="s">
        <v>19</v>
      </c>
      <c r="G3081" s="1" t="s">
        <v>20</v>
      </c>
      <c r="H3081" t="s">
        <v>21</v>
      </c>
      <c r="I3081" s="1" t="s">
        <v>26</v>
      </c>
      <c r="J3081" s="2">
        <v>43532.464131944442</v>
      </c>
      <c r="K3081" s="2">
        <v>43539.464131944442</v>
      </c>
      <c r="L3081" s="2">
        <v>43538.464131944442</v>
      </c>
      <c r="M3081" s="1">
        <f>_xlfn.DAYS(Table1[[#This Row],[actual_delivery_date]],Table1[[#This Row],[dispatch_date]])</f>
        <v>7</v>
      </c>
      <c r="N3081">
        <v>64</v>
      </c>
      <c r="O3081">
        <f>Table1[[#This Row],[transit_storage_cost]] * (1-'What -if Analysis'!$D$26)</f>
        <v>64</v>
      </c>
      <c r="P3081">
        <v>104</v>
      </c>
      <c r="Q3081">
        <v>2978.0258285234077</v>
      </c>
    </row>
    <row r="3082" spans="1:17" x14ac:dyDescent="0.3">
      <c r="A3082">
        <v>658505</v>
      </c>
      <c r="B3082" s="1" t="s">
        <v>15</v>
      </c>
      <c r="C3082" s="1" t="s">
        <v>16</v>
      </c>
      <c r="D3082" s="1" t="s">
        <v>23</v>
      </c>
      <c r="E3082" s="1" t="s">
        <v>28</v>
      </c>
      <c r="F3082" s="1" t="s">
        <v>29</v>
      </c>
      <c r="G3082" s="1" t="s">
        <v>20</v>
      </c>
      <c r="H3082" t="s">
        <v>30</v>
      </c>
      <c r="I3082" s="1" t="s">
        <v>22</v>
      </c>
      <c r="J3082" s="2">
        <v>43530.471585648149</v>
      </c>
      <c r="K3082" s="2">
        <v>43539.471585648149</v>
      </c>
      <c r="L3082" s="2">
        <v>43536.471585648149</v>
      </c>
      <c r="M3082" s="1">
        <f>_xlfn.DAYS(Table1[[#This Row],[actual_delivery_date]],Table1[[#This Row],[dispatch_date]])</f>
        <v>9</v>
      </c>
      <c r="N3082">
        <v>26</v>
      </c>
      <c r="O3082">
        <f>Table1[[#This Row],[transit_storage_cost]] * (1-'What -if Analysis'!$D$26)</f>
        <v>26</v>
      </c>
      <c r="P3082">
        <v>128</v>
      </c>
      <c r="Q3082">
        <v>2918.591914098874</v>
      </c>
    </row>
    <row r="3083" spans="1:17" x14ac:dyDescent="0.3">
      <c r="A3083">
        <v>897580</v>
      </c>
      <c r="B3083" s="1" t="s">
        <v>38</v>
      </c>
      <c r="C3083" s="1" t="s">
        <v>23</v>
      </c>
      <c r="D3083" s="1" t="s">
        <v>17</v>
      </c>
      <c r="E3083" s="1" t="s">
        <v>18</v>
      </c>
      <c r="F3083" s="1" t="s">
        <v>19</v>
      </c>
      <c r="G3083" s="1" t="s">
        <v>20</v>
      </c>
      <c r="H3083" t="s">
        <v>21</v>
      </c>
      <c r="I3083" s="1" t="s">
        <v>22</v>
      </c>
      <c r="J3083" s="2">
        <v>43537.478159722225</v>
      </c>
      <c r="K3083" s="2">
        <v>43539.478159722225</v>
      </c>
      <c r="L3083" s="2">
        <v>43543.478159722225</v>
      </c>
      <c r="M3083" s="1">
        <f>_xlfn.DAYS(Table1[[#This Row],[actual_delivery_date]],Table1[[#This Row],[dispatch_date]])</f>
        <v>2</v>
      </c>
      <c r="N3083">
        <v>80</v>
      </c>
      <c r="O3083">
        <f>Table1[[#This Row],[transit_storage_cost]] * (1-'What -if Analysis'!$D$26)</f>
        <v>80</v>
      </c>
      <c r="P3083">
        <v>92</v>
      </c>
      <c r="Q3083">
        <v>3557.343512776009</v>
      </c>
    </row>
    <row r="3084" spans="1:17" x14ac:dyDescent="0.3">
      <c r="A3084">
        <v>940910</v>
      </c>
      <c r="B3084" s="1" t="s">
        <v>38</v>
      </c>
      <c r="C3084" s="1" t="s">
        <v>16</v>
      </c>
      <c r="D3084" s="1" t="s">
        <v>23</v>
      </c>
      <c r="E3084" s="1" t="s">
        <v>28</v>
      </c>
      <c r="F3084" s="1" t="s">
        <v>31</v>
      </c>
      <c r="G3084" s="1" t="s">
        <v>20</v>
      </c>
      <c r="H3084" t="s">
        <v>21</v>
      </c>
      <c r="I3084" s="1" t="s">
        <v>22</v>
      </c>
      <c r="J3084" s="2">
        <v>43533.478229166663</v>
      </c>
      <c r="K3084" s="2">
        <v>43539.478229166663</v>
      </c>
      <c r="L3084" s="2">
        <v>43540.478229166663</v>
      </c>
      <c r="M3084" s="1">
        <f>_xlfn.DAYS(Table1[[#This Row],[actual_delivery_date]],Table1[[#This Row],[dispatch_date]])</f>
        <v>6</v>
      </c>
      <c r="N3084">
        <v>27</v>
      </c>
      <c r="O3084">
        <f>Table1[[#This Row],[transit_storage_cost]] * (1-'What -if Analysis'!$D$26)</f>
        <v>27</v>
      </c>
      <c r="P3084">
        <v>121</v>
      </c>
      <c r="Q3084">
        <v>1780.4306008949577</v>
      </c>
    </row>
    <row r="3085" spans="1:17" x14ac:dyDescent="0.3">
      <c r="A3085">
        <v>600999</v>
      </c>
      <c r="B3085" s="1" t="s">
        <v>15</v>
      </c>
      <c r="C3085" s="1" t="s">
        <v>16</v>
      </c>
      <c r="D3085" s="1" t="s">
        <v>23</v>
      </c>
      <c r="E3085" s="1" t="s">
        <v>28</v>
      </c>
      <c r="F3085" s="1" t="s">
        <v>19</v>
      </c>
      <c r="G3085" s="1" t="s">
        <v>20</v>
      </c>
      <c r="H3085" t="s">
        <v>34</v>
      </c>
      <c r="I3085" s="1" t="s">
        <v>26</v>
      </c>
      <c r="J3085" s="2">
        <v>43537.481770833336</v>
      </c>
      <c r="K3085" s="2">
        <v>43539.481770833336</v>
      </c>
      <c r="L3085" s="2">
        <v>43541.481770833336</v>
      </c>
      <c r="M3085" s="1">
        <f>_xlfn.DAYS(Table1[[#This Row],[actual_delivery_date]],Table1[[#This Row],[dispatch_date]])</f>
        <v>2</v>
      </c>
      <c r="N3085">
        <v>69</v>
      </c>
      <c r="O3085">
        <f>Table1[[#This Row],[transit_storage_cost]] * (1-'What -if Analysis'!$D$26)</f>
        <v>69</v>
      </c>
      <c r="P3085">
        <v>106</v>
      </c>
      <c r="Q3085">
        <v>1713.0969426905772</v>
      </c>
    </row>
    <row r="3086" spans="1:17" x14ac:dyDescent="0.3">
      <c r="A3086">
        <v>33972</v>
      </c>
      <c r="B3086" s="1" t="s">
        <v>15</v>
      </c>
      <c r="C3086" s="1" t="s">
        <v>16</v>
      </c>
      <c r="D3086" s="1" t="s">
        <v>16</v>
      </c>
      <c r="E3086" s="1" t="s">
        <v>27</v>
      </c>
      <c r="F3086" s="1" t="s">
        <v>19</v>
      </c>
      <c r="G3086" s="1" t="s">
        <v>20</v>
      </c>
      <c r="H3086" t="s">
        <v>21</v>
      </c>
      <c r="I3086" s="1" t="s">
        <v>26</v>
      </c>
      <c r="J3086" s="2">
        <v>43535.482233796298</v>
      </c>
      <c r="K3086" s="2">
        <v>43539.482233796298</v>
      </c>
      <c r="L3086" s="2">
        <v>43539.482233796298</v>
      </c>
      <c r="M3086" s="1">
        <f>_xlfn.DAYS(Table1[[#This Row],[actual_delivery_date]],Table1[[#This Row],[dispatch_date]])</f>
        <v>4</v>
      </c>
      <c r="N3086">
        <v>0</v>
      </c>
      <c r="O3086">
        <f>Table1[[#This Row],[transit_storage_cost]] * (1-'What -if Analysis'!$D$26)</f>
        <v>0</v>
      </c>
      <c r="P3086">
        <v>129</v>
      </c>
      <c r="Q3086">
        <v>1605.2265241518626</v>
      </c>
    </row>
    <row r="3087" spans="1:17" x14ac:dyDescent="0.3">
      <c r="A3087">
        <v>664167</v>
      </c>
      <c r="B3087" s="1" t="s">
        <v>38</v>
      </c>
      <c r="C3087" s="1" t="s">
        <v>23</v>
      </c>
      <c r="D3087" s="1" t="s">
        <v>23</v>
      </c>
      <c r="E3087" s="1" t="s">
        <v>28</v>
      </c>
      <c r="F3087" s="1" t="s">
        <v>29</v>
      </c>
      <c r="G3087" s="1" t="s">
        <v>20</v>
      </c>
      <c r="H3087" t="s">
        <v>34</v>
      </c>
      <c r="I3087" s="1" t="s">
        <v>26</v>
      </c>
      <c r="J3087" s="2">
        <v>43534.485277777778</v>
      </c>
      <c r="K3087" s="2">
        <v>43539.485277777778</v>
      </c>
      <c r="L3087" s="2">
        <v>43541.485277777778</v>
      </c>
      <c r="M3087" s="1">
        <f>_xlfn.DAYS(Table1[[#This Row],[actual_delivery_date]],Table1[[#This Row],[dispatch_date]])</f>
        <v>5</v>
      </c>
      <c r="N3087">
        <v>0</v>
      </c>
      <c r="O3087">
        <f>Table1[[#This Row],[transit_storage_cost]] * (1-'What -if Analysis'!$D$26)</f>
        <v>0</v>
      </c>
      <c r="P3087">
        <v>120</v>
      </c>
      <c r="Q3087">
        <v>2369.0092892452121</v>
      </c>
    </row>
    <row r="3088" spans="1:17" x14ac:dyDescent="0.3">
      <c r="A3088">
        <v>768095</v>
      </c>
      <c r="B3088" s="1" t="s">
        <v>37</v>
      </c>
      <c r="C3088" s="1" t="s">
        <v>16</v>
      </c>
      <c r="D3088" s="1" t="s">
        <v>16</v>
      </c>
      <c r="E3088" s="1" t="s">
        <v>27</v>
      </c>
      <c r="F3088" s="1" t="s">
        <v>29</v>
      </c>
      <c r="G3088" s="1" t="s">
        <v>20</v>
      </c>
      <c r="H3088" t="s">
        <v>30</v>
      </c>
      <c r="I3088" s="1" t="s">
        <v>22</v>
      </c>
      <c r="J3088" s="2">
        <v>43533.48574074074</v>
      </c>
      <c r="K3088" s="2">
        <v>43539.48574074074</v>
      </c>
      <c r="L3088" s="2">
        <v>43536.48574074074</v>
      </c>
      <c r="M3088" s="1">
        <f>_xlfn.DAYS(Table1[[#This Row],[actual_delivery_date]],Table1[[#This Row],[dispatch_date]])</f>
        <v>6</v>
      </c>
      <c r="N3088">
        <v>0</v>
      </c>
      <c r="O3088">
        <f>Table1[[#This Row],[transit_storage_cost]] * (1-'What -if Analysis'!$D$26)</f>
        <v>0</v>
      </c>
      <c r="P3088">
        <v>125</v>
      </c>
      <c r="Q3088">
        <v>2083.961930801996</v>
      </c>
    </row>
    <row r="3089" spans="1:17" x14ac:dyDescent="0.3">
      <c r="A3089">
        <v>176536</v>
      </c>
      <c r="B3089" s="1" t="s">
        <v>38</v>
      </c>
      <c r="C3089" s="1" t="s">
        <v>23</v>
      </c>
      <c r="D3089" s="1" t="s">
        <v>17</v>
      </c>
      <c r="E3089" s="1" t="s">
        <v>18</v>
      </c>
      <c r="F3089" s="1" t="s">
        <v>19</v>
      </c>
      <c r="G3089" s="1" t="s">
        <v>20</v>
      </c>
      <c r="H3089" t="s">
        <v>21</v>
      </c>
      <c r="I3089" s="1" t="s">
        <v>22</v>
      </c>
      <c r="J3089" s="2">
        <v>43537.486655092594</v>
      </c>
      <c r="K3089" s="2">
        <v>43539.486655092594</v>
      </c>
      <c r="L3089" s="2">
        <v>43543.486655092594</v>
      </c>
      <c r="M3089" s="1">
        <f>_xlfn.DAYS(Table1[[#This Row],[actual_delivery_date]],Table1[[#This Row],[dispatch_date]])</f>
        <v>2</v>
      </c>
      <c r="N3089">
        <v>37</v>
      </c>
      <c r="O3089">
        <f>Table1[[#This Row],[transit_storage_cost]] * (1-'What -if Analysis'!$D$26)</f>
        <v>37</v>
      </c>
      <c r="P3089">
        <v>107</v>
      </c>
      <c r="Q3089">
        <v>3509.987209697309</v>
      </c>
    </row>
    <row r="3090" spans="1:17" x14ac:dyDescent="0.3">
      <c r="A3090">
        <v>133213</v>
      </c>
      <c r="B3090" s="1" t="s">
        <v>38</v>
      </c>
      <c r="C3090" s="1" t="s">
        <v>23</v>
      </c>
      <c r="D3090" s="1" t="s">
        <v>17</v>
      </c>
      <c r="E3090" s="1" t="s">
        <v>18</v>
      </c>
      <c r="F3090" s="1" t="s">
        <v>29</v>
      </c>
      <c r="G3090" s="1" t="s">
        <v>20</v>
      </c>
      <c r="H3090" t="s">
        <v>30</v>
      </c>
      <c r="I3090" s="1" t="s">
        <v>22</v>
      </c>
      <c r="J3090" s="2">
        <v>43534.49114583333</v>
      </c>
      <c r="K3090" s="2">
        <v>43539.49114583333</v>
      </c>
      <c r="L3090" s="2">
        <v>43537.49114583333</v>
      </c>
      <c r="M3090" s="1">
        <f>_xlfn.DAYS(Table1[[#This Row],[actual_delivery_date]],Table1[[#This Row],[dispatch_date]])</f>
        <v>5</v>
      </c>
      <c r="N3090">
        <v>29</v>
      </c>
      <c r="O3090">
        <f>Table1[[#This Row],[transit_storage_cost]] * (1-'What -if Analysis'!$D$26)</f>
        <v>29</v>
      </c>
      <c r="P3090">
        <v>107</v>
      </c>
      <c r="Q3090">
        <v>2999.5522500128618</v>
      </c>
    </row>
    <row r="3091" spans="1:17" x14ac:dyDescent="0.3">
      <c r="A3091">
        <v>78259</v>
      </c>
      <c r="B3091" s="1" t="s">
        <v>37</v>
      </c>
      <c r="C3091" s="1" t="s">
        <v>23</v>
      </c>
      <c r="D3091" s="1" t="s">
        <v>24</v>
      </c>
      <c r="E3091" s="1" t="s">
        <v>25</v>
      </c>
      <c r="F3091" s="1" t="s">
        <v>29</v>
      </c>
      <c r="G3091" s="1" t="s">
        <v>20</v>
      </c>
      <c r="H3091" t="s">
        <v>30</v>
      </c>
      <c r="I3091" s="1" t="s">
        <v>22</v>
      </c>
      <c r="J3091" s="2">
        <v>43536.493657407409</v>
      </c>
      <c r="K3091" s="2">
        <v>43539.493657407409</v>
      </c>
      <c r="L3091" s="2">
        <v>43543.493657407409</v>
      </c>
      <c r="M3091" s="1">
        <f>_xlfn.DAYS(Table1[[#This Row],[actual_delivery_date]],Table1[[#This Row],[dispatch_date]])</f>
        <v>3</v>
      </c>
      <c r="N3091">
        <v>35</v>
      </c>
      <c r="O3091">
        <f>Table1[[#This Row],[transit_storage_cost]] * (1-'What -if Analysis'!$D$26)</f>
        <v>35</v>
      </c>
      <c r="P3091">
        <v>129</v>
      </c>
      <c r="Q3091">
        <v>1327.80611086969</v>
      </c>
    </row>
    <row r="3092" spans="1:17" x14ac:dyDescent="0.3">
      <c r="A3092">
        <v>915579</v>
      </c>
      <c r="B3092" s="1" t="s">
        <v>40</v>
      </c>
      <c r="C3092" s="1" t="s">
        <v>16</v>
      </c>
      <c r="D3092" s="1" t="s">
        <v>17</v>
      </c>
      <c r="E3092" s="1" t="s">
        <v>18</v>
      </c>
      <c r="F3092" s="1" t="s">
        <v>29</v>
      </c>
      <c r="G3092" s="1" t="s">
        <v>20</v>
      </c>
      <c r="H3092" t="s">
        <v>34</v>
      </c>
      <c r="I3092" s="1" t="s">
        <v>26</v>
      </c>
      <c r="J3092" s="2">
        <v>43530.49423611111</v>
      </c>
      <c r="K3092" s="2">
        <v>43539.49423611111</v>
      </c>
      <c r="L3092" s="2">
        <v>43533.49423611111</v>
      </c>
      <c r="M3092" s="1">
        <f>_xlfn.DAYS(Table1[[#This Row],[actual_delivery_date]],Table1[[#This Row],[dispatch_date]])</f>
        <v>9</v>
      </c>
      <c r="N3092">
        <v>44</v>
      </c>
      <c r="O3092">
        <f>Table1[[#This Row],[transit_storage_cost]] * (1-'What -if Analysis'!$D$26)</f>
        <v>44</v>
      </c>
      <c r="P3092">
        <v>114</v>
      </c>
      <c r="Q3092">
        <v>2603</v>
      </c>
    </row>
    <row r="3093" spans="1:17" x14ac:dyDescent="0.3">
      <c r="A3093">
        <v>921142</v>
      </c>
      <c r="B3093" s="1" t="s">
        <v>40</v>
      </c>
      <c r="C3093" s="1" t="s">
        <v>23</v>
      </c>
      <c r="D3093" s="1" t="s">
        <v>16</v>
      </c>
      <c r="E3093" s="1" t="s">
        <v>27</v>
      </c>
      <c r="F3093" s="1" t="s">
        <v>31</v>
      </c>
      <c r="G3093" s="1" t="s">
        <v>20</v>
      </c>
      <c r="H3093" t="s">
        <v>21</v>
      </c>
      <c r="I3093" s="1" t="s">
        <v>22</v>
      </c>
      <c r="J3093" s="2">
        <v>43531.495729166665</v>
      </c>
      <c r="K3093" s="2">
        <v>43539.495729166665</v>
      </c>
      <c r="L3093" s="2">
        <v>43535.495729166665</v>
      </c>
      <c r="M3093" s="1">
        <f>_xlfn.DAYS(Table1[[#This Row],[actual_delivery_date]],Table1[[#This Row],[dispatch_date]])</f>
        <v>8</v>
      </c>
      <c r="N3093">
        <v>30</v>
      </c>
      <c r="O3093">
        <f>Table1[[#This Row],[transit_storage_cost]] * (1-'What -if Analysis'!$D$26)</f>
        <v>30</v>
      </c>
      <c r="P3093">
        <v>121</v>
      </c>
      <c r="Q3093">
        <v>3484</v>
      </c>
    </row>
    <row r="3094" spans="1:17" x14ac:dyDescent="0.3">
      <c r="A3094">
        <v>769943</v>
      </c>
      <c r="B3094" s="1" t="s">
        <v>41</v>
      </c>
      <c r="C3094" s="1" t="s">
        <v>23</v>
      </c>
      <c r="D3094" s="1" t="s">
        <v>24</v>
      </c>
      <c r="E3094" s="1" t="s">
        <v>25</v>
      </c>
      <c r="F3094" s="1" t="s">
        <v>29</v>
      </c>
      <c r="G3094" s="1" t="s">
        <v>20</v>
      </c>
      <c r="H3094" t="s">
        <v>30</v>
      </c>
      <c r="I3094" s="1" t="s">
        <v>22</v>
      </c>
      <c r="J3094" s="2">
        <v>43537.50037037037</v>
      </c>
      <c r="K3094" s="2">
        <v>43539.50037037037</v>
      </c>
      <c r="L3094" s="2">
        <v>43544.50037037037</v>
      </c>
      <c r="M3094" s="1">
        <f>_xlfn.DAYS(Table1[[#This Row],[actual_delivery_date]],Table1[[#This Row],[dispatch_date]])</f>
        <v>2</v>
      </c>
      <c r="N3094">
        <v>48</v>
      </c>
      <c r="O3094">
        <f>Table1[[#This Row],[transit_storage_cost]] * (1-'What -if Analysis'!$D$26)</f>
        <v>48</v>
      </c>
      <c r="P3094">
        <v>125</v>
      </c>
      <c r="Q3094">
        <v>433.01675293582537</v>
      </c>
    </row>
    <row r="3095" spans="1:17" x14ac:dyDescent="0.3">
      <c r="A3095">
        <v>601721</v>
      </c>
      <c r="B3095" s="1" t="s">
        <v>37</v>
      </c>
      <c r="C3095" s="1" t="s">
        <v>23</v>
      </c>
      <c r="D3095" s="1" t="s">
        <v>23</v>
      </c>
      <c r="E3095" s="1" t="s">
        <v>28</v>
      </c>
      <c r="F3095" s="1" t="s">
        <v>19</v>
      </c>
      <c r="G3095" s="1" t="s">
        <v>20</v>
      </c>
      <c r="H3095" t="s">
        <v>30</v>
      </c>
      <c r="I3095" s="1" t="s">
        <v>22</v>
      </c>
      <c r="J3095" s="2">
        <v>43536.501157407409</v>
      </c>
      <c r="K3095" s="2">
        <v>43539.501157407409</v>
      </c>
      <c r="L3095" s="2">
        <v>43543.501157407409</v>
      </c>
      <c r="M3095" s="1">
        <f>_xlfn.DAYS(Table1[[#This Row],[actual_delivery_date]],Table1[[#This Row],[dispatch_date]])</f>
        <v>3</v>
      </c>
      <c r="N3095">
        <v>0</v>
      </c>
      <c r="O3095">
        <f>Table1[[#This Row],[transit_storage_cost]] * (1-'What -if Analysis'!$D$26)</f>
        <v>0</v>
      </c>
      <c r="P3095">
        <v>101</v>
      </c>
      <c r="Q3095">
        <v>2052.3109560061498</v>
      </c>
    </row>
    <row r="3096" spans="1:17" x14ac:dyDescent="0.3">
      <c r="A3096">
        <v>557973</v>
      </c>
      <c r="B3096" s="1" t="s">
        <v>38</v>
      </c>
      <c r="C3096" s="1" t="s">
        <v>23</v>
      </c>
      <c r="D3096" s="1" t="s">
        <v>23</v>
      </c>
      <c r="E3096" s="1" t="s">
        <v>28</v>
      </c>
      <c r="F3096" s="1" t="s">
        <v>29</v>
      </c>
      <c r="G3096" s="1" t="s">
        <v>20</v>
      </c>
      <c r="H3096" t="s">
        <v>30</v>
      </c>
      <c r="I3096" s="1" t="s">
        <v>26</v>
      </c>
      <c r="J3096" s="2">
        <v>43533.50236111111</v>
      </c>
      <c r="K3096" s="2">
        <v>43539.50236111111</v>
      </c>
      <c r="L3096" s="2">
        <v>43538.50236111111</v>
      </c>
      <c r="M3096" s="1">
        <f>_xlfn.DAYS(Table1[[#This Row],[actual_delivery_date]],Table1[[#This Row],[dispatch_date]])</f>
        <v>6</v>
      </c>
      <c r="N3096">
        <v>0</v>
      </c>
      <c r="O3096">
        <f>Table1[[#This Row],[transit_storage_cost]] * (1-'What -if Analysis'!$D$26)</f>
        <v>0</v>
      </c>
      <c r="P3096">
        <v>130</v>
      </c>
      <c r="Q3096">
        <v>1617.1654415141013</v>
      </c>
    </row>
    <row r="3097" spans="1:17" x14ac:dyDescent="0.3">
      <c r="A3097">
        <v>639757</v>
      </c>
      <c r="B3097" s="1" t="s">
        <v>41</v>
      </c>
      <c r="C3097" s="1" t="s">
        <v>16</v>
      </c>
      <c r="D3097" s="1" t="s">
        <v>23</v>
      </c>
      <c r="E3097" s="1" t="s">
        <v>28</v>
      </c>
      <c r="F3097" s="1" t="s">
        <v>29</v>
      </c>
      <c r="G3097" s="1" t="s">
        <v>20</v>
      </c>
      <c r="H3097" t="s">
        <v>30</v>
      </c>
      <c r="I3097" s="1" t="s">
        <v>22</v>
      </c>
      <c r="J3097" s="2">
        <v>43529.503923611112</v>
      </c>
      <c r="K3097" s="2">
        <v>43539.503923611112</v>
      </c>
      <c r="L3097" s="2">
        <v>43534.503923611112</v>
      </c>
      <c r="M3097" s="1">
        <f>_xlfn.DAYS(Table1[[#This Row],[actual_delivery_date]],Table1[[#This Row],[dispatch_date]])</f>
        <v>10</v>
      </c>
      <c r="N3097">
        <v>34</v>
      </c>
      <c r="O3097">
        <f>Table1[[#This Row],[transit_storage_cost]] * (1-'What -if Analysis'!$D$26)</f>
        <v>34</v>
      </c>
      <c r="P3097">
        <v>123</v>
      </c>
      <c r="Q3097">
        <v>2034.0885928973669</v>
      </c>
    </row>
    <row r="3098" spans="1:17" x14ac:dyDescent="0.3">
      <c r="A3098">
        <v>918889</v>
      </c>
      <c r="B3098" s="1" t="s">
        <v>39</v>
      </c>
      <c r="C3098" s="1" t="s">
        <v>23</v>
      </c>
      <c r="D3098" s="1" t="s">
        <v>16</v>
      </c>
      <c r="E3098" s="1" t="s">
        <v>27</v>
      </c>
      <c r="F3098" s="1" t="s">
        <v>29</v>
      </c>
      <c r="G3098" s="1" t="s">
        <v>20</v>
      </c>
      <c r="H3098" t="s">
        <v>30</v>
      </c>
      <c r="I3098" s="1" t="s">
        <v>22</v>
      </c>
      <c r="J3098" s="2">
        <v>43533.51090277778</v>
      </c>
      <c r="K3098" s="2">
        <v>43539.51090277778</v>
      </c>
      <c r="L3098" s="2">
        <v>43536.51090277778</v>
      </c>
      <c r="M3098" s="1">
        <f>_xlfn.DAYS(Table1[[#This Row],[actual_delivery_date]],Table1[[#This Row],[dispatch_date]])</f>
        <v>6</v>
      </c>
      <c r="N3098">
        <v>29</v>
      </c>
      <c r="O3098">
        <f>Table1[[#This Row],[transit_storage_cost]] * (1-'What -if Analysis'!$D$26)</f>
        <v>29</v>
      </c>
      <c r="P3098">
        <v>126</v>
      </c>
      <c r="Q3098">
        <v>420.67739308237879</v>
      </c>
    </row>
    <row r="3099" spans="1:17" x14ac:dyDescent="0.3">
      <c r="A3099">
        <v>212105</v>
      </c>
      <c r="B3099" s="1" t="s">
        <v>37</v>
      </c>
      <c r="C3099" s="1" t="s">
        <v>23</v>
      </c>
      <c r="D3099" s="1" t="s">
        <v>16</v>
      </c>
      <c r="E3099" s="1" t="s">
        <v>27</v>
      </c>
      <c r="F3099" s="1" t="s">
        <v>29</v>
      </c>
      <c r="G3099" s="1" t="s">
        <v>20</v>
      </c>
      <c r="H3099" t="s">
        <v>30</v>
      </c>
      <c r="I3099" s="1" t="s">
        <v>22</v>
      </c>
      <c r="J3099" s="2">
        <v>43536.511435185188</v>
      </c>
      <c r="K3099" s="2">
        <v>43539.511435185188</v>
      </c>
      <c r="L3099" s="2">
        <v>43541.511435185188</v>
      </c>
      <c r="M3099" s="1">
        <f>_xlfn.DAYS(Table1[[#This Row],[actual_delivery_date]],Table1[[#This Row],[dispatch_date]])</f>
        <v>3</v>
      </c>
      <c r="N3099">
        <v>50</v>
      </c>
      <c r="O3099">
        <f>Table1[[#This Row],[transit_storage_cost]] * (1-'What -if Analysis'!$D$26)</f>
        <v>50</v>
      </c>
      <c r="P3099">
        <v>120</v>
      </c>
      <c r="Q3099">
        <v>3148.3082108376011</v>
      </c>
    </row>
    <row r="3100" spans="1:17" x14ac:dyDescent="0.3">
      <c r="A3100">
        <v>809231</v>
      </c>
      <c r="B3100" s="1" t="s">
        <v>39</v>
      </c>
      <c r="C3100" s="1" t="s">
        <v>16</v>
      </c>
      <c r="D3100" s="1" t="s">
        <v>16</v>
      </c>
      <c r="E3100" s="1" t="s">
        <v>27</v>
      </c>
      <c r="F3100" s="1" t="s">
        <v>29</v>
      </c>
      <c r="G3100" s="1" t="s">
        <v>20</v>
      </c>
      <c r="H3100" t="s">
        <v>30</v>
      </c>
      <c r="I3100" s="1" t="s">
        <v>22</v>
      </c>
      <c r="J3100" s="2">
        <v>43533.518182870372</v>
      </c>
      <c r="K3100" s="2">
        <v>43539.518182870372</v>
      </c>
      <c r="L3100" s="2">
        <v>43538.518182870372</v>
      </c>
      <c r="M3100" s="1">
        <f>_xlfn.DAYS(Table1[[#This Row],[actual_delivery_date]],Table1[[#This Row],[dispatch_date]])</f>
        <v>6</v>
      </c>
      <c r="N3100">
        <v>0</v>
      </c>
      <c r="O3100">
        <f>Table1[[#This Row],[transit_storage_cost]] * (1-'What -if Analysis'!$D$26)</f>
        <v>0</v>
      </c>
      <c r="P3100">
        <v>126</v>
      </c>
      <c r="Q3100">
        <v>2062.1501166782582</v>
      </c>
    </row>
    <row r="3101" spans="1:17" x14ac:dyDescent="0.3">
      <c r="A3101">
        <v>458600</v>
      </c>
      <c r="B3101" s="1" t="s">
        <v>37</v>
      </c>
      <c r="C3101" s="1" t="s">
        <v>16</v>
      </c>
      <c r="D3101" s="1" t="s">
        <v>16</v>
      </c>
      <c r="E3101" s="1" t="s">
        <v>27</v>
      </c>
      <c r="F3101" s="1" t="s">
        <v>19</v>
      </c>
      <c r="G3101" s="1" t="s">
        <v>20</v>
      </c>
      <c r="H3101" t="s">
        <v>21</v>
      </c>
      <c r="I3101" s="1" t="s">
        <v>22</v>
      </c>
      <c r="J3101" s="2">
        <v>43538.519016203703</v>
      </c>
      <c r="K3101" s="2">
        <v>43539.519016203703</v>
      </c>
      <c r="L3101" s="2">
        <v>43542.519016203703</v>
      </c>
      <c r="M3101" s="1">
        <f>_xlfn.DAYS(Table1[[#This Row],[actual_delivery_date]],Table1[[#This Row],[dispatch_date]])</f>
        <v>1</v>
      </c>
      <c r="N3101">
        <v>0</v>
      </c>
      <c r="O3101">
        <f>Table1[[#This Row],[transit_storage_cost]] * (1-'What -if Analysis'!$D$26)</f>
        <v>0</v>
      </c>
      <c r="P3101">
        <v>121</v>
      </c>
      <c r="Q3101">
        <v>2830.0752392883724</v>
      </c>
    </row>
    <row r="3102" spans="1:17" x14ac:dyDescent="0.3">
      <c r="A3102">
        <v>385326</v>
      </c>
      <c r="B3102" s="1" t="s">
        <v>37</v>
      </c>
      <c r="C3102" s="1" t="s">
        <v>16</v>
      </c>
      <c r="D3102" s="1" t="s">
        <v>23</v>
      </c>
      <c r="E3102" s="1" t="s">
        <v>28</v>
      </c>
      <c r="F3102" s="1" t="s">
        <v>31</v>
      </c>
      <c r="G3102" s="1" t="s">
        <v>20</v>
      </c>
      <c r="H3102" t="s">
        <v>21</v>
      </c>
      <c r="I3102" s="1" t="s">
        <v>26</v>
      </c>
      <c r="J3102" s="2">
        <v>43533.525243055556</v>
      </c>
      <c r="K3102" s="2">
        <v>43539.525243055556</v>
      </c>
      <c r="L3102" s="2">
        <v>43538.525243055556</v>
      </c>
      <c r="M3102" s="1">
        <f>_xlfn.DAYS(Table1[[#This Row],[actual_delivery_date]],Table1[[#This Row],[dispatch_date]])</f>
        <v>6</v>
      </c>
      <c r="N3102">
        <v>26</v>
      </c>
      <c r="O3102">
        <f>Table1[[#This Row],[transit_storage_cost]] * (1-'What -if Analysis'!$D$26)</f>
        <v>26</v>
      </c>
      <c r="P3102">
        <v>124</v>
      </c>
      <c r="Q3102">
        <v>2461.3379141657347</v>
      </c>
    </row>
    <row r="3103" spans="1:17" x14ac:dyDescent="0.3">
      <c r="A3103">
        <v>326985</v>
      </c>
      <c r="B3103" s="1" t="s">
        <v>15</v>
      </c>
      <c r="C3103" s="1" t="s">
        <v>16</v>
      </c>
      <c r="D3103" s="1" t="s">
        <v>23</v>
      </c>
      <c r="E3103" s="1" t="s">
        <v>28</v>
      </c>
      <c r="F3103" s="1" t="s">
        <v>29</v>
      </c>
      <c r="G3103" s="1" t="s">
        <v>20</v>
      </c>
      <c r="H3103" t="s">
        <v>30</v>
      </c>
      <c r="I3103" s="1" t="s">
        <v>26</v>
      </c>
      <c r="J3103" s="2">
        <v>43534.52685185185</v>
      </c>
      <c r="K3103" s="2">
        <v>43539.52685185185</v>
      </c>
      <c r="L3103" s="2">
        <v>43539.52685185185</v>
      </c>
      <c r="M3103" s="1">
        <f>_xlfn.DAYS(Table1[[#This Row],[actual_delivery_date]],Table1[[#This Row],[dispatch_date]])</f>
        <v>5</v>
      </c>
      <c r="N3103">
        <v>36</v>
      </c>
      <c r="O3103">
        <f>Table1[[#This Row],[transit_storage_cost]] * (1-'What -if Analysis'!$D$26)</f>
        <v>36</v>
      </c>
      <c r="P3103">
        <v>130</v>
      </c>
      <c r="Q3103">
        <v>3076.8542209129037</v>
      </c>
    </row>
    <row r="3104" spans="1:17" x14ac:dyDescent="0.3">
      <c r="A3104">
        <v>863931</v>
      </c>
      <c r="B3104" s="1" t="s">
        <v>41</v>
      </c>
      <c r="C3104" s="1" t="s">
        <v>23</v>
      </c>
      <c r="D3104" s="1" t="s">
        <v>32</v>
      </c>
      <c r="E3104" s="1" t="s">
        <v>33</v>
      </c>
      <c r="F3104" s="1" t="s">
        <v>29</v>
      </c>
      <c r="G3104" s="1" t="s">
        <v>20</v>
      </c>
      <c r="H3104" t="s">
        <v>30</v>
      </c>
      <c r="I3104" s="1" t="s">
        <v>26</v>
      </c>
      <c r="J3104" s="2">
        <v>43534.539097222223</v>
      </c>
      <c r="K3104" s="2">
        <v>43539.539097222223</v>
      </c>
      <c r="L3104" s="2">
        <v>43537.539097222223</v>
      </c>
      <c r="M3104" s="1">
        <f>_xlfn.DAYS(Table1[[#This Row],[actual_delivery_date]],Table1[[#This Row],[dispatch_date]])</f>
        <v>5</v>
      </c>
      <c r="N3104">
        <v>27</v>
      </c>
      <c r="O3104">
        <f>Table1[[#This Row],[transit_storage_cost]] * (1-'What -if Analysis'!$D$26)</f>
        <v>27</v>
      </c>
      <c r="P3104">
        <v>106</v>
      </c>
      <c r="Q3104">
        <v>2919.6152788479749</v>
      </c>
    </row>
    <row r="3105" spans="1:17" x14ac:dyDescent="0.3">
      <c r="A3105">
        <v>40237</v>
      </c>
      <c r="B3105" s="1" t="s">
        <v>38</v>
      </c>
      <c r="C3105" s="1" t="s">
        <v>16</v>
      </c>
      <c r="D3105" s="1" t="s">
        <v>32</v>
      </c>
      <c r="E3105" s="1" t="s">
        <v>33</v>
      </c>
      <c r="F3105" s="1" t="s">
        <v>29</v>
      </c>
      <c r="G3105" s="1" t="s">
        <v>20</v>
      </c>
      <c r="H3105" t="s">
        <v>30</v>
      </c>
      <c r="I3105" s="1" t="s">
        <v>22</v>
      </c>
      <c r="J3105" s="2">
        <v>43534.54488425926</v>
      </c>
      <c r="K3105" s="2">
        <v>43539.54488425926</v>
      </c>
      <c r="L3105" s="2">
        <v>43537.54488425926</v>
      </c>
      <c r="M3105" s="1">
        <f>_xlfn.DAYS(Table1[[#This Row],[actual_delivery_date]],Table1[[#This Row],[dispatch_date]])</f>
        <v>5</v>
      </c>
      <c r="N3105">
        <v>28</v>
      </c>
      <c r="O3105">
        <f>Table1[[#This Row],[transit_storage_cost]] * (1-'What -if Analysis'!$D$26)</f>
        <v>28</v>
      </c>
      <c r="P3105">
        <v>109</v>
      </c>
      <c r="Q3105">
        <v>296</v>
      </c>
    </row>
    <row r="3106" spans="1:17" x14ac:dyDescent="0.3">
      <c r="A3106">
        <v>127215</v>
      </c>
      <c r="B3106" s="1" t="s">
        <v>39</v>
      </c>
      <c r="C3106" s="1" t="s">
        <v>16</v>
      </c>
      <c r="D3106" s="1" t="s">
        <v>17</v>
      </c>
      <c r="E3106" s="1" t="s">
        <v>18</v>
      </c>
      <c r="F3106" s="1" t="s">
        <v>29</v>
      </c>
      <c r="G3106" s="1" t="s">
        <v>20</v>
      </c>
      <c r="H3106" t="s">
        <v>30</v>
      </c>
      <c r="I3106" s="1" t="s">
        <v>26</v>
      </c>
      <c r="J3106" s="2">
        <v>43534.559814814813</v>
      </c>
      <c r="K3106" s="2">
        <v>43539.559814814813</v>
      </c>
      <c r="L3106" s="2">
        <v>43540.559814814813</v>
      </c>
      <c r="M3106" s="1">
        <f>_xlfn.DAYS(Table1[[#This Row],[actual_delivery_date]],Table1[[#This Row],[dispatch_date]])</f>
        <v>5</v>
      </c>
      <c r="N3106">
        <v>40</v>
      </c>
      <c r="O3106">
        <f>Table1[[#This Row],[transit_storage_cost]] * (1-'What -if Analysis'!$D$26)</f>
        <v>40</v>
      </c>
      <c r="P3106">
        <v>108</v>
      </c>
      <c r="Q3106">
        <v>2443.3873539835208</v>
      </c>
    </row>
    <row r="3107" spans="1:17" x14ac:dyDescent="0.3">
      <c r="A3107">
        <v>610484</v>
      </c>
      <c r="B3107" s="1" t="s">
        <v>39</v>
      </c>
      <c r="C3107" s="1" t="s">
        <v>16</v>
      </c>
      <c r="D3107" s="1" t="s">
        <v>24</v>
      </c>
      <c r="E3107" s="1" t="s">
        <v>25</v>
      </c>
      <c r="F3107" s="1" t="s">
        <v>19</v>
      </c>
      <c r="G3107" s="1" t="s">
        <v>20</v>
      </c>
      <c r="H3107" t="s">
        <v>21</v>
      </c>
      <c r="I3107" s="1" t="s">
        <v>22</v>
      </c>
      <c r="J3107" s="2">
        <v>43534.559895833336</v>
      </c>
      <c r="K3107" s="2">
        <v>43539.559895833336</v>
      </c>
      <c r="L3107" s="2">
        <v>43540.559895833336</v>
      </c>
      <c r="M3107" s="1">
        <f>_xlfn.DAYS(Table1[[#This Row],[actual_delivery_date]],Table1[[#This Row],[dispatch_date]])</f>
        <v>5</v>
      </c>
      <c r="N3107">
        <v>32</v>
      </c>
      <c r="O3107">
        <f>Table1[[#This Row],[transit_storage_cost]] * (1-'What -if Analysis'!$D$26)</f>
        <v>32</v>
      </c>
      <c r="P3107">
        <v>128</v>
      </c>
      <c r="Q3107">
        <v>3136.3784073162547</v>
      </c>
    </row>
    <row r="3108" spans="1:17" x14ac:dyDescent="0.3">
      <c r="A3108">
        <v>357132</v>
      </c>
      <c r="B3108" s="1" t="s">
        <v>41</v>
      </c>
      <c r="C3108" s="1" t="s">
        <v>23</v>
      </c>
      <c r="D3108" s="1" t="s">
        <v>17</v>
      </c>
      <c r="E3108" s="1" t="s">
        <v>18</v>
      </c>
      <c r="F3108" s="1" t="s">
        <v>19</v>
      </c>
      <c r="G3108" s="1" t="s">
        <v>20</v>
      </c>
      <c r="H3108" t="s">
        <v>21</v>
      </c>
      <c r="I3108" s="1" t="s">
        <v>26</v>
      </c>
      <c r="J3108" s="2">
        <v>43535.559953703705</v>
      </c>
      <c r="K3108" s="2">
        <v>43539.559953703705</v>
      </c>
      <c r="L3108" s="2">
        <v>43542.559953703705</v>
      </c>
      <c r="M3108" s="1">
        <f>_xlfn.DAYS(Table1[[#This Row],[actual_delivery_date]],Table1[[#This Row],[dispatch_date]])</f>
        <v>4</v>
      </c>
      <c r="N3108">
        <v>26</v>
      </c>
      <c r="O3108">
        <f>Table1[[#This Row],[transit_storage_cost]] * (1-'What -if Analysis'!$D$26)</f>
        <v>26</v>
      </c>
      <c r="P3108">
        <v>107</v>
      </c>
      <c r="Q3108">
        <v>372.33581925133115</v>
      </c>
    </row>
    <row r="3109" spans="1:17" x14ac:dyDescent="0.3">
      <c r="A3109">
        <v>485970</v>
      </c>
      <c r="B3109" s="1" t="s">
        <v>39</v>
      </c>
      <c r="C3109" s="1" t="s">
        <v>23</v>
      </c>
      <c r="D3109" s="1" t="s">
        <v>17</v>
      </c>
      <c r="E3109" s="1" t="s">
        <v>18</v>
      </c>
      <c r="F3109" s="1" t="s">
        <v>31</v>
      </c>
      <c r="G3109" s="1" t="s">
        <v>20</v>
      </c>
      <c r="H3109" t="s">
        <v>21</v>
      </c>
      <c r="I3109" s="1" t="s">
        <v>26</v>
      </c>
      <c r="J3109" s="2">
        <v>43532.561631944445</v>
      </c>
      <c r="K3109" s="2">
        <v>43539.561631944445</v>
      </c>
      <c r="L3109" s="2">
        <v>43535.561631944445</v>
      </c>
      <c r="M3109" s="1">
        <f>_xlfn.DAYS(Table1[[#This Row],[actual_delivery_date]],Table1[[#This Row],[dispatch_date]])</f>
        <v>7</v>
      </c>
      <c r="N3109">
        <v>45</v>
      </c>
      <c r="O3109">
        <f>Table1[[#This Row],[transit_storage_cost]] * (1-'What -if Analysis'!$D$26)</f>
        <v>45</v>
      </c>
      <c r="P3109">
        <v>114</v>
      </c>
      <c r="Q3109">
        <v>2973.1290199569753</v>
      </c>
    </row>
    <row r="3110" spans="1:17" x14ac:dyDescent="0.3">
      <c r="A3110">
        <v>734525</v>
      </c>
      <c r="B3110" s="1" t="s">
        <v>41</v>
      </c>
      <c r="C3110" s="1" t="s">
        <v>23</v>
      </c>
      <c r="D3110" s="1" t="s">
        <v>23</v>
      </c>
      <c r="E3110" s="1" t="s">
        <v>28</v>
      </c>
      <c r="F3110" s="1" t="s">
        <v>29</v>
      </c>
      <c r="G3110" s="1" t="s">
        <v>20</v>
      </c>
      <c r="H3110" t="s">
        <v>30</v>
      </c>
      <c r="I3110" s="1" t="s">
        <v>22</v>
      </c>
      <c r="J3110" s="2">
        <v>43538.563842592594</v>
      </c>
      <c r="K3110" s="2">
        <v>43539.563842592594</v>
      </c>
      <c r="L3110" s="2">
        <v>43543.563842592594</v>
      </c>
      <c r="M3110" s="1">
        <f>_xlfn.DAYS(Table1[[#This Row],[actual_delivery_date]],Table1[[#This Row],[dispatch_date]])</f>
        <v>1</v>
      </c>
      <c r="N3110">
        <v>0</v>
      </c>
      <c r="O3110">
        <f>Table1[[#This Row],[transit_storage_cost]] * (1-'What -if Analysis'!$D$26)</f>
        <v>0</v>
      </c>
      <c r="P3110">
        <v>125</v>
      </c>
      <c r="Q3110">
        <v>2034</v>
      </c>
    </row>
    <row r="3111" spans="1:17" x14ac:dyDescent="0.3">
      <c r="A3111">
        <v>177100</v>
      </c>
      <c r="B3111" s="1" t="s">
        <v>38</v>
      </c>
      <c r="C3111" s="1" t="s">
        <v>16</v>
      </c>
      <c r="D3111" s="1" t="s">
        <v>23</v>
      </c>
      <c r="E3111" s="1" t="s">
        <v>28</v>
      </c>
      <c r="F3111" s="1" t="s">
        <v>19</v>
      </c>
      <c r="G3111" s="1" t="s">
        <v>20</v>
      </c>
      <c r="H3111" t="s">
        <v>21</v>
      </c>
      <c r="I3111" s="1" t="s">
        <v>22</v>
      </c>
      <c r="J3111" s="2">
        <v>43537.565300925926</v>
      </c>
      <c r="K3111" s="2">
        <v>43539.565300925926</v>
      </c>
      <c r="L3111" s="2">
        <v>43544.565300925926</v>
      </c>
      <c r="M3111" s="1">
        <f>_xlfn.DAYS(Table1[[#This Row],[actual_delivery_date]],Table1[[#This Row],[dispatch_date]])</f>
        <v>2</v>
      </c>
      <c r="N3111">
        <v>47</v>
      </c>
      <c r="O3111">
        <f>Table1[[#This Row],[transit_storage_cost]] * (1-'What -if Analysis'!$D$26)</f>
        <v>47</v>
      </c>
      <c r="P3111">
        <v>127</v>
      </c>
      <c r="Q3111">
        <v>410.84195894996253</v>
      </c>
    </row>
    <row r="3112" spans="1:17" x14ac:dyDescent="0.3">
      <c r="A3112">
        <v>76337</v>
      </c>
      <c r="B3112" s="1" t="s">
        <v>40</v>
      </c>
      <c r="C3112" s="1" t="s">
        <v>23</v>
      </c>
      <c r="D3112" s="1" t="s">
        <v>32</v>
      </c>
      <c r="E3112" s="1" t="s">
        <v>33</v>
      </c>
      <c r="F3112" s="1" t="s">
        <v>19</v>
      </c>
      <c r="G3112" s="1" t="s">
        <v>20</v>
      </c>
      <c r="H3112" t="s">
        <v>30</v>
      </c>
      <c r="I3112" s="1" t="s">
        <v>22</v>
      </c>
      <c r="J3112" s="2">
        <v>43532.566018518519</v>
      </c>
      <c r="K3112" s="2">
        <v>43539.566018518519</v>
      </c>
      <c r="L3112" s="2">
        <v>43539.566018518519</v>
      </c>
      <c r="M3112" s="1">
        <f>_xlfn.DAYS(Table1[[#This Row],[actual_delivery_date]],Table1[[#This Row],[dispatch_date]])</f>
        <v>7</v>
      </c>
      <c r="N3112">
        <v>64</v>
      </c>
      <c r="O3112">
        <f>Table1[[#This Row],[transit_storage_cost]] * (1-'What -if Analysis'!$D$26)</f>
        <v>64</v>
      </c>
      <c r="P3112">
        <v>91</v>
      </c>
      <c r="Q3112">
        <v>1783.9592661643576</v>
      </c>
    </row>
    <row r="3113" spans="1:17" x14ac:dyDescent="0.3">
      <c r="A3113">
        <v>759880</v>
      </c>
      <c r="B3113" s="1" t="s">
        <v>38</v>
      </c>
      <c r="C3113" s="1" t="s">
        <v>23</v>
      </c>
      <c r="D3113" s="1" t="s">
        <v>17</v>
      </c>
      <c r="E3113" s="1" t="s">
        <v>18</v>
      </c>
      <c r="F3113" s="1" t="s">
        <v>19</v>
      </c>
      <c r="G3113" s="1" t="s">
        <v>20</v>
      </c>
      <c r="H3113" t="s">
        <v>21</v>
      </c>
      <c r="I3113" s="1" t="s">
        <v>22</v>
      </c>
      <c r="J3113" s="2">
        <v>43537.567476851851</v>
      </c>
      <c r="K3113" s="2">
        <v>43539.567476851851</v>
      </c>
      <c r="L3113" s="2">
        <v>43544.567476851851</v>
      </c>
      <c r="M3113" s="1">
        <f>_xlfn.DAYS(Table1[[#This Row],[actual_delivery_date]],Table1[[#This Row],[dispatch_date]])</f>
        <v>2</v>
      </c>
      <c r="N3113">
        <v>83</v>
      </c>
      <c r="O3113">
        <f>Table1[[#This Row],[transit_storage_cost]] * (1-'What -if Analysis'!$D$26)</f>
        <v>83</v>
      </c>
      <c r="P3113">
        <v>89</v>
      </c>
      <c r="Q3113">
        <v>365.33515771620398</v>
      </c>
    </row>
    <row r="3114" spans="1:17" x14ac:dyDescent="0.3">
      <c r="A3114">
        <v>57980</v>
      </c>
      <c r="B3114" s="1" t="s">
        <v>38</v>
      </c>
      <c r="C3114" s="1" t="s">
        <v>16</v>
      </c>
      <c r="D3114" s="1" t="s">
        <v>32</v>
      </c>
      <c r="E3114" s="1" t="s">
        <v>33</v>
      </c>
      <c r="F3114" s="1" t="s">
        <v>19</v>
      </c>
      <c r="G3114" s="1" t="s">
        <v>20</v>
      </c>
      <c r="H3114" t="s">
        <v>21</v>
      </c>
      <c r="I3114" s="1" t="s">
        <v>22</v>
      </c>
      <c r="J3114" s="2">
        <v>43532.567881944444</v>
      </c>
      <c r="K3114" s="2">
        <v>43539.567881944444</v>
      </c>
      <c r="L3114" s="2">
        <v>43536.567881944444</v>
      </c>
      <c r="M3114" s="1">
        <f>_xlfn.DAYS(Table1[[#This Row],[actual_delivery_date]],Table1[[#This Row],[dispatch_date]])</f>
        <v>7</v>
      </c>
      <c r="N3114">
        <v>42</v>
      </c>
      <c r="O3114">
        <f>Table1[[#This Row],[transit_storage_cost]] * (1-'What -if Analysis'!$D$26)</f>
        <v>42</v>
      </c>
      <c r="P3114">
        <v>113</v>
      </c>
      <c r="Q3114">
        <v>3113</v>
      </c>
    </row>
    <row r="3115" spans="1:17" x14ac:dyDescent="0.3">
      <c r="A3115">
        <v>303602</v>
      </c>
      <c r="B3115" s="1" t="s">
        <v>41</v>
      </c>
      <c r="C3115" s="1" t="s">
        <v>16</v>
      </c>
      <c r="D3115" s="1" t="s">
        <v>16</v>
      </c>
      <c r="E3115" s="1" t="s">
        <v>27</v>
      </c>
      <c r="F3115" s="1" t="s">
        <v>31</v>
      </c>
      <c r="G3115" s="1" t="s">
        <v>20</v>
      </c>
      <c r="H3115" t="s">
        <v>21</v>
      </c>
      <c r="I3115" s="1" t="s">
        <v>22</v>
      </c>
      <c r="J3115" s="2">
        <v>43534.569421296299</v>
      </c>
      <c r="K3115" s="2">
        <v>43539.569421296299</v>
      </c>
      <c r="L3115" s="2">
        <v>43541.569421296299</v>
      </c>
      <c r="M3115" s="1">
        <f>_xlfn.DAYS(Table1[[#This Row],[actual_delivery_date]],Table1[[#This Row],[dispatch_date]])</f>
        <v>5</v>
      </c>
      <c r="N3115">
        <v>0</v>
      </c>
      <c r="O3115">
        <f>Table1[[#This Row],[transit_storage_cost]] * (1-'What -if Analysis'!$D$26)</f>
        <v>0</v>
      </c>
      <c r="P3115">
        <v>127</v>
      </c>
      <c r="Q3115">
        <v>3127.7407896425857</v>
      </c>
    </row>
    <row r="3116" spans="1:17" x14ac:dyDescent="0.3">
      <c r="A3116">
        <v>760782</v>
      </c>
      <c r="B3116" s="1" t="s">
        <v>40</v>
      </c>
      <c r="C3116" s="1" t="s">
        <v>16</v>
      </c>
      <c r="D3116" s="1" t="s">
        <v>16</v>
      </c>
      <c r="E3116" s="1" t="s">
        <v>27</v>
      </c>
      <c r="F3116" s="1" t="s">
        <v>31</v>
      </c>
      <c r="G3116" s="1" t="s">
        <v>20</v>
      </c>
      <c r="H3116" t="s">
        <v>21</v>
      </c>
      <c r="I3116" s="1" t="s">
        <v>26</v>
      </c>
      <c r="J3116" s="2">
        <v>43537.584537037037</v>
      </c>
      <c r="K3116" s="2">
        <v>43539.584537037037</v>
      </c>
      <c r="L3116" s="2">
        <v>43543.584537037037</v>
      </c>
      <c r="M3116" s="1">
        <f>_xlfn.DAYS(Table1[[#This Row],[actual_delivery_date]],Table1[[#This Row],[dispatch_date]])</f>
        <v>2</v>
      </c>
      <c r="N3116">
        <v>0</v>
      </c>
      <c r="O3116">
        <f>Table1[[#This Row],[transit_storage_cost]] * (1-'What -if Analysis'!$D$26)</f>
        <v>0</v>
      </c>
      <c r="P3116">
        <v>124</v>
      </c>
      <c r="Q3116">
        <v>2279.7159956378546</v>
      </c>
    </row>
    <row r="3117" spans="1:17" x14ac:dyDescent="0.3">
      <c r="A3117">
        <v>883932</v>
      </c>
      <c r="B3117" s="1" t="s">
        <v>39</v>
      </c>
      <c r="C3117" s="1" t="s">
        <v>16</v>
      </c>
      <c r="D3117" s="1" t="s">
        <v>24</v>
      </c>
      <c r="E3117" s="1" t="s">
        <v>25</v>
      </c>
      <c r="F3117" s="1" t="s">
        <v>19</v>
      </c>
      <c r="G3117" s="1" t="s">
        <v>20</v>
      </c>
      <c r="H3117" t="s">
        <v>21</v>
      </c>
      <c r="I3117" s="1" t="s">
        <v>26</v>
      </c>
      <c r="J3117" s="2">
        <v>43528.585046296299</v>
      </c>
      <c r="K3117" s="2">
        <v>43539.585046296299</v>
      </c>
      <c r="L3117" s="2">
        <v>43533.585046296299</v>
      </c>
      <c r="M3117" s="1">
        <f>_xlfn.DAYS(Table1[[#This Row],[actual_delivery_date]],Table1[[#This Row],[dispatch_date]])</f>
        <v>11</v>
      </c>
      <c r="N3117">
        <v>86</v>
      </c>
      <c r="O3117">
        <f>Table1[[#This Row],[transit_storage_cost]] * (1-'What -if Analysis'!$D$26)</f>
        <v>86</v>
      </c>
      <c r="P3117">
        <v>108</v>
      </c>
      <c r="Q3117">
        <v>546.51</v>
      </c>
    </row>
    <row r="3118" spans="1:17" x14ac:dyDescent="0.3">
      <c r="A3118">
        <v>227232</v>
      </c>
      <c r="B3118" s="1" t="s">
        <v>37</v>
      </c>
      <c r="C3118" s="1" t="s">
        <v>16</v>
      </c>
      <c r="D3118" s="1" t="s">
        <v>23</v>
      </c>
      <c r="E3118" s="1" t="s">
        <v>28</v>
      </c>
      <c r="F3118" s="1" t="s">
        <v>19</v>
      </c>
      <c r="G3118" s="1" t="s">
        <v>20</v>
      </c>
      <c r="H3118" t="s">
        <v>21</v>
      </c>
      <c r="I3118" s="1" t="s">
        <v>26</v>
      </c>
      <c r="J3118" s="2">
        <v>43534.585173611114</v>
      </c>
      <c r="K3118" s="2">
        <v>43539.585173611114</v>
      </c>
      <c r="L3118" s="2">
        <v>43540.585173611114</v>
      </c>
      <c r="M3118" s="1">
        <f>_xlfn.DAYS(Table1[[#This Row],[actual_delivery_date]],Table1[[#This Row],[dispatch_date]])</f>
        <v>5</v>
      </c>
      <c r="N3118">
        <v>49</v>
      </c>
      <c r="O3118">
        <f>Table1[[#This Row],[transit_storage_cost]] * (1-'What -if Analysis'!$D$26)</f>
        <v>49</v>
      </c>
      <c r="P3118">
        <v>125</v>
      </c>
      <c r="Q3118">
        <v>3098</v>
      </c>
    </row>
    <row r="3119" spans="1:17" x14ac:dyDescent="0.3">
      <c r="A3119">
        <v>65528</v>
      </c>
      <c r="B3119" s="1" t="s">
        <v>39</v>
      </c>
      <c r="C3119" s="1" t="s">
        <v>23</v>
      </c>
      <c r="D3119" s="1" t="s">
        <v>23</v>
      </c>
      <c r="E3119" s="1" t="s">
        <v>28</v>
      </c>
      <c r="F3119" s="1" t="s">
        <v>19</v>
      </c>
      <c r="G3119" s="1" t="s">
        <v>20</v>
      </c>
      <c r="H3119" t="s">
        <v>21</v>
      </c>
      <c r="I3119" s="1" t="s">
        <v>22</v>
      </c>
      <c r="J3119" s="2">
        <v>43537.587638888886</v>
      </c>
      <c r="K3119" s="2">
        <v>43539.587638888886</v>
      </c>
      <c r="L3119" s="2">
        <v>43543.587638888886</v>
      </c>
      <c r="M3119" s="1">
        <f>_xlfn.DAYS(Table1[[#This Row],[actual_delivery_date]],Table1[[#This Row],[dispatch_date]])</f>
        <v>2</v>
      </c>
      <c r="N3119">
        <v>0</v>
      </c>
      <c r="O3119">
        <f>Table1[[#This Row],[transit_storage_cost]] * (1-'What -if Analysis'!$D$26)</f>
        <v>0</v>
      </c>
      <c r="P3119">
        <v>129</v>
      </c>
      <c r="Q3119">
        <v>1992.1943656191152</v>
      </c>
    </row>
    <row r="3120" spans="1:17" x14ac:dyDescent="0.3">
      <c r="A3120">
        <v>577918</v>
      </c>
      <c r="B3120" s="1" t="s">
        <v>40</v>
      </c>
      <c r="C3120" s="1" t="s">
        <v>16</v>
      </c>
      <c r="D3120" s="1" t="s">
        <v>23</v>
      </c>
      <c r="E3120" s="1" t="s">
        <v>28</v>
      </c>
      <c r="F3120" s="1" t="s">
        <v>19</v>
      </c>
      <c r="G3120" s="1" t="s">
        <v>20</v>
      </c>
      <c r="H3120" t="s">
        <v>21</v>
      </c>
      <c r="I3120" s="1" t="s">
        <v>22</v>
      </c>
      <c r="J3120" s="2">
        <v>43534.588136574072</v>
      </c>
      <c r="K3120" s="2">
        <v>43539.588136574072</v>
      </c>
      <c r="L3120" s="2">
        <v>43540.588136574072</v>
      </c>
      <c r="M3120" s="1">
        <f>_xlfn.DAYS(Table1[[#This Row],[actual_delivery_date]],Table1[[#This Row],[dispatch_date]])</f>
        <v>5</v>
      </c>
      <c r="N3120">
        <v>63</v>
      </c>
      <c r="O3120">
        <f>Table1[[#This Row],[transit_storage_cost]] * (1-'What -if Analysis'!$D$26)</f>
        <v>63</v>
      </c>
      <c r="P3120">
        <v>100</v>
      </c>
      <c r="Q3120">
        <v>1663.5015477457464</v>
      </c>
    </row>
    <row r="3121" spans="1:17" x14ac:dyDescent="0.3">
      <c r="A3121">
        <v>148398</v>
      </c>
      <c r="B3121" s="1" t="s">
        <v>40</v>
      </c>
      <c r="C3121" s="1" t="s">
        <v>23</v>
      </c>
      <c r="D3121" s="1" t="s">
        <v>23</v>
      </c>
      <c r="E3121" s="1" t="s">
        <v>28</v>
      </c>
      <c r="F3121" s="1" t="s">
        <v>31</v>
      </c>
      <c r="G3121" s="1" t="s">
        <v>20</v>
      </c>
      <c r="H3121" t="s">
        <v>21</v>
      </c>
      <c r="I3121" s="1" t="s">
        <v>26</v>
      </c>
      <c r="J3121" s="2">
        <v>43533.612557870372</v>
      </c>
      <c r="K3121" s="2">
        <v>43539.612557870372</v>
      </c>
      <c r="L3121" s="2">
        <v>43537.612557870372</v>
      </c>
      <c r="M3121" s="1">
        <f>_xlfn.DAYS(Table1[[#This Row],[actual_delivery_date]],Table1[[#This Row],[dispatch_date]])</f>
        <v>6</v>
      </c>
      <c r="N3121">
        <v>0</v>
      </c>
      <c r="O3121">
        <f>Table1[[#This Row],[transit_storage_cost]] * (1-'What -if Analysis'!$D$26)</f>
        <v>0</v>
      </c>
      <c r="P3121">
        <v>128</v>
      </c>
      <c r="Q3121">
        <v>661.18069998644125</v>
      </c>
    </row>
    <row r="3122" spans="1:17" x14ac:dyDescent="0.3">
      <c r="A3122">
        <v>263091</v>
      </c>
      <c r="B3122" s="1" t="s">
        <v>39</v>
      </c>
      <c r="C3122" s="1" t="s">
        <v>16</v>
      </c>
      <c r="D3122" s="1" t="s">
        <v>23</v>
      </c>
      <c r="E3122" s="1" t="s">
        <v>28</v>
      </c>
      <c r="F3122" s="1" t="s">
        <v>29</v>
      </c>
      <c r="G3122" s="1" t="s">
        <v>20</v>
      </c>
      <c r="H3122" t="s">
        <v>30</v>
      </c>
      <c r="I3122" s="1" t="s">
        <v>26</v>
      </c>
      <c r="J3122" s="2">
        <v>43534.614641203705</v>
      </c>
      <c r="K3122" s="2">
        <v>43539.614641203705</v>
      </c>
      <c r="L3122" s="2">
        <v>43539.614641203705</v>
      </c>
      <c r="M3122" s="1">
        <f>_xlfn.DAYS(Table1[[#This Row],[actual_delivery_date]],Table1[[#This Row],[dispatch_date]])</f>
        <v>5</v>
      </c>
      <c r="N3122">
        <v>30</v>
      </c>
      <c r="O3122">
        <f>Table1[[#This Row],[transit_storage_cost]] * (1-'What -if Analysis'!$D$26)</f>
        <v>30</v>
      </c>
      <c r="P3122">
        <v>123</v>
      </c>
      <c r="Q3122">
        <v>1090.6817222918123</v>
      </c>
    </row>
    <row r="3123" spans="1:17" x14ac:dyDescent="0.3">
      <c r="A3123">
        <v>770302</v>
      </c>
      <c r="B3123" s="1" t="s">
        <v>40</v>
      </c>
      <c r="C3123" s="1" t="s">
        <v>16</v>
      </c>
      <c r="D3123" s="1" t="s">
        <v>17</v>
      </c>
      <c r="E3123" s="1" t="s">
        <v>18</v>
      </c>
      <c r="F3123" s="1" t="s">
        <v>19</v>
      </c>
      <c r="G3123" s="1" t="s">
        <v>20</v>
      </c>
      <c r="H3123" t="s">
        <v>21</v>
      </c>
      <c r="I3123" s="1" t="s">
        <v>22</v>
      </c>
      <c r="J3123" s="2">
        <v>43533.617569444446</v>
      </c>
      <c r="K3123" s="2">
        <v>43539.617569444446</v>
      </c>
      <c r="L3123" s="2">
        <v>43539.617569444446</v>
      </c>
      <c r="M3123" s="1">
        <f>_xlfn.DAYS(Table1[[#This Row],[actual_delivery_date]],Table1[[#This Row],[dispatch_date]])</f>
        <v>6</v>
      </c>
      <c r="N3123">
        <v>75</v>
      </c>
      <c r="O3123">
        <f>Table1[[#This Row],[transit_storage_cost]] * (1-'What -if Analysis'!$D$26)</f>
        <v>75</v>
      </c>
      <c r="P3123">
        <v>88</v>
      </c>
      <c r="Q3123">
        <v>853.09106324905201</v>
      </c>
    </row>
    <row r="3124" spans="1:17" x14ac:dyDescent="0.3">
      <c r="A3124">
        <v>660563</v>
      </c>
      <c r="B3124" s="1" t="s">
        <v>40</v>
      </c>
      <c r="C3124" s="1" t="s">
        <v>23</v>
      </c>
      <c r="D3124" s="1" t="s">
        <v>16</v>
      </c>
      <c r="E3124" s="1" t="s">
        <v>27</v>
      </c>
      <c r="F3124" s="1" t="s">
        <v>29</v>
      </c>
      <c r="G3124" s="1" t="s">
        <v>20</v>
      </c>
      <c r="H3124" t="s">
        <v>30</v>
      </c>
      <c r="I3124" s="1" t="s">
        <v>22</v>
      </c>
      <c r="J3124" s="2">
        <v>43535.617997685185</v>
      </c>
      <c r="K3124" s="2">
        <v>43539.617997685185</v>
      </c>
      <c r="L3124" s="2">
        <v>43539.617997685185</v>
      </c>
      <c r="M3124" s="1">
        <f>_xlfn.DAYS(Table1[[#This Row],[actual_delivery_date]],Table1[[#This Row],[dispatch_date]])</f>
        <v>4</v>
      </c>
      <c r="N3124">
        <v>41</v>
      </c>
      <c r="O3124">
        <f>Table1[[#This Row],[transit_storage_cost]] * (1-'What -if Analysis'!$D$26)</f>
        <v>41</v>
      </c>
      <c r="P3124">
        <v>129</v>
      </c>
      <c r="Q3124">
        <v>1443.289203277644</v>
      </c>
    </row>
    <row r="3125" spans="1:17" x14ac:dyDescent="0.3">
      <c r="A3125">
        <v>479771</v>
      </c>
      <c r="B3125" s="1" t="s">
        <v>41</v>
      </c>
      <c r="C3125" s="1" t="s">
        <v>23</v>
      </c>
      <c r="D3125" s="1" t="s">
        <v>23</v>
      </c>
      <c r="E3125" s="1" t="s">
        <v>28</v>
      </c>
      <c r="F3125" s="1" t="s">
        <v>29</v>
      </c>
      <c r="G3125" s="1" t="s">
        <v>20</v>
      </c>
      <c r="H3125" t="s">
        <v>30</v>
      </c>
      <c r="I3125" s="1" t="s">
        <v>22</v>
      </c>
      <c r="J3125" s="2">
        <v>43535.618842592594</v>
      </c>
      <c r="K3125" s="2">
        <v>43539.618842592594</v>
      </c>
      <c r="L3125" s="2">
        <v>43538.618842592594</v>
      </c>
      <c r="M3125" s="1">
        <f>_xlfn.DAYS(Table1[[#This Row],[actual_delivery_date]],Table1[[#This Row],[dispatch_date]])</f>
        <v>4</v>
      </c>
      <c r="N3125">
        <v>0</v>
      </c>
      <c r="O3125">
        <f>Table1[[#This Row],[transit_storage_cost]] * (1-'What -if Analysis'!$D$26)</f>
        <v>0</v>
      </c>
      <c r="P3125">
        <v>123</v>
      </c>
      <c r="Q3125">
        <v>2141.4022970367173</v>
      </c>
    </row>
    <row r="3126" spans="1:17" x14ac:dyDescent="0.3">
      <c r="A3126">
        <v>419359</v>
      </c>
      <c r="B3126" s="1" t="s">
        <v>39</v>
      </c>
      <c r="C3126" s="1" t="s">
        <v>23</v>
      </c>
      <c r="D3126" s="1" t="s">
        <v>17</v>
      </c>
      <c r="E3126" s="1" t="s">
        <v>18</v>
      </c>
      <c r="F3126" s="1" t="s">
        <v>19</v>
      </c>
      <c r="G3126" s="1" t="s">
        <v>20</v>
      </c>
      <c r="H3126" t="s">
        <v>30</v>
      </c>
      <c r="I3126" s="1" t="s">
        <v>22</v>
      </c>
      <c r="J3126" s="2">
        <v>43535.620034722226</v>
      </c>
      <c r="K3126" s="2">
        <v>43539.620034722226</v>
      </c>
      <c r="L3126" s="2">
        <v>43542.620034722226</v>
      </c>
      <c r="M3126" s="1">
        <f>_xlfn.DAYS(Table1[[#This Row],[actual_delivery_date]],Table1[[#This Row],[dispatch_date]])</f>
        <v>4</v>
      </c>
      <c r="N3126">
        <v>87</v>
      </c>
      <c r="O3126">
        <f>Table1[[#This Row],[transit_storage_cost]] * (1-'What -if Analysis'!$D$26)</f>
        <v>87</v>
      </c>
      <c r="P3126">
        <v>92</v>
      </c>
      <c r="Q3126">
        <v>1220</v>
      </c>
    </row>
    <row r="3127" spans="1:17" x14ac:dyDescent="0.3">
      <c r="A3127">
        <v>183823</v>
      </c>
      <c r="B3127" s="1" t="s">
        <v>38</v>
      </c>
      <c r="C3127" s="1" t="s">
        <v>16</v>
      </c>
      <c r="D3127" s="1" t="s">
        <v>24</v>
      </c>
      <c r="E3127" s="1" t="s">
        <v>25</v>
      </c>
      <c r="F3127" s="1" t="s">
        <v>29</v>
      </c>
      <c r="G3127" s="1" t="s">
        <v>20</v>
      </c>
      <c r="H3127" t="s">
        <v>30</v>
      </c>
      <c r="I3127" s="1" t="s">
        <v>22</v>
      </c>
      <c r="J3127" s="2">
        <v>43534.623206018521</v>
      </c>
      <c r="K3127" s="2">
        <v>43539.623206018521</v>
      </c>
      <c r="L3127" s="2">
        <v>43538.623206018521</v>
      </c>
      <c r="M3127" s="1">
        <f>_xlfn.DAYS(Table1[[#This Row],[actual_delivery_date]],Table1[[#This Row],[dispatch_date]])</f>
        <v>5</v>
      </c>
      <c r="N3127">
        <v>37</v>
      </c>
      <c r="O3127">
        <f>Table1[[#This Row],[transit_storage_cost]] * (1-'What -if Analysis'!$D$26)</f>
        <v>37</v>
      </c>
      <c r="P3127">
        <v>129</v>
      </c>
      <c r="Q3127">
        <v>2619.2489044476224</v>
      </c>
    </row>
    <row r="3128" spans="1:17" x14ac:dyDescent="0.3">
      <c r="A3128">
        <v>324474</v>
      </c>
      <c r="B3128" s="1" t="s">
        <v>37</v>
      </c>
      <c r="C3128" s="1" t="s">
        <v>16</v>
      </c>
      <c r="D3128" s="1" t="s">
        <v>23</v>
      </c>
      <c r="E3128" s="1" t="s">
        <v>28</v>
      </c>
      <c r="F3128" s="1" t="s">
        <v>31</v>
      </c>
      <c r="G3128" s="1" t="s">
        <v>20</v>
      </c>
      <c r="H3128" t="s">
        <v>21</v>
      </c>
      <c r="I3128" s="1" t="s">
        <v>26</v>
      </c>
      <c r="J3128" s="2">
        <v>43533.625150462962</v>
      </c>
      <c r="K3128" s="2">
        <v>43539.625150462962</v>
      </c>
      <c r="L3128" s="2">
        <v>43537.625150462962</v>
      </c>
      <c r="M3128" s="1">
        <f>_xlfn.DAYS(Table1[[#This Row],[actual_delivery_date]],Table1[[#This Row],[dispatch_date]])</f>
        <v>6</v>
      </c>
      <c r="N3128">
        <v>37</v>
      </c>
      <c r="O3128">
        <f>Table1[[#This Row],[transit_storage_cost]] * (1-'What -if Analysis'!$D$26)</f>
        <v>37</v>
      </c>
      <c r="P3128">
        <v>125</v>
      </c>
      <c r="Q3128">
        <v>2183</v>
      </c>
    </row>
    <row r="3129" spans="1:17" x14ac:dyDescent="0.3">
      <c r="A3129">
        <v>751064</v>
      </c>
      <c r="B3129" s="1" t="s">
        <v>41</v>
      </c>
      <c r="C3129" s="1" t="s">
        <v>23</v>
      </c>
      <c r="D3129" s="1" t="s">
        <v>32</v>
      </c>
      <c r="E3129" s="1" t="s">
        <v>33</v>
      </c>
      <c r="F3129" s="1" t="s">
        <v>19</v>
      </c>
      <c r="G3129" s="1" t="s">
        <v>20</v>
      </c>
      <c r="H3129" t="s">
        <v>21</v>
      </c>
      <c r="I3129" s="1" t="s">
        <v>22</v>
      </c>
      <c r="J3129" s="2">
        <v>43535.627013888887</v>
      </c>
      <c r="K3129" s="2">
        <v>43539.627013888887</v>
      </c>
      <c r="L3129" s="2">
        <v>43539.627013888887</v>
      </c>
      <c r="M3129" s="1">
        <f>_xlfn.DAYS(Table1[[#This Row],[actual_delivery_date]],Table1[[#This Row],[dispatch_date]])</f>
        <v>4</v>
      </c>
      <c r="N3129">
        <v>35</v>
      </c>
      <c r="O3129">
        <f>Table1[[#This Row],[transit_storage_cost]] * (1-'What -if Analysis'!$D$26)</f>
        <v>35</v>
      </c>
      <c r="P3129">
        <v>108</v>
      </c>
      <c r="Q3129">
        <v>1110</v>
      </c>
    </row>
    <row r="3130" spans="1:17" x14ac:dyDescent="0.3">
      <c r="A3130">
        <v>109360</v>
      </c>
      <c r="B3130" s="1" t="s">
        <v>38</v>
      </c>
      <c r="C3130" s="1" t="s">
        <v>16</v>
      </c>
      <c r="D3130" s="1" t="s">
        <v>17</v>
      </c>
      <c r="E3130" s="1" t="s">
        <v>18</v>
      </c>
      <c r="F3130" s="1" t="s">
        <v>19</v>
      </c>
      <c r="G3130" s="1" t="s">
        <v>20</v>
      </c>
      <c r="H3130" t="s">
        <v>21</v>
      </c>
      <c r="I3130" s="1" t="s">
        <v>22</v>
      </c>
      <c r="J3130" s="2">
        <v>43537.633159722223</v>
      </c>
      <c r="K3130" s="2">
        <v>43539.633159722223</v>
      </c>
      <c r="L3130" s="2">
        <v>43542.633159722223</v>
      </c>
      <c r="M3130" s="1">
        <f>_xlfn.DAYS(Table1[[#This Row],[actual_delivery_date]],Table1[[#This Row],[dispatch_date]])</f>
        <v>2</v>
      </c>
      <c r="N3130">
        <v>29</v>
      </c>
      <c r="O3130">
        <f>Table1[[#This Row],[transit_storage_cost]] * (1-'What -if Analysis'!$D$26)</f>
        <v>29</v>
      </c>
      <c r="P3130">
        <v>115</v>
      </c>
      <c r="Q3130">
        <v>2172.2160183494971</v>
      </c>
    </row>
    <row r="3131" spans="1:17" x14ac:dyDescent="0.3">
      <c r="A3131">
        <v>924180</v>
      </c>
      <c r="B3131" s="1" t="s">
        <v>39</v>
      </c>
      <c r="C3131" s="1" t="s">
        <v>16</v>
      </c>
      <c r="D3131" s="1" t="s">
        <v>16</v>
      </c>
      <c r="E3131" s="1" t="s">
        <v>27</v>
      </c>
      <c r="F3131" s="1" t="s">
        <v>19</v>
      </c>
      <c r="G3131" s="1" t="s">
        <v>20</v>
      </c>
      <c r="H3131" t="s">
        <v>21</v>
      </c>
      <c r="I3131" s="1" t="s">
        <v>26</v>
      </c>
      <c r="J3131" s="2">
        <v>43534.633472222224</v>
      </c>
      <c r="K3131" s="2">
        <v>43539.633472222224</v>
      </c>
      <c r="L3131" s="2">
        <v>43539.633472222224</v>
      </c>
      <c r="M3131" s="1">
        <f>_xlfn.DAYS(Table1[[#This Row],[actual_delivery_date]],Table1[[#This Row],[dispatch_date]])</f>
        <v>5</v>
      </c>
      <c r="N3131">
        <v>0</v>
      </c>
      <c r="O3131">
        <f>Table1[[#This Row],[transit_storage_cost]] * (1-'What -if Analysis'!$D$26)</f>
        <v>0</v>
      </c>
      <c r="P3131">
        <v>129</v>
      </c>
      <c r="Q3131">
        <v>2900.7928360097944</v>
      </c>
    </row>
    <row r="3132" spans="1:17" x14ac:dyDescent="0.3">
      <c r="A3132">
        <v>304223</v>
      </c>
      <c r="B3132" s="1" t="s">
        <v>37</v>
      </c>
      <c r="C3132" s="1" t="s">
        <v>23</v>
      </c>
      <c r="D3132" s="1" t="s">
        <v>32</v>
      </c>
      <c r="E3132" s="1" t="s">
        <v>33</v>
      </c>
      <c r="F3132" s="1" t="s">
        <v>19</v>
      </c>
      <c r="G3132" s="1" t="s">
        <v>20</v>
      </c>
      <c r="H3132" t="s">
        <v>30</v>
      </c>
      <c r="I3132" s="1" t="s">
        <v>22</v>
      </c>
      <c r="J3132" s="2">
        <v>43532.637870370374</v>
      </c>
      <c r="K3132" s="2">
        <v>43539.637870370374</v>
      </c>
      <c r="L3132" s="2">
        <v>43535.637870370374</v>
      </c>
      <c r="M3132" s="1">
        <f>_xlfn.DAYS(Table1[[#This Row],[actual_delivery_date]],Table1[[#This Row],[dispatch_date]])</f>
        <v>7</v>
      </c>
      <c r="N3132">
        <v>83</v>
      </c>
      <c r="O3132">
        <f>Table1[[#This Row],[transit_storage_cost]] * (1-'What -if Analysis'!$D$26)</f>
        <v>83</v>
      </c>
      <c r="P3132">
        <v>86</v>
      </c>
      <c r="Q3132">
        <v>1371.3041309861292</v>
      </c>
    </row>
    <row r="3133" spans="1:17" x14ac:dyDescent="0.3">
      <c r="A3133">
        <v>992533</v>
      </c>
      <c r="B3133" s="1" t="s">
        <v>40</v>
      </c>
      <c r="C3133" s="1" t="s">
        <v>23</v>
      </c>
      <c r="D3133" s="1" t="s">
        <v>16</v>
      </c>
      <c r="E3133" s="1" t="s">
        <v>27</v>
      </c>
      <c r="F3133" s="1" t="s">
        <v>29</v>
      </c>
      <c r="G3133" s="1" t="s">
        <v>20</v>
      </c>
      <c r="H3133" t="s">
        <v>30</v>
      </c>
      <c r="I3133" s="1" t="s">
        <v>22</v>
      </c>
      <c r="J3133" s="2">
        <v>43532.639178240737</v>
      </c>
      <c r="K3133" s="2">
        <v>43539.639178240737</v>
      </c>
      <c r="L3133" s="2">
        <v>43538.639178240737</v>
      </c>
      <c r="M3133" s="1">
        <f>_xlfn.DAYS(Table1[[#This Row],[actual_delivery_date]],Table1[[#This Row],[dispatch_date]])</f>
        <v>7</v>
      </c>
      <c r="N3133">
        <v>49</v>
      </c>
      <c r="O3133">
        <f>Table1[[#This Row],[transit_storage_cost]] * (1-'What -if Analysis'!$D$26)</f>
        <v>49</v>
      </c>
      <c r="P3133">
        <v>129</v>
      </c>
      <c r="Q3133">
        <v>295</v>
      </c>
    </row>
    <row r="3134" spans="1:17" x14ac:dyDescent="0.3">
      <c r="A3134">
        <v>124254</v>
      </c>
      <c r="B3134" s="1" t="s">
        <v>15</v>
      </c>
      <c r="C3134" s="1" t="s">
        <v>23</v>
      </c>
      <c r="D3134" s="1" t="s">
        <v>17</v>
      </c>
      <c r="E3134" s="1" t="s">
        <v>18</v>
      </c>
      <c r="F3134" s="1" t="s">
        <v>31</v>
      </c>
      <c r="G3134" s="1" t="s">
        <v>20</v>
      </c>
      <c r="H3134" t="s">
        <v>21</v>
      </c>
      <c r="I3134" s="1" t="s">
        <v>26</v>
      </c>
      <c r="J3134" s="2">
        <v>43535.639328703706</v>
      </c>
      <c r="K3134" s="2">
        <v>43539.639328703706</v>
      </c>
      <c r="L3134" s="2">
        <v>43542.639328703706</v>
      </c>
      <c r="M3134" s="1">
        <f>_xlfn.DAYS(Table1[[#This Row],[actual_delivery_date]],Table1[[#This Row],[dispatch_date]])</f>
        <v>4</v>
      </c>
      <c r="N3134">
        <v>25</v>
      </c>
      <c r="O3134">
        <f>Table1[[#This Row],[transit_storage_cost]] * (1-'What -if Analysis'!$D$26)</f>
        <v>25</v>
      </c>
      <c r="P3134">
        <v>111</v>
      </c>
      <c r="Q3134">
        <v>877.52745861803839</v>
      </c>
    </row>
    <row r="3135" spans="1:17" x14ac:dyDescent="0.3">
      <c r="A3135">
        <v>340634</v>
      </c>
      <c r="B3135" s="1" t="s">
        <v>39</v>
      </c>
      <c r="C3135" s="1" t="s">
        <v>16</v>
      </c>
      <c r="D3135" s="1" t="s">
        <v>17</v>
      </c>
      <c r="E3135" s="1" t="s">
        <v>18</v>
      </c>
      <c r="F3135" s="1" t="s">
        <v>31</v>
      </c>
      <c r="G3135" s="1" t="s">
        <v>20</v>
      </c>
      <c r="H3135" t="s">
        <v>21</v>
      </c>
      <c r="I3135" s="1" t="s">
        <v>22</v>
      </c>
      <c r="J3135" s="2">
        <v>43530.640787037039</v>
      </c>
      <c r="K3135" s="2">
        <v>43539.640787037039</v>
      </c>
      <c r="L3135" s="2">
        <v>43533.640787037039</v>
      </c>
      <c r="M3135" s="1">
        <f>_xlfn.DAYS(Table1[[#This Row],[actual_delivery_date]],Table1[[#This Row],[dispatch_date]])</f>
        <v>9</v>
      </c>
      <c r="N3135">
        <v>34</v>
      </c>
      <c r="O3135">
        <f>Table1[[#This Row],[transit_storage_cost]] * (1-'What -if Analysis'!$D$26)</f>
        <v>34</v>
      </c>
      <c r="P3135">
        <v>113</v>
      </c>
      <c r="Q3135">
        <v>549.70459573745541</v>
      </c>
    </row>
    <row r="3136" spans="1:17" x14ac:dyDescent="0.3">
      <c r="A3136">
        <v>504946</v>
      </c>
      <c r="B3136" s="1" t="s">
        <v>40</v>
      </c>
      <c r="C3136" s="1" t="s">
        <v>23</v>
      </c>
      <c r="D3136" s="1" t="s">
        <v>16</v>
      </c>
      <c r="E3136" s="1" t="s">
        <v>27</v>
      </c>
      <c r="F3136" s="1" t="s">
        <v>31</v>
      </c>
      <c r="G3136" s="1" t="s">
        <v>20</v>
      </c>
      <c r="H3136" t="s">
        <v>21</v>
      </c>
      <c r="I3136" s="1" t="s">
        <v>22</v>
      </c>
      <c r="J3136" s="2">
        <v>43536.647824074076</v>
      </c>
      <c r="K3136" s="2">
        <v>43539.647824074076</v>
      </c>
      <c r="L3136" s="2">
        <v>43543.647824074076</v>
      </c>
      <c r="M3136" s="1">
        <f>_xlfn.DAYS(Table1[[#This Row],[actual_delivery_date]],Table1[[#This Row],[dispatch_date]])</f>
        <v>3</v>
      </c>
      <c r="N3136">
        <v>36</v>
      </c>
      <c r="O3136">
        <f>Table1[[#This Row],[transit_storage_cost]] * (1-'What -if Analysis'!$D$26)</f>
        <v>36</v>
      </c>
      <c r="P3136">
        <v>128</v>
      </c>
      <c r="Q3136">
        <v>2572.0024467599928</v>
      </c>
    </row>
    <row r="3137" spans="1:17" x14ac:dyDescent="0.3">
      <c r="A3137">
        <v>146652</v>
      </c>
      <c r="B3137" s="1" t="s">
        <v>39</v>
      </c>
      <c r="C3137" s="1" t="s">
        <v>16</v>
      </c>
      <c r="D3137" s="1" t="s">
        <v>16</v>
      </c>
      <c r="E3137" s="1" t="s">
        <v>27</v>
      </c>
      <c r="F3137" s="1" t="s">
        <v>19</v>
      </c>
      <c r="G3137" s="1" t="s">
        <v>20</v>
      </c>
      <c r="H3137" t="s">
        <v>21</v>
      </c>
      <c r="I3137" s="1" t="s">
        <v>26</v>
      </c>
      <c r="J3137" s="2">
        <v>43534.654421296298</v>
      </c>
      <c r="K3137" s="2">
        <v>43539.654421296298</v>
      </c>
      <c r="L3137" s="2">
        <v>43538.654421296298</v>
      </c>
      <c r="M3137" s="1">
        <f>_xlfn.DAYS(Table1[[#This Row],[actual_delivery_date]],Table1[[#This Row],[dispatch_date]])</f>
        <v>5</v>
      </c>
      <c r="N3137">
        <v>0</v>
      </c>
      <c r="O3137">
        <f>Table1[[#This Row],[transit_storage_cost]] * (1-'What -if Analysis'!$D$26)</f>
        <v>0</v>
      </c>
      <c r="P3137">
        <v>120</v>
      </c>
      <c r="Q3137">
        <v>1325.3730862025154</v>
      </c>
    </row>
    <row r="3138" spans="1:17" x14ac:dyDescent="0.3">
      <c r="A3138">
        <v>578422</v>
      </c>
      <c r="B3138" s="1" t="s">
        <v>37</v>
      </c>
      <c r="C3138" s="1" t="s">
        <v>16</v>
      </c>
      <c r="D3138" s="1" t="s">
        <v>32</v>
      </c>
      <c r="E3138" s="1" t="s">
        <v>33</v>
      </c>
      <c r="F3138" s="1" t="s">
        <v>19</v>
      </c>
      <c r="G3138" s="1" t="s">
        <v>20</v>
      </c>
      <c r="H3138" t="s">
        <v>21</v>
      </c>
      <c r="I3138" s="1" t="s">
        <v>22</v>
      </c>
      <c r="J3138" s="2">
        <v>43531.655474537038</v>
      </c>
      <c r="K3138" s="2">
        <v>43539.655474537038</v>
      </c>
      <c r="L3138" s="2">
        <v>43534.655474537038</v>
      </c>
      <c r="M3138" s="1">
        <f>_xlfn.DAYS(Table1[[#This Row],[actual_delivery_date]],Table1[[#This Row],[dispatch_date]])</f>
        <v>8</v>
      </c>
      <c r="N3138">
        <v>77</v>
      </c>
      <c r="O3138">
        <f>Table1[[#This Row],[transit_storage_cost]] * (1-'What -if Analysis'!$D$26)</f>
        <v>77</v>
      </c>
      <c r="P3138">
        <v>95</v>
      </c>
      <c r="Q3138">
        <v>3142.6431729298256</v>
      </c>
    </row>
    <row r="3139" spans="1:17" x14ac:dyDescent="0.3">
      <c r="A3139">
        <v>69012</v>
      </c>
      <c r="B3139" s="1" t="s">
        <v>40</v>
      </c>
      <c r="C3139" s="1" t="s">
        <v>23</v>
      </c>
      <c r="D3139" s="1" t="s">
        <v>16</v>
      </c>
      <c r="E3139" s="1" t="s">
        <v>27</v>
      </c>
      <c r="F3139" s="1" t="s">
        <v>19</v>
      </c>
      <c r="G3139" s="1" t="s">
        <v>20</v>
      </c>
      <c r="H3139" t="s">
        <v>21</v>
      </c>
      <c r="I3139" s="1" t="s">
        <v>26</v>
      </c>
      <c r="J3139" s="2">
        <v>43535.66300925926</v>
      </c>
      <c r="K3139" s="2">
        <v>43539.66300925926</v>
      </c>
      <c r="L3139" s="2">
        <v>43539.66300925926</v>
      </c>
      <c r="M3139" s="1">
        <f>_xlfn.DAYS(Table1[[#This Row],[actual_delivery_date]],Table1[[#This Row],[dispatch_date]])</f>
        <v>4</v>
      </c>
      <c r="N3139">
        <v>33</v>
      </c>
      <c r="O3139">
        <f>Table1[[#This Row],[transit_storage_cost]] * (1-'What -if Analysis'!$D$26)</f>
        <v>33</v>
      </c>
      <c r="P3139">
        <v>120</v>
      </c>
      <c r="Q3139">
        <v>3432.4533497401621</v>
      </c>
    </row>
    <row r="3140" spans="1:17" x14ac:dyDescent="0.3">
      <c r="A3140">
        <v>309428</v>
      </c>
      <c r="B3140" s="1" t="s">
        <v>39</v>
      </c>
      <c r="C3140" s="1" t="s">
        <v>16</v>
      </c>
      <c r="D3140" s="1" t="s">
        <v>23</v>
      </c>
      <c r="E3140" s="1" t="s">
        <v>28</v>
      </c>
      <c r="F3140" s="1" t="s">
        <v>19</v>
      </c>
      <c r="G3140" s="1" t="s">
        <v>20</v>
      </c>
      <c r="H3140" t="s">
        <v>21</v>
      </c>
      <c r="I3140" s="1" t="s">
        <v>22</v>
      </c>
      <c r="J3140" s="2">
        <v>43533.665324074071</v>
      </c>
      <c r="K3140" s="2">
        <v>43539.665324074071</v>
      </c>
      <c r="L3140" s="2">
        <v>43538.665324074071</v>
      </c>
      <c r="M3140" s="1">
        <f>_xlfn.DAYS(Table1[[#This Row],[actual_delivery_date]],Table1[[#This Row],[dispatch_date]])</f>
        <v>6</v>
      </c>
      <c r="N3140">
        <v>9999</v>
      </c>
      <c r="O3140">
        <f>Table1[[#This Row],[transit_storage_cost]] * (1-'What -if Analysis'!$D$26)</f>
        <v>9999</v>
      </c>
      <c r="P3140">
        <v>121</v>
      </c>
      <c r="Q3140">
        <v>1441.8067816992821</v>
      </c>
    </row>
    <row r="3141" spans="1:17" x14ac:dyDescent="0.3">
      <c r="A3141">
        <v>532657</v>
      </c>
      <c r="B3141" s="1" t="s">
        <v>38</v>
      </c>
      <c r="C3141" s="1" t="s">
        <v>16</v>
      </c>
      <c r="D3141" s="1" t="s">
        <v>17</v>
      </c>
      <c r="E3141" s="1" t="s">
        <v>18</v>
      </c>
      <c r="F3141" s="1" t="s">
        <v>29</v>
      </c>
      <c r="G3141" s="1" t="s">
        <v>20</v>
      </c>
      <c r="H3141" t="s">
        <v>30</v>
      </c>
      <c r="I3141" s="1" t="s">
        <v>22</v>
      </c>
      <c r="J3141" s="2">
        <v>43533.669016203705</v>
      </c>
      <c r="K3141" s="2">
        <v>43539.669016203705</v>
      </c>
      <c r="L3141" s="2">
        <v>43540.669016203705</v>
      </c>
      <c r="M3141" s="1">
        <f>_xlfn.DAYS(Table1[[#This Row],[actual_delivery_date]],Table1[[#This Row],[dispatch_date]])</f>
        <v>6</v>
      </c>
      <c r="N3141">
        <v>33</v>
      </c>
      <c r="O3141">
        <f>Table1[[#This Row],[transit_storage_cost]] * (1-'What -if Analysis'!$D$26)</f>
        <v>33</v>
      </c>
      <c r="P3141">
        <v>110</v>
      </c>
      <c r="Q3141">
        <v>3280</v>
      </c>
    </row>
    <row r="3142" spans="1:17" x14ac:dyDescent="0.3">
      <c r="A3142">
        <v>511411</v>
      </c>
      <c r="B3142" s="1" t="s">
        <v>41</v>
      </c>
      <c r="C3142" s="1" t="s">
        <v>23</v>
      </c>
      <c r="D3142" s="1" t="s">
        <v>16</v>
      </c>
      <c r="E3142" s="1" t="s">
        <v>27</v>
      </c>
      <c r="F3142" s="1" t="s">
        <v>19</v>
      </c>
      <c r="G3142" s="1" t="s">
        <v>20</v>
      </c>
      <c r="H3142" t="s">
        <v>30</v>
      </c>
      <c r="I3142" s="1" t="s">
        <v>22</v>
      </c>
      <c r="J3142" s="2">
        <v>43535.670891203707</v>
      </c>
      <c r="K3142" s="2">
        <v>43539.670891203707</v>
      </c>
      <c r="L3142" s="2">
        <v>43540.670891203707</v>
      </c>
      <c r="M3142" s="1">
        <f>_xlfn.DAYS(Table1[[#This Row],[actual_delivery_date]],Table1[[#This Row],[dispatch_date]])</f>
        <v>4</v>
      </c>
      <c r="N3142">
        <v>63</v>
      </c>
      <c r="O3142">
        <f>Table1[[#This Row],[transit_storage_cost]] * (1-'What -if Analysis'!$D$26)</f>
        <v>63</v>
      </c>
      <c r="P3142">
        <v>108</v>
      </c>
      <c r="Q3142">
        <v>3740.290473060812</v>
      </c>
    </row>
    <row r="3143" spans="1:17" x14ac:dyDescent="0.3">
      <c r="A3143">
        <v>450846</v>
      </c>
      <c r="B3143" s="1" t="s">
        <v>40</v>
      </c>
      <c r="C3143" s="1" t="s">
        <v>23</v>
      </c>
      <c r="D3143" s="1" t="s">
        <v>16</v>
      </c>
      <c r="E3143" s="1" t="s">
        <v>27</v>
      </c>
      <c r="F3143" s="1" t="s">
        <v>31</v>
      </c>
      <c r="G3143" s="1" t="s">
        <v>20</v>
      </c>
      <c r="H3143" t="s">
        <v>21</v>
      </c>
      <c r="I3143" s="1" t="s">
        <v>26</v>
      </c>
      <c r="J3143" s="2">
        <v>43531.672418981485</v>
      </c>
      <c r="K3143" s="2">
        <v>43539.672418981485</v>
      </c>
      <c r="L3143" s="2">
        <v>43534.672418981485</v>
      </c>
      <c r="M3143" s="1">
        <f>_xlfn.DAYS(Table1[[#This Row],[actual_delivery_date]],Table1[[#This Row],[dispatch_date]])</f>
        <v>8</v>
      </c>
      <c r="N3143">
        <v>33</v>
      </c>
      <c r="O3143">
        <f>Table1[[#This Row],[transit_storage_cost]] * (1-'What -if Analysis'!$D$26)</f>
        <v>33</v>
      </c>
      <c r="P3143">
        <v>123</v>
      </c>
      <c r="Q3143">
        <v>2914.79596055305</v>
      </c>
    </row>
    <row r="3144" spans="1:17" x14ac:dyDescent="0.3">
      <c r="A3144">
        <v>585781</v>
      </c>
      <c r="B3144" s="1" t="s">
        <v>37</v>
      </c>
      <c r="C3144" s="1" t="s">
        <v>16</v>
      </c>
      <c r="D3144" s="1" t="s">
        <v>17</v>
      </c>
      <c r="E3144" s="1" t="s">
        <v>18</v>
      </c>
      <c r="F3144" s="1" t="s">
        <v>29</v>
      </c>
      <c r="G3144" s="1" t="s">
        <v>20</v>
      </c>
      <c r="H3144" t="s">
        <v>34</v>
      </c>
      <c r="I3144" s="1" t="s">
        <v>22</v>
      </c>
      <c r="J3144" s="2">
        <v>43533.677303240744</v>
      </c>
      <c r="K3144" s="2">
        <v>43539.677303240744</v>
      </c>
      <c r="L3144" s="2">
        <v>43537.677303240744</v>
      </c>
      <c r="M3144" s="1">
        <f>_xlfn.DAYS(Table1[[#This Row],[actual_delivery_date]],Table1[[#This Row],[dispatch_date]])</f>
        <v>6</v>
      </c>
      <c r="N3144">
        <v>28</v>
      </c>
      <c r="O3144">
        <f>Table1[[#This Row],[transit_storage_cost]] * (1-'What -if Analysis'!$D$26)</f>
        <v>28</v>
      </c>
      <c r="P3144">
        <v>106</v>
      </c>
      <c r="Q3144">
        <v>1612</v>
      </c>
    </row>
    <row r="3145" spans="1:17" x14ac:dyDescent="0.3">
      <c r="A3145">
        <v>363819</v>
      </c>
      <c r="B3145" s="1" t="s">
        <v>15</v>
      </c>
      <c r="C3145" s="1" t="s">
        <v>16</v>
      </c>
      <c r="D3145" s="1" t="s">
        <v>23</v>
      </c>
      <c r="E3145" s="1" t="s">
        <v>28</v>
      </c>
      <c r="F3145" s="1" t="s">
        <v>35</v>
      </c>
      <c r="G3145" s="1" t="s">
        <v>20</v>
      </c>
      <c r="H3145" t="s">
        <v>30</v>
      </c>
      <c r="I3145" s="1" t="s">
        <v>26</v>
      </c>
      <c r="J3145" s="2">
        <v>43537.67769675926</v>
      </c>
      <c r="K3145" s="2">
        <v>43539.67769675926</v>
      </c>
      <c r="L3145" s="2">
        <v>43541.67769675926</v>
      </c>
      <c r="M3145" s="1">
        <f>_xlfn.DAYS(Table1[[#This Row],[actual_delivery_date]],Table1[[#This Row],[dispatch_date]])</f>
        <v>2</v>
      </c>
      <c r="N3145">
        <v>32</v>
      </c>
      <c r="O3145">
        <f>Table1[[#This Row],[transit_storage_cost]] * (1-'What -if Analysis'!$D$26)</f>
        <v>32</v>
      </c>
      <c r="P3145">
        <v>124</v>
      </c>
      <c r="Q3145">
        <v>3693.1920948092857</v>
      </c>
    </row>
    <row r="3146" spans="1:17" x14ac:dyDescent="0.3">
      <c r="A3146">
        <v>228379</v>
      </c>
      <c r="B3146" s="1" t="s">
        <v>40</v>
      </c>
      <c r="C3146" s="1" t="s">
        <v>16</v>
      </c>
      <c r="D3146" s="1" t="s">
        <v>23</v>
      </c>
      <c r="E3146" s="1" t="s">
        <v>28</v>
      </c>
      <c r="F3146" s="1" t="s">
        <v>29</v>
      </c>
      <c r="G3146" s="1" t="s">
        <v>20</v>
      </c>
      <c r="H3146" t="s">
        <v>30</v>
      </c>
      <c r="I3146" s="1" t="s">
        <v>22</v>
      </c>
      <c r="J3146" s="2">
        <v>43531.687800925924</v>
      </c>
      <c r="K3146" s="2">
        <v>43539.687800925924</v>
      </c>
      <c r="L3146" s="2">
        <v>43535.687800925924</v>
      </c>
      <c r="M3146" s="1">
        <f>_xlfn.DAYS(Table1[[#This Row],[actual_delivery_date]],Table1[[#This Row],[dispatch_date]])</f>
        <v>8</v>
      </c>
      <c r="N3146">
        <v>27</v>
      </c>
      <c r="O3146">
        <f>Table1[[#This Row],[transit_storage_cost]] * (1-'What -if Analysis'!$D$26)</f>
        <v>27</v>
      </c>
      <c r="P3146">
        <v>123</v>
      </c>
      <c r="Q3146">
        <v>1189.2998962514821</v>
      </c>
    </row>
    <row r="3147" spans="1:17" x14ac:dyDescent="0.3">
      <c r="A3147">
        <v>779548</v>
      </c>
      <c r="B3147" s="1" t="s">
        <v>38</v>
      </c>
      <c r="C3147" s="1" t="s">
        <v>16</v>
      </c>
      <c r="D3147" s="1" t="s">
        <v>23</v>
      </c>
      <c r="E3147" s="1" t="s">
        <v>28</v>
      </c>
      <c r="F3147" s="1" t="s">
        <v>19</v>
      </c>
      <c r="G3147" s="1" t="s">
        <v>20</v>
      </c>
      <c r="H3147" t="s">
        <v>21</v>
      </c>
      <c r="I3147" s="1" t="s">
        <v>22</v>
      </c>
      <c r="J3147" s="2">
        <v>43537.68787037037</v>
      </c>
      <c r="K3147" s="2">
        <v>43539.68787037037</v>
      </c>
      <c r="L3147" s="2">
        <v>43544.68787037037</v>
      </c>
      <c r="M3147" s="1">
        <f>_xlfn.DAYS(Table1[[#This Row],[actual_delivery_date]],Table1[[#This Row],[dispatch_date]])</f>
        <v>2</v>
      </c>
      <c r="N3147">
        <v>38</v>
      </c>
      <c r="O3147">
        <f>Table1[[#This Row],[transit_storage_cost]] * (1-'What -if Analysis'!$D$26)</f>
        <v>38</v>
      </c>
      <c r="P3147">
        <v>126</v>
      </c>
      <c r="Q3147">
        <v>2225.4958284685281</v>
      </c>
    </row>
    <row r="3148" spans="1:17" x14ac:dyDescent="0.3">
      <c r="A3148">
        <v>485088</v>
      </c>
      <c r="B3148" s="1" t="s">
        <v>39</v>
      </c>
      <c r="C3148" s="1" t="s">
        <v>16</v>
      </c>
      <c r="D3148" s="1" t="s">
        <v>24</v>
      </c>
      <c r="E3148" s="1" t="s">
        <v>25</v>
      </c>
      <c r="F3148" s="1" t="s">
        <v>19</v>
      </c>
      <c r="G3148" s="1" t="s">
        <v>20</v>
      </c>
      <c r="H3148" t="s">
        <v>21</v>
      </c>
      <c r="I3148" s="1" t="s">
        <v>26</v>
      </c>
      <c r="J3148" s="2">
        <v>43532.697731481479</v>
      </c>
      <c r="K3148" s="2">
        <v>43539.697731481479</v>
      </c>
      <c r="L3148" s="2">
        <v>43535.697731481479</v>
      </c>
      <c r="M3148" s="1">
        <f>_xlfn.DAYS(Table1[[#This Row],[actual_delivery_date]],Table1[[#This Row],[dispatch_date]])</f>
        <v>7</v>
      </c>
      <c r="N3148">
        <v>49</v>
      </c>
      <c r="O3148">
        <f>Table1[[#This Row],[transit_storage_cost]] * (1-'What -if Analysis'!$D$26)</f>
        <v>49</v>
      </c>
      <c r="P3148">
        <v>127</v>
      </c>
      <c r="Q3148">
        <v>1492.681725201807</v>
      </c>
    </row>
    <row r="3149" spans="1:17" x14ac:dyDescent="0.3">
      <c r="A3149">
        <v>770107</v>
      </c>
      <c r="B3149" s="1" t="s">
        <v>40</v>
      </c>
      <c r="C3149" s="1" t="s">
        <v>23</v>
      </c>
      <c r="D3149" s="1" t="s">
        <v>17</v>
      </c>
      <c r="E3149" s="1" t="s">
        <v>18</v>
      </c>
      <c r="F3149" s="1" t="s">
        <v>19</v>
      </c>
      <c r="G3149" s="1" t="s">
        <v>20</v>
      </c>
      <c r="H3149" t="s">
        <v>30</v>
      </c>
      <c r="I3149" s="1" t="s">
        <v>22</v>
      </c>
      <c r="J3149" s="2">
        <v>43535.69798611111</v>
      </c>
      <c r="K3149" s="2">
        <v>43539.69798611111</v>
      </c>
      <c r="L3149" s="2">
        <v>43542.69798611111</v>
      </c>
      <c r="M3149" s="1">
        <f>_xlfn.DAYS(Table1[[#This Row],[actual_delivery_date]],Table1[[#This Row],[dispatch_date]])</f>
        <v>4</v>
      </c>
      <c r="N3149">
        <v>67</v>
      </c>
      <c r="O3149">
        <f>Table1[[#This Row],[transit_storage_cost]] * (1-'What -if Analysis'!$D$26)</f>
        <v>67</v>
      </c>
      <c r="P3149">
        <v>93</v>
      </c>
      <c r="Q3149">
        <v>3368.3288626031117</v>
      </c>
    </row>
    <row r="3150" spans="1:17" x14ac:dyDescent="0.3">
      <c r="A3150">
        <v>230792</v>
      </c>
      <c r="B3150" s="1" t="s">
        <v>37</v>
      </c>
      <c r="C3150" s="1" t="s">
        <v>16</v>
      </c>
      <c r="D3150" s="1" t="s">
        <v>24</v>
      </c>
      <c r="E3150" s="1" t="s">
        <v>25</v>
      </c>
      <c r="F3150" s="1" t="s">
        <v>19</v>
      </c>
      <c r="G3150" s="1" t="s">
        <v>20</v>
      </c>
      <c r="H3150" t="s">
        <v>21</v>
      </c>
      <c r="I3150" s="1" t="s">
        <v>22</v>
      </c>
      <c r="J3150" s="2">
        <v>43528.698206018518</v>
      </c>
      <c r="K3150" s="2">
        <v>43539.698206018518</v>
      </c>
      <c r="L3150" s="2">
        <v>43533.698206018518</v>
      </c>
      <c r="M3150" s="1">
        <f>_xlfn.DAYS(Table1[[#This Row],[actual_delivery_date]],Table1[[#This Row],[dispatch_date]])</f>
        <v>11</v>
      </c>
      <c r="N3150">
        <v>41</v>
      </c>
      <c r="O3150">
        <f>Table1[[#This Row],[transit_storage_cost]] * (1-'What -if Analysis'!$D$26)</f>
        <v>41</v>
      </c>
      <c r="P3150">
        <v>122</v>
      </c>
      <c r="Q3150">
        <v>947.75869777801427</v>
      </c>
    </row>
    <row r="3151" spans="1:17" x14ac:dyDescent="0.3">
      <c r="A3151">
        <v>484459</v>
      </c>
      <c r="B3151" s="1" t="s">
        <v>39</v>
      </c>
      <c r="C3151" s="1" t="s">
        <v>16</v>
      </c>
      <c r="D3151" s="1" t="s">
        <v>17</v>
      </c>
      <c r="E3151" s="1" t="s">
        <v>18</v>
      </c>
      <c r="F3151" s="1" t="s">
        <v>19</v>
      </c>
      <c r="G3151" s="1" t="s">
        <v>20</v>
      </c>
      <c r="H3151" t="s">
        <v>30</v>
      </c>
      <c r="I3151" s="1" t="s">
        <v>22</v>
      </c>
      <c r="J3151" s="2">
        <v>43537.727002314816</v>
      </c>
      <c r="K3151" s="2">
        <v>43539.727002314816</v>
      </c>
      <c r="L3151" s="2">
        <v>43543.727002314816</v>
      </c>
      <c r="M3151" s="1">
        <f>_xlfn.DAYS(Table1[[#This Row],[actual_delivery_date]],Table1[[#This Row],[dispatch_date]])</f>
        <v>2</v>
      </c>
      <c r="N3151">
        <v>73</v>
      </c>
      <c r="O3151">
        <f>Table1[[#This Row],[transit_storage_cost]] * (1-'What -if Analysis'!$D$26)</f>
        <v>73</v>
      </c>
      <c r="P3151">
        <v>89</v>
      </c>
      <c r="Q3151">
        <v>1120.3349072060057</v>
      </c>
    </row>
    <row r="3152" spans="1:17" x14ac:dyDescent="0.3">
      <c r="A3152">
        <v>882741</v>
      </c>
      <c r="B3152" s="1" t="s">
        <v>37</v>
      </c>
      <c r="C3152" s="1" t="s">
        <v>23</v>
      </c>
      <c r="D3152" s="1" t="s">
        <v>32</v>
      </c>
      <c r="E3152" s="1" t="s">
        <v>33</v>
      </c>
      <c r="F3152" s="1" t="s">
        <v>29</v>
      </c>
      <c r="G3152" s="1" t="s">
        <v>20</v>
      </c>
      <c r="H3152" t="s">
        <v>30</v>
      </c>
      <c r="I3152" s="1" t="s">
        <v>26</v>
      </c>
      <c r="J3152" s="2">
        <v>43537.72928240741</v>
      </c>
      <c r="K3152" s="2">
        <v>43539.72928240741</v>
      </c>
      <c r="L3152" s="2">
        <v>43543.72928240741</v>
      </c>
      <c r="M3152" s="1">
        <f>_xlfn.DAYS(Table1[[#This Row],[actual_delivery_date]],Table1[[#This Row],[dispatch_date]])</f>
        <v>2</v>
      </c>
      <c r="N3152">
        <v>45</v>
      </c>
      <c r="O3152">
        <f>Table1[[#This Row],[transit_storage_cost]] * (1-'What -if Analysis'!$D$26)</f>
        <v>45</v>
      </c>
      <c r="P3152">
        <v>107</v>
      </c>
      <c r="Q3152">
        <v>441.2648704673453</v>
      </c>
    </row>
    <row r="3153" spans="1:17" x14ac:dyDescent="0.3">
      <c r="A3153">
        <v>749799</v>
      </c>
      <c r="B3153" s="1" t="s">
        <v>38</v>
      </c>
      <c r="C3153" s="1" t="s">
        <v>16</v>
      </c>
      <c r="D3153" s="1" t="s">
        <v>23</v>
      </c>
      <c r="E3153" s="1" t="s">
        <v>28</v>
      </c>
      <c r="F3153" s="1" t="s">
        <v>29</v>
      </c>
      <c r="G3153" s="1" t="s">
        <v>20</v>
      </c>
      <c r="H3153" t="s">
        <v>30</v>
      </c>
      <c r="I3153" s="1" t="s">
        <v>26</v>
      </c>
      <c r="J3153" s="2">
        <v>43531.730185185188</v>
      </c>
      <c r="K3153" s="2">
        <v>43539.730185185188</v>
      </c>
      <c r="L3153" s="2">
        <v>43538.730185185188</v>
      </c>
      <c r="M3153" s="1">
        <f>_xlfn.DAYS(Table1[[#This Row],[actual_delivery_date]],Table1[[#This Row],[dispatch_date]])</f>
        <v>8</v>
      </c>
      <c r="N3153">
        <v>35</v>
      </c>
      <c r="O3153">
        <f>Table1[[#This Row],[transit_storage_cost]] * (1-'What -if Analysis'!$D$26)</f>
        <v>35</v>
      </c>
      <c r="P3153">
        <v>127</v>
      </c>
      <c r="Q3153">
        <v>3381.6557559463472</v>
      </c>
    </row>
    <row r="3154" spans="1:17" x14ac:dyDescent="0.3">
      <c r="A3154">
        <v>506957</v>
      </c>
      <c r="B3154" s="1" t="s">
        <v>38</v>
      </c>
      <c r="C3154" s="1" t="s">
        <v>16</v>
      </c>
      <c r="D3154" s="1" t="s">
        <v>17</v>
      </c>
      <c r="E3154" s="1" t="s">
        <v>18</v>
      </c>
      <c r="F3154" s="1" t="s">
        <v>19</v>
      </c>
      <c r="G3154" s="1" t="s">
        <v>20</v>
      </c>
      <c r="H3154" t="s">
        <v>30</v>
      </c>
      <c r="I3154" s="1" t="s">
        <v>22</v>
      </c>
      <c r="J3154" s="2">
        <v>43537.732893518521</v>
      </c>
      <c r="K3154" s="2">
        <v>43539.732893518521</v>
      </c>
      <c r="L3154" s="2">
        <v>43544.732893518521</v>
      </c>
      <c r="M3154" s="1">
        <f>_xlfn.DAYS(Table1[[#This Row],[actual_delivery_date]],Table1[[#This Row],[dispatch_date]])</f>
        <v>2</v>
      </c>
      <c r="N3154">
        <v>81</v>
      </c>
      <c r="O3154">
        <f>Table1[[#This Row],[transit_storage_cost]] * (1-'What -if Analysis'!$D$26)</f>
        <v>81</v>
      </c>
      <c r="P3154">
        <v>90</v>
      </c>
      <c r="Q3154">
        <v>3233.5824173232149</v>
      </c>
    </row>
    <row r="3155" spans="1:17" x14ac:dyDescent="0.3">
      <c r="A3155">
        <v>197518</v>
      </c>
      <c r="B3155" s="1" t="s">
        <v>40</v>
      </c>
      <c r="C3155" s="1" t="s">
        <v>16</v>
      </c>
      <c r="D3155" s="1" t="s">
        <v>32</v>
      </c>
      <c r="E3155" s="1" t="s">
        <v>33</v>
      </c>
      <c r="F3155" s="1" t="s">
        <v>19</v>
      </c>
      <c r="G3155" s="1" t="s">
        <v>20</v>
      </c>
      <c r="H3155" t="s">
        <v>21</v>
      </c>
      <c r="I3155" s="1" t="s">
        <v>22</v>
      </c>
      <c r="J3155" s="2">
        <v>43532.736157407409</v>
      </c>
      <c r="K3155" s="2">
        <v>43539.736157407409</v>
      </c>
      <c r="L3155" s="2">
        <v>43537.736157407409</v>
      </c>
      <c r="M3155" s="1">
        <f>_xlfn.DAYS(Table1[[#This Row],[actual_delivery_date]],Table1[[#This Row],[dispatch_date]])</f>
        <v>7</v>
      </c>
      <c r="N3155">
        <v>76</v>
      </c>
      <c r="O3155">
        <f>Table1[[#This Row],[transit_storage_cost]] * (1-'What -if Analysis'!$D$26)</f>
        <v>76</v>
      </c>
      <c r="P3155">
        <v>95</v>
      </c>
      <c r="Q3155">
        <v>2028.7880874739644</v>
      </c>
    </row>
    <row r="3156" spans="1:17" x14ac:dyDescent="0.3">
      <c r="A3156">
        <v>779404</v>
      </c>
      <c r="B3156" s="1" t="s">
        <v>40</v>
      </c>
      <c r="C3156" s="1" t="s">
        <v>23</v>
      </c>
      <c r="D3156" s="1" t="s">
        <v>24</v>
      </c>
      <c r="E3156" s="1" t="s">
        <v>25</v>
      </c>
      <c r="F3156" s="1" t="s">
        <v>19</v>
      </c>
      <c r="G3156" s="1" t="s">
        <v>20</v>
      </c>
      <c r="H3156" t="s">
        <v>21</v>
      </c>
      <c r="I3156" s="1" t="s">
        <v>22</v>
      </c>
      <c r="J3156" s="2">
        <v>43532.746782407405</v>
      </c>
      <c r="K3156" s="2">
        <v>43539.746782407405</v>
      </c>
      <c r="L3156" s="2">
        <v>43537.746782407405</v>
      </c>
      <c r="M3156" s="1">
        <f>_xlfn.DAYS(Table1[[#This Row],[actual_delivery_date]],Table1[[#This Row],[dispatch_date]])</f>
        <v>7</v>
      </c>
      <c r="N3156">
        <v>28</v>
      </c>
      <c r="O3156">
        <f>Table1[[#This Row],[transit_storage_cost]] * (1-'What -if Analysis'!$D$26)</f>
        <v>28</v>
      </c>
      <c r="P3156">
        <v>122</v>
      </c>
      <c r="Q3156">
        <v>3479.9873242740364</v>
      </c>
    </row>
    <row r="3157" spans="1:17" x14ac:dyDescent="0.3">
      <c r="A3157">
        <v>694400</v>
      </c>
      <c r="B3157" s="1" t="s">
        <v>37</v>
      </c>
      <c r="C3157" s="1" t="s">
        <v>16</v>
      </c>
      <c r="D3157" s="1" t="s">
        <v>32</v>
      </c>
      <c r="E3157" s="1" t="s">
        <v>33</v>
      </c>
      <c r="F3157" s="1" t="s">
        <v>19</v>
      </c>
      <c r="G3157" s="1" t="s">
        <v>20</v>
      </c>
      <c r="H3157" t="s">
        <v>21</v>
      </c>
      <c r="I3157" s="1" t="s">
        <v>22</v>
      </c>
      <c r="J3157" s="2">
        <v>43536.749641203707</v>
      </c>
      <c r="K3157" s="2">
        <v>43539.749641203707</v>
      </c>
      <c r="L3157" s="2">
        <v>43542.749641203707</v>
      </c>
      <c r="M3157" s="1">
        <f>_xlfn.DAYS(Table1[[#This Row],[actual_delivery_date]],Table1[[#This Row],[dispatch_date]])</f>
        <v>3</v>
      </c>
      <c r="N3157">
        <v>35</v>
      </c>
      <c r="O3157">
        <f>Table1[[#This Row],[transit_storage_cost]] * (1-'What -if Analysis'!$D$26)</f>
        <v>35</v>
      </c>
      <c r="P3157">
        <v>113</v>
      </c>
      <c r="Q3157">
        <v>304</v>
      </c>
    </row>
    <row r="3158" spans="1:17" x14ac:dyDescent="0.3">
      <c r="A3158">
        <v>761534</v>
      </c>
      <c r="B3158" s="1" t="s">
        <v>38</v>
      </c>
      <c r="C3158" s="1" t="s">
        <v>16</v>
      </c>
      <c r="D3158" s="1" t="s">
        <v>23</v>
      </c>
      <c r="E3158" s="1" t="s">
        <v>28</v>
      </c>
      <c r="F3158" s="1" t="s">
        <v>31</v>
      </c>
      <c r="G3158" s="1" t="s">
        <v>20</v>
      </c>
      <c r="H3158" t="s">
        <v>21</v>
      </c>
      <c r="I3158" s="1" t="s">
        <v>22</v>
      </c>
      <c r="J3158" s="2">
        <v>43534.752268518518</v>
      </c>
      <c r="K3158" s="2">
        <v>43539.752268518518</v>
      </c>
      <c r="L3158" s="2">
        <v>43538.752268518518</v>
      </c>
      <c r="M3158" s="1">
        <f>_xlfn.DAYS(Table1[[#This Row],[actual_delivery_date]],Table1[[#This Row],[dispatch_date]])</f>
        <v>5</v>
      </c>
      <c r="N3158">
        <v>47</v>
      </c>
      <c r="O3158">
        <f>Table1[[#This Row],[transit_storage_cost]] * (1-'What -if Analysis'!$D$26)</f>
        <v>47</v>
      </c>
      <c r="P3158">
        <v>129</v>
      </c>
      <c r="Q3158">
        <v>835.48239023803728</v>
      </c>
    </row>
    <row r="3159" spans="1:17" x14ac:dyDescent="0.3">
      <c r="A3159">
        <v>482264</v>
      </c>
      <c r="B3159" s="1" t="s">
        <v>38</v>
      </c>
      <c r="C3159" s="1" t="s">
        <v>16</v>
      </c>
      <c r="D3159" s="1" t="s">
        <v>23</v>
      </c>
      <c r="E3159" s="1" t="s">
        <v>28</v>
      </c>
      <c r="F3159" s="1" t="s">
        <v>19</v>
      </c>
      <c r="G3159" s="1" t="s">
        <v>20</v>
      </c>
      <c r="H3159" t="s">
        <v>21</v>
      </c>
      <c r="I3159" s="1" t="s">
        <v>22</v>
      </c>
      <c r="J3159" s="2">
        <v>43537.752951388888</v>
      </c>
      <c r="K3159" s="2">
        <v>43539.752951388888</v>
      </c>
      <c r="L3159" s="2">
        <v>43543.752951388888</v>
      </c>
      <c r="M3159" s="1">
        <f>_xlfn.DAYS(Table1[[#This Row],[actual_delivery_date]],Table1[[#This Row],[dispatch_date]])</f>
        <v>2</v>
      </c>
      <c r="N3159">
        <v>32</v>
      </c>
      <c r="O3159">
        <f>Table1[[#This Row],[transit_storage_cost]] * (1-'What -if Analysis'!$D$26)</f>
        <v>32</v>
      </c>
      <c r="P3159">
        <v>127</v>
      </c>
      <c r="Q3159">
        <v>2717.297723916623</v>
      </c>
    </row>
    <row r="3160" spans="1:17" x14ac:dyDescent="0.3">
      <c r="A3160">
        <v>127139</v>
      </c>
      <c r="B3160" s="1" t="s">
        <v>41</v>
      </c>
      <c r="C3160" s="1" t="s">
        <v>16</v>
      </c>
      <c r="D3160" s="1" t="s">
        <v>17</v>
      </c>
      <c r="E3160" s="1" t="s">
        <v>18</v>
      </c>
      <c r="F3160" s="1" t="s">
        <v>29</v>
      </c>
      <c r="G3160" s="1" t="s">
        <v>20</v>
      </c>
      <c r="H3160" t="s">
        <v>30</v>
      </c>
      <c r="I3160" s="1" t="s">
        <v>22</v>
      </c>
      <c r="J3160" s="2">
        <v>43532.764027777775</v>
      </c>
      <c r="K3160" s="2">
        <v>43539.764027777775</v>
      </c>
      <c r="L3160" s="2">
        <v>43539.764027777775</v>
      </c>
      <c r="M3160" s="1">
        <f>_xlfn.DAYS(Table1[[#This Row],[actual_delivery_date]],Table1[[#This Row],[dispatch_date]])</f>
        <v>7</v>
      </c>
      <c r="N3160">
        <v>42</v>
      </c>
      <c r="O3160">
        <f>Table1[[#This Row],[transit_storage_cost]] * (1-'What -if Analysis'!$D$26)</f>
        <v>42</v>
      </c>
      <c r="P3160">
        <v>112</v>
      </c>
      <c r="Q3160">
        <v>460.21350857182722</v>
      </c>
    </row>
    <row r="3161" spans="1:17" x14ac:dyDescent="0.3">
      <c r="A3161">
        <v>161867</v>
      </c>
      <c r="B3161" s="1" t="s">
        <v>38</v>
      </c>
      <c r="C3161" s="1" t="s">
        <v>23</v>
      </c>
      <c r="D3161" s="1" t="s">
        <v>16</v>
      </c>
      <c r="E3161" s="1" t="s">
        <v>27</v>
      </c>
      <c r="F3161" s="1" t="s">
        <v>19</v>
      </c>
      <c r="G3161" s="1" t="s">
        <v>20</v>
      </c>
      <c r="H3161" t="s">
        <v>30</v>
      </c>
      <c r="I3161" s="1" t="s">
        <v>22</v>
      </c>
      <c r="J3161" s="2">
        <v>43536.76458333333</v>
      </c>
      <c r="K3161" s="2">
        <v>43539.76458333333</v>
      </c>
      <c r="L3161" s="2">
        <v>43543.76458333333</v>
      </c>
      <c r="M3161" s="1">
        <f>_xlfn.DAYS(Table1[[#This Row],[actual_delivery_date]],Table1[[#This Row],[dispatch_date]])</f>
        <v>3</v>
      </c>
      <c r="N3161">
        <v>82</v>
      </c>
      <c r="O3161">
        <f>Table1[[#This Row],[transit_storage_cost]] * (1-'What -if Analysis'!$D$26)</f>
        <v>82</v>
      </c>
      <c r="P3161">
        <v>109</v>
      </c>
      <c r="Q3161">
        <v>510.60893884282154</v>
      </c>
    </row>
    <row r="3162" spans="1:17" x14ac:dyDescent="0.3">
      <c r="A3162">
        <v>486649</v>
      </c>
      <c r="B3162" s="1" t="s">
        <v>40</v>
      </c>
      <c r="C3162" s="1" t="s">
        <v>23</v>
      </c>
      <c r="D3162" s="1" t="s">
        <v>16</v>
      </c>
      <c r="E3162" s="1" t="s">
        <v>27</v>
      </c>
      <c r="F3162" s="1" t="s">
        <v>29</v>
      </c>
      <c r="G3162" s="1" t="s">
        <v>20</v>
      </c>
      <c r="H3162" t="s">
        <v>30</v>
      </c>
      <c r="I3162" s="1" t="s">
        <v>22</v>
      </c>
      <c r="J3162" s="2">
        <v>43532.768993055557</v>
      </c>
      <c r="K3162" s="2">
        <v>43539.768993055557</v>
      </c>
      <c r="L3162" s="2">
        <v>43535.768993055557</v>
      </c>
      <c r="M3162" s="1">
        <f>_xlfn.DAYS(Table1[[#This Row],[actual_delivery_date]],Table1[[#This Row],[dispatch_date]])</f>
        <v>7</v>
      </c>
      <c r="N3162">
        <v>48</v>
      </c>
      <c r="O3162">
        <f>Table1[[#This Row],[transit_storage_cost]] * (1-'What -if Analysis'!$D$26)</f>
        <v>48</v>
      </c>
      <c r="P3162">
        <v>127</v>
      </c>
      <c r="Q3162">
        <v>1821.0685196501547</v>
      </c>
    </row>
    <row r="3163" spans="1:17" x14ac:dyDescent="0.3">
      <c r="A3163">
        <v>763961</v>
      </c>
      <c r="B3163" s="1" t="s">
        <v>40</v>
      </c>
      <c r="C3163" s="1" t="s">
        <v>23</v>
      </c>
      <c r="D3163" s="1" t="s">
        <v>23</v>
      </c>
      <c r="E3163" s="1" t="s">
        <v>28</v>
      </c>
      <c r="F3163" s="1" t="s">
        <v>29</v>
      </c>
      <c r="G3163" s="1" t="s">
        <v>20</v>
      </c>
      <c r="H3163" t="s">
        <v>30</v>
      </c>
      <c r="I3163" s="1" t="s">
        <v>22</v>
      </c>
      <c r="J3163" s="2">
        <v>43537.771562499998</v>
      </c>
      <c r="K3163" s="2">
        <v>43539.771562499998</v>
      </c>
      <c r="L3163" s="2">
        <v>43542.771562499998</v>
      </c>
      <c r="M3163" s="1">
        <f>_xlfn.DAYS(Table1[[#This Row],[actual_delivery_date]],Table1[[#This Row],[dispatch_date]])</f>
        <v>2</v>
      </c>
      <c r="N3163">
        <v>0</v>
      </c>
      <c r="O3163">
        <f>Table1[[#This Row],[transit_storage_cost]] * (1-'What -if Analysis'!$D$26)</f>
        <v>0</v>
      </c>
      <c r="P3163">
        <v>123</v>
      </c>
      <c r="Q3163">
        <v>495.05336912661818</v>
      </c>
    </row>
    <row r="3164" spans="1:17" x14ac:dyDescent="0.3">
      <c r="A3164">
        <v>124552</v>
      </c>
      <c r="B3164" s="1" t="s">
        <v>40</v>
      </c>
      <c r="C3164" s="1" t="s">
        <v>16</v>
      </c>
      <c r="D3164" s="1" t="s">
        <v>17</v>
      </c>
      <c r="E3164" s="1" t="s">
        <v>18</v>
      </c>
      <c r="F3164" s="1" t="s">
        <v>19</v>
      </c>
      <c r="G3164" s="1" t="s">
        <v>20</v>
      </c>
      <c r="H3164" t="s">
        <v>21</v>
      </c>
      <c r="I3164" s="1" t="s">
        <v>22</v>
      </c>
      <c r="J3164" s="2">
        <v>43533.772303240738</v>
      </c>
      <c r="K3164" s="2">
        <v>43539.772303240738</v>
      </c>
      <c r="L3164" s="2">
        <v>43536.772303240738</v>
      </c>
      <c r="M3164" s="1">
        <f>_xlfn.DAYS(Table1[[#This Row],[actual_delivery_date]],Table1[[#This Row],[dispatch_date]])</f>
        <v>6</v>
      </c>
      <c r="N3164">
        <v>26</v>
      </c>
      <c r="O3164">
        <f>Table1[[#This Row],[transit_storage_cost]] * (1-'What -if Analysis'!$D$26)</f>
        <v>26</v>
      </c>
      <c r="P3164">
        <v>108</v>
      </c>
      <c r="Q3164">
        <v>893.00397705297189</v>
      </c>
    </row>
    <row r="3165" spans="1:17" x14ac:dyDescent="0.3">
      <c r="A3165">
        <v>586661</v>
      </c>
      <c r="B3165" s="1" t="s">
        <v>38</v>
      </c>
      <c r="C3165" s="1" t="s">
        <v>16</v>
      </c>
      <c r="D3165" s="1" t="s">
        <v>23</v>
      </c>
      <c r="E3165" s="1" t="s">
        <v>28</v>
      </c>
      <c r="F3165" s="1" t="s">
        <v>29</v>
      </c>
      <c r="G3165" s="1" t="s">
        <v>20</v>
      </c>
      <c r="H3165" t="s">
        <v>30</v>
      </c>
      <c r="I3165" s="1" t="s">
        <v>22</v>
      </c>
      <c r="J3165" s="2">
        <v>43534.789675925924</v>
      </c>
      <c r="K3165" s="2">
        <v>43539.789675925924</v>
      </c>
      <c r="L3165" s="2">
        <v>43540.789675925924</v>
      </c>
      <c r="M3165" s="1">
        <f>_xlfn.DAYS(Table1[[#This Row],[actual_delivery_date]],Table1[[#This Row],[dispatch_date]])</f>
        <v>5</v>
      </c>
      <c r="N3165">
        <v>27</v>
      </c>
      <c r="O3165">
        <f>Table1[[#This Row],[transit_storage_cost]] * (1-'What -if Analysis'!$D$26)</f>
        <v>27</v>
      </c>
      <c r="P3165">
        <v>130</v>
      </c>
      <c r="Q3165">
        <v>2133.9975490215184</v>
      </c>
    </row>
    <row r="3166" spans="1:17" x14ac:dyDescent="0.3">
      <c r="A3166">
        <v>60254</v>
      </c>
      <c r="B3166" s="1" t="s">
        <v>40</v>
      </c>
      <c r="C3166" s="1" t="s">
        <v>16</v>
      </c>
      <c r="D3166" s="1" t="s">
        <v>23</v>
      </c>
      <c r="E3166" s="1" t="s">
        <v>28</v>
      </c>
      <c r="F3166" s="1" t="s">
        <v>31</v>
      </c>
      <c r="G3166" s="1" t="s">
        <v>20</v>
      </c>
      <c r="H3166" t="s">
        <v>21</v>
      </c>
      <c r="I3166" s="1" t="s">
        <v>22</v>
      </c>
      <c r="J3166" s="2">
        <v>43532.791319444441</v>
      </c>
      <c r="K3166" s="2">
        <v>43539.791319444441</v>
      </c>
      <c r="L3166" s="2">
        <v>43535.791319444441</v>
      </c>
      <c r="M3166" s="1">
        <f>_xlfn.DAYS(Table1[[#This Row],[actual_delivery_date]],Table1[[#This Row],[dispatch_date]])</f>
        <v>7</v>
      </c>
      <c r="N3166">
        <v>42</v>
      </c>
      <c r="O3166">
        <f>Table1[[#This Row],[transit_storage_cost]] * (1-'What -if Analysis'!$D$26)</f>
        <v>42</v>
      </c>
      <c r="P3166">
        <v>121</v>
      </c>
      <c r="Q3166">
        <v>3217.3101894238616</v>
      </c>
    </row>
    <row r="3167" spans="1:17" x14ac:dyDescent="0.3">
      <c r="A3167">
        <v>874622</v>
      </c>
      <c r="B3167" s="1" t="s">
        <v>39</v>
      </c>
      <c r="C3167" s="1" t="s">
        <v>16</v>
      </c>
      <c r="D3167" s="1" t="s">
        <v>32</v>
      </c>
      <c r="E3167" s="1" t="s">
        <v>33</v>
      </c>
      <c r="F3167" s="1" t="s">
        <v>31</v>
      </c>
      <c r="G3167" s="1" t="s">
        <v>20</v>
      </c>
      <c r="H3167" t="s">
        <v>21</v>
      </c>
      <c r="I3167" s="1" t="s">
        <v>22</v>
      </c>
      <c r="J3167" s="2">
        <v>43536.793796296297</v>
      </c>
      <c r="K3167" s="2">
        <v>43539.793796296297</v>
      </c>
      <c r="L3167" s="2">
        <v>43541.793796296297</v>
      </c>
      <c r="M3167" s="1">
        <f>_xlfn.DAYS(Table1[[#This Row],[actual_delivery_date]],Table1[[#This Row],[dispatch_date]])</f>
        <v>3</v>
      </c>
      <c r="N3167">
        <v>42</v>
      </c>
      <c r="O3167">
        <f>Table1[[#This Row],[transit_storage_cost]] * (1-'What -if Analysis'!$D$26)</f>
        <v>42</v>
      </c>
      <c r="P3167">
        <v>111</v>
      </c>
      <c r="Q3167">
        <v>946.18767109455894</v>
      </c>
    </row>
    <row r="3168" spans="1:17" x14ac:dyDescent="0.3">
      <c r="A3168">
        <v>296319</v>
      </c>
      <c r="B3168" s="1" t="s">
        <v>37</v>
      </c>
      <c r="C3168" s="1" t="s">
        <v>23</v>
      </c>
      <c r="D3168" s="1" t="s">
        <v>17</v>
      </c>
      <c r="E3168" s="1" t="s">
        <v>18</v>
      </c>
      <c r="F3168" s="1" t="s">
        <v>29</v>
      </c>
      <c r="G3168" s="1" t="s">
        <v>20</v>
      </c>
      <c r="H3168" t="s">
        <v>30</v>
      </c>
      <c r="I3168" s="1" t="s">
        <v>26</v>
      </c>
      <c r="J3168" s="2">
        <v>43530.799444444441</v>
      </c>
      <c r="K3168" s="2">
        <v>43539.799444444441</v>
      </c>
      <c r="L3168" s="2">
        <v>43536.799444444441</v>
      </c>
      <c r="M3168" s="1">
        <f>_xlfn.DAYS(Table1[[#This Row],[actual_delivery_date]],Table1[[#This Row],[dispatch_date]])</f>
        <v>9</v>
      </c>
      <c r="N3168">
        <v>28</v>
      </c>
      <c r="O3168">
        <f>Table1[[#This Row],[transit_storage_cost]] * (1-'What -if Analysis'!$D$26)</f>
        <v>28</v>
      </c>
      <c r="P3168">
        <v>106</v>
      </c>
      <c r="Q3168">
        <v>2173.4378519687816</v>
      </c>
    </row>
    <row r="3169" spans="1:17" x14ac:dyDescent="0.3">
      <c r="A3169">
        <v>71730</v>
      </c>
      <c r="B3169" s="1" t="s">
        <v>41</v>
      </c>
      <c r="C3169" s="1" t="s">
        <v>23</v>
      </c>
      <c r="D3169" s="1" t="s">
        <v>23</v>
      </c>
      <c r="E3169" s="1" t="s">
        <v>28</v>
      </c>
      <c r="F3169" s="1" t="s">
        <v>31</v>
      </c>
      <c r="G3169" s="1" t="s">
        <v>20</v>
      </c>
      <c r="H3169" t="s">
        <v>21</v>
      </c>
      <c r="I3169" s="1" t="s">
        <v>26</v>
      </c>
      <c r="J3169" s="2">
        <v>43536.800740740742</v>
      </c>
      <c r="K3169" s="2">
        <v>43539.800740740742</v>
      </c>
      <c r="L3169" s="2">
        <v>43540.800740740742</v>
      </c>
      <c r="M3169" s="1">
        <f>_xlfn.DAYS(Table1[[#This Row],[actual_delivery_date]],Table1[[#This Row],[dispatch_date]])</f>
        <v>3</v>
      </c>
      <c r="N3169">
        <v>0</v>
      </c>
      <c r="O3169">
        <f>Table1[[#This Row],[transit_storage_cost]] * (1-'What -if Analysis'!$D$26)</f>
        <v>0</v>
      </c>
      <c r="P3169">
        <v>126</v>
      </c>
      <c r="Q3169">
        <v>2945</v>
      </c>
    </row>
    <row r="3170" spans="1:17" x14ac:dyDescent="0.3">
      <c r="A3170">
        <v>515003</v>
      </c>
      <c r="B3170" s="1" t="s">
        <v>37</v>
      </c>
      <c r="C3170" s="1" t="s">
        <v>16</v>
      </c>
      <c r="D3170" s="1" t="s">
        <v>16</v>
      </c>
      <c r="E3170" s="1" t="s">
        <v>27</v>
      </c>
      <c r="F3170" s="1" t="s">
        <v>19</v>
      </c>
      <c r="G3170" s="1" t="s">
        <v>20</v>
      </c>
      <c r="H3170" t="s">
        <v>30</v>
      </c>
      <c r="I3170" s="1" t="s">
        <v>22</v>
      </c>
      <c r="J3170" s="2">
        <v>43535.801145833335</v>
      </c>
      <c r="K3170" s="2">
        <v>43539.801145833335</v>
      </c>
      <c r="L3170" s="2">
        <v>43538.801145833335</v>
      </c>
      <c r="M3170" s="1">
        <f>_xlfn.DAYS(Table1[[#This Row],[actual_delivery_date]],Table1[[#This Row],[dispatch_date]])</f>
        <v>4</v>
      </c>
      <c r="N3170">
        <v>0</v>
      </c>
      <c r="O3170">
        <f>Table1[[#This Row],[transit_storage_cost]] * (1-'What -if Analysis'!$D$26)</f>
        <v>0</v>
      </c>
      <c r="P3170">
        <v>109</v>
      </c>
      <c r="Q3170">
        <v>540.44631392976953</v>
      </c>
    </row>
    <row r="3171" spans="1:17" x14ac:dyDescent="0.3">
      <c r="A3171">
        <v>555445</v>
      </c>
      <c r="B3171" s="1" t="s">
        <v>37</v>
      </c>
      <c r="C3171" s="1" t="s">
        <v>16</v>
      </c>
      <c r="D3171" s="1" t="s">
        <v>17</v>
      </c>
      <c r="E3171" s="1" t="s">
        <v>18</v>
      </c>
      <c r="F3171" s="1" t="s">
        <v>29</v>
      </c>
      <c r="G3171" s="1" t="s">
        <v>20</v>
      </c>
      <c r="H3171" t="s">
        <v>30</v>
      </c>
      <c r="I3171" s="1" t="s">
        <v>22</v>
      </c>
      <c r="J3171" s="2">
        <v>43533.804120370369</v>
      </c>
      <c r="K3171" s="2">
        <v>43539.804120370369</v>
      </c>
      <c r="L3171" s="2">
        <v>43538.804120370369</v>
      </c>
      <c r="M3171" s="1">
        <f>_xlfn.DAYS(Table1[[#This Row],[actual_delivery_date]],Table1[[#This Row],[dispatch_date]])</f>
        <v>6</v>
      </c>
      <c r="N3171">
        <v>46</v>
      </c>
      <c r="O3171">
        <f>Table1[[#This Row],[transit_storage_cost]] * (1-'What -if Analysis'!$D$26)</f>
        <v>46</v>
      </c>
      <c r="P3171">
        <v>108</v>
      </c>
      <c r="Q3171">
        <v>2078</v>
      </c>
    </row>
    <row r="3172" spans="1:17" x14ac:dyDescent="0.3">
      <c r="A3172">
        <v>673512</v>
      </c>
      <c r="B3172" s="1" t="s">
        <v>38</v>
      </c>
      <c r="C3172" s="1" t="s">
        <v>16</v>
      </c>
      <c r="D3172" s="1" t="s">
        <v>17</v>
      </c>
      <c r="E3172" s="1" t="s">
        <v>18</v>
      </c>
      <c r="F3172" s="1" t="s">
        <v>19</v>
      </c>
      <c r="G3172" s="1" t="s">
        <v>20</v>
      </c>
      <c r="H3172" t="s">
        <v>21</v>
      </c>
      <c r="I3172" s="1" t="s">
        <v>26</v>
      </c>
      <c r="J3172" s="2">
        <v>43534.80777777778</v>
      </c>
      <c r="K3172" s="2">
        <v>43539.80777777778</v>
      </c>
      <c r="L3172" s="2">
        <v>43539.80777777778</v>
      </c>
      <c r="M3172" s="1">
        <f>_xlfn.DAYS(Table1[[#This Row],[actual_delivery_date]],Table1[[#This Row],[dispatch_date]])</f>
        <v>5</v>
      </c>
      <c r="N3172">
        <v>56</v>
      </c>
      <c r="O3172">
        <f>Table1[[#This Row],[transit_storage_cost]] * (1-'What -if Analysis'!$D$26)</f>
        <v>56</v>
      </c>
      <c r="P3172">
        <v>95</v>
      </c>
      <c r="Q3172">
        <v>1946.7212491928349</v>
      </c>
    </row>
    <row r="3173" spans="1:17" x14ac:dyDescent="0.3">
      <c r="A3173">
        <v>22857</v>
      </c>
      <c r="B3173" s="1" t="s">
        <v>37</v>
      </c>
      <c r="C3173" s="1" t="s">
        <v>16</v>
      </c>
      <c r="D3173" s="1" t="s">
        <v>24</v>
      </c>
      <c r="E3173" s="1" t="s">
        <v>25</v>
      </c>
      <c r="F3173" s="1" t="s">
        <v>29</v>
      </c>
      <c r="G3173" s="1" t="s">
        <v>20</v>
      </c>
      <c r="H3173" t="s">
        <v>30</v>
      </c>
      <c r="I3173" s="1" t="s">
        <v>26</v>
      </c>
      <c r="J3173" s="2">
        <v>43532.815196759257</v>
      </c>
      <c r="K3173" s="2">
        <v>43539.815196759257</v>
      </c>
      <c r="L3173" s="2">
        <v>43535.815196759257</v>
      </c>
      <c r="M3173" s="1">
        <f>_xlfn.DAYS(Table1[[#This Row],[actual_delivery_date]],Table1[[#This Row],[dispatch_date]])</f>
        <v>7</v>
      </c>
      <c r="N3173">
        <v>41</v>
      </c>
      <c r="O3173">
        <f>Table1[[#This Row],[transit_storage_cost]] * (1-'What -if Analysis'!$D$26)</f>
        <v>41</v>
      </c>
      <c r="P3173">
        <v>123</v>
      </c>
      <c r="Q3173">
        <v>2527</v>
      </c>
    </row>
    <row r="3174" spans="1:17" x14ac:dyDescent="0.3">
      <c r="A3174">
        <v>558574</v>
      </c>
      <c r="B3174" s="1" t="s">
        <v>15</v>
      </c>
      <c r="C3174" s="1" t="s">
        <v>16</v>
      </c>
      <c r="D3174" s="1" t="s">
        <v>23</v>
      </c>
      <c r="E3174" s="1" t="s">
        <v>28</v>
      </c>
      <c r="F3174" s="1" t="s">
        <v>31</v>
      </c>
      <c r="G3174" s="1" t="s">
        <v>20</v>
      </c>
      <c r="H3174" t="s">
        <v>21</v>
      </c>
      <c r="I3174" s="1" t="s">
        <v>22</v>
      </c>
      <c r="J3174" s="2">
        <v>43530.815636574072</v>
      </c>
      <c r="K3174" s="2">
        <v>43539.815636574072</v>
      </c>
      <c r="L3174" s="2">
        <v>43536.815636574072</v>
      </c>
      <c r="M3174" s="1">
        <f>_xlfn.DAYS(Table1[[#This Row],[actual_delivery_date]],Table1[[#This Row],[dispatch_date]])</f>
        <v>9</v>
      </c>
      <c r="N3174">
        <v>50</v>
      </c>
      <c r="O3174">
        <f>Table1[[#This Row],[transit_storage_cost]] * (1-'What -if Analysis'!$D$26)</f>
        <v>50</v>
      </c>
      <c r="P3174">
        <v>122</v>
      </c>
      <c r="Q3174">
        <v>1883</v>
      </c>
    </row>
    <row r="3175" spans="1:17" x14ac:dyDescent="0.3">
      <c r="A3175">
        <v>93205</v>
      </c>
      <c r="B3175" s="1" t="s">
        <v>37</v>
      </c>
      <c r="C3175" s="1" t="s">
        <v>16</v>
      </c>
      <c r="D3175" s="1" t="s">
        <v>32</v>
      </c>
      <c r="E3175" s="1" t="s">
        <v>33</v>
      </c>
      <c r="F3175" s="1" t="s">
        <v>19</v>
      </c>
      <c r="G3175" s="1" t="s">
        <v>20</v>
      </c>
      <c r="H3175" t="s">
        <v>34</v>
      </c>
      <c r="I3175" s="1" t="s">
        <v>22</v>
      </c>
      <c r="J3175" s="2">
        <v>43530.822731481479</v>
      </c>
      <c r="K3175" s="2">
        <v>43539.822731481479</v>
      </c>
      <c r="L3175" s="2">
        <v>43533.822731481479</v>
      </c>
      <c r="M3175" s="1">
        <f>_xlfn.DAYS(Table1[[#This Row],[actual_delivery_date]],Table1[[#This Row],[dispatch_date]])</f>
        <v>9</v>
      </c>
      <c r="N3175">
        <v>65</v>
      </c>
      <c r="O3175">
        <f>Table1[[#This Row],[transit_storage_cost]] * (1-'What -if Analysis'!$D$26)</f>
        <v>65</v>
      </c>
      <c r="P3175">
        <v>92</v>
      </c>
      <c r="Q3175">
        <v>2381.2111917975462</v>
      </c>
    </row>
    <row r="3176" spans="1:17" x14ac:dyDescent="0.3">
      <c r="A3176">
        <v>20224</v>
      </c>
      <c r="B3176" s="1" t="s">
        <v>37</v>
      </c>
      <c r="C3176" s="1" t="s">
        <v>16</v>
      </c>
      <c r="D3176" s="1" t="s">
        <v>23</v>
      </c>
      <c r="E3176" s="1" t="s">
        <v>28</v>
      </c>
      <c r="F3176" s="1" t="s">
        <v>19</v>
      </c>
      <c r="G3176" s="1" t="s">
        <v>20</v>
      </c>
      <c r="H3176" t="s">
        <v>21</v>
      </c>
      <c r="I3176" s="1" t="s">
        <v>22</v>
      </c>
      <c r="J3176" s="2">
        <v>43534.823113425926</v>
      </c>
      <c r="K3176" s="2">
        <v>43539.823113425926</v>
      </c>
      <c r="L3176" s="2">
        <v>43539.823113425926</v>
      </c>
      <c r="M3176" s="1">
        <f>_xlfn.DAYS(Table1[[#This Row],[actual_delivery_date]],Table1[[#This Row],[dispatch_date]])</f>
        <v>5</v>
      </c>
      <c r="N3176">
        <v>48</v>
      </c>
      <c r="O3176">
        <f>Table1[[#This Row],[transit_storage_cost]] * (1-'What -if Analysis'!$D$26)</f>
        <v>48</v>
      </c>
      <c r="P3176">
        <v>120</v>
      </c>
      <c r="Q3176">
        <v>3105.8750520792532</v>
      </c>
    </row>
    <row r="3177" spans="1:17" x14ac:dyDescent="0.3">
      <c r="A3177">
        <v>170011</v>
      </c>
      <c r="B3177" s="1" t="s">
        <v>39</v>
      </c>
      <c r="C3177" s="1" t="s">
        <v>23</v>
      </c>
      <c r="D3177" s="1" t="s">
        <v>17</v>
      </c>
      <c r="E3177" s="1" t="s">
        <v>18</v>
      </c>
      <c r="F3177" s="1" t="s">
        <v>29</v>
      </c>
      <c r="G3177" s="1" t="s">
        <v>20</v>
      </c>
      <c r="H3177" t="s">
        <v>30</v>
      </c>
      <c r="I3177" s="1" t="s">
        <v>22</v>
      </c>
      <c r="J3177" s="2">
        <v>43535.825879629629</v>
      </c>
      <c r="K3177" s="2">
        <v>43539.825879629629</v>
      </c>
      <c r="L3177" s="2">
        <v>43541.825879629629</v>
      </c>
      <c r="M3177" s="1">
        <f>_xlfn.DAYS(Table1[[#This Row],[actual_delivery_date]],Table1[[#This Row],[dispatch_date]])</f>
        <v>4</v>
      </c>
      <c r="N3177">
        <v>26</v>
      </c>
      <c r="O3177">
        <f>Table1[[#This Row],[transit_storage_cost]] * (1-'What -if Analysis'!$D$26)</f>
        <v>26</v>
      </c>
      <c r="P3177">
        <v>109</v>
      </c>
      <c r="Q3177">
        <v>1353</v>
      </c>
    </row>
    <row r="3178" spans="1:17" x14ac:dyDescent="0.3">
      <c r="A3178">
        <v>64039</v>
      </c>
      <c r="B3178" s="1" t="s">
        <v>41</v>
      </c>
      <c r="C3178" s="1" t="s">
        <v>16</v>
      </c>
      <c r="D3178" s="1" t="s">
        <v>24</v>
      </c>
      <c r="E3178" s="1" t="s">
        <v>25</v>
      </c>
      <c r="F3178" s="1" t="s">
        <v>29</v>
      </c>
      <c r="G3178" s="1" t="s">
        <v>20</v>
      </c>
      <c r="H3178" t="s">
        <v>30</v>
      </c>
      <c r="I3178" s="1" t="s">
        <v>22</v>
      </c>
      <c r="J3178" s="2">
        <v>43534.828645833331</v>
      </c>
      <c r="K3178" s="2">
        <v>43539.828645833331</v>
      </c>
      <c r="L3178" s="2">
        <v>43538.828645833331</v>
      </c>
      <c r="M3178" s="1">
        <f>_xlfn.DAYS(Table1[[#This Row],[actual_delivery_date]],Table1[[#This Row],[dispatch_date]])</f>
        <v>5</v>
      </c>
      <c r="N3178">
        <v>32</v>
      </c>
      <c r="O3178">
        <f>Table1[[#This Row],[transit_storage_cost]] * (1-'What -if Analysis'!$D$26)</f>
        <v>32</v>
      </c>
      <c r="P3178">
        <v>124</v>
      </c>
      <c r="Q3178">
        <v>2494.2340431149528</v>
      </c>
    </row>
    <row r="3179" spans="1:17" x14ac:dyDescent="0.3">
      <c r="A3179">
        <v>312405</v>
      </c>
      <c r="B3179" s="1" t="s">
        <v>38</v>
      </c>
      <c r="C3179" s="1" t="s">
        <v>16</v>
      </c>
      <c r="D3179" s="1" t="s">
        <v>32</v>
      </c>
      <c r="E3179" s="1" t="s">
        <v>33</v>
      </c>
      <c r="F3179" s="1" t="s">
        <v>19</v>
      </c>
      <c r="G3179" s="1" t="s">
        <v>20</v>
      </c>
      <c r="H3179" t="s">
        <v>30</v>
      </c>
      <c r="I3179" s="1" t="s">
        <v>26</v>
      </c>
      <c r="J3179" s="2">
        <v>43534.831342592595</v>
      </c>
      <c r="K3179" s="2">
        <v>43539.831342592595</v>
      </c>
      <c r="L3179" s="2">
        <v>43538.831342592595</v>
      </c>
      <c r="M3179" s="1">
        <f>_xlfn.DAYS(Table1[[#This Row],[actual_delivery_date]],Table1[[#This Row],[dispatch_date]])</f>
        <v>5</v>
      </c>
      <c r="N3179">
        <v>72</v>
      </c>
      <c r="O3179">
        <f>Table1[[#This Row],[transit_storage_cost]] * (1-'What -if Analysis'!$D$26)</f>
        <v>72</v>
      </c>
      <c r="P3179">
        <v>94</v>
      </c>
      <c r="Q3179">
        <v>3118.8811875754409</v>
      </c>
    </row>
    <row r="3180" spans="1:17" x14ac:dyDescent="0.3">
      <c r="A3180">
        <v>397695</v>
      </c>
      <c r="B3180" s="1" t="s">
        <v>37</v>
      </c>
      <c r="C3180" s="1" t="s">
        <v>16</v>
      </c>
      <c r="D3180" s="1" t="s">
        <v>16</v>
      </c>
      <c r="E3180" s="1" t="s">
        <v>27</v>
      </c>
      <c r="F3180" s="1" t="s">
        <v>29</v>
      </c>
      <c r="G3180" s="1" t="s">
        <v>20</v>
      </c>
      <c r="H3180" t="s">
        <v>30</v>
      </c>
      <c r="I3180" s="1" t="s">
        <v>26</v>
      </c>
      <c r="J3180" s="2">
        <v>43533.83321759259</v>
      </c>
      <c r="K3180" s="2">
        <v>43539.83321759259</v>
      </c>
      <c r="L3180" s="2">
        <v>43539.83321759259</v>
      </c>
      <c r="M3180" s="1">
        <f>_xlfn.DAYS(Table1[[#This Row],[actual_delivery_date]],Table1[[#This Row],[dispatch_date]])</f>
        <v>6</v>
      </c>
      <c r="N3180">
        <v>0</v>
      </c>
      <c r="O3180">
        <f>Table1[[#This Row],[transit_storage_cost]] * (1-'What -if Analysis'!$D$26)</f>
        <v>0</v>
      </c>
      <c r="P3180">
        <v>121</v>
      </c>
      <c r="Q3180">
        <v>3033.6101128247565</v>
      </c>
    </row>
    <row r="3181" spans="1:17" x14ac:dyDescent="0.3">
      <c r="A3181">
        <v>908951</v>
      </c>
      <c r="B3181" s="1" t="s">
        <v>37</v>
      </c>
      <c r="C3181" s="1" t="s">
        <v>16</v>
      </c>
      <c r="D3181" s="1" t="s">
        <v>16</v>
      </c>
      <c r="E3181" s="1" t="s">
        <v>27</v>
      </c>
      <c r="F3181" s="1" t="s">
        <v>19</v>
      </c>
      <c r="G3181" s="1" t="s">
        <v>20</v>
      </c>
      <c r="H3181" t="s">
        <v>30</v>
      </c>
      <c r="I3181" s="1" t="s">
        <v>22</v>
      </c>
      <c r="J3181" s="2">
        <v>43538.838831018518</v>
      </c>
      <c r="K3181" s="2">
        <v>43539.838831018518</v>
      </c>
      <c r="L3181" s="2">
        <v>43541.838831018518</v>
      </c>
      <c r="M3181" s="1">
        <f>_xlfn.DAYS(Table1[[#This Row],[actual_delivery_date]],Table1[[#This Row],[dispatch_date]])</f>
        <v>1</v>
      </c>
      <c r="N3181">
        <v>0</v>
      </c>
      <c r="O3181">
        <f>Table1[[#This Row],[transit_storage_cost]] * (1-'What -if Analysis'!$D$26)</f>
        <v>0</v>
      </c>
      <c r="P3181">
        <v>103</v>
      </c>
      <c r="Q3181">
        <v>3321.2256462776845</v>
      </c>
    </row>
    <row r="3182" spans="1:17" x14ac:dyDescent="0.3">
      <c r="A3182">
        <v>412953</v>
      </c>
      <c r="B3182" s="1" t="s">
        <v>40</v>
      </c>
      <c r="C3182" s="1" t="s">
        <v>16</v>
      </c>
      <c r="D3182" s="1" t="s">
        <v>17</v>
      </c>
      <c r="E3182" s="1" t="s">
        <v>18</v>
      </c>
      <c r="F3182" s="1" t="s">
        <v>29</v>
      </c>
      <c r="G3182" s="1" t="s">
        <v>20</v>
      </c>
      <c r="H3182" t="s">
        <v>30</v>
      </c>
      <c r="I3182" s="1" t="s">
        <v>26</v>
      </c>
      <c r="J3182" s="2">
        <v>43532.842685185184</v>
      </c>
      <c r="K3182" s="2">
        <v>43539.842685185184</v>
      </c>
      <c r="L3182" s="2">
        <v>43538.842685185184</v>
      </c>
      <c r="M3182" s="1">
        <f>_xlfn.DAYS(Table1[[#This Row],[actual_delivery_date]],Table1[[#This Row],[dispatch_date]])</f>
        <v>7</v>
      </c>
      <c r="N3182">
        <v>45</v>
      </c>
      <c r="O3182">
        <f>Table1[[#This Row],[transit_storage_cost]] * (1-'What -if Analysis'!$D$26)</f>
        <v>45</v>
      </c>
      <c r="P3182">
        <v>108</v>
      </c>
      <c r="Q3182">
        <v>3624.5601404091231</v>
      </c>
    </row>
    <row r="3183" spans="1:17" x14ac:dyDescent="0.3">
      <c r="A3183">
        <v>945893</v>
      </c>
      <c r="B3183" s="1" t="s">
        <v>41</v>
      </c>
      <c r="C3183" s="1" t="s">
        <v>16</v>
      </c>
      <c r="D3183" s="1" t="s">
        <v>17</v>
      </c>
      <c r="E3183" s="1" t="s">
        <v>18</v>
      </c>
      <c r="F3183" s="1" t="s">
        <v>29</v>
      </c>
      <c r="G3183" s="1" t="s">
        <v>20</v>
      </c>
      <c r="H3183" t="s">
        <v>30</v>
      </c>
      <c r="I3183" s="1" t="s">
        <v>22</v>
      </c>
      <c r="J3183" s="2">
        <v>43530.844467592593</v>
      </c>
      <c r="K3183" s="2">
        <v>43539.844467592593</v>
      </c>
      <c r="L3183" s="2">
        <v>43537.844467592593</v>
      </c>
      <c r="M3183" s="1">
        <f>_xlfn.DAYS(Table1[[#This Row],[actual_delivery_date]],Table1[[#This Row],[dispatch_date]])</f>
        <v>9</v>
      </c>
      <c r="N3183">
        <v>30</v>
      </c>
      <c r="O3183">
        <f>Table1[[#This Row],[transit_storage_cost]] * (1-'What -if Analysis'!$D$26)</f>
        <v>30</v>
      </c>
      <c r="P3183">
        <v>107</v>
      </c>
      <c r="Q3183">
        <v>310.3337213310848</v>
      </c>
    </row>
    <row r="3184" spans="1:17" x14ac:dyDescent="0.3">
      <c r="A3184">
        <v>352341</v>
      </c>
      <c r="B3184" s="1" t="s">
        <v>41</v>
      </c>
      <c r="C3184" s="1" t="s">
        <v>16</v>
      </c>
      <c r="D3184" s="1" t="s">
        <v>16</v>
      </c>
      <c r="E3184" s="1" t="s">
        <v>27</v>
      </c>
      <c r="F3184" s="1" t="s">
        <v>19</v>
      </c>
      <c r="G3184" s="1" t="s">
        <v>20</v>
      </c>
      <c r="H3184" t="s">
        <v>30</v>
      </c>
      <c r="I3184" s="1" t="s">
        <v>26</v>
      </c>
      <c r="J3184" s="2">
        <v>43536.844976851855</v>
      </c>
      <c r="K3184" s="2">
        <v>43539.844976851855</v>
      </c>
      <c r="L3184" s="2">
        <v>43539.844976851855</v>
      </c>
      <c r="M3184" s="1">
        <f>_xlfn.DAYS(Table1[[#This Row],[actual_delivery_date]],Table1[[#This Row],[dispatch_date]])</f>
        <v>3</v>
      </c>
      <c r="N3184">
        <v>0</v>
      </c>
      <c r="O3184">
        <f>Table1[[#This Row],[transit_storage_cost]] * (1-'What -if Analysis'!$D$26)</f>
        <v>0</v>
      </c>
      <c r="P3184">
        <v>105</v>
      </c>
      <c r="Q3184">
        <v>289.85565948082922</v>
      </c>
    </row>
    <row r="3185" spans="1:17" x14ac:dyDescent="0.3">
      <c r="A3185">
        <v>139886</v>
      </c>
      <c r="B3185" s="1" t="s">
        <v>38</v>
      </c>
      <c r="C3185" s="1" t="s">
        <v>23</v>
      </c>
      <c r="D3185" s="1" t="s">
        <v>24</v>
      </c>
      <c r="E3185" s="1" t="s">
        <v>25</v>
      </c>
      <c r="F3185" s="1" t="s">
        <v>19</v>
      </c>
      <c r="G3185" s="1" t="s">
        <v>20</v>
      </c>
      <c r="H3185" t="s">
        <v>21</v>
      </c>
      <c r="I3185" s="1" t="s">
        <v>22</v>
      </c>
      <c r="J3185" s="2">
        <v>43529.848368055558</v>
      </c>
      <c r="K3185" s="2">
        <v>43539.848368055558</v>
      </c>
      <c r="L3185" s="2">
        <v>43533.848368055558</v>
      </c>
      <c r="M3185" s="1">
        <f>_xlfn.DAYS(Table1[[#This Row],[actual_delivery_date]],Table1[[#This Row],[dispatch_date]])</f>
        <v>10</v>
      </c>
      <c r="N3185">
        <v>82</v>
      </c>
      <c r="O3185">
        <f>Table1[[#This Row],[transit_storage_cost]] * (1-'What -if Analysis'!$D$26)</f>
        <v>82</v>
      </c>
      <c r="P3185">
        <v>104</v>
      </c>
      <c r="Q3185">
        <v>1390.6391140916517</v>
      </c>
    </row>
    <row r="3186" spans="1:17" x14ac:dyDescent="0.3">
      <c r="A3186">
        <v>674253</v>
      </c>
      <c r="B3186" s="1" t="s">
        <v>37</v>
      </c>
      <c r="C3186" s="1" t="s">
        <v>16</v>
      </c>
      <c r="D3186" s="1" t="s">
        <v>32</v>
      </c>
      <c r="E3186" s="1" t="s">
        <v>33</v>
      </c>
      <c r="F3186" s="1" t="s">
        <v>29</v>
      </c>
      <c r="G3186" s="1" t="s">
        <v>20</v>
      </c>
      <c r="H3186" t="s">
        <v>30</v>
      </c>
      <c r="I3186" s="1" t="s">
        <v>26</v>
      </c>
      <c r="J3186" s="2">
        <v>43536.850613425922</v>
      </c>
      <c r="K3186" s="2">
        <v>43539.850613425922</v>
      </c>
      <c r="L3186" s="2">
        <v>43543.850613425922</v>
      </c>
      <c r="M3186" s="1">
        <f>_xlfn.DAYS(Table1[[#This Row],[actual_delivery_date]],Table1[[#This Row],[dispatch_date]])</f>
        <v>3</v>
      </c>
      <c r="N3186">
        <v>42</v>
      </c>
      <c r="O3186">
        <f>Table1[[#This Row],[transit_storage_cost]] * (1-'What -if Analysis'!$D$26)</f>
        <v>42</v>
      </c>
      <c r="P3186">
        <v>106</v>
      </c>
      <c r="Q3186">
        <v>2423.9630630926395</v>
      </c>
    </row>
    <row r="3187" spans="1:17" x14ac:dyDescent="0.3">
      <c r="A3187">
        <v>142970</v>
      </c>
      <c r="B3187" s="1" t="s">
        <v>38</v>
      </c>
      <c r="C3187" s="1" t="s">
        <v>23</v>
      </c>
      <c r="D3187" s="1" t="s">
        <v>17</v>
      </c>
      <c r="E3187" s="1" t="s">
        <v>18</v>
      </c>
      <c r="F3187" s="1" t="s">
        <v>31</v>
      </c>
      <c r="G3187" s="1" t="s">
        <v>20</v>
      </c>
      <c r="H3187" t="s">
        <v>21</v>
      </c>
      <c r="I3187" s="1" t="s">
        <v>22</v>
      </c>
      <c r="J3187" s="2">
        <v>43530.852118055554</v>
      </c>
      <c r="K3187" s="2">
        <v>43539.852118055554</v>
      </c>
      <c r="L3187" s="2">
        <v>43534.852118055554</v>
      </c>
      <c r="M3187" s="1">
        <f>_xlfn.DAYS(Table1[[#This Row],[actual_delivery_date]],Table1[[#This Row],[dispatch_date]])</f>
        <v>9</v>
      </c>
      <c r="N3187">
        <v>45</v>
      </c>
      <c r="O3187">
        <f>Table1[[#This Row],[transit_storage_cost]] * (1-'What -if Analysis'!$D$26)</f>
        <v>45</v>
      </c>
      <c r="P3187">
        <v>107</v>
      </c>
      <c r="Q3187">
        <v>197</v>
      </c>
    </row>
    <row r="3188" spans="1:17" x14ac:dyDescent="0.3">
      <c r="A3188">
        <v>567840</v>
      </c>
      <c r="B3188" s="1" t="s">
        <v>39</v>
      </c>
      <c r="C3188" s="1" t="s">
        <v>16</v>
      </c>
      <c r="D3188" s="1" t="s">
        <v>23</v>
      </c>
      <c r="E3188" s="1" t="s">
        <v>28</v>
      </c>
      <c r="F3188" s="1" t="s">
        <v>19</v>
      </c>
      <c r="G3188" s="1" t="s">
        <v>20</v>
      </c>
      <c r="H3188" t="s">
        <v>21</v>
      </c>
      <c r="I3188" s="1" t="s">
        <v>26</v>
      </c>
      <c r="J3188" s="2">
        <v>43533.85837962963</v>
      </c>
      <c r="K3188" s="2">
        <v>43539.85837962963</v>
      </c>
      <c r="L3188" s="2">
        <v>43539.85837962963</v>
      </c>
      <c r="M3188" s="1">
        <f>_xlfn.DAYS(Table1[[#This Row],[actual_delivery_date]],Table1[[#This Row],[dispatch_date]])</f>
        <v>6</v>
      </c>
      <c r="N3188">
        <v>26</v>
      </c>
      <c r="O3188">
        <f>Table1[[#This Row],[transit_storage_cost]] * (1-'What -if Analysis'!$D$26)</f>
        <v>26</v>
      </c>
      <c r="P3188">
        <v>127</v>
      </c>
      <c r="Q3188">
        <v>3012.7706626189715</v>
      </c>
    </row>
    <row r="3189" spans="1:17" x14ac:dyDescent="0.3">
      <c r="A3189">
        <v>219545</v>
      </c>
      <c r="B3189" s="1" t="s">
        <v>15</v>
      </c>
      <c r="C3189" s="1" t="s">
        <v>16</v>
      </c>
      <c r="D3189" s="1" t="s">
        <v>17</v>
      </c>
      <c r="E3189" s="1" t="s">
        <v>18</v>
      </c>
      <c r="F3189" s="1" t="s">
        <v>29</v>
      </c>
      <c r="G3189" s="1" t="s">
        <v>20</v>
      </c>
      <c r="H3189" t="s">
        <v>30</v>
      </c>
      <c r="I3189" s="1" t="s">
        <v>22</v>
      </c>
      <c r="J3189" s="2">
        <v>43530.859664351854</v>
      </c>
      <c r="K3189" s="2">
        <v>43539.859664351854</v>
      </c>
      <c r="L3189" s="2">
        <v>43537.859664351854</v>
      </c>
      <c r="M3189" s="1">
        <f>_xlfn.DAYS(Table1[[#This Row],[actual_delivery_date]],Table1[[#This Row],[dispatch_date]])</f>
        <v>9</v>
      </c>
      <c r="N3189">
        <v>46</v>
      </c>
      <c r="O3189">
        <f>Table1[[#This Row],[transit_storage_cost]] * (1-'What -if Analysis'!$D$26)</f>
        <v>46</v>
      </c>
      <c r="P3189">
        <v>114</v>
      </c>
      <c r="Q3189">
        <v>2045.2998509346121</v>
      </c>
    </row>
    <row r="3190" spans="1:17" x14ac:dyDescent="0.3">
      <c r="A3190">
        <v>101053</v>
      </c>
      <c r="B3190" s="1" t="s">
        <v>38</v>
      </c>
      <c r="C3190" s="1" t="s">
        <v>23</v>
      </c>
      <c r="D3190" s="1" t="s">
        <v>24</v>
      </c>
      <c r="E3190" s="1" t="s">
        <v>25</v>
      </c>
      <c r="F3190" s="1" t="s">
        <v>29</v>
      </c>
      <c r="G3190" s="1" t="s">
        <v>20</v>
      </c>
      <c r="H3190" t="s">
        <v>30</v>
      </c>
      <c r="I3190" s="1" t="s">
        <v>22</v>
      </c>
      <c r="J3190" s="2">
        <v>43536.867314814815</v>
      </c>
      <c r="K3190" s="2">
        <v>43539.867314814815</v>
      </c>
      <c r="L3190" s="2">
        <v>43540.867314814815</v>
      </c>
      <c r="M3190" s="1">
        <f>_xlfn.DAYS(Table1[[#This Row],[actual_delivery_date]],Table1[[#This Row],[dispatch_date]])</f>
        <v>3</v>
      </c>
      <c r="N3190">
        <v>34</v>
      </c>
      <c r="O3190">
        <f>Table1[[#This Row],[transit_storage_cost]] * (1-'What -if Analysis'!$D$26)</f>
        <v>34</v>
      </c>
      <c r="P3190">
        <v>129</v>
      </c>
      <c r="Q3190">
        <v>3549.3009661786427</v>
      </c>
    </row>
    <row r="3191" spans="1:17" x14ac:dyDescent="0.3">
      <c r="A3191">
        <v>140450</v>
      </c>
      <c r="B3191" s="1" t="s">
        <v>38</v>
      </c>
      <c r="C3191" s="1" t="s">
        <v>23</v>
      </c>
      <c r="D3191" s="1" t="s">
        <v>17</v>
      </c>
      <c r="E3191" s="1" t="s">
        <v>18</v>
      </c>
      <c r="F3191" s="1" t="s">
        <v>19</v>
      </c>
      <c r="G3191" s="1" t="s">
        <v>20</v>
      </c>
      <c r="H3191" t="s">
        <v>21</v>
      </c>
      <c r="I3191" s="1" t="s">
        <v>22</v>
      </c>
      <c r="J3191" s="2">
        <v>43537.867905092593</v>
      </c>
      <c r="K3191" s="2">
        <v>43539.867905092593</v>
      </c>
      <c r="L3191" s="2">
        <v>43540.867905092593</v>
      </c>
      <c r="M3191" s="1">
        <f>_xlfn.DAYS(Table1[[#This Row],[actual_delivery_date]],Table1[[#This Row],[dispatch_date]])</f>
        <v>2</v>
      </c>
      <c r="N3191">
        <v>66</v>
      </c>
      <c r="O3191">
        <f>Table1[[#This Row],[transit_storage_cost]] * (1-'What -if Analysis'!$D$26)</f>
        <v>66</v>
      </c>
      <c r="P3191">
        <v>94</v>
      </c>
      <c r="Q3191">
        <v>2465.498005717292</v>
      </c>
    </row>
    <row r="3192" spans="1:17" x14ac:dyDescent="0.3">
      <c r="A3192">
        <v>177756</v>
      </c>
      <c r="B3192" s="1" t="s">
        <v>37</v>
      </c>
      <c r="C3192" s="1" t="s">
        <v>16</v>
      </c>
      <c r="D3192" s="1" t="s">
        <v>23</v>
      </c>
      <c r="E3192" s="1" t="s">
        <v>28</v>
      </c>
      <c r="F3192" s="1" t="s">
        <v>19</v>
      </c>
      <c r="G3192" s="1" t="s">
        <v>20</v>
      </c>
      <c r="H3192" t="s">
        <v>21</v>
      </c>
      <c r="I3192" s="1" t="s">
        <v>26</v>
      </c>
      <c r="J3192" s="2">
        <v>43533.868587962963</v>
      </c>
      <c r="K3192" s="2">
        <v>43539.868587962963</v>
      </c>
      <c r="L3192" s="2">
        <v>43539.868587962963</v>
      </c>
      <c r="M3192" s="1">
        <f>_xlfn.DAYS(Table1[[#This Row],[actual_delivery_date]],Table1[[#This Row],[dispatch_date]])</f>
        <v>6</v>
      </c>
      <c r="N3192">
        <v>29</v>
      </c>
      <c r="O3192">
        <f>Table1[[#This Row],[transit_storage_cost]] * (1-'What -if Analysis'!$D$26)</f>
        <v>29</v>
      </c>
      <c r="P3192">
        <v>123</v>
      </c>
      <c r="Q3192">
        <v>3349</v>
      </c>
    </row>
    <row r="3193" spans="1:17" x14ac:dyDescent="0.3">
      <c r="A3193">
        <v>530586</v>
      </c>
      <c r="B3193" s="1" t="s">
        <v>37</v>
      </c>
      <c r="C3193" s="1" t="s">
        <v>16</v>
      </c>
      <c r="D3193" s="1" t="s">
        <v>16</v>
      </c>
      <c r="E3193" s="1" t="s">
        <v>27</v>
      </c>
      <c r="F3193" s="1" t="s">
        <v>19</v>
      </c>
      <c r="G3193" s="1" t="s">
        <v>20</v>
      </c>
      <c r="H3193" t="s">
        <v>21</v>
      </c>
      <c r="I3193" s="1" t="s">
        <v>26</v>
      </c>
      <c r="J3193" s="2">
        <v>43538.869710648149</v>
      </c>
      <c r="K3193" s="2">
        <v>43539.869710648149</v>
      </c>
      <c r="L3193" s="2">
        <v>43545.869710648149</v>
      </c>
      <c r="M3193" s="1">
        <f>_xlfn.DAYS(Table1[[#This Row],[actual_delivery_date]],Table1[[#This Row],[dispatch_date]])</f>
        <v>1</v>
      </c>
      <c r="N3193">
        <v>0</v>
      </c>
      <c r="O3193">
        <f>Table1[[#This Row],[transit_storage_cost]] * (1-'What -if Analysis'!$D$26)</f>
        <v>0</v>
      </c>
      <c r="P3193">
        <v>106</v>
      </c>
      <c r="Q3193">
        <v>1013.0825655996556</v>
      </c>
    </row>
    <row r="3194" spans="1:17" x14ac:dyDescent="0.3">
      <c r="A3194">
        <v>734594</v>
      </c>
      <c r="B3194" s="1" t="s">
        <v>40</v>
      </c>
      <c r="C3194" s="1" t="s">
        <v>16</v>
      </c>
      <c r="D3194" s="1" t="s">
        <v>23</v>
      </c>
      <c r="E3194" s="1" t="s">
        <v>28</v>
      </c>
      <c r="F3194" s="1" t="s">
        <v>31</v>
      </c>
      <c r="G3194" s="1" t="s">
        <v>20</v>
      </c>
      <c r="H3194" t="s">
        <v>21</v>
      </c>
      <c r="I3194" s="1" t="s">
        <v>22</v>
      </c>
      <c r="J3194" s="2">
        <v>43532.876979166664</v>
      </c>
      <c r="K3194" s="2">
        <v>43539.876979166664</v>
      </c>
      <c r="L3194" s="2">
        <v>43537.876979166664</v>
      </c>
      <c r="M3194" s="1">
        <f>_xlfn.DAYS(Table1[[#This Row],[actual_delivery_date]],Table1[[#This Row],[dispatch_date]])</f>
        <v>7</v>
      </c>
      <c r="N3194">
        <v>44</v>
      </c>
      <c r="O3194">
        <f>Table1[[#This Row],[transit_storage_cost]] * (1-'What -if Analysis'!$D$26)</f>
        <v>44</v>
      </c>
      <c r="P3194">
        <v>120</v>
      </c>
      <c r="Q3194">
        <v>3366.6680140186422</v>
      </c>
    </row>
    <row r="3195" spans="1:17" x14ac:dyDescent="0.3">
      <c r="A3195">
        <v>845236</v>
      </c>
      <c r="B3195" s="1" t="s">
        <v>40</v>
      </c>
      <c r="C3195" s="1" t="s">
        <v>16</v>
      </c>
      <c r="D3195" s="1" t="s">
        <v>32</v>
      </c>
      <c r="E3195" s="1" t="s">
        <v>33</v>
      </c>
      <c r="F3195" s="1" t="s">
        <v>19</v>
      </c>
      <c r="G3195" s="1" t="s">
        <v>20</v>
      </c>
      <c r="H3195" t="s">
        <v>21</v>
      </c>
      <c r="I3195" s="1" t="s">
        <v>22</v>
      </c>
      <c r="J3195" s="2">
        <v>43531.880208333336</v>
      </c>
      <c r="K3195" s="2">
        <v>43539.880208333336</v>
      </c>
      <c r="L3195" s="2">
        <v>43536.880208333336</v>
      </c>
      <c r="M3195" s="1">
        <f>_xlfn.DAYS(Table1[[#This Row],[actual_delivery_date]],Table1[[#This Row],[dispatch_date]])</f>
        <v>8</v>
      </c>
      <c r="N3195">
        <v>85</v>
      </c>
      <c r="O3195">
        <f>Table1[[#This Row],[transit_storage_cost]] * (1-'What -if Analysis'!$D$26)</f>
        <v>85</v>
      </c>
      <c r="P3195">
        <v>90</v>
      </c>
      <c r="Q3195">
        <v>3391.090682931821</v>
      </c>
    </row>
    <row r="3196" spans="1:17" x14ac:dyDescent="0.3">
      <c r="A3196">
        <v>679796</v>
      </c>
      <c r="B3196" s="1" t="s">
        <v>40</v>
      </c>
      <c r="C3196" s="1" t="s">
        <v>23</v>
      </c>
      <c r="D3196" s="1" t="s">
        <v>17</v>
      </c>
      <c r="E3196" s="1" t="s">
        <v>18</v>
      </c>
      <c r="F3196" s="1" t="s">
        <v>19</v>
      </c>
      <c r="G3196" s="1" t="s">
        <v>20</v>
      </c>
      <c r="H3196" t="s">
        <v>21</v>
      </c>
      <c r="I3196" s="1" t="s">
        <v>22</v>
      </c>
      <c r="J3196" s="2">
        <v>43536.880416666667</v>
      </c>
      <c r="K3196" s="2">
        <v>43539.880416666667</v>
      </c>
      <c r="L3196" s="2">
        <v>43543.880416666667</v>
      </c>
      <c r="M3196" s="1">
        <f>_xlfn.DAYS(Table1[[#This Row],[actual_delivery_date]],Table1[[#This Row],[dispatch_date]])</f>
        <v>3</v>
      </c>
      <c r="N3196">
        <v>26</v>
      </c>
      <c r="O3196">
        <f>Table1[[#This Row],[transit_storage_cost]] * (1-'What -if Analysis'!$D$26)</f>
        <v>26</v>
      </c>
      <c r="P3196">
        <v>107</v>
      </c>
      <c r="Q3196">
        <v>3521.3690147044576</v>
      </c>
    </row>
    <row r="3197" spans="1:17" x14ac:dyDescent="0.3">
      <c r="A3197">
        <v>222741</v>
      </c>
      <c r="B3197" s="1" t="s">
        <v>41</v>
      </c>
      <c r="C3197" s="1" t="s">
        <v>23</v>
      </c>
      <c r="D3197" s="1" t="s">
        <v>23</v>
      </c>
      <c r="E3197" s="1" t="s">
        <v>28</v>
      </c>
      <c r="F3197" s="1" t="s">
        <v>29</v>
      </c>
      <c r="G3197" s="1" t="s">
        <v>20</v>
      </c>
      <c r="H3197" t="s">
        <v>30</v>
      </c>
      <c r="I3197" s="1" t="s">
        <v>26</v>
      </c>
      <c r="J3197" s="2">
        <v>43534.891006944446</v>
      </c>
      <c r="K3197" s="2">
        <v>43539.891006944446</v>
      </c>
      <c r="L3197" s="2">
        <v>43540.891006944446</v>
      </c>
      <c r="M3197" s="1">
        <f>_xlfn.DAYS(Table1[[#This Row],[actual_delivery_date]],Table1[[#This Row],[dispatch_date]])</f>
        <v>5</v>
      </c>
      <c r="N3197">
        <v>0</v>
      </c>
      <c r="O3197">
        <f>Table1[[#This Row],[transit_storage_cost]] * (1-'What -if Analysis'!$D$26)</f>
        <v>0</v>
      </c>
      <c r="P3197">
        <v>126</v>
      </c>
      <c r="Q3197">
        <v>1088.1228386649204</v>
      </c>
    </row>
    <row r="3198" spans="1:17" x14ac:dyDescent="0.3">
      <c r="A3198">
        <v>877229</v>
      </c>
      <c r="B3198" s="1" t="s">
        <v>38</v>
      </c>
      <c r="C3198" s="1" t="s">
        <v>16</v>
      </c>
      <c r="D3198" s="1" t="s">
        <v>17</v>
      </c>
      <c r="E3198" s="1" t="s">
        <v>18</v>
      </c>
      <c r="F3198" s="1" t="s">
        <v>29</v>
      </c>
      <c r="G3198" s="1" t="s">
        <v>20</v>
      </c>
      <c r="H3198" t="s">
        <v>30</v>
      </c>
      <c r="I3198" s="1" t="s">
        <v>22</v>
      </c>
      <c r="J3198" s="2">
        <v>43532.894247685188</v>
      </c>
      <c r="K3198" s="2">
        <v>43539.894247685188</v>
      </c>
      <c r="L3198" s="2">
        <v>43537.894247685188</v>
      </c>
      <c r="M3198" s="1">
        <f>_xlfn.DAYS(Table1[[#This Row],[actual_delivery_date]],Table1[[#This Row],[dispatch_date]])</f>
        <v>7</v>
      </c>
      <c r="N3198">
        <v>30</v>
      </c>
      <c r="O3198">
        <f>Table1[[#This Row],[transit_storage_cost]] * (1-'What -if Analysis'!$D$26)</f>
        <v>30</v>
      </c>
      <c r="P3198">
        <v>114</v>
      </c>
      <c r="Q3198">
        <v>393</v>
      </c>
    </row>
    <row r="3199" spans="1:17" x14ac:dyDescent="0.3">
      <c r="A3199">
        <v>376352</v>
      </c>
      <c r="B3199" s="1" t="s">
        <v>38</v>
      </c>
      <c r="C3199" s="1" t="s">
        <v>23</v>
      </c>
      <c r="D3199" s="1" t="s">
        <v>23</v>
      </c>
      <c r="E3199" s="1" t="s">
        <v>28</v>
      </c>
      <c r="F3199" s="1" t="s">
        <v>19</v>
      </c>
      <c r="G3199" s="1" t="s">
        <v>20</v>
      </c>
      <c r="H3199" t="s">
        <v>21</v>
      </c>
      <c r="I3199" s="1" t="s">
        <v>22</v>
      </c>
      <c r="J3199" s="2">
        <v>43534.89435185185</v>
      </c>
      <c r="K3199" s="2">
        <v>43539.89435185185</v>
      </c>
      <c r="L3199" s="2">
        <v>43538.89435185185</v>
      </c>
      <c r="M3199" s="1">
        <f>_xlfn.DAYS(Table1[[#This Row],[actual_delivery_date]],Table1[[#This Row],[dispatch_date]])</f>
        <v>5</v>
      </c>
      <c r="N3199">
        <v>0</v>
      </c>
      <c r="O3199">
        <f>Table1[[#This Row],[transit_storage_cost]] * (1-'What -if Analysis'!$D$26)</f>
        <v>0</v>
      </c>
      <c r="P3199">
        <v>126</v>
      </c>
      <c r="Q3199">
        <v>1273.172573642556</v>
      </c>
    </row>
    <row r="3200" spans="1:17" x14ac:dyDescent="0.3">
      <c r="A3200">
        <v>723388</v>
      </c>
      <c r="B3200" s="1" t="s">
        <v>37</v>
      </c>
      <c r="C3200" s="1" t="s">
        <v>23</v>
      </c>
      <c r="D3200" s="1" t="s">
        <v>17</v>
      </c>
      <c r="E3200" s="1" t="s">
        <v>18</v>
      </c>
      <c r="F3200" s="1" t="s">
        <v>19</v>
      </c>
      <c r="G3200" s="1" t="s">
        <v>20</v>
      </c>
      <c r="H3200" t="s">
        <v>21</v>
      </c>
      <c r="I3200" s="1" t="s">
        <v>22</v>
      </c>
      <c r="J3200" s="2">
        <v>43533.894490740742</v>
      </c>
      <c r="K3200" s="2">
        <v>43539.894490740742</v>
      </c>
      <c r="L3200" s="2">
        <v>43538.894490740742</v>
      </c>
      <c r="M3200" s="1">
        <f>_xlfn.DAYS(Table1[[#This Row],[actual_delivery_date]],Table1[[#This Row],[dispatch_date]])</f>
        <v>6</v>
      </c>
      <c r="N3200">
        <v>46</v>
      </c>
      <c r="O3200">
        <f>Table1[[#This Row],[transit_storage_cost]] * (1-'What -if Analysis'!$D$26)</f>
        <v>46</v>
      </c>
      <c r="P3200">
        <v>115</v>
      </c>
      <c r="Q3200">
        <v>2958.8257918405625</v>
      </c>
    </row>
    <row r="3201" spans="1:17" x14ac:dyDescent="0.3">
      <c r="A3201">
        <v>615932</v>
      </c>
      <c r="B3201" s="1" t="s">
        <v>40</v>
      </c>
      <c r="C3201" s="1" t="s">
        <v>16</v>
      </c>
      <c r="D3201" s="1" t="s">
        <v>24</v>
      </c>
      <c r="E3201" s="1" t="s">
        <v>25</v>
      </c>
      <c r="F3201" s="1" t="s">
        <v>19</v>
      </c>
      <c r="G3201" s="1" t="s">
        <v>20</v>
      </c>
      <c r="H3201" t="s">
        <v>21</v>
      </c>
      <c r="I3201" s="1" t="s">
        <v>22</v>
      </c>
      <c r="J3201" s="2">
        <v>43529.8984375</v>
      </c>
      <c r="K3201" s="2">
        <v>43539.8984375</v>
      </c>
      <c r="L3201" s="2">
        <v>43535.8984375</v>
      </c>
      <c r="M3201" s="1">
        <f>_xlfn.DAYS(Table1[[#This Row],[actual_delivery_date]],Table1[[#This Row],[dispatch_date]])</f>
        <v>10</v>
      </c>
      <c r="N3201">
        <v>31</v>
      </c>
      <c r="O3201">
        <f>Table1[[#This Row],[transit_storage_cost]] * (1-'What -if Analysis'!$D$26)</f>
        <v>31</v>
      </c>
      <c r="P3201">
        <v>123</v>
      </c>
      <c r="Q3201">
        <v>897.30074091305664</v>
      </c>
    </row>
    <row r="3202" spans="1:17" x14ac:dyDescent="0.3">
      <c r="A3202">
        <v>194884</v>
      </c>
      <c r="B3202" s="1" t="s">
        <v>37</v>
      </c>
      <c r="C3202" s="1" t="s">
        <v>23</v>
      </c>
      <c r="D3202" s="1" t="s">
        <v>17</v>
      </c>
      <c r="E3202" s="1" t="s">
        <v>18</v>
      </c>
      <c r="F3202" s="1" t="s">
        <v>19</v>
      </c>
      <c r="G3202" s="1" t="s">
        <v>20</v>
      </c>
      <c r="H3202" t="s">
        <v>21</v>
      </c>
      <c r="I3202" s="1" t="s">
        <v>22</v>
      </c>
      <c r="J3202" s="2">
        <v>43537.898761574077</v>
      </c>
      <c r="K3202" s="2">
        <v>43539.898761574077</v>
      </c>
      <c r="L3202" s="2">
        <v>43543.898761574077</v>
      </c>
      <c r="M3202" s="1">
        <f>_xlfn.DAYS(Table1[[#This Row],[actual_delivery_date]],Table1[[#This Row],[dispatch_date]])</f>
        <v>2</v>
      </c>
      <c r="N3202">
        <v>50</v>
      </c>
      <c r="O3202">
        <f>Table1[[#This Row],[transit_storage_cost]] * (1-'What -if Analysis'!$D$26)</f>
        <v>50</v>
      </c>
      <c r="P3202">
        <v>114</v>
      </c>
      <c r="Q3202">
        <v>2713.1076306692503</v>
      </c>
    </row>
    <row r="3203" spans="1:17" x14ac:dyDescent="0.3">
      <c r="A3203">
        <v>331525</v>
      </c>
      <c r="B3203" s="1" t="s">
        <v>38</v>
      </c>
      <c r="C3203" s="1" t="s">
        <v>16</v>
      </c>
      <c r="D3203" s="1" t="s">
        <v>17</v>
      </c>
      <c r="E3203" s="1" t="s">
        <v>18</v>
      </c>
      <c r="F3203" s="1" t="s">
        <v>29</v>
      </c>
      <c r="G3203" s="1" t="s">
        <v>20</v>
      </c>
      <c r="H3203" t="s">
        <v>30</v>
      </c>
      <c r="I3203" s="1" t="s">
        <v>22</v>
      </c>
      <c r="J3203" s="2">
        <v>43533.900219907409</v>
      </c>
      <c r="K3203" s="2">
        <v>43539.900219907409</v>
      </c>
      <c r="L3203" s="2">
        <v>43536.900219907409</v>
      </c>
      <c r="M3203" s="1">
        <f>_xlfn.DAYS(Table1[[#This Row],[actual_delivery_date]],Table1[[#This Row],[dispatch_date]])</f>
        <v>6</v>
      </c>
      <c r="N3203">
        <v>43</v>
      </c>
      <c r="O3203">
        <f>Table1[[#This Row],[transit_storage_cost]] * (1-'What -if Analysis'!$D$26)</f>
        <v>43</v>
      </c>
      <c r="P3203">
        <v>110</v>
      </c>
      <c r="Q3203">
        <v>2023.7852760082201</v>
      </c>
    </row>
    <row r="3204" spans="1:17" x14ac:dyDescent="0.3">
      <c r="A3204">
        <v>229716</v>
      </c>
      <c r="B3204" s="1" t="s">
        <v>37</v>
      </c>
      <c r="C3204" s="1" t="s">
        <v>16</v>
      </c>
      <c r="D3204" s="1" t="s">
        <v>17</v>
      </c>
      <c r="E3204" s="1" t="s">
        <v>18</v>
      </c>
      <c r="F3204" s="1" t="s">
        <v>19</v>
      </c>
      <c r="G3204" s="1" t="s">
        <v>20</v>
      </c>
      <c r="H3204" t="s">
        <v>21</v>
      </c>
      <c r="I3204" s="1" t="s">
        <v>26</v>
      </c>
      <c r="J3204" s="2">
        <v>43536.904548611114</v>
      </c>
      <c r="K3204" s="2">
        <v>43539.904548611114</v>
      </c>
      <c r="L3204" s="2">
        <v>43543.904548611114</v>
      </c>
      <c r="M3204" s="1">
        <f>_xlfn.DAYS(Table1[[#This Row],[actual_delivery_date]],Table1[[#This Row],[dispatch_date]])</f>
        <v>3</v>
      </c>
      <c r="N3204">
        <v>37</v>
      </c>
      <c r="O3204">
        <f>Table1[[#This Row],[transit_storage_cost]] * (1-'What -if Analysis'!$D$26)</f>
        <v>37</v>
      </c>
      <c r="P3204">
        <v>112</v>
      </c>
      <c r="Q3204">
        <v>1791.5690366705535</v>
      </c>
    </row>
    <row r="3205" spans="1:17" x14ac:dyDescent="0.3">
      <c r="A3205">
        <v>499505</v>
      </c>
      <c r="B3205" s="1" t="s">
        <v>38</v>
      </c>
      <c r="C3205" s="1" t="s">
        <v>16</v>
      </c>
      <c r="D3205" s="1" t="s">
        <v>24</v>
      </c>
      <c r="E3205" s="1" t="s">
        <v>25</v>
      </c>
      <c r="F3205" s="1" t="s">
        <v>29</v>
      </c>
      <c r="G3205" s="1" t="s">
        <v>20</v>
      </c>
      <c r="H3205" t="s">
        <v>30</v>
      </c>
      <c r="I3205" s="1" t="s">
        <v>22</v>
      </c>
      <c r="J3205" s="2">
        <v>43536.906388888892</v>
      </c>
      <c r="K3205" s="2">
        <v>43539.906388888892</v>
      </c>
      <c r="L3205" s="2">
        <v>43543.906388888892</v>
      </c>
      <c r="M3205" s="1">
        <f>_xlfn.DAYS(Table1[[#This Row],[actual_delivery_date]],Table1[[#This Row],[dispatch_date]])</f>
        <v>3</v>
      </c>
      <c r="N3205">
        <v>42</v>
      </c>
      <c r="O3205">
        <f>Table1[[#This Row],[transit_storage_cost]] * (1-'What -if Analysis'!$D$26)</f>
        <v>42</v>
      </c>
      <c r="P3205">
        <v>123</v>
      </c>
      <c r="Q3205">
        <v>1508.2424984565639</v>
      </c>
    </row>
    <row r="3206" spans="1:17" x14ac:dyDescent="0.3">
      <c r="A3206">
        <v>911804</v>
      </c>
      <c r="B3206" s="1" t="s">
        <v>40</v>
      </c>
      <c r="C3206" s="1" t="s">
        <v>16</v>
      </c>
      <c r="D3206" s="1" t="s">
        <v>23</v>
      </c>
      <c r="E3206" s="1" t="s">
        <v>28</v>
      </c>
      <c r="F3206" s="1" t="s">
        <v>19</v>
      </c>
      <c r="G3206" s="1" t="s">
        <v>20</v>
      </c>
      <c r="H3206" t="s">
        <v>21</v>
      </c>
      <c r="I3206" s="1" t="s">
        <v>22</v>
      </c>
      <c r="J3206" s="2">
        <v>43536.917731481481</v>
      </c>
      <c r="K3206" s="2">
        <v>43539.917731481481</v>
      </c>
      <c r="L3206" s="2">
        <v>43540.917731481481</v>
      </c>
      <c r="M3206" s="1">
        <f>_xlfn.DAYS(Table1[[#This Row],[actual_delivery_date]],Table1[[#This Row],[dispatch_date]])</f>
        <v>3</v>
      </c>
      <c r="N3206">
        <v>26</v>
      </c>
      <c r="O3206">
        <f>Table1[[#This Row],[transit_storage_cost]] * (1-'What -if Analysis'!$D$26)</f>
        <v>26</v>
      </c>
      <c r="P3206">
        <v>122</v>
      </c>
      <c r="Q3206">
        <v>1202.833922556772</v>
      </c>
    </row>
    <row r="3207" spans="1:17" x14ac:dyDescent="0.3">
      <c r="A3207">
        <v>845262</v>
      </c>
      <c r="B3207" s="1" t="s">
        <v>40</v>
      </c>
      <c r="C3207" s="1" t="s">
        <v>16</v>
      </c>
      <c r="D3207" s="1" t="s">
        <v>23</v>
      </c>
      <c r="E3207" s="1" t="s">
        <v>28</v>
      </c>
      <c r="F3207" s="1" t="s">
        <v>31</v>
      </c>
      <c r="G3207" s="1" t="s">
        <v>20</v>
      </c>
      <c r="H3207" t="s">
        <v>21</v>
      </c>
      <c r="I3207" s="1" t="s">
        <v>26</v>
      </c>
      <c r="J3207" s="2">
        <v>43529.921886574077</v>
      </c>
      <c r="K3207" s="2">
        <v>43539.921886574077</v>
      </c>
      <c r="L3207" s="2">
        <v>43533.921886574077</v>
      </c>
      <c r="M3207" s="1">
        <f>_xlfn.DAYS(Table1[[#This Row],[actual_delivery_date]],Table1[[#This Row],[dispatch_date]])</f>
        <v>10</v>
      </c>
      <c r="N3207">
        <v>31</v>
      </c>
      <c r="O3207">
        <f>Table1[[#This Row],[transit_storage_cost]] * (1-'What -if Analysis'!$D$26)</f>
        <v>31</v>
      </c>
      <c r="P3207">
        <v>125</v>
      </c>
      <c r="Q3207">
        <v>195.13</v>
      </c>
    </row>
    <row r="3208" spans="1:17" x14ac:dyDescent="0.3">
      <c r="A3208">
        <v>117657</v>
      </c>
      <c r="B3208" s="1" t="s">
        <v>38</v>
      </c>
      <c r="C3208" s="1" t="s">
        <v>16</v>
      </c>
      <c r="D3208" s="1" t="s">
        <v>16</v>
      </c>
      <c r="E3208" s="1" t="s">
        <v>27</v>
      </c>
      <c r="F3208" s="1" t="s">
        <v>29</v>
      </c>
      <c r="G3208" s="1" t="s">
        <v>20</v>
      </c>
      <c r="H3208" t="s">
        <v>30</v>
      </c>
      <c r="I3208" s="1" t="s">
        <v>26</v>
      </c>
      <c r="J3208" s="2">
        <v>43537.935532407406</v>
      </c>
      <c r="K3208" s="2">
        <v>43539.935532407406</v>
      </c>
      <c r="L3208" s="2">
        <v>43544.935532407406</v>
      </c>
      <c r="M3208" s="1">
        <f>_xlfn.DAYS(Table1[[#This Row],[actual_delivery_date]],Table1[[#This Row],[dispatch_date]])</f>
        <v>2</v>
      </c>
      <c r="N3208">
        <v>0</v>
      </c>
      <c r="O3208">
        <f>Table1[[#This Row],[transit_storage_cost]] * (1-'What -if Analysis'!$D$26)</f>
        <v>0</v>
      </c>
      <c r="P3208">
        <v>130</v>
      </c>
      <c r="Q3208">
        <v>796.13588583144031</v>
      </c>
    </row>
    <row r="3209" spans="1:17" x14ac:dyDescent="0.3">
      <c r="A3209">
        <v>422586</v>
      </c>
      <c r="B3209" s="1" t="s">
        <v>39</v>
      </c>
      <c r="C3209" s="1" t="s">
        <v>16</v>
      </c>
      <c r="D3209" s="1" t="s">
        <v>17</v>
      </c>
      <c r="E3209" s="1" t="s">
        <v>18</v>
      </c>
      <c r="F3209" s="1" t="s">
        <v>19</v>
      </c>
      <c r="G3209" s="1" t="s">
        <v>20</v>
      </c>
      <c r="H3209" t="s">
        <v>21</v>
      </c>
      <c r="I3209" s="1" t="s">
        <v>26</v>
      </c>
      <c r="J3209" s="2">
        <v>43534.938391203701</v>
      </c>
      <c r="K3209" s="2">
        <v>43539.938391203701</v>
      </c>
      <c r="L3209" s="2">
        <v>43541.938391203701</v>
      </c>
      <c r="M3209" s="1">
        <f>_xlfn.DAYS(Table1[[#This Row],[actual_delivery_date]],Table1[[#This Row],[dispatch_date]])</f>
        <v>5</v>
      </c>
      <c r="N3209">
        <v>83</v>
      </c>
      <c r="O3209">
        <f>Table1[[#This Row],[transit_storage_cost]] * (1-'What -if Analysis'!$D$26)</f>
        <v>83</v>
      </c>
      <c r="P3209">
        <v>89</v>
      </c>
      <c r="Q3209">
        <v>989.97071031227858</v>
      </c>
    </row>
    <row r="3210" spans="1:17" x14ac:dyDescent="0.3">
      <c r="A3210">
        <v>128282</v>
      </c>
      <c r="B3210" s="1" t="s">
        <v>41</v>
      </c>
      <c r="C3210" s="1" t="s">
        <v>16</v>
      </c>
      <c r="D3210" s="1" t="s">
        <v>16</v>
      </c>
      <c r="E3210" s="1" t="s">
        <v>27</v>
      </c>
      <c r="F3210" s="1" t="s">
        <v>19</v>
      </c>
      <c r="G3210" s="1" t="s">
        <v>20</v>
      </c>
      <c r="H3210" t="s">
        <v>21</v>
      </c>
      <c r="I3210" s="1" t="s">
        <v>22</v>
      </c>
      <c r="J3210" s="2">
        <v>43536.939699074072</v>
      </c>
      <c r="K3210" s="2">
        <v>43539.939699074072</v>
      </c>
      <c r="L3210" s="2">
        <v>43539.939699074072</v>
      </c>
      <c r="M3210" s="1">
        <f>_xlfn.DAYS(Table1[[#This Row],[actual_delivery_date]],Table1[[#This Row],[dispatch_date]])</f>
        <v>3</v>
      </c>
      <c r="N3210">
        <v>0</v>
      </c>
      <c r="O3210">
        <f>Table1[[#This Row],[transit_storage_cost]] * (1-'What -if Analysis'!$D$26)</f>
        <v>0</v>
      </c>
      <c r="P3210">
        <v>102</v>
      </c>
      <c r="Q3210">
        <v>2545.5759153719364</v>
      </c>
    </row>
    <row r="3211" spans="1:17" x14ac:dyDescent="0.3">
      <c r="A3211">
        <v>627058</v>
      </c>
      <c r="B3211" s="1" t="s">
        <v>41</v>
      </c>
      <c r="C3211" s="1" t="s">
        <v>16</v>
      </c>
      <c r="D3211" s="1" t="s">
        <v>23</v>
      </c>
      <c r="E3211" s="1" t="s">
        <v>28</v>
      </c>
      <c r="F3211" s="1" t="s">
        <v>31</v>
      </c>
      <c r="G3211" s="1" t="s">
        <v>20</v>
      </c>
      <c r="H3211" t="s">
        <v>21</v>
      </c>
      <c r="I3211" s="1" t="s">
        <v>22</v>
      </c>
      <c r="J3211" s="2">
        <v>43531.941886574074</v>
      </c>
      <c r="K3211" s="2">
        <v>43539.941886574074</v>
      </c>
      <c r="L3211" s="2">
        <v>43535.941886574074</v>
      </c>
      <c r="M3211" s="1">
        <f>_xlfn.DAYS(Table1[[#This Row],[actual_delivery_date]],Table1[[#This Row],[dispatch_date]])</f>
        <v>8</v>
      </c>
      <c r="N3211">
        <v>26</v>
      </c>
      <c r="O3211">
        <f>Table1[[#This Row],[transit_storage_cost]] * (1-'What -if Analysis'!$D$26)</f>
        <v>26</v>
      </c>
      <c r="P3211">
        <v>128</v>
      </c>
      <c r="Q3211">
        <v>2595.5524636243317</v>
      </c>
    </row>
    <row r="3212" spans="1:17" x14ac:dyDescent="0.3">
      <c r="A3212">
        <v>897668</v>
      </c>
      <c r="B3212" s="1" t="s">
        <v>38</v>
      </c>
      <c r="C3212" s="1" t="s">
        <v>16</v>
      </c>
      <c r="D3212" s="1" t="s">
        <v>32</v>
      </c>
      <c r="E3212" s="1" t="s">
        <v>33</v>
      </c>
      <c r="F3212" s="1" t="s">
        <v>19</v>
      </c>
      <c r="G3212" s="1" t="s">
        <v>20</v>
      </c>
      <c r="H3212" t="s">
        <v>21</v>
      </c>
      <c r="I3212" s="1" t="s">
        <v>22</v>
      </c>
      <c r="J3212" s="2">
        <v>43531.946157407408</v>
      </c>
      <c r="K3212" s="2">
        <v>43539.946157407408</v>
      </c>
      <c r="L3212" s="2">
        <v>43536.946157407408</v>
      </c>
      <c r="M3212" s="1">
        <f>_xlfn.DAYS(Table1[[#This Row],[actual_delivery_date]],Table1[[#This Row],[dispatch_date]])</f>
        <v>8</v>
      </c>
      <c r="N3212">
        <v>68</v>
      </c>
      <c r="O3212">
        <f>Table1[[#This Row],[transit_storage_cost]] * (1-'What -if Analysis'!$D$26)</f>
        <v>68</v>
      </c>
      <c r="P3212">
        <v>85</v>
      </c>
      <c r="Q3212">
        <v>2883.1100830246605</v>
      </c>
    </row>
    <row r="3213" spans="1:17" x14ac:dyDescent="0.3">
      <c r="A3213">
        <v>883119</v>
      </c>
      <c r="B3213" s="1" t="s">
        <v>40</v>
      </c>
      <c r="C3213" s="1" t="s">
        <v>23</v>
      </c>
      <c r="D3213" s="1" t="s">
        <v>23</v>
      </c>
      <c r="E3213" s="1" t="s">
        <v>28</v>
      </c>
      <c r="F3213" s="1" t="s">
        <v>29</v>
      </c>
      <c r="G3213" s="1" t="s">
        <v>20</v>
      </c>
      <c r="H3213" t="s">
        <v>30</v>
      </c>
      <c r="I3213" s="1" t="s">
        <v>26</v>
      </c>
      <c r="J3213" s="2">
        <v>43536.948125000003</v>
      </c>
      <c r="K3213" s="2">
        <v>43539.948125000003</v>
      </c>
      <c r="L3213" s="2">
        <v>43540.948125000003</v>
      </c>
      <c r="M3213" s="1">
        <f>_xlfn.DAYS(Table1[[#This Row],[actual_delivery_date]],Table1[[#This Row],[dispatch_date]])</f>
        <v>3</v>
      </c>
      <c r="N3213">
        <v>0</v>
      </c>
      <c r="O3213">
        <f>Table1[[#This Row],[transit_storage_cost]] * (1-'What -if Analysis'!$D$26)</f>
        <v>0</v>
      </c>
      <c r="P3213">
        <v>122</v>
      </c>
      <c r="Q3213">
        <v>2140</v>
      </c>
    </row>
    <row r="3214" spans="1:17" x14ac:dyDescent="0.3">
      <c r="A3214">
        <v>766423</v>
      </c>
      <c r="B3214" s="1" t="s">
        <v>38</v>
      </c>
      <c r="C3214" s="1" t="s">
        <v>16</v>
      </c>
      <c r="D3214" s="1" t="s">
        <v>23</v>
      </c>
      <c r="E3214" s="1" t="s">
        <v>28</v>
      </c>
      <c r="F3214" s="1" t="s">
        <v>29</v>
      </c>
      <c r="G3214" s="1" t="s">
        <v>20</v>
      </c>
      <c r="H3214" t="s">
        <v>34</v>
      </c>
      <c r="I3214" s="1" t="s">
        <v>22</v>
      </c>
      <c r="J3214" s="2">
        <v>43531.949953703705</v>
      </c>
      <c r="K3214" s="2">
        <v>43539.949953703705</v>
      </c>
      <c r="L3214" s="2">
        <v>43534.949953703705</v>
      </c>
      <c r="M3214" s="1">
        <f>_xlfn.DAYS(Table1[[#This Row],[actual_delivery_date]],Table1[[#This Row],[dispatch_date]])</f>
        <v>8</v>
      </c>
      <c r="N3214">
        <v>36</v>
      </c>
      <c r="O3214">
        <f>Table1[[#This Row],[transit_storage_cost]] * (1-'What -if Analysis'!$D$26)</f>
        <v>36</v>
      </c>
      <c r="P3214">
        <v>125</v>
      </c>
      <c r="Q3214">
        <v>1724.753533421861</v>
      </c>
    </row>
    <row r="3215" spans="1:17" x14ac:dyDescent="0.3">
      <c r="A3215">
        <v>582918</v>
      </c>
      <c r="B3215" s="1" t="s">
        <v>37</v>
      </c>
      <c r="C3215" s="1" t="s">
        <v>16</v>
      </c>
      <c r="D3215" s="1" t="s">
        <v>24</v>
      </c>
      <c r="E3215" s="1" t="s">
        <v>25</v>
      </c>
      <c r="F3215" s="1" t="s">
        <v>19</v>
      </c>
      <c r="G3215" s="1" t="s">
        <v>20</v>
      </c>
      <c r="H3215" t="s">
        <v>21</v>
      </c>
      <c r="I3215" s="1" t="s">
        <v>26</v>
      </c>
      <c r="J3215" s="2">
        <v>43533.951469907406</v>
      </c>
      <c r="K3215" s="2">
        <v>43539.951469907406</v>
      </c>
      <c r="L3215" s="2">
        <v>43538.951469907406</v>
      </c>
      <c r="M3215" s="1">
        <f>_xlfn.DAYS(Table1[[#This Row],[actual_delivery_date]],Table1[[#This Row],[dispatch_date]])</f>
        <v>6</v>
      </c>
      <c r="N3215">
        <v>68</v>
      </c>
      <c r="O3215">
        <f>Table1[[#This Row],[transit_storage_cost]] * (1-'What -if Analysis'!$D$26)</f>
        <v>68</v>
      </c>
      <c r="P3215">
        <v>109</v>
      </c>
      <c r="Q3215">
        <v>1907</v>
      </c>
    </row>
    <row r="3216" spans="1:17" x14ac:dyDescent="0.3">
      <c r="A3216">
        <v>41719</v>
      </c>
      <c r="B3216" s="1" t="s">
        <v>37</v>
      </c>
      <c r="C3216" s="1" t="s">
        <v>23</v>
      </c>
      <c r="D3216" s="1" t="s">
        <v>32</v>
      </c>
      <c r="E3216" s="1" t="s">
        <v>33</v>
      </c>
      <c r="F3216" s="1" t="s">
        <v>29</v>
      </c>
      <c r="G3216" s="1" t="s">
        <v>20</v>
      </c>
      <c r="H3216" t="s">
        <v>30</v>
      </c>
      <c r="I3216" s="1" t="s">
        <v>22</v>
      </c>
      <c r="J3216" s="2">
        <v>43536.953726851854</v>
      </c>
      <c r="K3216" s="2">
        <v>43539.953726851854</v>
      </c>
      <c r="L3216" s="2">
        <v>43539.953726851854</v>
      </c>
      <c r="M3216" s="1">
        <f>_xlfn.DAYS(Table1[[#This Row],[actual_delivery_date]],Table1[[#This Row],[dispatch_date]])</f>
        <v>3</v>
      </c>
      <c r="N3216">
        <v>48</v>
      </c>
      <c r="O3216">
        <f>Table1[[#This Row],[transit_storage_cost]] * (1-'What -if Analysis'!$D$26)</f>
        <v>48</v>
      </c>
      <c r="P3216">
        <v>114</v>
      </c>
      <c r="Q3216">
        <v>3432.4283558847092</v>
      </c>
    </row>
    <row r="3217" spans="1:17" x14ac:dyDescent="0.3">
      <c r="A3217">
        <v>766045</v>
      </c>
      <c r="B3217" s="1" t="s">
        <v>41</v>
      </c>
      <c r="C3217" s="1" t="s">
        <v>23</v>
      </c>
      <c r="D3217" s="1" t="s">
        <v>16</v>
      </c>
      <c r="E3217" s="1" t="s">
        <v>27</v>
      </c>
      <c r="F3217" s="1" t="s">
        <v>29</v>
      </c>
      <c r="G3217" s="1" t="s">
        <v>20</v>
      </c>
      <c r="H3217" t="s">
        <v>34</v>
      </c>
      <c r="I3217" s="1" t="s">
        <v>22</v>
      </c>
      <c r="J3217" s="2">
        <v>43530.954675925925</v>
      </c>
      <c r="K3217" s="2">
        <v>43539.954675925925</v>
      </c>
      <c r="L3217" s="2">
        <v>43535.954675925925</v>
      </c>
      <c r="M3217" s="1">
        <f>_xlfn.DAYS(Table1[[#This Row],[actual_delivery_date]],Table1[[#This Row],[dispatch_date]])</f>
        <v>9</v>
      </c>
      <c r="N3217">
        <v>9999</v>
      </c>
      <c r="O3217">
        <f>Table1[[#This Row],[transit_storage_cost]] * (1-'What -if Analysis'!$D$26)</f>
        <v>9999</v>
      </c>
      <c r="P3217">
        <v>127</v>
      </c>
      <c r="Q3217">
        <v>3572</v>
      </c>
    </row>
    <row r="3218" spans="1:17" x14ac:dyDescent="0.3">
      <c r="A3218">
        <v>786583</v>
      </c>
      <c r="B3218" s="1" t="s">
        <v>40</v>
      </c>
      <c r="C3218" s="1" t="s">
        <v>23</v>
      </c>
      <c r="D3218" s="1" t="s">
        <v>16</v>
      </c>
      <c r="E3218" s="1" t="s">
        <v>27</v>
      </c>
      <c r="F3218" s="1" t="s">
        <v>29</v>
      </c>
      <c r="G3218" s="1" t="s">
        <v>20</v>
      </c>
      <c r="H3218" t="s">
        <v>34</v>
      </c>
      <c r="I3218" s="1" t="s">
        <v>22</v>
      </c>
      <c r="J3218" s="2">
        <v>43534.9612037037</v>
      </c>
      <c r="K3218" s="2">
        <v>43539.9612037037</v>
      </c>
      <c r="L3218" s="2">
        <v>43541.9612037037</v>
      </c>
      <c r="M3218" s="1">
        <f>_xlfn.DAYS(Table1[[#This Row],[actual_delivery_date]],Table1[[#This Row],[dispatch_date]])</f>
        <v>5</v>
      </c>
      <c r="N3218">
        <v>38</v>
      </c>
      <c r="O3218">
        <f>Table1[[#This Row],[transit_storage_cost]] * (1-'What -if Analysis'!$D$26)</f>
        <v>38</v>
      </c>
      <c r="P3218">
        <v>129</v>
      </c>
      <c r="Q3218">
        <v>247</v>
      </c>
    </row>
    <row r="3219" spans="1:17" x14ac:dyDescent="0.3">
      <c r="A3219">
        <v>590938</v>
      </c>
      <c r="B3219" s="1" t="s">
        <v>37</v>
      </c>
      <c r="C3219" s="1" t="s">
        <v>16</v>
      </c>
      <c r="D3219" s="1" t="s">
        <v>32</v>
      </c>
      <c r="E3219" s="1" t="s">
        <v>33</v>
      </c>
      <c r="F3219" s="1" t="s">
        <v>31</v>
      </c>
      <c r="G3219" s="1" t="s">
        <v>20</v>
      </c>
      <c r="H3219" t="s">
        <v>21</v>
      </c>
      <c r="I3219" s="1" t="s">
        <v>22</v>
      </c>
      <c r="J3219" s="2">
        <v>43537.97388888889</v>
      </c>
      <c r="K3219" s="2">
        <v>43539.97388888889</v>
      </c>
      <c r="L3219" s="2">
        <v>43543.97388888889</v>
      </c>
      <c r="M3219" s="1">
        <f>_xlfn.DAYS(Table1[[#This Row],[actual_delivery_date]],Table1[[#This Row],[dispatch_date]])</f>
        <v>2</v>
      </c>
      <c r="N3219">
        <v>26</v>
      </c>
      <c r="O3219">
        <f>Table1[[#This Row],[transit_storage_cost]] * (1-'What -if Analysis'!$D$26)</f>
        <v>26</v>
      </c>
      <c r="P3219">
        <v>114</v>
      </c>
      <c r="Q3219">
        <v>3450.1197369873057</v>
      </c>
    </row>
    <row r="3220" spans="1:17" x14ac:dyDescent="0.3">
      <c r="A3220">
        <v>747406</v>
      </c>
      <c r="B3220" s="1" t="s">
        <v>41</v>
      </c>
      <c r="C3220" s="1" t="s">
        <v>16</v>
      </c>
      <c r="D3220" s="1" t="s">
        <v>16</v>
      </c>
      <c r="E3220" s="1" t="s">
        <v>27</v>
      </c>
      <c r="F3220" s="1" t="s">
        <v>31</v>
      </c>
      <c r="G3220" s="1" t="s">
        <v>20</v>
      </c>
      <c r="H3220" t="s">
        <v>21</v>
      </c>
      <c r="I3220" s="1" t="s">
        <v>22</v>
      </c>
      <c r="J3220" s="2">
        <v>43534.977511574078</v>
      </c>
      <c r="K3220" s="2">
        <v>43539.977511574078</v>
      </c>
      <c r="L3220" s="2">
        <v>43539.977511574078</v>
      </c>
      <c r="M3220" s="1">
        <f>_xlfn.DAYS(Table1[[#This Row],[actual_delivery_date]],Table1[[#This Row],[dispatch_date]])</f>
        <v>5</v>
      </c>
      <c r="N3220">
        <v>0</v>
      </c>
      <c r="O3220">
        <f>Table1[[#This Row],[transit_storage_cost]] * (1-'What -if Analysis'!$D$26)</f>
        <v>0</v>
      </c>
      <c r="P3220">
        <v>129</v>
      </c>
      <c r="Q3220">
        <v>718.97146287686053</v>
      </c>
    </row>
    <row r="3221" spans="1:17" x14ac:dyDescent="0.3">
      <c r="A3221">
        <v>718351</v>
      </c>
      <c r="B3221" s="1" t="s">
        <v>38</v>
      </c>
      <c r="C3221" s="1" t="s">
        <v>23</v>
      </c>
      <c r="D3221" s="1" t="s">
        <v>24</v>
      </c>
      <c r="E3221" s="1" t="s">
        <v>25</v>
      </c>
      <c r="F3221" s="1" t="s">
        <v>19</v>
      </c>
      <c r="G3221" s="1" t="s">
        <v>20</v>
      </c>
      <c r="H3221" t="s">
        <v>30</v>
      </c>
      <c r="I3221" s="1" t="s">
        <v>22</v>
      </c>
      <c r="J3221" s="2">
        <v>43531.977708333332</v>
      </c>
      <c r="K3221" s="2">
        <v>43539.977708333332</v>
      </c>
      <c r="L3221" s="2">
        <v>43534.977708333332</v>
      </c>
      <c r="M3221" s="1">
        <f>_xlfn.DAYS(Table1[[#This Row],[actual_delivery_date]],Table1[[#This Row],[dispatch_date]])</f>
        <v>8</v>
      </c>
      <c r="N3221">
        <v>76</v>
      </c>
      <c r="O3221">
        <f>Table1[[#This Row],[transit_storage_cost]] * (1-'What -if Analysis'!$D$26)</f>
        <v>76</v>
      </c>
      <c r="P3221">
        <v>106</v>
      </c>
      <c r="Q3221">
        <v>2787.3578082471795</v>
      </c>
    </row>
    <row r="3222" spans="1:17" x14ac:dyDescent="0.3">
      <c r="A3222">
        <v>236894</v>
      </c>
      <c r="B3222" s="1" t="s">
        <v>38</v>
      </c>
      <c r="C3222" s="1" t="s">
        <v>16</v>
      </c>
      <c r="D3222" s="1" t="s">
        <v>17</v>
      </c>
      <c r="E3222" s="1" t="s">
        <v>18</v>
      </c>
      <c r="F3222" s="1" t="s">
        <v>31</v>
      </c>
      <c r="G3222" s="1" t="s">
        <v>20</v>
      </c>
      <c r="H3222" t="s">
        <v>21</v>
      </c>
      <c r="I3222" s="1" t="s">
        <v>22</v>
      </c>
      <c r="J3222" s="2">
        <v>43532.978125000001</v>
      </c>
      <c r="K3222" s="2">
        <v>43539.978125000001</v>
      </c>
      <c r="L3222" s="2">
        <v>43535.978125000001</v>
      </c>
      <c r="M3222" s="1">
        <f>_xlfn.DAYS(Table1[[#This Row],[actual_delivery_date]],Table1[[#This Row],[dispatch_date]])</f>
        <v>7</v>
      </c>
      <c r="N3222">
        <v>40</v>
      </c>
      <c r="O3222">
        <f>Table1[[#This Row],[transit_storage_cost]] * (1-'What -if Analysis'!$D$26)</f>
        <v>40</v>
      </c>
      <c r="P3222">
        <v>114</v>
      </c>
      <c r="Q3222">
        <v>1602.4837335033851</v>
      </c>
    </row>
    <row r="3223" spans="1:17" x14ac:dyDescent="0.3">
      <c r="A3223">
        <v>580380</v>
      </c>
      <c r="B3223" s="1" t="s">
        <v>39</v>
      </c>
      <c r="C3223" s="1" t="s">
        <v>16</v>
      </c>
      <c r="D3223" s="1" t="s">
        <v>17</v>
      </c>
      <c r="E3223" s="1" t="s">
        <v>18</v>
      </c>
      <c r="F3223" s="1" t="s">
        <v>19</v>
      </c>
      <c r="G3223" s="1" t="s">
        <v>20</v>
      </c>
      <c r="H3223" t="s">
        <v>21</v>
      </c>
      <c r="I3223" s="1" t="s">
        <v>26</v>
      </c>
      <c r="J3223" s="2">
        <v>43536.979594907411</v>
      </c>
      <c r="K3223" s="2">
        <v>43539.979594907411</v>
      </c>
      <c r="L3223" s="2">
        <v>43542.979594907411</v>
      </c>
      <c r="M3223" s="1">
        <f>_xlfn.DAYS(Table1[[#This Row],[actual_delivery_date]],Table1[[#This Row],[dispatch_date]])</f>
        <v>3</v>
      </c>
      <c r="N3223">
        <v>66</v>
      </c>
      <c r="O3223">
        <f>Table1[[#This Row],[transit_storage_cost]] * (1-'What -if Analysis'!$D$26)</f>
        <v>66</v>
      </c>
      <c r="P3223">
        <v>94</v>
      </c>
      <c r="Q3223">
        <v>818.58469228760748</v>
      </c>
    </row>
    <row r="3224" spans="1:17" x14ac:dyDescent="0.3">
      <c r="A3224">
        <v>791512</v>
      </c>
      <c r="B3224" s="1" t="s">
        <v>41</v>
      </c>
      <c r="C3224" s="1" t="s">
        <v>16</v>
      </c>
      <c r="D3224" s="1" t="s">
        <v>16</v>
      </c>
      <c r="E3224" s="1" t="s">
        <v>27</v>
      </c>
      <c r="F3224" s="1" t="s">
        <v>19</v>
      </c>
      <c r="G3224" s="1" t="s">
        <v>20</v>
      </c>
      <c r="H3224" t="s">
        <v>21</v>
      </c>
      <c r="I3224" s="1" t="s">
        <v>22</v>
      </c>
      <c r="J3224" s="2">
        <v>43534.989444444444</v>
      </c>
      <c r="K3224" s="2">
        <v>43539.989444444444</v>
      </c>
      <c r="L3224" s="2">
        <v>43537.989444444444</v>
      </c>
      <c r="M3224" s="1">
        <f>_xlfn.DAYS(Table1[[#This Row],[actual_delivery_date]],Table1[[#This Row],[dispatch_date]])</f>
        <v>5</v>
      </c>
      <c r="N3224">
        <v>0</v>
      </c>
      <c r="O3224">
        <f>Table1[[#This Row],[transit_storage_cost]] * (1-'What -if Analysis'!$D$26)</f>
        <v>0</v>
      </c>
      <c r="P3224">
        <v>125</v>
      </c>
      <c r="Q3224">
        <v>2874.3089998382206</v>
      </c>
    </row>
    <row r="3225" spans="1:17" x14ac:dyDescent="0.3">
      <c r="A3225">
        <v>735311</v>
      </c>
      <c r="B3225" s="1" t="s">
        <v>40</v>
      </c>
      <c r="C3225" s="1" t="s">
        <v>16</v>
      </c>
      <c r="D3225" s="1" t="s">
        <v>24</v>
      </c>
      <c r="E3225" s="1" t="s">
        <v>25</v>
      </c>
      <c r="F3225" s="1" t="s">
        <v>29</v>
      </c>
      <c r="G3225" s="1" t="s">
        <v>20</v>
      </c>
      <c r="H3225" t="s">
        <v>30</v>
      </c>
      <c r="I3225" s="1" t="s">
        <v>22</v>
      </c>
      <c r="J3225" s="2">
        <v>43537.990694444445</v>
      </c>
      <c r="K3225" s="2">
        <v>43539.990694444445</v>
      </c>
      <c r="L3225" s="2">
        <v>43544.990694444445</v>
      </c>
      <c r="M3225" s="1">
        <f>_xlfn.DAYS(Table1[[#This Row],[actual_delivery_date]],Table1[[#This Row],[dispatch_date]])</f>
        <v>2</v>
      </c>
      <c r="N3225">
        <v>25</v>
      </c>
      <c r="O3225">
        <f>Table1[[#This Row],[transit_storage_cost]] * (1-'What -if Analysis'!$D$26)</f>
        <v>25</v>
      </c>
      <c r="P3225">
        <v>125</v>
      </c>
      <c r="Q3225">
        <v>1010</v>
      </c>
    </row>
    <row r="3226" spans="1:17" x14ac:dyDescent="0.3">
      <c r="A3226">
        <v>381904</v>
      </c>
      <c r="B3226" s="1" t="s">
        <v>37</v>
      </c>
      <c r="C3226" s="1" t="s">
        <v>23</v>
      </c>
      <c r="D3226" s="1" t="s">
        <v>16</v>
      </c>
      <c r="E3226" s="1" t="s">
        <v>27</v>
      </c>
      <c r="F3226" s="1" t="s">
        <v>19</v>
      </c>
      <c r="G3226" s="1" t="s">
        <v>20</v>
      </c>
      <c r="H3226" t="s">
        <v>21</v>
      </c>
      <c r="I3226" s="1" t="s">
        <v>22</v>
      </c>
      <c r="J3226" s="2">
        <v>43535.999826388892</v>
      </c>
      <c r="K3226" s="2">
        <v>43539.999826388892</v>
      </c>
      <c r="L3226" s="2">
        <v>43539.999826388892</v>
      </c>
      <c r="M3226" s="1">
        <f>_xlfn.DAYS(Table1[[#This Row],[actual_delivery_date]],Table1[[#This Row],[dispatch_date]])</f>
        <v>4</v>
      </c>
      <c r="N3226">
        <v>80</v>
      </c>
      <c r="O3226">
        <f>Table1[[#This Row],[transit_storage_cost]] * (1-'What -if Analysis'!$D$26)</f>
        <v>80</v>
      </c>
      <c r="P3226">
        <v>109</v>
      </c>
      <c r="Q3226">
        <v>3674.9996857994106</v>
      </c>
    </row>
    <row r="3227" spans="1:17" x14ac:dyDescent="0.3">
      <c r="A3227">
        <v>166540</v>
      </c>
      <c r="B3227" s="1" t="s">
        <v>38</v>
      </c>
      <c r="C3227" s="1" t="s">
        <v>16</v>
      </c>
      <c r="D3227" s="1" t="s">
        <v>23</v>
      </c>
      <c r="E3227" s="1" t="s">
        <v>28</v>
      </c>
      <c r="F3227" s="1" t="s">
        <v>19</v>
      </c>
      <c r="G3227" s="1" t="s">
        <v>20</v>
      </c>
      <c r="H3227" t="s">
        <v>21</v>
      </c>
      <c r="I3227" s="1" t="s">
        <v>22</v>
      </c>
      <c r="J3227" s="2">
        <v>43537.002280092594</v>
      </c>
      <c r="K3227" s="2">
        <v>43540.002280092594</v>
      </c>
      <c r="L3227" s="2">
        <v>43543.002280092594</v>
      </c>
      <c r="M3227" s="1">
        <f>_xlfn.DAYS(Table1[[#This Row],[actual_delivery_date]],Table1[[#This Row],[dispatch_date]])</f>
        <v>3</v>
      </c>
      <c r="N3227">
        <v>35</v>
      </c>
      <c r="O3227">
        <f>Table1[[#This Row],[transit_storage_cost]] * (1-'What -if Analysis'!$D$26)</f>
        <v>35</v>
      </c>
      <c r="P3227">
        <v>130</v>
      </c>
      <c r="Q3227">
        <v>2615.8950945250299</v>
      </c>
    </row>
    <row r="3228" spans="1:17" x14ac:dyDescent="0.3">
      <c r="A3228">
        <v>229667</v>
      </c>
      <c r="B3228" s="1" t="s">
        <v>37</v>
      </c>
      <c r="C3228" s="1" t="s">
        <v>16</v>
      </c>
      <c r="D3228" s="1" t="s">
        <v>23</v>
      </c>
      <c r="E3228" s="1" t="s">
        <v>28</v>
      </c>
      <c r="F3228" s="1" t="s">
        <v>29</v>
      </c>
      <c r="G3228" s="1" t="s">
        <v>20</v>
      </c>
      <c r="H3228" t="s">
        <v>30</v>
      </c>
      <c r="I3228" s="1" t="s">
        <v>22</v>
      </c>
      <c r="J3228" s="2">
        <v>43530.002870370372</v>
      </c>
      <c r="K3228" s="2">
        <v>43540.002870370372</v>
      </c>
      <c r="L3228" s="2">
        <v>43537.002870370372</v>
      </c>
      <c r="M3228" s="1">
        <f>_xlfn.DAYS(Table1[[#This Row],[actual_delivery_date]],Table1[[#This Row],[dispatch_date]])</f>
        <v>10</v>
      </c>
      <c r="N3228">
        <v>49</v>
      </c>
      <c r="O3228">
        <f>Table1[[#This Row],[transit_storage_cost]] * (1-'What -if Analysis'!$D$26)</f>
        <v>49</v>
      </c>
      <c r="P3228">
        <v>121</v>
      </c>
      <c r="Q3228">
        <v>3435.5746390408513</v>
      </c>
    </row>
    <row r="3229" spans="1:17" x14ac:dyDescent="0.3">
      <c r="A3229">
        <v>407621</v>
      </c>
      <c r="B3229" s="1" t="s">
        <v>38</v>
      </c>
      <c r="C3229" s="1" t="s">
        <v>23</v>
      </c>
      <c r="D3229" s="1" t="s">
        <v>17</v>
      </c>
      <c r="E3229" s="1" t="s">
        <v>18</v>
      </c>
      <c r="F3229" s="1" t="s">
        <v>29</v>
      </c>
      <c r="G3229" s="1" t="s">
        <v>20</v>
      </c>
      <c r="H3229" t="s">
        <v>30</v>
      </c>
      <c r="I3229" s="1" t="s">
        <v>22</v>
      </c>
      <c r="J3229" s="2">
        <v>43536.014236111114</v>
      </c>
      <c r="K3229" s="2">
        <v>43540.014236111114</v>
      </c>
      <c r="L3229" s="2">
        <v>43543.014236111114</v>
      </c>
      <c r="M3229" s="1">
        <f>_xlfn.DAYS(Table1[[#This Row],[actual_delivery_date]],Table1[[#This Row],[dispatch_date]])</f>
        <v>4</v>
      </c>
      <c r="N3229">
        <v>42</v>
      </c>
      <c r="O3229">
        <f>Table1[[#This Row],[transit_storage_cost]] * (1-'What -if Analysis'!$D$26)</f>
        <v>42</v>
      </c>
      <c r="P3229">
        <v>113</v>
      </c>
      <c r="Q3229">
        <v>3669.5859924088136</v>
      </c>
    </row>
    <row r="3230" spans="1:17" x14ac:dyDescent="0.3">
      <c r="A3230">
        <v>58702</v>
      </c>
      <c r="B3230" s="1" t="s">
        <v>39</v>
      </c>
      <c r="C3230" s="1" t="s">
        <v>23</v>
      </c>
      <c r="D3230" s="1" t="s">
        <v>17</v>
      </c>
      <c r="E3230" s="1" t="s">
        <v>18</v>
      </c>
      <c r="F3230" s="1" t="s">
        <v>19</v>
      </c>
      <c r="G3230" s="1" t="s">
        <v>20</v>
      </c>
      <c r="H3230" t="s">
        <v>21</v>
      </c>
      <c r="I3230" s="1" t="s">
        <v>22</v>
      </c>
      <c r="J3230" s="2">
        <v>43538.022615740738</v>
      </c>
      <c r="K3230" s="2">
        <v>43540.022615740738</v>
      </c>
      <c r="L3230" s="2">
        <v>43542.022615740738</v>
      </c>
      <c r="M3230" s="1">
        <f>_xlfn.DAYS(Table1[[#This Row],[actual_delivery_date]],Table1[[#This Row],[dispatch_date]])</f>
        <v>2</v>
      </c>
      <c r="N3230">
        <v>74</v>
      </c>
      <c r="O3230">
        <f>Table1[[#This Row],[transit_storage_cost]] * (1-'What -if Analysis'!$D$26)</f>
        <v>74</v>
      </c>
      <c r="P3230">
        <v>94</v>
      </c>
      <c r="Q3230">
        <v>2888.6078491934441</v>
      </c>
    </row>
    <row r="3231" spans="1:17" x14ac:dyDescent="0.3">
      <c r="A3231">
        <v>111513</v>
      </c>
      <c r="B3231" s="1" t="s">
        <v>39</v>
      </c>
      <c r="C3231" s="1" t="s">
        <v>16</v>
      </c>
      <c r="D3231" s="1" t="s">
        <v>23</v>
      </c>
      <c r="E3231" s="1" t="s">
        <v>28</v>
      </c>
      <c r="F3231" s="1" t="s">
        <v>29</v>
      </c>
      <c r="G3231" s="1" t="s">
        <v>20</v>
      </c>
      <c r="H3231" t="s">
        <v>30</v>
      </c>
      <c r="I3231" s="1" t="s">
        <v>26</v>
      </c>
      <c r="J3231" s="2">
        <v>43532.022627314815</v>
      </c>
      <c r="K3231" s="2">
        <v>43540.022627314815</v>
      </c>
      <c r="L3231" s="2">
        <v>43538.022627314815</v>
      </c>
      <c r="M3231" s="1">
        <f>_xlfn.DAYS(Table1[[#This Row],[actual_delivery_date]],Table1[[#This Row],[dispatch_date]])</f>
        <v>8</v>
      </c>
      <c r="N3231">
        <v>41</v>
      </c>
      <c r="O3231">
        <f>Table1[[#This Row],[transit_storage_cost]] * (1-'What -if Analysis'!$D$26)</f>
        <v>41</v>
      </c>
      <c r="P3231">
        <v>129</v>
      </c>
      <c r="Q3231">
        <v>3418</v>
      </c>
    </row>
    <row r="3232" spans="1:17" x14ac:dyDescent="0.3">
      <c r="A3232">
        <v>649086</v>
      </c>
      <c r="B3232" s="1" t="s">
        <v>39</v>
      </c>
      <c r="C3232" s="1" t="s">
        <v>16</v>
      </c>
      <c r="D3232" s="1" t="s">
        <v>17</v>
      </c>
      <c r="E3232" s="1" t="s">
        <v>18</v>
      </c>
      <c r="F3232" s="1" t="s">
        <v>31</v>
      </c>
      <c r="G3232" s="1" t="s">
        <v>20</v>
      </c>
      <c r="H3232" t="s">
        <v>21</v>
      </c>
      <c r="I3232" s="1" t="s">
        <v>26</v>
      </c>
      <c r="J3232" s="2">
        <v>43531.02412037037</v>
      </c>
      <c r="K3232" s="2">
        <v>43540.02412037037</v>
      </c>
      <c r="L3232" s="2">
        <v>43535.02412037037</v>
      </c>
      <c r="M3232" s="1">
        <f>_xlfn.DAYS(Table1[[#This Row],[actual_delivery_date]],Table1[[#This Row],[dispatch_date]])</f>
        <v>9</v>
      </c>
      <c r="N3232">
        <v>31</v>
      </c>
      <c r="O3232">
        <f>Table1[[#This Row],[transit_storage_cost]] * (1-'What -if Analysis'!$D$26)</f>
        <v>31</v>
      </c>
      <c r="P3232">
        <v>107</v>
      </c>
      <c r="Q3232">
        <v>3384.2526483817428</v>
      </c>
    </row>
    <row r="3233" spans="1:17" x14ac:dyDescent="0.3">
      <c r="A3233">
        <v>513228</v>
      </c>
      <c r="B3233" s="1" t="s">
        <v>38</v>
      </c>
      <c r="C3233" s="1" t="s">
        <v>23</v>
      </c>
      <c r="D3233" s="1" t="s">
        <v>32</v>
      </c>
      <c r="E3233" s="1" t="s">
        <v>33</v>
      </c>
      <c r="F3233" s="1" t="s">
        <v>19</v>
      </c>
      <c r="G3233" s="1" t="s">
        <v>20</v>
      </c>
      <c r="H3233" t="s">
        <v>21</v>
      </c>
      <c r="I3233" s="1" t="s">
        <v>26</v>
      </c>
      <c r="J3233" s="2">
        <v>43532.028148148151</v>
      </c>
      <c r="K3233" s="2">
        <v>43540.028148148151</v>
      </c>
      <c r="L3233" s="2">
        <v>43537.028148148151</v>
      </c>
      <c r="M3233" s="1">
        <f>_xlfn.DAYS(Table1[[#This Row],[actual_delivery_date]],Table1[[#This Row],[dispatch_date]])</f>
        <v>8</v>
      </c>
      <c r="N3233">
        <v>39</v>
      </c>
      <c r="O3233">
        <f>Table1[[#This Row],[transit_storage_cost]] * (1-'What -if Analysis'!$D$26)</f>
        <v>39</v>
      </c>
      <c r="P3233">
        <v>105</v>
      </c>
      <c r="Q3233">
        <v>957</v>
      </c>
    </row>
    <row r="3234" spans="1:17" x14ac:dyDescent="0.3">
      <c r="A3234">
        <v>738880</v>
      </c>
      <c r="B3234" s="1" t="s">
        <v>37</v>
      </c>
      <c r="C3234" s="1" t="s">
        <v>16</v>
      </c>
      <c r="D3234" s="1" t="s">
        <v>24</v>
      </c>
      <c r="E3234" s="1" t="s">
        <v>25</v>
      </c>
      <c r="F3234" s="1" t="s">
        <v>19</v>
      </c>
      <c r="G3234" s="1" t="s">
        <v>20</v>
      </c>
      <c r="H3234" t="s">
        <v>21</v>
      </c>
      <c r="I3234" s="1" t="s">
        <v>22</v>
      </c>
      <c r="J3234" s="2">
        <v>43531.029398148145</v>
      </c>
      <c r="K3234" s="2">
        <v>43540.029398148145</v>
      </c>
      <c r="L3234" s="2">
        <v>43534.029398148145</v>
      </c>
      <c r="M3234" s="1">
        <f>_xlfn.DAYS(Table1[[#This Row],[actual_delivery_date]],Table1[[#This Row],[dispatch_date]])</f>
        <v>9</v>
      </c>
      <c r="N3234">
        <v>28</v>
      </c>
      <c r="O3234">
        <f>Table1[[#This Row],[transit_storage_cost]] * (1-'What -if Analysis'!$D$26)</f>
        <v>28</v>
      </c>
      <c r="P3234">
        <v>123</v>
      </c>
      <c r="Q3234">
        <v>1969</v>
      </c>
    </row>
    <row r="3235" spans="1:17" x14ac:dyDescent="0.3">
      <c r="A3235">
        <v>530172</v>
      </c>
      <c r="B3235" s="1" t="s">
        <v>39</v>
      </c>
      <c r="C3235" s="1" t="s">
        <v>23</v>
      </c>
      <c r="D3235" s="1" t="s">
        <v>24</v>
      </c>
      <c r="E3235" s="1" t="s">
        <v>25</v>
      </c>
      <c r="F3235" s="1" t="s">
        <v>19</v>
      </c>
      <c r="G3235" s="1" t="s">
        <v>20</v>
      </c>
      <c r="H3235" t="s">
        <v>21</v>
      </c>
      <c r="I3235" s="1" t="s">
        <v>26</v>
      </c>
      <c r="J3235" s="2">
        <v>43532.02957175926</v>
      </c>
      <c r="K3235" s="2">
        <v>43540.02957175926</v>
      </c>
      <c r="L3235" s="2">
        <v>43539.02957175926</v>
      </c>
      <c r="M3235" s="1">
        <f>_xlfn.DAYS(Table1[[#This Row],[actual_delivery_date]],Table1[[#This Row],[dispatch_date]])</f>
        <v>8</v>
      </c>
      <c r="N3235">
        <v>89</v>
      </c>
      <c r="O3235">
        <f>Table1[[#This Row],[transit_storage_cost]] * (1-'What -if Analysis'!$D$26)</f>
        <v>89</v>
      </c>
      <c r="P3235">
        <v>104</v>
      </c>
      <c r="Q3235">
        <v>3697.5908302901967</v>
      </c>
    </row>
    <row r="3236" spans="1:17" x14ac:dyDescent="0.3">
      <c r="A3236">
        <v>847125</v>
      </c>
      <c r="B3236" s="1" t="s">
        <v>40</v>
      </c>
      <c r="C3236" s="1" t="s">
        <v>23</v>
      </c>
      <c r="D3236" s="1" t="s">
        <v>23</v>
      </c>
      <c r="E3236" s="1" t="s">
        <v>28</v>
      </c>
      <c r="F3236" s="1" t="s">
        <v>19</v>
      </c>
      <c r="G3236" s="1" t="s">
        <v>20</v>
      </c>
      <c r="H3236" t="s">
        <v>30</v>
      </c>
      <c r="I3236" s="1" t="s">
        <v>26</v>
      </c>
      <c r="J3236" s="2">
        <v>43538.032569444447</v>
      </c>
      <c r="K3236" s="2">
        <v>43540.032569444447</v>
      </c>
      <c r="L3236" s="2">
        <v>43543.032569444447</v>
      </c>
      <c r="M3236" s="1">
        <f>_xlfn.DAYS(Table1[[#This Row],[actual_delivery_date]],Table1[[#This Row],[dispatch_date]])</f>
        <v>2</v>
      </c>
      <c r="N3236">
        <v>0</v>
      </c>
      <c r="O3236">
        <f>Table1[[#This Row],[transit_storage_cost]] * (1-'What -if Analysis'!$D$26)</f>
        <v>0</v>
      </c>
      <c r="P3236">
        <v>110</v>
      </c>
      <c r="Q3236">
        <v>1240.2430510978279</v>
      </c>
    </row>
    <row r="3237" spans="1:17" x14ac:dyDescent="0.3">
      <c r="A3237">
        <v>619892</v>
      </c>
      <c r="B3237" s="1" t="s">
        <v>38</v>
      </c>
      <c r="C3237" s="1" t="s">
        <v>23</v>
      </c>
      <c r="D3237" s="1" t="s">
        <v>16</v>
      </c>
      <c r="E3237" s="1" t="s">
        <v>27</v>
      </c>
      <c r="F3237" s="1" t="s">
        <v>19</v>
      </c>
      <c r="G3237" s="1" t="s">
        <v>20</v>
      </c>
      <c r="H3237" t="s">
        <v>21</v>
      </c>
      <c r="I3237" s="1" t="s">
        <v>22</v>
      </c>
      <c r="J3237" s="2">
        <v>43534.034918981481</v>
      </c>
      <c r="K3237" s="2">
        <v>43540.034918981481</v>
      </c>
      <c r="L3237" s="2">
        <v>43540.034918981481</v>
      </c>
      <c r="M3237" s="1">
        <f>_xlfn.DAYS(Table1[[#This Row],[actual_delivery_date]],Table1[[#This Row],[dispatch_date]])</f>
        <v>6</v>
      </c>
      <c r="N3237">
        <v>40</v>
      </c>
      <c r="O3237">
        <f>Table1[[#This Row],[transit_storage_cost]] * (1-'What -if Analysis'!$D$26)</f>
        <v>40</v>
      </c>
      <c r="P3237">
        <v>128</v>
      </c>
      <c r="Q3237">
        <v>775.51105239543267</v>
      </c>
    </row>
    <row r="3238" spans="1:17" x14ac:dyDescent="0.3">
      <c r="A3238">
        <v>715064</v>
      </c>
      <c r="B3238" s="1" t="s">
        <v>39</v>
      </c>
      <c r="C3238" s="1" t="s">
        <v>16</v>
      </c>
      <c r="D3238" s="1" t="s">
        <v>24</v>
      </c>
      <c r="E3238" s="1" t="s">
        <v>25</v>
      </c>
      <c r="F3238" s="1" t="s">
        <v>19</v>
      </c>
      <c r="G3238" s="1" t="s">
        <v>20</v>
      </c>
      <c r="H3238" t="s">
        <v>21</v>
      </c>
      <c r="I3238" s="1" t="s">
        <v>22</v>
      </c>
      <c r="J3238" s="2">
        <v>43531.035277777781</v>
      </c>
      <c r="K3238" s="2">
        <v>43540.035277777781</v>
      </c>
      <c r="L3238" s="2">
        <v>43536.035277777781</v>
      </c>
      <c r="M3238" s="1">
        <f>_xlfn.DAYS(Table1[[#This Row],[actual_delivery_date]],Table1[[#This Row],[dispatch_date]])</f>
        <v>9</v>
      </c>
      <c r="N3238">
        <v>33</v>
      </c>
      <c r="O3238">
        <f>Table1[[#This Row],[transit_storage_cost]] * (1-'What -if Analysis'!$D$26)</f>
        <v>33</v>
      </c>
      <c r="P3238">
        <v>126</v>
      </c>
      <c r="Q3238">
        <v>2584.3135490774043</v>
      </c>
    </row>
    <row r="3239" spans="1:17" x14ac:dyDescent="0.3">
      <c r="A3239">
        <v>144558</v>
      </c>
      <c r="B3239" s="1" t="s">
        <v>41</v>
      </c>
      <c r="C3239" s="1" t="s">
        <v>16</v>
      </c>
      <c r="D3239" s="1" t="s">
        <v>16</v>
      </c>
      <c r="E3239" s="1" t="s">
        <v>27</v>
      </c>
      <c r="F3239" s="1" t="s">
        <v>31</v>
      </c>
      <c r="G3239" s="1" t="s">
        <v>20</v>
      </c>
      <c r="H3239" t="s">
        <v>21</v>
      </c>
      <c r="I3239" s="1" t="s">
        <v>26</v>
      </c>
      <c r="J3239" s="2">
        <v>43536.038599537038</v>
      </c>
      <c r="K3239" s="2">
        <v>43540.038599537038</v>
      </c>
      <c r="L3239" s="2">
        <v>43539.038599537038</v>
      </c>
      <c r="M3239" s="1">
        <f>_xlfn.DAYS(Table1[[#This Row],[actual_delivery_date]],Table1[[#This Row],[dispatch_date]])</f>
        <v>4</v>
      </c>
      <c r="N3239">
        <v>0</v>
      </c>
      <c r="O3239">
        <f>Table1[[#This Row],[transit_storage_cost]] * (1-'What -if Analysis'!$D$26)</f>
        <v>0</v>
      </c>
      <c r="P3239">
        <v>124</v>
      </c>
      <c r="Q3239">
        <v>430</v>
      </c>
    </row>
    <row r="3240" spans="1:17" x14ac:dyDescent="0.3">
      <c r="A3240">
        <v>297411</v>
      </c>
      <c r="B3240" s="1" t="s">
        <v>41</v>
      </c>
      <c r="C3240" s="1" t="s">
        <v>23</v>
      </c>
      <c r="D3240" s="1" t="s">
        <v>23</v>
      </c>
      <c r="E3240" s="1" t="s">
        <v>28</v>
      </c>
      <c r="F3240" s="1" t="s">
        <v>29</v>
      </c>
      <c r="G3240" s="1" t="s">
        <v>20</v>
      </c>
      <c r="H3240" t="s">
        <v>30</v>
      </c>
      <c r="I3240" s="1" t="s">
        <v>26</v>
      </c>
      <c r="J3240" s="2">
        <v>43537.041655092595</v>
      </c>
      <c r="K3240" s="2">
        <v>43540.041655092595</v>
      </c>
      <c r="L3240" s="2">
        <v>43543.041655092595</v>
      </c>
      <c r="M3240" s="1">
        <f>_xlfn.DAYS(Table1[[#This Row],[actual_delivery_date]],Table1[[#This Row],[dispatch_date]])</f>
        <v>3</v>
      </c>
      <c r="N3240">
        <v>0</v>
      </c>
      <c r="O3240">
        <f>Table1[[#This Row],[transit_storage_cost]] * (1-'What -if Analysis'!$D$26)</f>
        <v>0</v>
      </c>
      <c r="P3240">
        <v>121</v>
      </c>
      <c r="Q3240">
        <v>3443.8470452363781</v>
      </c>
    </row>
    <row r="3241" spans="1:17" x14ac:dyDescent="0.3">
      <c r="A3241">
        <v>699029</v>
      </c>
      <c r="B3241" s="1" t="s">
        <v>15</v>
      </c>
      <c r="C3241" s="1" t="s">
        <v>23</v>
      </c>
      <c r="D3241" s="1" t="s">
        <v>24</v>
      </c>
      <c r="E3241" s="1" t="s">
        <v>25</v>
      </c>
      <c r="F3241" s="1" t="s">
        <v>29</v>
      </c>
      <c r="G3241" s="1" t="s">
        <v>20</v>
      </c>
      <c r="H3241" t="s">
        <v>30</v>
      </c>
      <c r="I3241" s="1" t="s">
        <v>22</v>
      </c>
      <c r="J3241" s="2">
        <v>43537.043726851851</v>
      </c>
      <c r="K3241" s="2">
        <v>43540.043726851851</v>
      </c>
      <c r="L3241" s="2">
        <v>43544.043726851851</v>
      </c>
      <c r="M3241" s="1">
        <f>_xlfn.DAYS(Table1[[#This Row],[actual_delivery_date]],Table1[[#This Row],[dispatch_date]])</f>
        <v>3</v>
      </c>
      <c r="N3241">
        <v>30</v>
      </c>
      <c r="O3241">
        <f>Table1[[#This Row],[transit_storage_cost]] * (1-'What -if Analysis'!$D$26)</f>
        <v>30</v>
      </c>
      <c r="P3241">
        <v>129</v>
      </c>
      <c r="Q3241">
        <v>3290.0037238270588</v>
      </c>
    </row>
    <row r="3242" spans="1:17" x14ac:dyDescent="0.3">
      <c r="A3242">
        <v>459004</v>
      </c>
      <c r="B3242" s="1" t="s">
        <v>37</v>
      </c>
      <c r="C3242" s="1" t="s">
        <v>23</v>
      </c>
      <c r="D3242" s="1" t="s">
        <v>23</v>
      </c>
      <c r="E3242" s="1" t="s">
        <v>28</v>
      </c>
      <c r="F3242" s="1" t="s">
        <v>19</v>
      </c>
      <c r="G3242" s="1" t="s">
        <v>20</v>
      </c>
      <c r="H3242" t="s">
        <v>21</v>
      </c>
      <c r="I3242" s="1" t="s">
        <v>22</v>
      </c>
      <c r="J3242" s="2">
        <v>43537.043981481482</v>
      </c>
      <c r="K3242" s="2">
        <v>43540.043981481482</v>
      </c>
      <c r="L3242" s="2">
        <v>43540.043981481482</v>
      </c>
      <c r="M3242" s="1">
        <f>_xlfn.DAYS(Table1[[#This Row],[actual_delivery_date]],Table1[[#This Row],[dispatch_date]])</f>
        <v>3</v>
      </c>
      <c r="N3242">
        <v>0</v>
      </c>
      <c r="O3242">
        <f>Table1[[#This Row],[transit_storage_cost]] * (1-'What -if Analysis'!$D$26)</f>
        <v>0</v>
      </c>
      <c r="P3242">
        <v>125</v>
      </c>
      <c r="Q3242">
        <v>1150</v>
      </c>
    </row>
    <row r="3243" spans="1:17" x14ac:dyDescent="0.3">
      <c r="A3243">
        <v>613253</v>
      </c>
      <c r="B3243" s="1" t="s">
        <v>41</v>
      </c>
      <c r="C3243" s="1" t="s">
        <v>16</v>
      </c>
      <c r="D3243" s="1" t="s">
        <v>17</v>
      </c>
      <c r="E3243" s="1" t="s">
        <v>18</v>
      </c>
      <c r="F3243" s="1" t="s">
        <v>29</v>
      </c>
      <c r="G3243" s="1" t="s">
        <v>20</v>
      </c>
      <c r="H3243" t="s">
        <v>30</v>
      </c>
      <c r="I3243" s="1" t="s">
        <v>22</v>
      </c>
      <c r="J3243" s="2">
        <v>43537.049398148149</v>
      </c>
      <c r="K3243" s="2">
        <v>43540.049398148149</v>
      </c>
      <c r="L3243" s="2">
        <v>43543.049398148149</v>
      </c>
      <c r="M3243" s="1">
        <f>_xlfn.DAYS(Table1[[#This Row],[actual_delivery_date]],Table1[[#This Row],[dispatch_date]])</f>
        <v>3</v>
      </c>
      <c r="N3243">
        <v>31</v>
      </c>
      <c r="O3243">
        <f>Table1[[#This Row],[transit_storage_cost]] * (1-'What -if Analysis'!$D$26)</f>
        <v>31</v>
      </c>
      <c r="P3243">
        <v>111</v>
      </c>
      <c r="Q3243">
        <v>3842.8403344106614</v>
      </c>
    </row>
    <row r="3244" spans="1:17" x14ac:dyDescent="0.3">
      <c r="A3244">
        <v>812918</v>
      </c>
      <c r="B3244" s="1" t="s">
        <v>37</v>
      </c>
      <c r="C3244" s="1" t="s">
        <v>16</v>
      </c>
      <c r="D3244" s="1" t="s">
        <v>16</v>
      </c>
      <c r="E3244" s="1" t="s">
        <v>27</v>
      </c>
      <c r="F3244" s="1" t="s">
        <v>31</v>
      </c>
      <c r="G3244" s="1" t="s">
        <v>20</v>
      </c>
      <c r="H3244" t="s">
        <v>21</v>
      </c>
      <c r="I3244" s="1" t="s">
        <v>22</v>
      </c>
      <c r="J3244" s="2">
        <v>43533.052476851852</v>
      </c>
      <c r="K3244" s="2">
        <v>43540.052476851852</v>
      </c>
      <c r="L3244" s="2">
        <v>43540.052476851852</v>
      </c>
      <c r="M3244" s="1">
        <f>_xlfn.DAYS(Table1[[#This Row],[actual_delivery_date]],Table1[[#This Row],[dispatch_date]])</f>
        <v>7</v>
      </c>
      <c r="N3244">
        <v>0</v>
      </c>
      <c r="O3244">
        <f>Table1[[#This Row],[transit_storage_cost]] * (1-'What -if Analysis'!$D$26)</f>
        <v>0</v>
      </c>
      <c r="P3244">
        <v>128</v>
      </c>
      <c r="Q3244">
        <v>1668.7871956889844</v>
      </c>
    </row>
    <row r="3245" spans="1:17" x14ac:dyDescent="0.3">
      <c r="A3245">
        <v>435376</v>
      </c>
      <c r="B3245" s="1" t="s">
        <v>37</v>
      </c>
      <c r="C3245" s="1" t="s">
        <v>16</v>
      </c>
      <c r="D3245" s="1" t="s">
        <v>24</v>
      </c>
      <c r="E3245" s="1" t="s">
        <v>25</v>
      </c>
      <c r="F3245" s="1" t="s">
        <v>19</v>
      </c>
      <c r="G3245" s="1" t="s">
        <v>36</v>
      </c>
      <c r="H3245" t="s">
        <v>21</v>
      </c>
      <c r="I3245" s="1" t="s">
        <v>22</v>
      </c>
      <c r="J3245" s="2">
        <v>43534.052800925929</v>
      </c>
      <c r="K3245" s="2">
        <v>43540.052800925929</v>
      </c>
      <c r="L3245" s="2">
        <v>43541.052800925929</v>
      </c>
      <c r="M3245" s="1">
        <f>_xlfn.DAYS(Table1[[#This Row],[actual_delivery_date]],Table1[[#This Row],[dispatch_date]])</f>
        <v>6</v>
      </c>
      <c r="N3245">
        <v>34</v>
      </c>
      <c r="O3245">
        <f>Table1[[#This Row],[transit_storage_cost]] * (1-'What -if Analysis'!$D$26)</f>
        <v>34</v>
      </c>
      <c r="P3245">
        <v>121</v>
      </c>
      <c r="Q3245">
        <v>1742.0261247297817</v>
      </c>
    </row>
    <row r="3246" spans="1:17" x14ac:dyDescent="0.3">
      <c r="A3246">
        <v>507366</v>
      </c>
      <c r="B3246" s="1" t="s">
        <v>39</v>
      </c>
      <c r="C3246" s="1" t="s">
        <v>16</v>
      </c>
      <c r="D3246" s="1" t="s">
        <v>24</v>
      </c>
      <c r="E3246" s="1" t="s">
        <v>25</v>
      </c>
      <c r="F3246" s="1" t="s">
        <v>31</v>
      </c>
      <c r="G3246" s="1" t="s">
        <v>20</v>
      </c>
      <c r="H3246" t="s">
        <v>21</v>
      </c>
      <c r="I3246" s="1" t="s">
        <v>26</v>
      </c>
      <c r="J3246" s="2">
        <v>43536.054803240739</v>
      </c>
      <c r="K3246" s="2">
        <v>43540.054803240739</v>
      </c>
      <c r="L3246" s="2">
        <v>43541.054803240739</v>
      </c>
      <c r="M3246" s="1">
        <f>_xlfn.DAYS(Table1[[#This Row],[actual_delivery_date]],Table1[[#This Row],[dispatch_date]])</f>
        <v>4</v>
      </c>
      <c r="N3246">
        <v>42</v>
      </c>
      <c r="O3246">
        <f>Table1[[#This Row],[transit_storage_cost]] * (1-'What -if Analysis'!$D$26)</f>
        <v>42</v>
      </c>
      <c r="P3246">
        <v>129</v>
      </c>
      <c r="Q3246">
        <v>2446</v>
      </c>
    </row>
    <row r="3247" spans="1:17" x14ac:dyDescent="0.3">
      <c r="A3247">
        <v>146104</v>
      </c>
      <c r="B3247" s="1" t="s">
        <v>37</v>
      </c>
      <c r="C3247" s="1" t="s">
        <v>23</v>
      </c>
      <c r="D3247" s="1" t="s">
        <v>24</v>
      </c>
      <c r="E3247" s="1" t="s">
        <v>25</v>
      </c>
      <c r="F3247" s="1" t="s">
        <v>19</v>
      </c>
      <c r="G3247" s="1" t="s">
        <v>20</v>
      </c>
      <c r="H3247" t="s">
        <v>21</v>
      </c>
      <c r="I3247" s="1" t="s">
        <v>22</v>
      </c>
      <c r="J3247" s="2">
        <v>43532.059004629627</v>
      </c>
      <c r="K3247" s="2">
        <v>43540.059004629627</v>
      </c>
      <c r="L3247" s="2">
        <v>43538.059004629627</v>
      </c>
      <c r="M3247" s="1">
        <f>_xlfn.DAYS(Table1[[#This Row],[actual_delivery_date]],Table1[[#This Row],[dispatch_date]])</f>
        <v>8</v>
      </c>
      <c r="N3247">
        <v>31</v>
      </c>
      <c r="O3247">
        <f>Table1[[#This Row],[transit_storage_cost]] * (1-'What -if Analysis'!$D$26)</f>
        <v>31</v>
      </c>
      <c r="P3247">
        <v>121</v>
      </c>
      <c r="Q3247">
        <v>1027</v>
      </c>
    </row>
    <row r="3248" spans="1:17" x14ac:dyDescent="0.3">
      <c r="A3248">
        <v>188913</v>
      </c>
      <c r="B3248" s="1" t="s">
        <v>38</v>
      </c>
      <c r="C3248" s="1" t="s">
        <v>16</v>
      </c>
      <c r="D3248" s="1" t="s">
        <v>17</v>
      </c>
      <c r="E3248" s="1" t="s">
        <v>18</v>
      </c>
      <c r="F3248" s="1" t="s">
        <v>19</v>
      </c>
      <c r="G3248" s="1" t="s">
        <v>20</v>
      </c>
      <c r="H3248" t="s">
        <v>30</v>
      </c>
      <c r="I3248" s="1" t="s">
        <v>26</v>
      </c>
      <c r="J3248" s="2">
        <v>43538.063969907409</v>
      </c>
      <c r="K3248" s="2">
        <v>43540.063969907409</v>
      </c>
      <c r="L3248" s="2">
        <v>43545.063969907409</v>
      </c>
      <c r="M3248" s="1">
        <f>_xlfn.DAYS(Table1[[#This Row],[actual_delivery_date]],Table1[[#This Row],[dispatch_date]])</f>
        <v>2</v>
      </c>
      <c r="N3248">
        <v>68</v>
      </c>
      <c r="O3248">
        <f>Table1[[#This Row],[transit_storage_cost]] * (1-'What -if Analysis'!$D$26)</f>
        <v>68</v>
      </c>
      <c r="P3248">
        <v>93</v>
      </c>
      <c r="Q3248">
        <v>3706.2102873406311</v>
      </c>
    </row>
    <row r="3249" spans="1:17" x14ac:dyDescent="0.3">
      <c r="A3249">
        <v>399176</v>
      </c>
      <c r="B3249" s="1" t="s">
        <v>38</v>
      </c>
      <c r="C3249" s="1" t="s">
        <v>16</v>
      </c>
      <c r="D3249" s="1" t="s">
        <v>23</v>
      </c>
      <c r="E3249" s="1" t="s">
        <v>28</v>
      </c>
      <c r="F3249" s="1" t="s">
        <v>19</v>
      </c>
      <c r="G3249" s="1" t="s">
        <v>20</v>
      </c>
      <c r="H3249" t="s">
        <v>21</v>
      </c>
      <c r="I3249" s="1" t="s">
        <v>22</v>
      </c>
      <c r="J3249" s="2">
        <v>43534.064675925925</v>
      </c>
      <c r="K3249" s="2">
        <v>43540.064675925925</v>
      </c>
      <c r="L3249" s="2">
        <v>43541.064675925925</v>
      </c>
      <c r="M3249" s="1">
        <f>_xlfn.DAYS(Table1[[#This Row],[actual_delivery_date]],Table1[[#This Row],[dispatch_date]])</f>
        <v>6</v>
      </c>
      <c r="N3249">
        <v>71</v>
      </c>
      <c r="O3249">
        <f>Table1[[#This Row],[transit_storage_cost]] * (1-'What -if Analysis'!$D$26)</f>
        <v>71</v>
      </c>
      <c r="P3249">
        <v>109</v>
      </c>
      <c r="Q3249">
        <v>2982.6222722951043</v>
      </c>
    </row>
    <row r="3250" spans="1:17" x14ac:dyDescent="0.3">
      <c r="A3250">
        <v>122966</v>
      </c>
      <c r="B3250" s="1" t="s">
        <v>38</v>
      </c>
      <c r="C3250" s="1" t="s">
        <v>23</v>
      </c>
      <c r="D3250" s="1" t="s">
        <v>17</v>
      </c>
      <c r="E3250" s="1" t="s">
        <v>18</v>
      </c>
      <c r="F3250" s="1" t="s">
        <v>19</v>
      </c>
      <c r="G3250" s="1" t="s">
        <v>20</v>
      </c>
      <c r="H3250" t="s">
        <v>21</v>
      </c>
      <c r="I3250" s="1" t="s">
        <v>22</v>
      </c>
      <c r="J3250" s="2">
        <v>43538.069097222222</v>
      </c>
      <c r="K3250" s="2">
        <v>43540.069097222222</v>
      </c>
      <c r="L3250" s="2">
        <v>43543.069097222222</v>
      </c>
      <c r="M3250" s="1">
        <f>_xlfn.DAYS(Table1[[#This Row],[actual_delivery_date]],Table1[[#This Row],[dispatch_date]])</f>
        <v>2</v>
      </c>
      <c r="N3250">
        <v>67</v>
      </c>
      <c r="O3250">
        <f>Table1[[#This Row],[transit_storage_cost]] * (1-'What -if Analysis'!$D$26)</f>
        <v>67</v>
      </c>
      <c r="P3250">
        <v>85</v>
      </c>
      <c r="Q3250">
        <v>1756.1438530808198</v>
      </c>
    </row>
    <row r="3251" spans="1:17" x14ac:dyDescent="0.3">
      <c r="A3251">
        <v>209360</v>
      </c>
      <c r="B3251" s="1" t="s">
        <v>39</v>
      </c>
      <c r="C3251" s="1" t="s">
        <v>23</v>
      </c>
      <c r="D3251" s="1" t="s">
        <v>17</v>
      </c>
      <c r="E3251" s="1" t="s">
        <v>18</v>
      </c>
      <c r="F3251" s="1" t="s">
        <v>19</v>
      </c>
      <c r="G3251" s="1" t="s">
        <v>20</v>
      </c>
      <c r="H3251" t="s">
        <v>21</v>
      </c>
      <c r="I3251" s="1" t="s">
        <v>22</v>
      </c>
      <c r="J3251" s="2">
        <v>43535.072685185187</v>
      </c>
      <c r="K3251" s="2">
        <v>43540.072685185187</v>
      </c>
      <c r="L3251" s="2">
        <v>43538.072685185187</v>
      </c>
      <c r="M3251" s="1">
        <f>_xlfn.DAYS(Table1[[#This Row],[actual_delivery_date]],Table1[[#This Row],[dispatch_date]])</f>
        <v>5</v>
      </c>
      <c r="N3251">
        <v>43</v>
      </c>
      <c r="O3251">
        <f>Table1[[#This Row],[transit_storage_cost]] * (1-'What -if Analysis'!$D$26)</f>
        <v>43</v>
      </c>
      <c r="P3251">
        <v>108</v>
      </c>
      <c r="Q3251">
        <v>1476</v>
      </c>
    </row>
    <row r="3252" spans="1:17" x14ac:dyDescent="0.3">
      <c r="A3252">
        <v>528131</v>
      </c>
      <c r="B3252" s="1" t="s">
        <v>37</v>
      </c>
      <c r="C3252" s="1" t="s">
        <v>16</v>
      </c>
      <c r="D3252" s="1" t="s">
        <v>32</v>
      </c>
      <c r="E3252" s="1" t="s">
        <v>33</v>
      </c>
      <c r="F3252" s="1" t="s">
        <v>19</v>
      </c>
      <c r="G3252" s="1" t="s">
        <v>20</v>
      </c>
      <c r="H3252" t="s">
        <v>30</v>
      </c>
      <c r="I3252" s="1" t="s">
        <v>22</v>
      </c>
      <c r="J3252" s="2">
        <v>43531.07366898148</v>
      </c>
      <c r="K3252" s="2">
        <v>43540.07366898148</v>
      </c>
      <c r="L3252" s="2">
        <v>43534.07366898148</v>
      </c>
      <c r="M3252" s="1">
        <f>_xlfn.DAYS(Table1[[#This Row],[actual_delivery_date]],Table1[[#This Row],[dispatch_date]])</f>
        <v>9</v>
      </c>
      <c r="N3252">
        <v>68</v>
      </c>
      <c r="O3252">
        <f>Table1[[#This Row],[transit_storage_cost]] * (1-'What -if Analysis'!$D$26)</f>
        <v>68</v>
      </c>
      <c r="P3252">
        <v>86</v>
      </c>
      <c r="Q3252">
        <v>1984.5716933341464</v>
      </c>
    </row>
    <row r="3253" spans="1:17" x14ac:dyDescent="0.3">
      <c r="A3253">
        <v>283360</v>
      </c>
      <c r="B3253" s="1" t="s">
        <v>39</v>
      </c>
      <c r="C3253" s="1" t="s">
        <v>16</v>
      </c>
      <c r="D3253" s="1" t="s">
        <v>23</v>
      </c>
      <c r="E3253" s="1" t="s">
        <v>28</v>
      </c>
      <c r="F3253" s="1" t="s">
        <v>19</v>
      </c>
      <c r="G3253" s="1" t="s">
        <v>20</v>
      </c>
      <c r="H3253" t="s">
        <v>21</v>
      </c>
      <c r="I3253" s="1" t="s">
        <v>22</v>
      </c>
      <c r="J3253" s="2">
        <v>43536.079594907409</v>
      </c>
      <c r="K3253" s="2">
        <v>43540.079594907409</v>
      </c>
      <c r="L3253" s="2">
        <v>43540.079594907409</v>
      </c>
      <c r="M3253" s="1">
        <f>_xlfn.DAYS(Table1[[#This Row],[actual_delivery_date]],Table1[[#This Row],[dispatch_date]])</f>
        <v>4</v>
      </c>
      <c r="N3253">
        <v>80</v>
      </c>
      <c r="O3253">
        <f>Table1[[#This Row],[transit_storage_cost]] * (1-'What -if Analysis'!$D$26)</f>
        <v>80</v>
      </c>
      <c r="P3253">
        <v>109</v>
      </c>
      <c r="Q3253">
        <v>863</v>
      </c>
    </row>
    <row r="3254" spans="1:17" x14ac:dyDescent="0.3">
      <c r="A3254">
        <v>791682</v>
      </c>
      <c r="B3254" s="1" t="s">
        <v>37</v>
      </c>
      <c r="C3254" s="1" t="s">
        <v>16</v>
      </c>
      <c r="D3254" s="1" t="s">
        <v>17</v>
      </c>
      <c r="E3254" s="1" t="s">
        <v>18</v>
      </c>
      <c r="F3254" s="1" t="s">
        <v>31</v>
      </c>
      <c r="G3254" s="1" t="s">
        <v>20</v>
      </c>
      <c r="H3254" t="s">
        <v>21</v>
      </c>
      <c r="I3254" s="1" t="s">
        <v>26</v>
      </c>
      <c r="J3254" s="2">
        <v>43535.082175925927</v>
      </c>
      <c r="K3254" s="2">
        <v>43540.082175925927</v>
      </c>
      <c r="L3254" s="2">
        <v>43542.082175925927</v>
      </c>
      <c r="M3254" s="1">
        <f>_xlfn.DAYS(Table1[[#This Row],[actual_delivery_date]],Table1[[#This Row],[dispatch_date]])</f>
        <v>5</v>
      </c>
      <c r="N3254">
        <v>48</v>
      </c>
      <c r="O3254">
        <f>Table1[[#This Row],[transit_storage_cost]] * (1-'What -if Analysis'!$D$26)</f>
        <v>48</v>
      </c>
      <c r="P3254">
        <v>110</v>
      </c>
      <c r="Q3254">
        <v>1374.9090151549417</v>
      </c>
    </row>
    <row r="3255" spans="1:17" x14ac:dyDescent="0.3">
      <c r="A3255">
        <v>324345</v>
      </c>
      <c r="B3255" s="1" t="s">
        <v>41</v>
      </c>
      <c r="C3255" s="1" t="s">
        <v>23</v>
      </c>
      <c r="D3255" s="1" t="s">
        <v>17</v>
      </c>
      <c r="E3255" s="1" t="s">
        <v>18</v>
      </c>
      <c r="F3255" s="1" t="s">
        <v>29</v>
      </c>
      <c r="G3255" s="1" t="s">
        <v>20</v>
      </c>
      <c r="H3255" t="s">
        <v>34</v>
      </c>
      <c r="I3255" s="1" t="s">
        <v>26</v>
      </c>
      <c r="J3255" s="2">
        <v>43537.086006944446</v>
      </c>
      <c r="K3255" s="2">
        <v>43540.086006944446</v>
      </c>
      <c r="L3255" s="2">
        <v>43541.086006944446</v>
      </c>
      <c r="M3255" s="1">
        <f>_xlfn.DAYS(Table1[[#This Row],[actual_delivery_date]],Table1[[#This Row],[dispatch_date]])</f>
        <v>3</v>
      </c>
      <c r="N3255">
        <v>33</v>
      </c>
      <c r="O3255">
        <f>Table1[[#This Row],[transit_storage_cost]] * (1-'What -if Analysis'!$D$26)</f>
        <v>33</v>
      </c>
      <c r="P3255">
        <v>109</v>
      </c>
      <c r="Q3255">
        <v>2046</v>
      </c>
    </row>
    <row r="3256" spans="1:17" x14ac:dyDescent="0.3">
      <c r="A3256">
        <v>348942</v>
      </c>
      <c r="B3256" s="1" t="s">
        <v>38</v>
      </c>
      <c r="C3256" s="1" t="s">
        <v>23</v>
      </c>
      <c r="D3256" s="1" t="s">
        <v>16</v>
      </c>
      <c r="E3256" s="1" t="s">
        <v>27</v>
      </c>
      <c r="F3256" s="1" t="s">
        <v>31</v>
      </c>
      <c r="G3256" s="1" t="s">
        <v>20</v>
      </c>
      <c r="H3256" t="s">
        <v>21</v>
      </c>
      <c r="I3256" s="1" t="s">
        <v>26</v>
      </c>
      <c r="J3256" s="2">
        <v>43532.090416666666</v>
      </c>
      <c r="K3256" s="2">
        <v>43540.090416666666</v>
      </c>
      <c r="L3256" s="2">
        <v>43536.090416666666</v>
      </c>
      <c r="M3256" s="1">
        <f>_xlfn.DAYS(Table1[[#This Row],[actual_delivery_date]],Table1[[#This Row],[dispatch_date]])</f>
        <v>8</v>
      </c>
      <c r="N3256">
        <v>47</v>
      </c>
      <c r="O3256">
        <f>Table1[[#This Row],[transit_storage_cost]] * (1-'What -if Analysis'!$D$26)</f>
        <v>47</v>
      </c>
      <c r="P3256">
        <v>124</v>
      </c>
      <c r="Q3256">
        <v>886.9124656707595</v>
      </c>
    </row>
    <row r="3257" spans="1:17" x14ac:dyDescent="0.3">
      <c r="A3257">
        <v>464709</v>
      </c>
      <c r="B3257" s="1" t="s">
        <v>38</v>
      </c>
      <c r="C3257" s="1" t="s">
        <v>16</v>
      </c>
      <c r="D3257" s="1" t="s">
        <v>24</v>
      </c>
      <c r="E3257" s="1" t="s">
        <v>25</v>
      </c>
      <c r="F3257" s="1" t="s">
        <v>29</v>
      </c>
      <c r="G3257" s="1" t="s">
        <v>20</v>
      </c>
      <c r="H3257" t="s">
        <v>34</v>
      </c>
      <c r="I3257" s="1" t="s">
        <v>26</v>
      </c>
      <c r="J3257" s="2">
        <v>43538.097731481481</v>
      </c>
      <c r="K3257" s="2">
        <v>43540.097731481481</v>
      </c>
      <c r="L3257" s="2">
        <v>43544.097731481481</v>
      </c>
      <c r="M3257" s="1">
        <f>_xlfn.DAYS(Table1[[#This Row],[actual_delivery_date]],Table1[[#This Row],[dispatch_date]])</f>
        <v>2</v>
      </c>
      <c r="N3257">
        <v>47</v>
      </c>
      <c r="O3257">
        <f>Table1[[#This Row],[transit_storage_cost]] * (1-'What -if Analysis'!$D$26)</f>
        <v>47</v>
      </c>
      <c r="P3257">
        <v>127</v>
      </c>
      <c r="Q3257">
        <v>1195.3391012722193</v>
      </c>
    </row>
    <row r="3258" spans="1:17" x14ac:dyDescent="0.3">
      <c r="A3258">
        <v>74005</v>
      </c>
      <c r="B3258" s="1" t="s">
        <v>38</v>
      </c>
      <c r="C3258" s="1" t="s">
        <v>16</v>
      </c>
      <c r="D3258" s="1" t="s">
        <v>17</v>
      </c>
      <c r="E3258" s="1" t="s">
        <v>18</v>
      </c>
      <c r="F3258" s="1" t="s">
        <v>29</v>
      </c>
      <c r="G3258" s="1" t="s">
        <v>20</v>
      </c>
      <c r="H3258" t="s">
        <v>30</v>
      </c>
      <c r="I3258" s="1" t="s">
        <v>22</v>
      </c>
      <c r="J3258" s="2">
        <v>43537.099618055552</v>
      </c>
      <c r="K3258" s="2">
        <v>43540.099618055552</v>
      </c>
      <c r="L3258" s="2">
        <v>43541.099618055552</v>
      </c>
      <c r="M3258" s="1">
        <f>_xlfn.DAYS(Table1[[#This Row],[actual_delivery_date]],Table1[[#This Row],[dispatch_date]])</f>
        <v>3</v>
      </c>
      <c r="N3258">
        <v>38</v>
      </c>
      <c r="O3258">
        <f>Table1[[#This Row],[transit_storage_cost]] * (1-'What -if Analysis'!$D$26)</f>
        <v>38</v>
      </c>
      <c r="P3258">
        <v>107</v>
      </c>
      <c r="Q3258">
        <v>2875.2195826820575</v>
      </c>
    </row>
    <row r="3259" spans="1:17" x14ac:dyDescent="0.3">
      <c r="A3259">
        <v>290191</v>
      </c>
      <c r="B3259" s="1" t="s">
        <v>38</v>
      </c>
      <c r="C3259" s="1" t="s">
        <v>16</v>
      </c>
      <c r="D3259" s="1" t="s">
        <v>23</v>
      </c>
      <c r="E3259" s="1" t="s">
        <v>28</v>
      </c>
      <c r="F3259" s="1" t="s">
        <v>19</v>
      </c>
      <c r="G3259" s="1" t="s">
        <v>20</v>
      </c>
      <c r="H3259" t="s">
        <v>30</v>
      </c>
      <c r="I3259" s="1" t="s">
        <v>22</v>
      </c>
      <c r="J3259" s="2">
        <v>43535.102048611108</v>
      </c>
      <c r="K3259" s="2">
        <v>43540.102048611108</v>
      </c>
      <c r="L3259" s="2">
        <v>43538.102048611108</v>
      </c>
      <c r="M3259" s="1">
        <f>_xlfn.DAYS(Table1[[#This Row],[actual_delivery_date]],Table1[[#This Row],[dispatch_date]])</f>
        <v>5</v>
      </c>
      <c r="N3259">
        <v>84</v>
      </c>
      <c r="O3259">
        <f>Table1[[#This Row],[transit_storage_cost]] * (1-'What -if Analysis'!$D$26)</f>
        <v>84</v>
      </c>
      <c r="P3259">
        <v>107</v>
      </c>
      <c r="Q3259">
        <v>731</v>
      </c>
    </row>
    <row r="3260" spans="1:17" x14ac:dyDescent="0.3">
      <c r="A3260">
        <v>104091</v>
      </c>
      <c r="B3260" s="1" t="s">
        <v>38</v>
      </c>
      <c r="C3260" s="1" t="s">
        <v>16</v>
      </c>
      <c r="D3260" s="1" t="s">
        <v>32</v>
      </c>
      <c r="E3260" s="1" t="s">
        <v>33</v>
      </c>
      <c r="F3260" s="1" t="s">
        <v>29</v>
      </c>
      <c r="G3260" s="1" t="s">
        <v>20</v>
      </c>
      <c r="H3260" t="s">
        <v>30</v>
      </c>
      <c r="I3260" s="1" t="s">
        <v>26</v>
      </c>
      <c r="J3260" s="2">
        <v>43536.102743055555</v>
      </c>
      <c r="K3260" s="2">
        <v>43540.102743055555</v>
      </c>
      <c r="L3260" s="2">
        <v>43541.102743055555</v>
      </c>
      <c r="M3260" s="1">
        <f>_xlfn.DAYS(Table1[[#This Row],[actual_delivery_date]],Table1[[#This Row],[dispatch_date]])</f>
        <v>4</v>
      </c>
      <c r="N3260">
        <v>49</v>
      </c>
      <c r="O3260">
        <f>Table1[[#This Row],[transit_storage_cost]] * (1-'What -if Analysis'!$D$26)</f>
        <v>49</v>
      </c>
      <c r="P3260">
        <v>108</v>
      </c>
      <c r="Q3260">
        <v>718</v>
      </c>
    </row>
    <row r="3261" spans="1:17" x14ac:dyDescent="0.3">
      <c r="A3261">
        <v>678551</v>
      </c>
      <c r="B3261" s="1" t="s">
        <v>38</v>
      </c>
      <c r="C3261" s="1" t="s">
        <v>16</v>
      </c>
      <c r="D3261" s="1" t="s">
        <v>24</v>
      </c>
      <c r="E3261" s="1" t="s">
        <v>25</v>
      </c>
      <c r="F3261" s="1" t="s">
        <v>29</v>
      </c>
      <c r="G3261" s="1" t="s">
        <v>20</v>
      </c>
      <c r="H3261" t="s">
        <v>30</v>
      </c>
      <c r="I3261" s="1" t="s">
        <v>22</v>
      </c>
      <c r="J3261" s="2">
        <v>43538.10355324074</v>
      </c>
      <c r="K3261" s="2">
        <v>43540.10355324074</v>
      </c>
      <c r="L3261" s="2">
        <v>43541.10355324074</v>
      </c>
      <c r="M3261" s="1">
        <f>_xlfn.DAYS(Table1[[#This Row],[actual_delivery_date]],Table1[[#This Row],[dispatch_date]])</f>
        <v>2</v>
      </c>
      <c r="N3261">
        <v>32</v>
      </c>
      <c r="O3261">
        <f>Table1[[#This Row],[transit_storage_cost]] * (1-'What -if Analysis'!$D$26)</f>
        <v>32</v>
      </c>
      <c r="P3261">
        <v>122</v>
      </c>
      <c r="Q3261">
        <v>2522</v>
      </c>
    </row>
    <row r="3262" spans="1:17" x14ac:dyDescent="0.3">
      <c r="A3262">
        <v>240750</v>
      </c>
      <c r="B3262" s="1" t="s">
        <v>40</v>
      </c>
      <c r="C3262" s="1" t="s">
        <v>16</v>
      </c>
      <c r="D3262" s="1" t="s">
        <v>16</v>
      </c>
      <c r="E3262" s="1" t="s">
        <v>27</v>
      </c>
      <c r="F3262" s="1" t="s">
        <v>31</v>
      </c>
      <c r="G3262" s="1" t="s">
        <v>20</v>
      </c>
      <c r="H3262" t="s">
        <v>21</v>
      </c>
      <c r="I3262" s="1" t="s">
        <v>26</v>
      </c>
      <c r="J3262" s="2">
        <v>43533.111886574072</v>
      </c>
      <c r="K3262" s="2">
        <v>43540.111886574072</v>
      </c>
      <c r="L3262" s="2">
        <v>43536.111886574072</v>
      </c>
      <c r="M3262" s="1">
        <f>_xlfn.DAYS(Table1[[#This Row],[actual_delivery_date]],Table1[[#This Row],[dispatch_date]])</f>
        <v>7</v>
      </c>
      <c r="N3262">
        <v>0</v>
      </c>
      <c r="O3262">
        <f>Table1[[#This Row],[transit_storage_cost]] * (1-'What -if Analysis'!$D$26)</f>
        <v>0</v>
      </c>
      <c r="P3262">
        <v>129</v>
      </c>
      <c r="Q3262">
        <v>1263.3104547945759</v>
      </c>
    </row>
    <row r="3263" spans="1:17" x14ac:dyDescent="0.3">
      <c r="A3263">
        <v>249887</v>
      </c>
      <c r="B3263" s="1" t="s">
        <v>41</v>
      </c>
      <c r="C3263" s="1" t="s">
        <v>16</v>
      </c>
      <c r="D3263" s="1" t="s">
        <v>32</v>
      </c>
      <c r="E3263" s="1" t="s">
        <v>33</v>
      </c>
      <c r="F3263" s="1" t="s">
        <v>19</v>
      </c>
      <c r="G3263" s="1" t="s">
        <v>20</v>
      </c>
      <c r="H3263" t="s">
        <v>30</v>
      </c>
      <c r="I3263" s="1" t="s">
        <v>22</v>
      </c>
      <c r="J3263" s="2">
        <v>43537.112685185188</v>
      </c>
      <c r="K3263" s="2">
        <v>43540.112685185188</v>
      </c>
      <c r="L3263" s="2">
        <v>43540.112685185188</v>
      </c>
      <c r="M3263" s="1">
        <f>_xlfn.DAYS(Table1[[#This Row],[actual_delivery_date]],Table1[[#This Row],[dispatch_date]])</f>
        <v>3</v>
      </c>
      <c r="N3263">
        <v>79</v>
      </c>
      <c r="O3263">
        <f>Table1[[#This Row],[transit_storage_cost]] * (1-'What -if Analysis'!$D$26)</f>
        <v>79</v>
      </c>
      <c r="P3263">
        <v>89</v>
      </c>
      <c r="Q3263">
        <v>1487</v>
      </c>
    </row>
    <row r="3264" spans="1:17" x14ac:dyDescent="0.3">
      <c r="A3264">
        <v>748819</v>
      </c>
      <c r="B3264" s="1" t="s">
        <v>38</v>
      </c>
      <c r="C3264" s="1" t="s">
        <v>16</v>
      </c>
      <c r="D3264" s="1" t="s">
        <v>16</v>
      </c>
      <c r="E3264" s="1" t="s">
        <v>27</v>
      </c>
      <c r="F3264" s="1" t="s">
        <v>19</v>
      </c>
      <c r="G3264" s="1" t="s">
        <v>20</v>
      </c>
      <c r="H3264" t="s">
        <v>30</v>
      </c>
      <c r="I3264" s="1" t="s">
        <v>22</v>
      </c>
      <c r="J3264" s="2">
        <v>43535.127233796295</v>
      </c>
      <c r="K3264" s="2">
        <v>43540.127233796295</v>
      </c>
      <c r="L3264" s="2">
        <v>43539.127233796295</v>
      </c>
      <c r="M3264" s="1">
        <f>_xlfn.DAYS(Table1[[#This Row],[actual_delivery_date]],Table1[[#This Row],[dispatch_date]])</f>
        <v>5</v>
      </c>
      <c r="N3264">
        <v>0</v>
      </c>
      <c r="O3264">
        <f>Table1[[#This Row],[transit_storage_cost]] * (1-'What -if Analysis'!$D$26)</f>
        <v>0</v>
      </c>
      <c r="P3264">
        <v>110</v>
      </c>
      <c r="Q3264">
        <v>231</v>
      </c>
    </row>
    <row r="3265" spans="1:17" x14ac:dyDescent="0.3">
      <c r="A3265">
        <v>893289</v>
      </c>
      <c r="B3265" s="1" t="s">
        <v>39</v>
      </c>
      <c r="C3265" s="1" t="s">
        <v>23</v>
      </c>
      <c r="D3265" s="1" t="s">
        <v>16</v>
      </c>
      <c r="E3265" s="1" t="s">
        <v>27</v>
      </c>
      <c r="F3265" s="1" t="s">
        <v>29</v>
      </c>
      <c r="G3265" s="1" t="s">
        <v>20</v>
      </c>
      <c r="H3265" t="s">
        <v>30</v>
      </c>
      <c r="I3265" s="1" t="s">
        <v>26</v>
      </c>
      <c r="J3265" s="2">
        <v>43531.135439814818</v>
      </c>
      <c r="K3265" s="2">
        <v>43540.135439814818</v>
      </c>
      <c r="L3265" s="2">
        <v>43538.135439814818</v>
      </c>
      <c r="M3265" s="1">
        <f>_xlfn.DAYS(Table1[[#This Row],[actual_delivery_date]],Table1[[#This Row],[dispatch_date]])</f>
        <v>9</v>
      </c>
      <c r="N3265">
        <v>42</v>
      </c>
      <c r="O3265">
        <f>Table1[[#This Row],[transit_storage_cost]] * (1-'What -if Analysis'!$D$26)</f>
        <v>42</v>
      </c>
      <c r="P3265">
        <v>123</v>
      </c>
      <c r="Q3265">
        <v>2226</v>
      </c>
    </row>
    <row r="3266" spans="1:17" x14ac:dyDescent="0.3">
      <c r="A3266">
        <v>370083</v>
      </c>
      <c r="B3266" s="1" t="s">
        <v>40</v>
      </c>
      <c r="C3266" s="1" t="s">
        <v>23</v>
      </c>
      <c r="D3266" s="1" t="s">
        <v>17</v>
      </c>
      <c r="E3266" s="1" t="s">
        <v>18</v>
      </c>
      <c r="F3266" s="1" t="s">
        <v>29</v>
      </c>
      <c r="G3266" s="1" t="s">
        <v>20</v>
      </c>
      <c r="H3266" t="s">
        <v>34</v>
      </c>
      <c r="I3266" s="1" t="s">
        <v>26</v>
      </c>
      <c r="J3266" s="2">
        <v>43534.135439814818</v>
      </c>
      <c r="K3266" s="2">
        <v>43540.135439814818</v>
      </c>
      <c r="L3266" s="2">
        <v>43540.135439814818</v>
      </c>
      <c r="M3266" s="1">
        <f>_xlfn.DAYS(Table1[[#This Row],[actual_delivery_date]],Table1[[#This Row],[dispatch_date]])</f>
        <v>6</v>
      </c>
      <c r="N3266">
        <v>35</v>
      </c>
      <c r="O3266">
        <f>Table1[[#This Row],[transit_storage_cost]] * (1-'What -if Analysis'!$D$26)</f>
        <v>35</v>
      </c>
      <c r="P3266">
        <v>108</v>
      </c>
      <c r="Q3266">
        <v>2075.694614516849</v>
      </c>
    </row>
    <row r="3267" spans="1:17" x14ac:dyDescent="0.3">
      <c r="A3267">
        <v>48896</v>
      </c>
      <c r="B3267" s="1" t="s">
        <v>39</v>
      </c>
      <c r="C3267" s="1" t="s">
        <v>16</v>
      </c>
      <c r="D3267" s="1" t="s">
        <v>17</v>
      </c>
      <c r="E3267" s="1" t="s">
        <v>18</v>
      </c>
      <c r="F3267" s="1" t="s">
        <v>19</v>
      </c>
      <c r="G3267" s="1" t="s">
        <v>20</v>
      </c>
      <c r="H3267" t="s">
        <v>21</v>
      </c>
      <c r="I3267" s="1" t="s">
        <v>22</v>
      </c>
      <c r="J3267" s="2">
        <v>43536.13690972222</v>
      </c>
      <c r="K3267" s="2">
        <v>43540.13690972222</v>
      </c>
      <c r="L3267" s="2">
        <v>43541.13690972222</v>
      </c>
      <c r="M3267" s="1">
        <f>_xlfn.DAYS(Table1[[#This Row],[actual_delivery_date]],Table1[[#This Row],[dispatch_date]])</f>
        <v>4</v>
      </c>
      <c r="N3267">
        <v>45</v>
      </c>
      <c r="O3267">
        <f>Table1[[#This Row],[transit_storage_cost]] * (1-'What -if Analysis'!$D$26)</f>
        <v>45</v>
      </c>
      <c r="P3267">
        <v>114</v>
      </c>
      <c r="Q3267">
        <v>2389.5086104754755</v>
      </c>
    </row>
    <row r="3268" spans="1:17" x14ac:dyDescent="0.3">
      <c r="A3268">
        <v>800151</v>
      </c>
      <c r="B3268" s="1" t="s">
        <v>37</v>
      </c>
      <c r="C3268" s="1" t="s">
        <v>16</v>
      </c>
      <c r="D3268" s="1" t="s">
        <v>24</v>
      </c>
      <c r="E3268" s="1" t="s">
        <v>25</v>
      </c>
      <c r="F3268" s="1" t="s">
        <v>29</v>
      </c>
      <c r="G3268" s="1" t="s">
        <v>20</v>
      </c>
      <c r="H3268" t="s">
        <v>30</v>
      </c>
      <c r="I3268" s="1" t="s">
        <v>26</v>
      </c>
      <c r="J3268" s="2">
        <v>43538.138715277775</v>
      </c>
      <c r="K3268" s="2">
        <v>43540.138715277775</v>
      </c>
      <c r="L3268" s="2">
        <v>43542.138715277775</v>
      </c>
      <c r="M3268" s="1">
        <f>_xlfn.DAYS(Table1[[#This Row],[actual_delivery_date]],Table1[[#This Row],[dispatch_date]])</f>
        <v>2</v>
      </c>
      <c r="N3268">
        <v>33</v>
      </c>
      <c r="O3268">
        <f>Table1[[#This Row],[transit_storage_cost]] * (1-'What -if Analysis'!$D$26)</f>
        <v>33</v>
      </c>
      <c r="P3268">
        <v>124</v>
      </c>
      <c r="Q3268">
        <v>3598</v>
      </c>
    </row>
    <row r="3269" spans="1:17" x14ac:dyDescent="0.3">
      <c r="A3269">
        <v>855762</v>
      </c>
      <c r="B3269" s="1" t="s">
        <v>37</v>
      </c>
      <c r="C3269" s="1" t="s">
        <v>16</v>
      </c>
      <c r="D3269" s="1" t="s">
        <v>23</v>
      </c>
      <c r="E3269" s="1" t="s">
        <v>28</v>
      </c>
      <c r="F3269" s="1" t="s">
        <v>31</v>
      </c>
      <c r="G3269" s="1" t="s">
        <v>20</v>
      </c>
      <c r="H3269" t="s">
        <v>21</v>
      </c>
      <c r="I3269" s="1" t="s">
        <v>26</v>
      </c>
      <c r="J3269" s="2">
        <v>43532.139525462961</v>
      </c>
      <c r="K3269" s="2">
        <v>43540.139525462961</v>
      </c>
      <c r="L3269" s="2">
        <v>43535.139525462961</v>
      </c>
      <c r="M3269" s="1">
        <f>_xlfn.DAYS(Table1[[#This Row],[actual_delivery_date]],Table1[[#This Row],[dispatch_date]])</f>
        <v>8</v>
      </c>
      <c r="N3269">
        <v>34</v>
      </c>
      <c r="O3269">
        <f>Table1[[#This Row],[transit_storage_cost]] * (1-'What -if Analysis'!$D$26)</f>
        <v>34</v>
      </c>
      <c r="P3269">
        <v>120</v>
      </c>
      <c r="Q3269">
        <v>2948.6656812293741</v>
      </c>
    </row>
    <row r="3270" spans="1:17" x14ac:dyDescent="0.3">
      <c r="A3270">
        <v>714204</v>
      </c>
      <c r="B3270" s="1" t="s">
        <v>40</v>
      </c>
      <c r="C3270" s="1" t="s">
        <v>23</v>
      </c>
      <c r="D3270" s="1" t="s">
        <v>24</v>
      </c>
      <c r="E3270" s="1" t="s">
        <v>25</v>
      </c>
      <c r="F3270" s="1" t="s">
        <v>19</v>
      </c>
      <c r="G3270" s="1" t="s">
        <v>36</v>
      </c>
      <c r="H3270" t="s">
        <v>21</v>
      </c>
      <c r="I3270" s="1" t="s">
        <v>26</v>
      </c>
      <c r="J3270" s="2">
        <v>43535.145509259259</v>
      </c>
      <c r="K3270" s="2">
        <v>43540.145509259259</v>
      </c>
      <c r="L3270" s="2">
        <v>43542.145509259259</v>
      </c>
      <c r="M3270" s="1">
        <f>_xlfn.DAYS(Table1[[#This Row],[actual_delivery_date]],Table1[[#This Row],[dispatch_date]])</f>
        <v>5</v>
      </c>
      <c r="N3270">
        <v>38</v>
      </c>
      <c r="O3270">
        <f>Table1[[#This Row],[transit_storage_cost]] * (1-'What -if Analysis'!$D$26)</f>
        <v>38</v>
      </c>
      <c r="P3270">
        <v>121</v>
      </c>
      <c r="Q3270">
        <v>3214.2705153752063</v>
      </c>
    </row>
    <row r="3271" spans="1:17" x14ac:dyDescent="0.3">
      <c r="A3271">
        <v>419409</v>
      </c>
      <c r="B3271" s="1" t="s">
        <v>37</v>
      </c>
      <c r="C3271" s="1" t="s">
        <v>16</v>
      </c>
      <c r="D3271" s="1" t="s">
        <v>32</v>
      </c>
      <c r="E3271" s="1" t="s">
        <v>33</v>
      </c>
      <c r="F3271" s="1" t="s">
        <v>29</v>
      </c>
      <c r="G3271" s="1" t="s">
        <v>20</v>
      </c>
      <c r="H3271" t="s">
        <v>30</v>
      </c>
      <c r="I3271" s="1" t="s">
        <v>26</v>
      </c>
      <c r="J3271" s="2">
        <v>43537.148634259262</v>
      </c>
      <c r="K3271" s="2">
        <v>43540.148634259262</v>
      </c>
      <c r="L3271" s="2">
        <v>43542.148634259262</v>
      </c>
      <c r="M3271" s="1">
        <f>_xlfn.DAYS(Table1[[#This Row],[actual_delivery_date]],Table1[[#This Row],[dispatch_date]])</f>
        <v>3</v>
      </c>
      <c r="N3271">
        <v>40</v>
      </c>
      <c r="O3271">
        <f>Table1[[#This Row],[transit_storage_cost]] * (1-'What -if Analysis'!$D$26)</f>
        <v>40</v>
      </c>
      <c r="P3271">
        <v>110</v>
      </c>
      <c r="Q3271">
        <v>1212</v>
      </c>
    </row>
    <row r="3272" spans="1:17" x14ac:dyDescent="0.3">
      <c r="A3272">
        <v>80630</v>
      </c>
      <c r="B3272" s="1" t="s">
        <v>37</v>
      </c>
      <c r="C3272" s="1" t="s">
        <v>23</v>
      </c>
      <c r="D3272" s="1" t="s">
        <v>16</v>
      </c>
      <c r="E3272" s="1" t="s">
        <v>27</v>
      </c>
      <c r="F3272" s="1" t="s">
        <v>31</v>
      </c>
      <c r="G3272" s="1" t="s">
        <v>20</v>
      </c>
      <c r="H3272" t="s">
        <v>21</v>
      </c>
      <c r="I3272" s="1" t="s">
        <v>22</v>
      </c>
      <c r="J3272" s="2">
        <v>43534.149918981479</v>
      </c>
      <c r="K3272" s="2">
        <v>43540.149918981479</v>
      </c>
      <c r="L3272" s="2">
        <v>43541.149918981479</v>
      </c>
      <c r="M3272" s="1">
        <f>_xlfn.DAYS(Table1[[#This Row],[actual_delivery_date]],Table1[[#This Row],[dispatch_date]])</f>
        <v>6</v>
      </c>
      <c r="N3272">
        <v>32</v>
      </c>
      <c r="O3272">
        <f>Table1[[#This Row],[transit_storage_cost]] * (1-'What -if Analysis'!$D$26)</f>
        <v>32</v>
      </c>
      <c r="P3272">
        <v>123</v>
      </c>
      <c r="Q3272">
        <v>1729.6345510860554</v>
      </c>
    </row>
    <row r="3273" spans="1:17" x14ac:dyDescent="0.3">
      <c r="A3273">
        <v>645534</v>
      </c>
      <c r="B3273" s="1" t="s">
        <v>15</v>
      </c>
      <c r="C3273" s="1" t="s">
        <v>16</v>
      </c>
      <c r="D3273" s="1" t="s">
        <v>17</v>
      </c>
      <c r="E3273" s="1" t="s">
        <v>18</v>
      </c>
      <c r="F3273" s="1" t="s">
        <v>31</v>
      </c>
      <c r="G3273" s="1" t="s">
        <v>20</v>
      </c>
      <c r="H3273" t="s">
        <v>21</v>
      </c>
      <c r="I3273" s="1" t="s">
        <v>26</v>
      </c>
      <c r="J3273" s="2">
        <v>43534.151759259257</v>
      </c>
      <c r="K3273" s="2">
        <v>43540.151759259257</v>
      </c>
      <c r="L3273" s="2">
        <v>43540.151759259257</v>
      </c>
      <c r="M3273" s="1">
        <f>_xlfn.DAYS(Table1[[#This Row],[actual_delivery_date]],Table1[[#This Row],[dispatch_date]])</f>
        <v>6</v>
      </c>
      <c r="N3273">
        <v>30</v>
      </c>
      <c r="O3273">
        <f>Table1[[#This Row],[transit_storage_cost]] * (1-'What -if Analysis'!$D$26)</f>
        <v>30</v>
      </c>
      <c r="P3273">
        <v>115</v>
      </c>
      <c r="Q3273">
        <v>889</v>
      </c>
    </row>
    <row r="3274" spans="1:17" x14ac:dyDescent="0.3">
      <c r="A3274">
        <v>336209</v>
      </c>
      <c r="B3274" s="1" t="s">
        <v>37</v>
      </c>
      <c r="C3274" s="1" t="s">
        <v>23</v>
      </c>
      <c r="D3274" s="1" t="s">
        <v>24</v>
      </c>
      <c r="E3274" s="1" t="s">
        <v>25</v>
      </c>
      <c r="F3274" s="1" t="s">
        <v>19</v>
      </c>
      <c r="G3274" s="1" t="s">
        <v>20</v>
      </c>
      <c r="H3274" t="s">
        <v>30</v>
      </c>
      <c r="I3274" s="1" t="s">
        <v>22</v>
      </c>
      <c r="J3274" s="2">
        <v>43535.157905092594</v>
      </c>
      <c r="K3274" s="2">
        <v>43540.157905092594</v>
      </c>
      <c r="L3274" s="2">
        <v>43540.157905092594</v>
      </c>
      <c r="M3274" s="1">
        <f>_xlfn.DAYS(Table1[[#This Row],[actual_delivery_date]],Table1[[#This Row],[dispatch_date]])</f>
        <v>5</v>
      </c>
      <c r="N3274">
        <v>79</v>
      </c>
      <c r="O3274">
        <f>Table1[[#This Row],[transit_storage_cost]] * (1-'What -if Analysis'!$D$26)</f>
        <v>79</v>
      </c>
      <c r="P3274">
        <v>108</v>
      </c>
      <c r="Q3274">
        <v>3102.7472848364023</v>
      </c>
    </row>
    <row r="3275" spans="1:17" x14ac:dyDescent="0.3">
      <c r="A3275">
        <v>434376</v>
      </c>
      <c r="B3275" s="1" t="s">
        <v>38</v>
      </c>
      <c r="C3275" s="1" t="s">
        <v>16</v>
      </c>
      <c r="D3275" s="1" t="s">
        <v>17</v>
      </c>
      <c r="E3275" s="1" t="s">
        <v>18</v>
      </c>
      <c r="F3275" s="1" t="s">
        <v>19</v>
      </c>
      <c r="G3275" s="1" t="s">
        <v>20</v>
      </c>
      <c r="H3275" t="s">
        <v>21</v>
      </c>
      <c r="I3275" s="1" t="s">
        <v>26</v>
      </c>
      <c r="J3275" s="2">
        <v>43538.15824074074</v>
      </c>
      <c r="K3275" s="2">
        <v>43540.15824074074</v>
      </c>
      <c r="L3275" s="2">
        <v>43543.15824074074</v>
      </c>
      <c r="M3275" s="1">
        <f>_xlfn.DAYS(Table1[[#This Row],[actual_delivery_date]],Table1[[#This Row],[dispatch_date]])</f>
        <v>2</v>
      </c>
      <c r="N3275">
        <v>28</v>
      </c>
      <c r="O3275">
        <f>Table1[[#This Row],[transit_storage_cost]] * (1-'What -if Analysis'!$D$26)</f>
        <v>28</v>
      </c>
      <c r="P3275">
        <v>113</v>
      </c>
      <c r="Q3275">
        <v>2040.3812483194151</v>
      </c>
    </row>
    <row r="3276" spans="1:17" x14ac:dyDescent="0.3">
      <c r="A3276">
        <v>115794</v>
      </c>
      <c r="B3276" s="1" t="s">
        <v>41</v>
      </c>
      <c r="C3276" s="1" t="s">
        <v>16</v>
      </c>
      <c r="D3276" s="1" t="s">
        <v>24</v>
      </c>
      <c r="E3276" s="1" t="s">
        <v>25</v>
      </c>
      <c r="F3276" s="1" t="s">
        <v>19</v>
      </c>
      <c r="G3276" s="1" t="s">
        <v>20</v>
      </c>
      <c r="H3276" t="s">
        <v>21</v>
      </c>
      <c r="I3276" s="1" t="s">
        <v>26</v>
      </c>
      <c r="J3276" s="2">
        <v>43534.159351851849</v>
      </c>
      <c r="K3276" s="2">
        <v>43540.159351851849</v>
      </c>
      <c r="L3276" s="2">
        <v>43539.159351851849</v>
      </c>
      <c r="M3276" s="1">
        <f>_xlfn.DAYS(Table1[[#This Row],[actual_delivery_date]],Table1[[#This Row],[dispatch_date]])</f>
        <v>6</v>
      </c>
      <c r="N3276">
        <v>72</v>
      </c>
      <c r="O3276">
        <f>Table1[[#This Row],[transit_storage_cost]] * (1-'What -if Analysis'!$D$26)</f>
        <v>72</v>
      </c>
      <c r="P3276">
        <v>107</v>
      </c>
      <c r="Q3276">
        <v>2266</v>
      </c>
    </row>
    <row r="3277" spans="1:17" x14ac:dyDescent="0.3">
      <c r="A3277">
        <v>78662</v>
      </c>
      <c r="B3277" s="1" t="s">
        <v>41</v>
      </c>
      <c r="C3277" s="1" t="s">
        <v>23</v>
      </c>
      <c r="D3277" s="1" t="s">
        <v>17</v>
      </c>
      <c r="E3277" s="1" t="s">
        <v>18</v>
      </c>
      <c r="F3277" s="1" t="s">
        <v>19</v>
      </c>
      <c r="G3277" s="1" t="s">
        <v>20</v>
      </c>
      <c r="H3277" t="s">
        <v>21</v>
      </c>
      <c r="I3277" s="1" t="s">
        <v>22</v>
      </c>
      <c r="J3277" s="2">
        <v>43536.1637962963</v>
      </c>
      <c r="K3277" s="2">
        <v>43540.1637962963</v>
      </c>
      <c r="L3277" s="2">
        <v>43543.1637962963</v>
      </c>
      <c r="M3277" s="1">
        <f>_xlfn.DAYS(Table1[[#This Row],[actual_delivery_date]],Table1[[#This Row],[dispatch_date]])</f>
        <v>4</v>
      </c>
      <c r="N3277">
        <v>79</v>
      </c>
      <c r="O3277">
        <f>Table1[[#This Row],[transit_storage_cost]] * (1-'What -if Analysis'!$D$26)</f>
        <v>79</v>
      </c>
      <c r="P3277">
        <v>86</v>
      </c>
      <c r="Q3277">
        <v>896.40562792025435</v>
      </c>
    </row>
    <row r="3278" spans="1:17" x14ac:dyDescent="0.3">
      <c r="A3278">
        <v>916763</v>
      </c>
      <c r="B3278" s="1" t="s">
        <v>37</v>
      </c>
      <c r="C3278" s="1" t="s">
        <v>16</v>
      </c>
      <c r="D3278" s="1" t="s">
        <v>23</v>
      </c>
      <c r="E3278" s="1" t="s">
        <v>28</v>
      </c>
      <c r="F3278" s="1" t="s">
        <v>29</v>
      </c>
      <c r="G3278" s="1" t="s">
        <v>20</v>
      </c>
      <c r="H3278" t="s">
        <v>30</v>
      </c>
      <c r="I3278" s="1" t="s">
        <v>22</v>
      </c>
      <c r="J3278" s="2">
        <v>43530.166122685187</v>
      </c>
      <c r="K3278" s="2">
        <v>43540.166122685187</v>
      </c>
      <c r="L3278" s="2">
        <v>43534.166122685187</v>
      </c>
      <c r="M3278" s="1">
        <f>_xlfn.DAYS(Table1[[#This Row],[actual_delivery_date]],Table1[[#This Row],[dispatch_date]])</f>
        <v>10</v>
      </c>
      <c r="N3278">
        <v>38</v>
      </c>
      <c r="O3278">
        <f>Table1[[#This Row],[transit_storage_cost]] * (1-'What -if Analysis'!$D$26)</f>
        <v>38</v>
      </c>
      <c r="P3278">
        <v>125</v>
      </c>
      <c r="Q3278">
        <v>1278.0966355631456</v>
      </c>
    </row>
    <row r="3279" spans="1:17" x14ac:dyDescent="0.3">
      <c r="A3279">
        <v>242634</v>
      </c>
      <c r="B3279" s="1" t="s">
        <v>38</v>
      </c>
      <c r="C3279" s="1" t="s">
        <v>16</v>
      </c>
      <c r="D3279" s="1" t="s">
        <v>23</v>
      </c>
      <c r="E3279" s="1" t="s">
        <v>28</v>
      </c>
      <c r="F3279" s="1" t="s">
        <v>31</v>
      </c>
      <c r="G3279" s="1" t="s">
        <v>20</v>
      </c>
      <c r="H3279" t="s">
        <v>21</v>
      </c>
      <c r="I3279" s="1" t="s">
        <v>26</v>
      </c>
      <c r="J3279" s="2">
        <v>43534.171435185184</v>
      </c>
      <c r="K3279" s="2">
        <v>43540.171435185184</v>
      </c>
      <c r="L3279" s="2">
        <v>43537.171435185184</v>
      </c>
      <c r="M3279" s="1">
        <f>_xlfn.DAYS(Table1[[#This Row],[actual_delivery_date]],Table1[[#This Row],[dispatch_date]])</f>
        <v>6</v>
      </c>
      <c r="N3279">
        <v>32</v>
      </c>
      <c r="O3279">
        <f>Table1[[#This Row],[transit_storage_cost]] * (1-'What -if Analysis'!$D$26)</f>
        <v>32</v>
      </c>
      <c r="P3279">
        <v>123</v>
      </c>
      <c r="Q3279">
        <v>2720.5754653404683</v>
      </c>
    </row>
    <row r="3280" spans="1:17" x14ac:dyDescent="0.3">
      <c r="A3280">
        <v>636958</v>
      </c>
      <c r="B3280" s="1" t="s">
        <v>38</v>
      </c>
      <c r="C3280" s="1" t="s">
        <v>16</v>
      </c>
      <c r="D3280" s="1" t="s">
        <v>24</v>
      </c>
      <c r="E3280" s="1" t="s">
        <v>25</v>
      </c>
      <c r="F3280" s="1" t="s">
        <v>19</v>
      </c>
      <c r="G3280" s="1" t="s">
        <v>20</v>
      </c>
      <c r="H3280" t="s">
        <v>21</v>
      </c>
      <c r="I3280" s="1" t="s">
        <v>22</v>
      </c>
      <c r="J3280" s="2">
        <v>43530.175844907404</v>
      </c>
      <c r="K3280" s="2">
        <v>43540.175844907404</v>
      </c>
      <c r="L3280" s="2">
        <v>43535.175844907404</v>
      </c>
      <c r="M3280" s="1">
        <f>_xlfn.DAYS(Table1[[#This Row],[actual_delivery_date]],Table1[[#This Row],[dispatch_date]])</f>
        <v>10</v>
      </c>
      <c r="N3280">
        <v>71</v>
      </c>
      <c r="O3280">
        <f>Table1[[#This Row],[transit_storage_cost]] * (1-'What -if Analysis'!$D$26)</f>
        <v>71</v>
      </c>
      <c r="P3280">
        <v>100</v>
      </c>
      <c r="Q3280">
        <v>2536.8187633230391</v>
      </c>
    </row>
    <row r="3281" spans="1:17" x14ac:dyDescent="0.3">
      <c r="A3281">
        <v>958948</v>
      </c>
      <c r="B3281" s="1" t="s">
        <v>38</v>
      </c>
      <c r="C3281" s="1" t="s">
        <v>23</v>
      </c>
      <c r="D3281" s="1" t="s">
        <v>16</v>
      </c>
      <c r="E3281" s="1" t="s">
        <v>27</v>
      </c>
      <c r="F3281" s="1" t="s">
        <v>19</v>
      </c>
      <c r="G3281" s="1" t="s">
        <v>20</v>
      </c>
      <c r="H3281" t="s">
        <v>21</v>
      </c>
      <c r="I3281" s="1" t="s">
        <v>22</v>
      </c>
      <c r="J3281" s="2">
        <v>43536.180960648147</v>
      </c>
      <c r="K3281" s="2">
        <v>43540.180960648147</v>
      </c>
      <c r="L3281" s="2">
        <v>43541.180960648147</v>
      </c>
      <c r="M3281" s="1">
        <f>_xlfn.DAYS(Table1[[#This Row],[actual_delivery_date]],Table1[[#This Row],[dispatch_date]])</f>
        <v>4</v>
      </c>
      <c r="N3281">
        <v>36</v>
      </c>
      <c r="O3281">
        <f>Table1[[#This Row],[transit_storage_cost]] * (1-'What -if Analysis'!$D$26)</f>
        <v>36</v>
      </c>
      <c r="P3281">
        <v>127</v>
      </c>
      <c r="Q3281">
        <v>2792.8749954722816</v>
      </c>
    </row>
    <row r="3282" spans="1:17" x14ac:dyDescent="0.3">
      <c r="A3282">
        <v>8567</v>
      </c>
      <c r="B3282" s="1" t="s">
        <v>40</v>
      </c>
      <c r="C3282" s="1" t="s">
        <v>16</v>
      </c>
      <c r="D3282" s="1" t="s">
        <v>23</v>
      </c>
      <c r="E3282" s="1" t="s">
        <v>28</v>
      </c>
      <c r="F3282" s="1" t="s">
        <v>29</v>
      </c>
      <c r="G3282" s="1" t="s">
        <v>20</v>
      </c>
      <c r="H3282" t="s">
        <v>30</v>
      </c>
      <c r="I3282" s="1" t="s">
        <v>22</v>
      </c>
      <c r="J3282" s="2">
        <v>43531.187465277777</v>
      </c>
      <c r="K3282" s="2">
        <v>43540.187465277777</v>
      </c>
      <c r="L3282" s="2">
        <v>43536.187465277777</v>
      </c>
      <c r="M3282" s="1">
        <f>_xlfn.DAYS(Table1[[#This Row],[actual_delivery_date]],Table1[[#This Row],[dispatch_date]])</f>
        <v>9</v>
      </c>
      <c r="N3282">
        <v>33</v>
      </c>
      <c r="O3282">
        <f>Table1[[#This Row],[transit_storage_cost]] * (1-'What -if Analysis'!$D$26)</f>
        <v>33</v>
      </c>
      <c r="P3282">
        <v>121</v>
      </c>
      <c r="Q3282">
        <v>1597.064553577472</v>
      </c>
    </row>
    <row r="3283" spans="1:17" x14ac:dyDescent="0.3">
      <c r="A3283">
        <v>462692</v>
      </c>
      <c r="B3283" s="1" t="s">
        <v>15</v>
      </c>
      <c r="C3283" s="1" t="s">
        <v>16</v>
      </c>
      <c r="D3283" s="1" t="s">
        <v>17</v>
      </c>
      <c r="E3283" s="1" t="s">
        <v>18</v>
      </c>
      <c r="F3283" s="1" t="s">
        <v>19</v>
      </c>
      <c r="G3283" s="1" t="s">
        <v>20</v>
      </c>
      <c r="H3283" t="s">
        <v>21</v>
      </c>
      <c r="I3283" s="1" t="s">
        <v>22</v>
      </c>
      <c r="J3283" s="2">
        <v>43538.195613425924</v>
      </c>
      <c r="K3283" s="2">
        <v>43540.195613425924</v>
      </c>
      <c r="L3283" s="2">
        <v>43541.195613425924</v>
      </c>
      <c r="M3283" s="1">
        <f>_xlfn.DAYS(Table1[[#This Row],[actual_delivery_date]],Table1[[#This Row],[dispatch_date]])</f>
        <v>2</v>
      </c>
      <c r="N3283">
        <v>84</v>
      </c>
      <c r="O3283">
        <f>Table1[[#This Row],[transit_storage_cost]] * (1-'What -if Analysis'!$D$26)</f>
        <v>84</v>
      </c>
      <c r="P3283">
        <v>86</v>
      </c>
      <c r="Q3283">
        <v>1994</v>
      </c>
    </row>
    <row r="3284" spans="1:17" x14ac:dyDescent="0.3">
      <c r="A3284">
        <v>375002</v>
      </c>
      <c r="B3284" s="1" t="s">
        <v>15</v>
      </c>
      <c r="C3284" s="1" t="s">
        <v>23</v>
      </c>
      <c r="D3284" s="1" t="s">
        <v>24</v>
      </c>
      <c r="E3284" s="1" t="s">
        <v>25</v>
      </c>
      <c r="F3284" s="1" t="s">
        <v>31</v>
      </c>
      <c r="G3284" s="1" t="s">
        <v>20</v>
      </c>
      <c r="H3284" t="s">
        <v>21</v>
      </c>
      <c r="I3284" s="1" t="s">
        <v>22</v>
      </c>
      <c r="J3284" s="2">
        <v>43537.200046296297</v>
      </c>
      <c r="K3284" s="2">
        <v>43540.200046296297</v>
      </c>
      <c r="L3284" s="2">
        <v>43544.200046296297</v>
      </c>
      <c r="M3284" s="1">
        <f>_xlfn.DAYS(Table1[[#This Row],[actual_delivery_date]],Table1[[#This Row],[dispatch_date]])</f>
        <v>3</v>
      </c>
      <c r="N3284">
        <v>40</v>
      </c>
      <c r="O3284">
        <f>Table1[[#This Row],[transit_storage_cost]] * (1-'What -if Analysis'!$D$26)</f>
        <v>40</v>
      </c>
      <c r="P3284">
        <v>128</v>
      </c>
      <c r="Q3284">
        <v>2132.0796909668206</v>
      </c>
    </row>
    <row r="3285" spans="1:17" x14ac:dyDescent="0.3">
      <c r="A3285">
        <v>920160</v>
      </c>
      <c r="B3285" s="1" t="s">
        <v>39</v>
      </c>
      <c r="C3285" s="1" t="s">
        <v>16</v>
      </c>
      <c r="D3285" s="1" t="s">
        <v>24</v>
      </c>
      <c r="E3285" s="1" t="s">
        <v>25</v>
      </c>
      <c r="F3285" s="1" t="s">
        <v>19</v>
      </c>
      <c r="G3285" s="1" t="s">
        <v>20</v>
      </c>
      <c r="H3285" t="s">
        <v>21</v>
      </c>
      <c r="I3285" s="1" t="s">
        <v>26</v>
      </c>
      <c r="J3285" s="2">
        <v>43534.213240740741</v>
      </c>
      <c r="K3285" s="2">
        <v>43540.213240740741</v>
      </c>
      <c r="L3285" s="2">
        <v>43539.213240740741</v>
      </c>
      <c r="M3285" s="1">
        <f>_xlfn.DAYS(Table1[[#This Row],[actual_delivery_date]],Table1[[#This Row],[dispatch_date]])</f>
        <v>6</v>
      </c>
      <c r="N3285">
        <v>34</v>
      </c>
      <c r="O3285">
        <f>Table1[[#This Row],[transit_storage_cost]] * (1-'What -if Analysis'!$D$26)</f>
        <v>34</v>
      </c>
      <c r="P3285">
        <v>126</v>
      </c>
      <c r="Q3285">
        <v>3493.9916413230626</v>
      </c>
    </row>
    <row r="3286" spans="1:17" x14ac:dyDescent="0.3">
      <c r="A3286">
        <v>647376</v>
      </c>
      <c r="B3286" s="1" t="s">
        <v>37</v>
      </c>
      <c r="C3286" s="1" t="s">
        <v>23</v>
      </c>
      <c r="D3286" s="1" t="s">
        <v>16</v>
      </c>
      <c r="E3286" s="1" t="s">
        <v>27</v>
      </c>
      <c r="F3286" s="1" t="s">
        <v>19</v>
      </c>
      <c r="G3286" s="1" t="s">
        <v>20</v>
      </c>
      <c r="H3286" t="s">
        <v>21</v>
      </c>
      <c r="I3286" s="1" t="s">
        <v>26</v>
      </c>
      <c r="J3286" s="2">
        <v>43534.213425925926</v>
      </c>
      <c r="K3286" s="2">
        <v>43540.213425925926</v>
      </c>
      <c r="L3286" s="2">
        <v>43540.213425925926</v>
      </c>
      <c r="M3286" s="1">
        <f>_xlfn.DAYS(Table1[[#This Row],[actual_delivery_date]],Table1[[#This Row],[dispatch_date]])</f>
        <v>6</v>
      </c>
      <c r="N3286">
        <v>32</v>
      </c>
      <c r="O3286">
        <f>Table1[[#This Row],[transit_storage_cost]] * (1-'What -if Analysis'!$D$26)</f>
        <v>32</v>
      </c>
      <c r="P3286">
        <v>127</v>
      </c>
      <c r="Q3286">
        <v>1607</v>
      </c>
    </row>
    <row r="3287" spans="1:17" x14ac:dyDescent="0.3">
      <c r="A3287">
        <v>39435</v>
      </c>
      <c r="B3287" s="1" t="s">
        <v>39</v>
      </c>
      <c r="C3287" s="1" t="s">
        <v>16</v>
      </c>
      <c r="D3287" s="1" t="s">
        <v>23</v>
      </c>
      <c r="E3287" s="1" t="s">
        <v>28</v>
      </c>
      <c r="F3287" s="1" t="s">
        <v>19</v>
      </c>
      <c r="G3287" s="1" t="s">
        <v>20</v>
      </c>
      <c r="H3287" t="s">
        <v>30</v>
      </c>
      <c r="I3287" s="1" t="s">
        <v>26</v>
      </c>
      <c r="J3287" s="2">
        <v>43537.215439814812</v>
      </c>
      <c r="K3287" s="2">
        <v>43540.215439814812</v>
      </c>
      <c r="L3287" s="2">
        <v>43541.215439814812</v>
      </c>
      <c r="M3287" s="1">
        <f>_xlfn.DAYS(Table1[[#This Row],[actual_delivery_date]],Table1[[#This Row],[dispatch_date]])</f>
        <v>3</v>
      </c>
      <c r="N3287">
        <v>80</v>
      </c>
      <c r="O3287">
        <f>Table1[[#This Row],[transit_storage_cost]] * (1-'What -if Analysis'!$D$26)</f>
        <v>80</v>
      </c>
      <c r="P3287">
        <v>102</v>
      </c>
      <c r="Q3287">
        <v>1969.3834340292883</v>
      </c>
    </row>
    <row r="3288" spans="1:17" x14ac:dyDescent="0.3">
      <c r="A3288">
        <v>708895</v>
      </c>
      <c r="B3288" s="1" t="s">
        <v>15</v>
      </c>
      <c r="C3288" s="1" t="s">
        <v>23</v>
      </c>
      <c r="D3288" s="1" t="s">
        <v>32</v>
      </c>
      <c r="E3288" s="1" t="s">
        <v>33</v>
      </c>
      <c r="F3288" s="1" t="s">
        <v>29</v>
      </c>
      <c r="G3288" s="1" t="s">
        <v>20</v>
      </c>
      <c r="H3288" t="s">
        <v>30</v>
      </c>
      <c r="I3288" s="1" t="s">
        <v>22</v>
      </c>
      <c r="J3288" s="2">
        <v>43538.221226851849</v>
      </c>
      <c r="K3288" s="2">
        <v>43540.221226851849</v>
      </c>
      <c r="L3288" s="2">
        <v>43542.221226851849</v>
      </c>
      <c r="M3288" s="1">
        <f>_xlfn.DAYS(Table1[[#This Row],[actual_delivery_date]],Table1[[#This Row],[dispatch_date]])</f>
        <v>2</v>
      </c>
      <c r="N3288">
        <v>40</v>
      </c>
      <c r="O3288">
        <f>Table1[[#This Row],[transit_storage_cost]] * (1-'What -if Analysis'!$D$26)</f>
        <v>40</v>
      </c>
      <c r="P3288">
        <v>106</v>
      </c>
      <c r="Q3288">
        <v>1080.2747527601898</v>
      </c>
    </row>
    <row r="3289" spans="1:17" x14ac:dyDescent="0.3">
      <c r="A3289">
        <v>637921</v>
      </c>
      <c r="B3289" s="1" t="s">
        <v>41</v>
      </c>
      <c r="C3289" s="1" t="s">
        <v>16</v>
      </c>
      <c r="D3289" s="1" t="s">
        <v>16</v>
      </c>
      <c r="E3289" s="1" t="s">
        <v>27</v>
      </c>
      <c r="F3289" s="1" t="s">
        <v>29</v>
      </c>
      <c r="G3289" s="1" t="s">
        <v>20</v>
      </c>
      <c r="H3289" t="s">
        <v>30</v>
      </c>
      <c r="I3289" s="1" t="s">
        <v>22</v>
      </c>
      <c r="J3289" s="2">
        <v>43535.22283564815</v>
      </c>
      <c r="K3289" s="2">
        <v>43540.22283564815</v>
      </c>
      <c r="L3289" s="2">
        <v>43542.22283564815</v>
      </c>
      <c r="M3289" s="1">
        <f>_xlfn.DAYS(Table1[[#This Row],[actual_delivery_date]],Table1[[#This Row],[dispatch_date]])</f>
        <v>5</v>
      </c>
      <c r="N3289">
        <v>0</v>
      </c>
      <c r="O3289">
        <f>Table1[[#This Row],[transit_storage_cost]] * (1-'What -if Analysis'!$D$26)</f>
        <v>0</v>
      </c>
      <c r="P3289">
        <v>130</v>
      </c>
      <c r="Q3289">
        <v>2940.5106310767096</v>
      </c>
    </row>
    <row r="3290" spans="1:17" x14ac:dyDescent="0.3">
      <c r="A3290">
        <v>410514</v>
      </c>
      <c r="B3290" s="1" t="s">
        <v>38</v>
      </c>
      <c r="C3290" s="1" t="s">
        <v>16</v>
      </c>
      <c r="D3290" s="1" t="s">
        <v>23</v>
      </c>
      <c r="E3290" s="1" t="s">
        <v>28</v>
      </c>
      <c r="F3290" s="1" t="s">
        <v>31</v>
      </c>
      <c r="G3290" s="1" t="s">
        <v>20</v>
      </c>
      <c r="H3290" t="s">
        <v>21</v>
      </c>
      <c r="I3290" s="1" t="s">
        <v>26</v>
      </c>
      <c r="J3290" s="2">
        <v>43534.223020833335</v>
      </c>
      <c r="K3290" s="2">
        <v>43540.223020833335</v>
      </c>
      <c r="L3290" s="2">
        <v>43540.223020833335</v>
      </c>
      <c r="M3290" s="1">
        <f>_xlfn.DAYS(Table1[[#This Row],[actual_delivery_date]],Table1[[#This Row],[dispatch_date]])</f>
        <v>6</v>
      </c>
      <c r="N3290">
        <v>45</v>
      </c>
      <c r="O3290">
        <f>Table1[[#This Row],[transit_storage_cost]] * (1-'What -if Analysis'!$D$26)</f>
        <v>45</v>
      </c>
      <c r="P3290">
        <v>124</v>
      </c>
      <c r="Q3290">
        <v>550</v>
      </c>
    </row>
    <row r="3291" spans="1:17" x14ac:dyDescent="0.3">
      <c r="A3291">
        <v>964254</v>
      </c>
      <c r="B3291" s="1" t="s">
        <v>37</v>
      </c>
      <c r="C3291" s="1" t="s">
        <v>16</v>
      </c>
      <c r="D3291" s="1" t="s">
        <v>16</v>
      </c>
      <c r="E3291" s="1" t="s">
        <v>27</v>
      </c>
      <c r="F3291" s="1" t="s">
        <v>31</v>
      </c>
      <c r="G3291" s="1" t="s">
        <v>20</v>
      </c>
      <c r="H3291" t="s">
        <v>21</v>
      </c>
      <c r="I3291" s="1" t="s">
        <v>26</v>
      </c>
      <c r="J3291" s="2">
        <v>43534.230949074074</v>
      </c>
      <c r="K3291" s="2">
        <v>43540.230949074074</v>
      </c>
      <c r="L3291" s="2">
        <v>43539.230949074074</v>
      </c>
      <c r="M3291" s="1">
        <f>_xlfn.DAYS(Table1[[#This Row],[actual_delivery_date]],Table1[[#This Row],[dispatch_date]])</f>
        <v>6</v>
      </c>
      <c r="N3291">
        <v>0</v>
      </c>
      <c r="O3291">
        <f>Table1[[#This Row],[transit_storage_cost]] * (1-'What -if Analysis'!$D$26)</f>
        <v>0</v>
      </c>
      <c r="P3291">
        <v>122</v>
      </c>
      <c r="Q3291">
        <v>3339.3146843787763</v>
      </c>
    </row>
    <row r="3292" spans="1:17" x14ac:dyDescent="0.3">
      <c r="A3292">
        <v>307843</v>
      </c>
      <c r="B3292" s="1" t="s">
        <v>38</v>
      </c>
      <c r="C3292" s="1" t="s">
        <v>16</v>
      </c>
      <c r="D3292" s="1" t="s">
        <v>17</v>
      </c>
      <c r="E3292" s="1" t="s">
        <v>18</v>
      </c>
      <c r="F3292" s="1" t="s">
        <v>29</v>
      </c>
      <c r="G3292" s="1" t="s">
        <v>20</v>
      </c>
      <c r="H3292" t="s">
        <v>30</v>
      </c>
      <c r="I3292" s="1" t="s">
        <v>22</v>
      </c>
      <c r="J3292" s="2">
        <v>43535.232928240737</v>
      </c>
      <c r="K3292" s="2">
        <v>43540.232928240737</v>
      </c>
      <c r="L3292" s="2">
        <v>43541.232928240737</v>
      </c>
      <c r="M3292" s="1">
        <f>_xlfn.DAYS(Table1[[#This Row],[actual_delivery_date]],Table1[[#This Row],[dispatch_date]])</f>
        <v>5</v>
      </c>
      <c r="N3292">
        <v>36</v>
      </c>
      <c r="O3292">
        <f>Table1[[#This Row],[transit_storage_cost]] * (1-'What -if Analysis'!$D$26)</f>
        <v>36</v>
      </c>
      <c r="P3292">
        <v>111</v>
      </c>
      <c r="Q3292">
        <v>867</v>
      </c>
    </row>
    <row r="3293" spans="1:17" x14ac:dyDescent="0.3">
      <c r="A3293">
        <v>618277</v>
      </c>
      <c r="B3293" s="1" t="s">
        <v>41</v>
      </c>
      <c r="C3293" s="1" t="s">
        <v>23</v>
      </c>
      <c r="D3293" s="1" t="s">
        <v>23</v>
      </c>
      <c r="E3293" s="1" t="s">
        <v>28</v>
      </c>
      <c r="F3293" s="1" t="s">
        <v>29</v>
      </c>
      <c r="G3293" s="1" t="s">
        <v>20</v>
      </c>
      <c r="H3293" t="s">
        <v>30</v>
      </c>
      <c r="I3293" s="1" t="s">
        <v>22</v>
      </c>
      <c r="J3293" s="2">
        <v>43536.23709490741</v>
      </c>
      <c r="K3293" s="2">
        <v>43540.23709490741</v>
      </c>
      <c r="L3293" s="2">
        <v>43540.23709490741</v>
      </c>
      <c r="M3293" s="1">
        <f>_xlfn.DAYS(Table1[[#This Row],[actual_delivery_date]],Table1[[#This Row],[dispatch_date]])</f>
        <v>4</v>
      </c>
      <c r="N3293">
        <v>0</v>
      </c>
      <c r="O3293">
        <f>Table1[[#This Row],[transit_storage_cost]] * (1-'What -if Analysis'!$D$26)</f>
        <v>0</v>
      </c>
      <c r="P3293">
        <v>127</v>
      </c>
      <c r="Q3293">
        <v>1808.5491343590515</v>
      </c>
    </row>
    <row r="3294" spans="1:17" x14ac:dyDescent="0.3">
      <c r="A3294">
        <v>728135</v>
      </c>
      <c r="B3294" s="1" t="s">
        <v>38</v>
      </c>
      <c r="C3294" s="1" t="s">
        <v>16</v>
      </c>
      <c r="D3294" s="1" t="s">
        <v>23</v>
      </c>
      <c r="E3294" s="1" t="s">
        <v>28</v>
      </c>
      <c r="F3294" s="1" t="s">
        <v>19</v>
      </c>
      <c r="G3294" s="1" t="s">
        <v>20</v>
      </c>
      <c r="H3294" t="s">
        <v>30</v>
      </c>
      <c r="I3294" s="1" t="s">
        <v>22</v>
      </c>
      <c r="J3294" s="2">
        <v>43538.241979166669</v>
      </c>
      <c r="K3294" s="2">
        <v>43540.241979166669</v>
      </c>
      <c r="L3294" s="2">
        <v>43545.241979166669</v>
      </c>
      <c r="M3294" s="1">
        <f>_xlfn.DAYS(Table1[[#This Row],[actual_delivery_date]],Table1[[#This Row],[dispatch_date]])</f>
        <v>2</v>
      </c>
      <c r="N3294">
        <v>78</v>
      </c>
      <c r="O3294">
        <f>Table1[[#This Row],[transit_storage_cost]] * (1-'What -if Analysis'!$D$26)</f>
        <v>78</v>
      </c>
      <c r="P3294">
        <v>108</v>
      </c>
      <c r="Q3294">
        <v>708.98419593789458</v>
      </c>
    </row>
    <row r="3295" spans="1:17" x14ac:dyDescent="0.3">
      <c r="A3295">
        <v>406532</v>
      </c>
      <c r="B3295" s="1" t="s">
        <v>38</v>
      </c>
      <c r="C3295" s="1" t="s">
        <v>23</v>
      </c>
      <c r="D3295" s="1" t="s">
        <v>17</v>
      </c>
      <c r="E3295" s="1" t="s">
        <v>18</v>
      </c>
      <c r="F3295" s="1" t="s">
        <v>19</v>
      </c>
      <c r="G3295" s="1" t="s">
        <v>20</v>
      </c>
      <c r="H3295" t="s">
        <v>21</v>
      </c>
      <c r="I3295" s="1" t="s">
        <v>22</v>
      </c>
      <c r="J3295" s="2">
        <v>43538.248981481483</v>
      </c>
      <c r="K3295" s="2">
        <v>43540.248981481483</v>
      </c>
      <c r="L3295" s="2">
        <v>43542.248981481483</v>
      </c>
      <c r="M3295" s="1">
        <f>_xlfn.DAYS(Table1[[#This Row],[actual_delivery_date]],Table1[[#This Row],[dispatch_date]])</f>
        <v>2</v>
      </c>
      <c r="N3295">
        <v>64</v>
      </c>
      <c r="O3295">
        <f>Table1[[#This Row],[transit_storage_cost]] * (1-'What -if Analysis'!$D$26)</f>
        <v>64</v>
      </c>
      <c r="P3295">
        <v>85</v>
      </c>
      <c r="Q3295">
        <v>3213</v>
      </c>
    </row>
    <row r="3296" spans="1:17" x14ac:dyDescent="0.3">
      <c r="A3296">
        <v>970110</v>
      </c>
      <c r="B3296" s="1" t="s">
        <v>38</v>
      </c>
      <c r="C3296" s="1" t="s">
        <v>16</v>
      </c>
      <c r="D3296" s="1" t="s">
        <v>23</v>
      </c>
      <c r="E3296" s="1" t="s">
        <v>28</v>
      </c>
      <c r="F3296" s="1" t="s">
        <v>31</v>
      </c>
      <c r="G3296" s="1" t="s">
        <v>20</v>
      </c>
      <c r="H3296" t="s">
        <v>21</v>
      </c>
      <c r="I3296" s="1" t="s">
        <v>26</v>
      </c>
      <c r="J3296" s="2">
        <v>43536.249768518515</v>
      </c>
      <c r="K3296" s="2">
        <v>43540.249768518515</v>
      </c>
      <c r="L3296" s="2">
        <v>43541.249768518515</v>
      </c>
      <c r="M3296" s="1">
        <f>_xlfn.DAYS(Table1[[#This Row],[actual_delivery_date]],Table1[[#This Row],[dispatch_date]])</f>
        <v>4</v>
      </c>
      <c r="N3296">
        <v>25</v>
      </c>
      <c r="O3296">
        <f>Table1[[#This Row],[transit_storage_cost]] * (1-'What -if Analysis'!$D$26)</f>
        <v>25</v>
      </c>
      <c r="P3296">
        <v>122</v>
      </c>
      <c r="Q3296">
        <v>1202.2274935152834</v>
      </c>
    </row>
    <row r="3297" spans="1:17" x14ac:dyDescent="0.3">
      <c r="A3297">
        <v>166760</v>
      </c>
      <c r="B3297" s="1" t="s">
        <v>37</v>
      </c>
      <c r="C3297" s="1" t="s">
        <v>16</v>
      </c>
      <c r="D3297" s="1" t="s">
        <v>23</v>
      </c>
      <c r="E3297" s="1" t="s">
        <v>28</v>
      </c>
      <c r="F3297" s="1" t="s">
        <v>19</v>
      </c>
      <c r="G3297" s="1" t="s">
        <v>20</v>
      </c>
      <c r="H3297" t="s">
        <v>21</v>
      </c>
      <c r="I3297" s="1" t="s">
        <v>22</v>
      </c>
      <c r="J3297" s="2">
        <v>43537.250243055554</v>
      </c>
      <c r="K3297" s="2">
        <v>43540.250243055554</v>
      </c>
      <c r="L3297" s="2">
        <v>43540.250243055554</v>
      </c>
      <c r="M3297" s="1">
        <f>_xlfn.DAYS(Table1[[#This Row],[actual_delivery_date]],Table1[[#This Row],[dispatch_date]])</f>
        <v>3</v>
      </c>
      <c r="N3297">
        <v>47</v>
      </c>
      <c r="O3297">
        <f>Table1[[#This Row],[transit_storage_cost]] * (1-'What -if Analysis'!$D$26)</f>
        <v>47</v>
      </c>
      <c r="P3297">
        <v>123</v>
      </c>
      <c r="Q3297">
        <v>1226</v>
      </c>
    </row>
    <row r="3298" spans="1:17" x14ac:dyDescent="0.3">
      <c r="A3298">
        <v>933308</v>
      </c>
      <c r="B3298" s="1" t="s">
        <v>38</v>
      </c>
      <c r="C3298" s="1" t="s">
        <v>16</v>
      </c>
      <c r="D3298" s="1" t="s">
        <v>32</v>
      </c>
      <c r="E3298" s="1" t="s">
        <v>33</v>
      </c>
      <c r="F3298" s="1" t="s">
        <v>19</v>
      </c>
      <c r="G3298" s="1" t="s">
        <v>20</v>
      </c>
      <c r="H3298" t="s">
        <v>21</v>
      </c>
      <c r="I3298" s="1" t="s">
        <v>22</v>
      </c>
      <c r="J3298" s="2">
        <v>43536.250277777777</v>
      </c>
      <c r="K3298" s="2">
        <v>43540.250277777777</v>
      </c>
      <c r="L3298" s="2">
        <v>43541.250277777777</v>
      </c>
      <c r="M3298" s="1">
        <f>_xlfn.DAYS(Table1[[#This Row],[actual_delivery_date]],Table1[[#This Row],[dispatch_date]])</f>
        <v>4</v>
      </c>
      <c r="N3298">
        <v>79</v>
      </c>
      <c r="O3298">
        <f>Table1[[#This Row],[transit_storage_cost]] * (1-'What -if Analysis'!$D$26)</f>
        <v>79</v>
      </c>
      <c r="P3298">
        <v>86</v>
      </c>
      <c r="Q3298">
        <v>1152.2518598856775</v>
      </c>
    </row>
    <row r="3299" spans="1:17" x14ac:dyDescent="0.3">
      <c r="A3299">
        <v>937727</v>
      </c>
      <c r="B3299" s="1" t="s">
        <v>37</v>
      </c>
      <c r="C3299" s="1" t="s">
        <v>16</v>
      </c>
      <c r="D3299" s="1" t="s">
        <v>24</v>
      </c>
      <c r="E3299" s="1" t="s">
        <v>25</v>
      </c>
      <c r="F3299" s="1" t="s">
        <v>29</v>
      </c>
      <c r="G3299" s="1" t="s">
        <v>20</v>
      </c>
      <c r="H3299" t="s">
        <v>34</v>
      </c>
      <c r="I3299" s="1" t="s">
        <v>22</v>
      </c>
      <c r="J3299" s="2">
        <v>43537.252974537034</v>
      </c>
      <c r="K3299" s="2">
        <v>43540.252974537034</v>
      </c>
      <c r="L3299" s="2">
        <v>43544.252974537034</v>
      </c>
      <c r="M3299" s="1">
        <f>_xlfn.DAYS(Table1[[#This Row],[actual_delivery_date]],Table1[[#This Row],[dispatch_date]])</f>
        <v>3</v>
      </c>
      <c r="N3299">
        <v>31</v>
      </c>
      <c r="O3299">
        <f>Table1[[#This Row],[transit_storage_cost]] * (1-'What -if Analysis'!$D$26)</f>
        <v>31</v>
      </c>
      <c r="P3299">
        <v>125</v>
      </c>
      <c r="Q3299">
        <v>376</v>
      </c>
    </row>
    <row r="3300" spans="1:17" x14ac:dyDescent="0.3">
      <c r="A3300">
        <v>548222</v>
      </c>
      <c r="B3300" s="1" t="s">
        <v>38</v>
      </c>
      <c r="C3300" s="1" t="s">
        <v>16</v>
      </c>
      <c r="D3300" s="1" t="s">
        <v>17</v>
      </c>
      <c r="E3300" s="1" t="s">
        <v>18</v>
      </c>
      <c r="F3300" s="1" t="s">
        <v>31</v>
      </c>
      <c r="G3300" s="1" t="s">
        <v>20</v>
      </c>
      <c r="H3300" t="s">
        <v>21</v>
      </c>
      <c r="I3300" s="1" t="s">
        <v>22</v>
      </c>
      <c r="J3300" s="2">
        <v>43533.253680555557</v>
      </c>
      <c r="K3300" s="2">
        <v>43540.253680555557</v>
      </c>
      <c r="L3300" s="2">
        <v>43538.253680555557</v>
      </c>
      <c r="M3300" s="1">
        <f>_xlfn.DAYS(Table1[[#This Row],[actual_delivery_date]],Table1[[#This Row],[dispatch_date]])</f>
        <v>7</v>
      </c>
      <c r="N3300">
        <v>40</v>
      </c>
      <c r="O3300">
        <f>Table1[[#This Row],[transit_storage_cost]] * (1-'What -if Analysis'!$D$26)</f>
        <v>40</v>
      </c>
      <c r="P3300">
        <v>112</v>
      </c>
      <c r="Q3300">
        <v>2282.1270920229013</v>
      </c>
    </row>
    <row r="3301" spans="1:17" x14ac:dyDescent="0.3">
      <c r="A3301">
        <v>106017</v>
      </c>
      <c r="B3301" s="1" t="s">
        <v>38</v>
      </c>
      <c r="C3301" s="1" t="s">
        <v>23</v>
      </c>
      <c r="D3301" s="1" t="s">
        <v>16</v>
      </c>
      <c r="E3301" s="1" t="s">
        <v>27</v>
      </c>
      <c r="F3301" s="1" t="s">
        <v>29</v>
      </c>
      <c r="G3301" s="1" t="s">
        <v>20</v>
      </c>
      <c r="H3301" t="s">
        <v>30</v>
      </c>
      <c r="I3301" s="1" t="s">
        <v>26</v>
      </c>
      <c r="J3301" s="2">
        <v>43534.257824074077</v>
      </c>
      <c r="K3301" s="2">
        <v>43540.257824074077</v>
      </c>
      <c r="L3301" s="2">
        <v>43539.257824074077</v>
      </c>
      <c r="M3301" s="1">
        <f>_xlfn.DAYS(Table1[[#This Row],[actual_delivery_date]],Table1[[#This Row],[dispatch_date]])</f>
        <v>6</v>
      </c>
      <c r="N3301">
        <v>33</v>
      </c>
      <c r="O3301">
        <f>Table1[[#This Row],[transit_storage_cost]] * (1-'What -if Analysis'!$D$26)</f>
        <v>33</v>
      </c>
      <c r="P3301">
        <v>129</v>
      </c>
      <c r="Q3301">
        <v>3168.3752384349782</v>
      </c>
    </row>
    <row r="3302" spans="1:17" x14ac:dyDescent="0.3">
      <c r="A3302">
        <v>386544</v>
      </c>
      <c r="B3302" s="1" t="s">
        <v>39</v>
      </c>
      <c r="C3302" s="1" t="s">
        <v>16</v>
      </c>
      <c r="D3302" s="1" t="s">
        <v>16</v>
      </c>
      <c r="E3302" s="1" t="s">
        <v>27</v>
      </c>
      <c r="F3302" s="1" t="s">
        <v>19</v>
      </c>
      <c r="G3302" s="1" t="s">
        <v>20</v>
      </c>
      <c r="H3302" t="s">
        <v>21</v>
      </c>
      <c r="I3302" s="1" t="s">
        <v>26</v>
      </c>
      <c r="J3302" s="2">
        <v>43538.258252314816</v>
      </c>
      <c r="K3302" s="2">
        <v>43540.258252314816</v>
      </c>
      <c r="L3302" s="2">
        <v>43544.258252314816</v>
      </c>
      <c r="M3302" s="1">
        <f>_xlfn.DAYS(Table1[[#This Row],[actual_delivery_date]],Table1[[#This Row],[dispatch_date]])</f>
        <v>2</v>
      </c>
      <c r="N3302">
        <v>0</v>
      </c>
      <c r="O3302">
        <f>Table1[[#This Row],[transit_storage_cost]] * (1-'What -if Analysis'!$D$26)</f>
        <v>0</v>
      </c>
      <c r="P3302">
        <v>124</v>
      </c>
      <c r="Q3302">
        <v>1055</v>
      </c>
    </row>
    <row r="3303" spans="1:17" x14ac:dyDescent="0.3">
      <c r="A3303">
        <v>162765</v>
      </c>
      <c r="B3303" s="1" t="s">
        <v>41</v>
      </c>
      <c r="C3303" s="1" t="s">
        <v>16</v>
      </c>
      <c r="D3303" s="1" t="s">
        <v>17</v>
      </c>
      <c r="E3303" s="1" t="s">
        <v>18</v>
      </c>
      <c r="F3303" s="1" t="s">
        <v>19</v>
      </c>
      <c r="G3303" s="1" t="s">
        <v>20</v>
      </c>
      <c r="H3303" t="s">
        <v>30</v>
      </c>
      <c r="I3303" s="1" t="s">
        <v>26</v>
      </c>
      <c r="J3303" s="2">
        <v>43538.265532407408</v>
      </c>
      <c r="K3303" s="2">
        <v>43540.265532407408</v>
      </c>
      <c r="L3303" s="2">
        <v>43545.265532407408</v>
      </c>
      <c r="M3303" s="1">
        <f>_xlfn.DAYS(Table1[[#This Row],[actual_delivery_date]],Table1[[#This Row],[dispatch_date]])</f>
        <v>2</v>
      </c>
      <c r="N3303">
        <v>66</v>
      </c>
      <c r="O3303">
        <f>Table1[[#This Row],[transit_storage_cost]] * (1-'What -if Analysis'!$D$26)</f>
        <v>66</v>
      </c>
      <c r="P3303">
        <v>92</v>
      </c>
      <c r="Q3303">
        <v>3455.8229623432076</v>
      </c>
    </row>
    <row r="3304" spans="1:17" x14ac:dyDescent="0.3">
      <c r="A3304">
        <v>269017</v>
      </c>
      <c r="B3304" s="1" t="s">
        <v>37</v>
      </c>
      <c r="C3304" s="1" t="s">
        <v>16</v>
      </c>
      <c r="D3304" s="1" t="s">
        <v>17</v>
      </c>
      <c r="E3304" s="1" t="s">
        <v>18</v>
      </c>
      <c r="F3304" s="1" t="s">
        <v>29</v>
      </c>
      <c r="G3304" s="1" t="s">
        <v>20</v>
      </c>
      <c r="H3304" t="s">
        <v>34</v>
      </c>
      <c r="I3304" s="1" t="s">
        <v>22</v>
      </c>
      <c r="J3304" s="2">
        <v>43533.272928240738</v>
      </c>
      <c r="K3304" s="2">
        <v>43540.272928240738</v>
      </c>
      <c r="L3304" s="2">
        <v>43539.272928240738</v>
      </c>
      <c r="M3304" s="1">
        <f>_xlfn.DAYS(Table1[[#This Row],[actual_delivery_date]],Table1[[#This Row],[dispatch_date]])</f>
        <v>7</v>
      </c>
      <c r="N3304">
        <v>47</v>
      </c>
      <c r="O3304">
        <f>Table1[[#This Row],[transit_storage_cost]] * (1-'What -if Analysis'!$D$26)</f>
        <v>47</v>
      </c>
      <c r="P3304">
        <v>110</v>
      </c>
      <c r="Q3304">
        <v>1288.9401985567581</v>
      </c>
    </row>
    <row r="3305" spans="1:17" x14ac:dyDescent="0.3">
      <c r="A3305">
        <v>486119</v>
      </c>
      <c r="B3305" s="1" t="s">
        <v>41</v>
      </c>
      <c r="C3305" s="1" t="s">
        <v>16</v>
      </c>
      <c r="D3305" s="1" t="s">
        <v>16</v>
      </c>
      <c r="E3305" s="1" t="s">
        <v>27</v>
      </c>
      <c r="F3305" s="1" t="s">
        <v>19</v>
      </c>
      <c r="G3305" s="1" t="s">
        <v>20</v>
      </c>
      <c r="H3305" t="s">
        <v>30</v>
      </c>
      <c r="I3305" s="1" t="s">
        <v>22</v>
      </c>
      <c r="J3305" s="2">
        <v>43536.273935185185</v>
      </c>
      <c r="K3305" s="2">
        <v>43540.273935185185</v>
      </c>
      <c r="L3305" s="2">
        <v>43542.273935185185</v>
      </c>
      <c r="M3305" s="1">
        <f>_xlfn.DAYS(Table1[[#This Row],[actual_delivery_date]],Table1[[#This Row],[dispatch_date]])</f>
        <v>4</v>
      </c>
      <c r="N3305">
        <v>0</v>
      </c>
      <c r="O3305">
        <f>Table1[[#This Row],[transit_storage_cost]] * (1-'What -if Analysis'!$D$26)</f>
        <v>0</v>
      </c>
      <c r="P3305">
        <v>105</v>
      </c>
      <c r="Q3305">
        <v>2720</v>
      </c>
    </row>
    <row r="3306" spans="1:17" x14ac:dyDescent="0.3">
      <c r="A3306">
        <v>131776</v>
      </c>
      <c r="B3306" s="1" t="s">
        <v>37</v>
      </c>
      <c r="C3306" s="1" t="s">
        <v>23</v>
      </c>
      <c r="D3306" s="1" t="s">
        <v>23</v>
      </c>
      <c r="E3306" s="1" t="s">
        <v>28</v>
      </c>
      <c r="F3306" s="1" t="s">
        <v>19</v>
      </c>
      <c r="G3306" s="1" t="s">
        <v>20</v>
      </c>
      <c r="H3306" t="s">
        <v>21</v>
      </c>
      <c r="I3306" s="1" t="s">
        <v>22</v>
      </c>
      <c r="J3306" s="2">
        <v>43537.275057870371</v>
      </c>
      <c r="K3306" s="2">
        <v>43540.275057870371</v>
      </c>
      <c r="L3306" s="2">
        <v>43543.275057870371</v>
      </c>
      <c r="M3306" s="1">
        <f>_xlfn.DAYS(Table1[[#This Row],[actual_delivery_date]],Table1[[#This Row],[dispatch_date]])</f>
        <v>3</v>
      </c>
      <c r="N3306">
        <v>0</v>
      </c>
      <c r="O3306">
        <f>Table1[[#This Row],[transit_storage_cost]] * (1-'What -if Analysis'!$D$26)</f>
        <v>0</v>
      </c>
      <c r="P3306">
        <v>127</v>
      </c>
      <c r="Q3306">
        <v>1094.098786603638</v>
      </c>
    </row>
    <row r="3307" spans="1:17" x14ac:dyDescent="0.3">
      <c r="A3307">
        <v>160546</v>
      </c>
      <c r="B3307" s="1" t="s">
        <v>38</v>
      </c>
      <c r="C3307" s="1" t="s">
        <v>23</v>
      </c>
      <c r="D3307" s="1" t="s">
        <v>24</v>
      </c>
      <c r="E3307" s="1" t="s">
        <v>25</v>
      </c>
      <c r="F3307" s="1" t="s">
        <v>31</v>
      </c>
      <c r="G3307" s="1" t="s">
        <v>20</v>
      </c>
      <c r="H3307" t="s">
        <v>21</v>
      </c>
      <c r="I3307" s="1" t="s">
        <v>22</v>
      </c>
      <c r="J3307" s="2">
        <v>43535.278969907406</v>
      </c>
      <c r="K3307" s="2">
        <v>43540.278969907406</v>
      </c>
      <c r="L3307" s="2">
        <v>43542.278969907406</v>
      </c>
      <c r="M3307" s="1">
        <f>_xlfn.DAYS(Table1[[#This Row],[actual_delivery_date]],Table1[[#This Row],[dispatch_date]])</f>
        <v>5</v>
      </c>
      <c r="N3307">
        <v>35</v>
      </c>
      <c r="O3307">
        <f>Table1[[#This Row],[transit_storage_cost]] * (1-'What -if Analysis'!$D$26)</f>
        <v>35</v>
      </c>
      <c r="P3307">
        <v>122</v>
      </c>
      <c r="Q3307">
        <v>2448.5845528230789</v>
      </c>
    </row>
    <row r="3308" spans="1:17" x14ac:dyDescent="0.3">
      <c r="A3308">
        <v>541860</v>
      </c>
      <c r="B3308" s="1" t="s">
        <v>38</v>
      </c>
      <c r="C3308" s="1" t="s">
        <v>16</v>
      </c>
      <c r="D3308" s="1" t="s">
        <v>32</v>
      </c>
      <c r="E3308" s="1" t="s">
        <v>33</v>
      </c>
      <c r="F3308" s="1" t="s">
        <v>19</v>
      </c>
      <c r="G3308" s="1" t="s">
        <v>20</v>
      </c>
      <c r="H3308" t="s">
        <v>21</v>
      </c>
      <c r="I3308" s="1" t="s">
        <v>26</v>
      </c>
      <c r="J3308" s="2">
        <v>43537.283125000002</v>
      </c>
      <c r="K3308" s="2">
        <v>43540.283125000002</v>
      </c>
      <c r="L3308" s="2">
        <v>43543.283125000002</v>
      </c>
      <c r="M3308" s="1">
        <f>_xlfn.DAYS(Table1[[#This Row],[actual_delivery_date]],Table1[[#This Row],[dispatch_date]])</f>
        <v>3</v>
      </c>
      <c r="N3308">
        <v>43</v>
      </c>
      <c r="O3308">
        <f>Table1[[#This Row],[transit_storage_cost]] * (1-'What -if Analysis'!$D$26)</f>
        <v>43</v>
      </c>
      <c r="P3308">
        <v>106</v>
      </c>
      <c r="Q3308">
        <v>3377.0384937426888</v>
      </c>
    </row>
    <row r="3309" spans="1:17" x14ac:dyDescent="0.3">
      <c r="A3309">
        <v>916264</v>
      </c>
      <c r="B3309" s="1" t="s">
        <v>39</v>
      </c>
      <c r="C3309" s="1" t="s">
        <v>16</v>
      </c>
      <c r="D3309" s="1" t="s">
        <v>17</v>
      </c>
      <c r="E3309" s="1" t="s">
        <v>18</v>
      </c>
      <c r="F3309" s="1" t="s">
        <v>19</v>
      </c>
      <c r="G3309" s="1" t="s">
        <v>20</v>
      </c>
      <c r="H3309" t="s">
        <v>21</v>
      </c>
      <c r="I3309" s="1" t="s">
        <v>22</v>
      </c>
      <c r="J3309" s="2">
        <v>43538.284861111111</v>
      </c>
      <c r="K3309" s="2">
        <v>43540.284861111111</v>
      </c>
      <c r="L3309" s="2">
        <v>43543.284861111111</v>
      </c>
      <c r="M3309" s="1">
        <f>_xlfn.DAYS(Table1[[#This Row],[actual_delivery_date]],Table1[[#This Row],[dispatch_date]])</f>
        <v>2</v>
      </c>
      <c r="N3309">
        <v>27</v>
      </c>
      <c r="O3309">
        <f>Table1[[#This Row],[transit_storage_cost]] * (1-'What -if Analysis'!$D$26)</f>
        <v>27</v>
      </c>
      <c r="P3309">
        <v>113</v>
      </c>
      <c r="Q3309">
        <v>3240.306173916334</v>
      </c>
    </row>
    <row r="3310" spans="1:17" x14ac:dyDescent="0.3">
      <c r="A3310">
        <v>414449</v>
      </c>
      <c r="B3310" s="1" t="s">
        <v>40</v>
      </c>
      <c r="C3310" s="1" t="s">
        <v>23</v>
      </c>
      <c r="D3310" s="1" t="s">
        <v>16</v>
      </c>
      <c r="E3310" s="1" t="s">
        <v>27</v>
      </c>
      <c r="F3310" s="1" t="s">
        <v>29</v>
      </c>
      <c r="G3310" s="1" t="s">
        <v>20</v>
      </c>
      <c r="H3310" t="s">
        <v>34</v>
      </c>
      <c r="I3310" s="1" t="s">
        <v>22</v>
      </c>
      <c r="J3310" s="2">
        <v>43535.288738425923</v>
      </c>
      <c r="K3310" s="2">
        <v>43540.288738425923</v>
      </c>
      <c r="L3310" s="2">
        <v>43539.288738425923</v>
      </c>
      <c r="M3310" s="1">
        <f>_xlfn.DAYS(Table1[[#This Row],[actual_delivery_date]],Table1[[#This Row],[dispatch_date]])</f>
        <v>5</v>
      </c>
      <c r="N3310">
        <v>28</v>
      </c>
      <c r="O3310">
        <f>Table1[[#This Row],[transit_storage_cost]] * (1-'What -if Analysis'!$D$26)</f>
        <v>28</v>
      </c>
      <c r="P3310">
        <v>129</v>
      </c>
      <c r="Q3310">
        <v>3571</v>
      </c>
    </row>
    <row r="3311" spans="1:17" x14ac:dyDescent="0.3">
      <c r="A3311">
        <v>174434</v>
      </c>
      <c r="B3311" s="1" t="s">
        <v>37</v>
      </c>
      <c r="C3311" s="1" t="s">
        <v>16</v>
      </c>
      <c r="D3311" s="1" t="s">
        <v>32</v>
      </c>
      <c r="E3311" s="1" t="s">
        <v>33</v>
      </c>
      <c r="F3311" s="1" t="s">
        <v>31</v>
      </c>
      <c r="G3311" s="1" t="s">
        <v>20</v>
      </c>
      <c r="H3311" t="s">
        <v>21</v>
      </c>
      <c r="I3311" s="1" t="s">
        <v>22</v>
      </c>
      <c r="J3311" s="2">
        <v>43533.289652777778</v>
      </c>
      <c r="K3311" s="2">
        <v>43540.289652777778</v>
      </c>
      <c r="L3311" s="2">
        <v>43536.289652777778</v>
      </c>
      <c r="M3311" s="1">
        <f>_xlfn.DAYS(Table1[[#This Row],[actual_delivery_date]],Table1[[#This Row],[dispatch_date]])</f>
        <v>7</v>
      </c>
      <c r="N3311">
        <v>26</v>
      </c>
      <c r="O3311">
        <f>Table1[[#This Row],[transit_storage_cost]] * (1-'What -if Analysis'!$D$26)</f>
        <v>26</v>
      </c>
      <c r="P3311">
        <v>111</v>
      </c>
      <c r="Q3311">
        <v>2350.22488762802</v>
      </c>
    </row>
    <row r="3312" spans="1:17" x14ac:dyDescent="0.3">
      <c r="A3312">
        <v>35524</v>
      </c>
      <c r="B3312" s="1" t="s">
        <v>37</v>
      </c>
      <c r="C3312" s="1" t="s">
        <v>23</v>
      </c>
      <c r="D3312" s="1" t="s">
        <v>16</v>
      </c>
      <c r="E3312" s="1" t="s">
        <v>27</v>
      </c>
      <c r="F3312" s="1" t="s">
        <v>19</v>
      </c>
      <c r="G3312" s="1" t="s">
        <v>20</v>
      </c>
      <c r="H3312" t="s">
        <v>21</v>
      </c>
      <c r="I3312" s="1" t="s">
        <v>22</v>
      </c>
      <c r="J3312" s="2">
        <v>43538.292569444442</v>
      </c>
      <c r="K3312" s="2">
        <v>43540.292569444442</v>
      </c>
      <c r="L3312" s="2">
        <v>43544.292569444442</v>
      </c>
      <c r="M3312" s="1">
        <f>_xlfn.DAYS(Table1[[#This Row],[actual_delivery_date]],Table1[[#This Row],[dispatch_date]])</f>
        <v>2</v>
      </c>
      <c r="N3312">
        <v>32</v>
      </c>
      <c r="O3312">
        <f>Table1[[#This Row],[transit_storage_cost]] * (1-'What -if Analysis'!$D$26)</f>
        <v>32</v>
      </c>
      <c r="P3312">
        <v>129</v>
      </c>
      <c r="Q3312">
        <v>1137.601870171424</v>
      </c>
    </row>
    <row r="3313" spans="1:17" x14ac:dyDescent="0.3">
      <c r="A3313">
        <v>387790</v>
      </c>
      <c r="B3313" s="1" t="s">
        <v>37</v>
      </c>
      <c r="C3313" s="1" t="s">
        <v>16</v>
      </c>
      <c r="D3313" s="1" t="s">
        <v>16</v>
      </c>
      <c r="E3313" s="1" t="s">
        <v>27</v>
      </c>
      <c r="F3313" s="1" t="s">
        <v>19</v>
      </c>
      <c r="G3313" s="1" t="s">
        <v>20</v>
      </c>
      <c r="H3313" t="s">
        <v>21</v>
      </c>
      <c r="I3313" s="1" t="s">
        <v>22</v>
      </c>
      <c r="J3313" s="2">
        <v>43536.293124999997</v>
      </c>
      <c r="K3313" s="2">
        <v>43540.293124999997</v>
      </c>
      <c r="L3313" s="2">
        <v>43539.293124999997</v>
      </c>
      <c r="M3313" s="1">
        <f>_xlfn.DAYS(Table1[[#This Row],[actual_delivery_date]],Table1[[#This Row],[dispatch_date]])</f>
        <v>4</v>
      </c>
      <c r="N3313">
        <v>0</v>
      </c>
      <c r="O3313">
        <f>Table1[[#This Row],[transit_storage_cost]] * (1-'What -if Analysis'!$D$26)</f>
        <v>0</v>
      </c>
      <c r="P3313">
        <v>101</v>
      </c>
      <c r="Q3313">
        <v>3605.7505608851384</v>
      </c>
    </row>
    <row r="3314" spans="1:17" x14ac:dyDescent="0.3">
      <c r="A3314">
        <v>168867</v>
      </c>
      <c r="B3314" s="1" t="s">
        <v>37</v>
      </c>
      <c r="C3314" s="1" t="s">
        <v>16</v>
      </c>
      <c r="D3314" s="1" t="s">
        <v>16</v>
      </c>
      <c r="E3314" s="1" t="s">
        <v>27</v>
      </c>
      <c r="F3314" s="1" t="s">
        <v>29</v>
      </c>
      <c r="G3314" s="1" t="s">
        <v>20</v>
      </c>
      <c r="H3314" t="s">
        <v>30</v>
      </c>
      <c r="I3314" s="1" t="s">
        <v>26</v>
      </c>
      <c r="J3314" s="2">
        <v>43536.294340277775</v>
      </c>
      <c r="K3314" s="2">
        <v>43540.294340277775</v>
      </c>
      <c r="L3314" s="2">
        <v>43541.294340277775</v>
      </c>
      <c r="M3314" s="1">
        <f>_xlfn.DAYS(Table1[[#This Row],[actual_delivery_date]],Table1[[#This Row],[dispatch_date]])</f>
        <v>4</v>
      </c>
      <c r="N3314">
        <v>0</v>
      </c>
      <c r="O3314">
        <f>Table1[[#This Row],[transit_storage_cost]] * (1-'What -if Analysis'!$D$26)</f>
        <v>0</v>
      </c>
      <c r="P3314">
        <v>123</v>
      </c>
      <c r="Q3314">
        <v>732</v>
      </c>
    </row>
    <row r="3315" spans="1:17" x14ac:dyDescent="0.3">
      <c r="A3315">
        <v>213143</v>
      </c>
      <c r="B3315" s="1" t="s">
        <v>40</v>
      </c>
      <c r="C3315" s="1" t="s">
        <v>16</v>
      </c>
      <c r="D3315" s="1" t="s">
        <v>16</v>
      </c>
      <c r="E3315" s="1" t="s">
        <v>27</v>
      </c>
      <c r="F3315" s="1" t="s">
        <v>29</v>
      </c>
      <c r="G3315" s="1" t="s">
        <v>20</v>
      </c>
      <c r="H3315" t="s">
        <v>34</v>
      </c>
      <c r="I3315" s="1" t="s">
        <v>22</v>
      </c>
      <c r="J3315" s="2">
        <v>43536.296597222223</v>
      </c>
      <c r="K3315" s="2">
        <v>43540.296597222223</v>
      </c>
      <c r="L3315" s="2">
        <v>43540.296597222223</v>
      </c>
      <c r="M3315" s="1">
        <f>_xlfn.DAYS(Table1[[#This Row],[actual_delivery_date]],Table1[[#This Row],[dispatch_date]])</f>
        <v>4</v>
      </c>
      <c r="N3315">
        <v>0</v>
      </c>
      <c r="O3315">
        <f>Table1[[#This Row],[transit_storage_cost]] * (1-'What -if Analysis'!$D$26)</f>
        <v>0</v>
      </c>
      <c r="P3315">
        <v>126</v>
      </c>
      <c r="Q3315">
        <v>3828.9781946160415</v>
      </c>
    </row>
    <row r="3316" spans="1:17" x14ac:dyDescent="0.3">
      <c r="A3316">
        <v>573408</v>
      </c>
      <c r="B3316" s="1" t="s">
        <v>37</v>
      </c>
      <c r="C3316" s="1" t="s">
        <v>16</v>
      </c>
      <c r="D3316" s="1" t="s">
        <v>23</v>
      </c>
      <c r="E3316" s="1" t="s">
        <v>28</v>
      </c>
      <c r="F3316" s="1" t="s">
        <v>19</v>
      </c>
      <c r="G3316" s="1" t="s">
        <v>20</v>
      </c>
      <c r="H3316" t="s">
        <v>21</v>
      </c>
      <c r="I3316" s="1" t="s">
        <v>26</v>
      </c>
      <c r="J3316" s="2">
        <v>43534.298298611109</v>
      </c>
      <c r="K3316" s="2">
        <v>43540.298298611109</v>
      </c>
      <c r="L3316" s="2">
        <v>43539.298298611109</v>
      </c>
      <c r="M3316" s="1">
        <f>_xlfn.DAYS(Table1[[#This Row],[actual_delivery_date]],Table1[[#This Row],[dispatch_date]])</f>
        <v>6</v>
      </c>
      <c r="N3316">
        <v>65</v>
      </c>
      <c r="O3316">
        <f>Table1[[#This Row],[transit_storage_cost]] * (1-'What -if Analysis'!$D$26)</f>
        <v>65</v>
      </c>
      <c r="P3316">
        <v>107</v>
      </c>
      <c r="Q3316">
        <v>3368.0337590871154</v>
      </c>
    </row>
    <row r="3317" spans="1:17" x14ac:dyDescent="0.3">
      <c r="A3317">
        <v>942514</v>
      </c>
      <c r="B3317" s="1" t="s">
        <v>15</v>
      </c>
      <c r="C3317" s="1" t="s">
        <v>23</v>
      </c>
      <c r="D3317" s="1" t="s">
        <v>24</v>
      </c>
      <c r="E3317" s="1" t="s">
        <v>25</v>
      </c>
      <c r="F3317" s="1" t="s">
        <v>31</v>
      </c>
      <c r="G3317" s="1" t="s">
        <v>20</v>
      </c>
      <c r="H3317" t="s">
        <v>21</v>
      </c>
      <c r="I3317" s="1" t="s">
        <v>22</v>
      </c>
      <c r="J3317" s="2">
        <v>43535.306168981479</v>
      </c>
      <c r="K3317" s="2">
        <v>43540.306168981479</v>
      </c>
      <c r="L3317" s="2">
        <v>43541.306168981479</v>
      </c>
      <c r="M3317" s="1">
        <f>_xlfn.DAYS(Table1[[#This Row],[actual_delivery_date]],Table1[[#This Row],[dispatch_date]])</f>
        <v>5</v>
      </c>
      <c r="N3317">
        <v>25</v>
      </c>
      <c r="O3317">
        <f>Table1[[#This Row],[transit_storage_cost]] * (1-'What -if Analysis'!$D$26)</f>
        <v>25</v>
      </c>
      <c r="P3317">
        <v>124</v>
      </c>
      <c r="Q3317">
        <v>3545</v>
      </c>
    </row>
    <row r="3318" spans="1:17" x14ac:dyDescent="0.3">
      <c r="A3318">
        <v>777306</v>
      </c>
      <c r="B3318" s="1" t="s">
        <v>38</v>
      </c>
      <c r="C3318" s="1" t="s">
        <v>16</v>
      </c>
      <c r="D3318" s="1" t="s">
        <v>32</v>
      </c>
      <c r="E3318" s="1" t="s">
        <v>33</v>
      </c>
      <c r="F3318" s="1" t="s">
        <v>19</v>
      </c>
      <c r="G3318" s="1" t="s">
        <v>20</v>
      </c>
      <c r="H3318" t="s">
        <v>21</v>
      </c>
      <c r="I3318" s="1" t="s">
        <v>26</v>
      </c>
      <c r="J3318" s="2">
        <v>43533.308668981481</v>
      </c>
      <c r="K3318" s="2">
        <v>43540.308668981481</v>
      </c>
      <c r="L3318" s="2">
        <v>43537.308668981481</v>
      </c>
      <c r="M3318" s="1">
        <f>_xlfn.DAYS(Table1[[#This Row],[actual_delivery_date]],Table1[[#This Row],[dispatch_date]])</f>
        <v>7</v>
      </c>
      <c r="N3318">
        <v>82</v>
      </c>
      <c r="O3318">
        <f>Table1[[#This Row],[transit_storage_cost]] * (1-'What -if Analysis'!$D$26)</f>
        <v>82</v>
      </c>
      <c r="P3318">
        <v>90</v>
      </c>
      <c r="Q3318">
        <v>3501.8005493197261</v>
      </c>
    </row>
    <row r="3319" spans="1:17" x14ac:dyDescent="0.3">
      <c r="A3319">
        <v>668188</v>
      </c>
      <c r="B3319" s="1" t="s">
        <v>38</v>
      </c>
      <c r="C3319" s="1" t="s">
        <v>23</v>
      </c>
      <c r="D3319" s="1" t="s">
        <v>17</v>
      </c>
      <c r="E3319" s="1" t="s">
        <v>18</v>
      </c>
      <c r="F3319" s="1" t="s">
        <v>19</v>
      </c>
      <c r="G3319" s="1" t="s">
        <v>20</v>
      </c>
      <c r="H3319" t="s">
        <v>21</v>
      </c>
      <c r="I3319" s="1" t="s">
        <v>22</v>
      </c>
      <c r="J3319" s="2">
        <v>43535.310868055552</v>
      </c>
      <c r="K3319" s="2">
        <v>43540.310868055552</v>
      </c>
      <c r="L3319" s="2">
        <v>43539.310868055552</v>
      </c>
      <c r="M3319" s="1">
        <f>_xlfn.DAYS(Table1[[#This Row],[actual_delivery_date]],Table1[[#This Row],[dispatch_date]])</f>
        <v>5</v>
      </c>
      <c r="N3319">
        <v>30</v>
      </c>
      <c r="O3319">
        <f>Table1[[#This Row],[transit_storage_cost]] * (1-'What -if Analysis'!$D$26)</f>
        <v>30</v>
      </c>
      <c r="P3319">
        <v>112</v>
      </c>
      <c r="Q3319">
        <v>1890.0476832679317</v>
      </c>
    </row>
    <row r="3320" spans="1:17" x14ac:dyDescent="0.3">
      <c r="A3320">
        <v>683481</v>
      </c>
      <c r="B3320" s="1" t="s">
        <v>41</v>
      </c>
      <c r="C3320" s="1" t="s">
        <v>16</v>
      </c>
      <c r="D3320" s="1" t="s">
        <v>23</v>
      </c>
      <c r="E3320" s="1" t="s">
        <v>28</v>
      </c>
      <c r="F3320" s="1" t="s">
        <v>19</v>
      </c>
      <c r="G3320" s="1" t="s">
        <v>20</v>
      </c>
      <c r="H3320" t="s">
        <v>30</v>
      </c>
      <c r="I3320" s="1" t="s">
        <v>26</v>
      </c>
      <c r="J3320" s="2">
        <v>43538.314756944441</v>
      </c>
      <c r="K3320" s="2">
        <v>43540.314756944441</v>
      </c>
      <c r="L3320" s="2">
        <v>43544.314756944441</v>
      </c>
      <c r="M3320" s="1">
        <f>_xlfn.DAYS(Table1[[#This Row],[actual_delivery_date]],Table1[[#This Row],[dispatch_date]])</f>
        <v>2</v>
      </c>
      <c r="N3320">
        <v>84</v>
      </c>
      <c r="O3320">
        <f>Table1[[#This Row],[transit_storage_cost]] * (1-'What -if Analysis'!$D$26)</f>
        <v>84</v>
      </c>
      <c r="P3320">
        <v>110</v>
      </c>
      <c r="Q3320">
        <v>1016.924924588082</v>
      </c>
    </row>
    <row r="3321" spans="1:17" x14ac:dyDescent="0.3">
      <c r="A3321">
        <v>880355</v>
      </c>
      <c r="B3321" s="1" t="s">
        <v>41</v>
      </c>
      <c r="C3321" s="1" t="s">
        <v>23</v>
      </c>
      <c r="D3321" s="1" t="s">
        <v>23</v>
      </c>
      <c r="E3321" s="1" t="s">
        <v>28</v>
      </c>
      <c r="F3321" s="1" t="s">
        <v>19</v>
      </c>
      <c r="G3321" s="1" t="s">
        <v>20</v>
      </c>
      <c r="H3321" t="s">
        <v>34</v>
      </c>
      <c r="I3321" s="1" t="s">
        <v>22</v>
      </c>
      <c r="J3321" s="2">
        <v>43535.318530092591</v>
      </c>
      <c r="K3321" s="2">
        <v>43540.318530092591</v>
      </c>
      <c r="L3321" s="2">
        <v>43539.318530092591</v>
      </c>
      <c r="M3321" s="1">
        <f>_xlfn.DAYS(Table1[[#This Row],[actual_delivery_date]],Table1[[#This Row],[dispatch_date]])</f>
        <v>5</v>
      </c>
      <c r="N3321">
        <v>0</v>
      </c>
      <c r="O3321">
        <f>Table1[[#This Row],[transit_storage_cost]] * (1-'What -if Analysis'!$D$26)</f>
        <v>0</v>
      </c>
      <c r="P3321">
        <v>105</v>
      </c>
      <c r="Q3321">
        <v>2579.6461306158112</v>
      </c>
    </row>
    <row r="3322" spans="1:17" x14ac:dyDescent="0.3">
      <c r="A3322">
        <v>493178</v>
      </c>
      <c r="B3322" s="1" t="s">
        <v>38</v>
      </c>
      <c r="C3322" s="1" t="s">
        <v>16</v>
      </c>
      <c r="D3322" s="1" t="s">
        <v>23</v>
      </c>
      <c r="E3322" s="1" t="s">
        <v>28</v>
      </c>
      <c r="F3322" s="1" t="s">
        <v>31</v>
      </c>
      <c r="G3322" s="1" t="s">
        <v>20</v>
      </c>
      <c r="H3322" t="s">
        <v>21</v>
      </c>
      <c r="I3322" s="1" t="s">
        <v>22</v>
      </c>
      <c r="J3322" s="2">
        <v>43535.319988425923</v>
      </c>
      <c r="K3322" s="2">
        <v>43540.319988425923</v>
      </c>
      <c r="L3322" s="2">
        <v>43542.319988425923</v>
      </c>
      <c r="M3322" s="1">
        <f>_xlfn.DAYS(Table1[[#This Row],[actual_delivery_date]],Table1[[#This Row],[dispatch_date]])</f>
        <v>5</v>
      </c>
      <c r="N3322">
        <v>45</v>
      </c>
      <c r="O3322">
        <f>Table1[[#This Row],[transit_storage_cost]] * (1-'What -if Analysis'!$D$26)</f>
        <v>45</v>
      </c>
      <c r="P3322">
        <v>129</v>
      </c>
      <c r="Q3322">
        <v>1563.5081646116962</v>
      </c>
    </row>
    <row r="3323" spans="1:17" x14ac:dyDescent="0.3">
      <c r="A3323">
        <v>116805</v>
      </c>
      <c r="B3323" s="1" t="s">
        <v>37</v>
      </c>
      <c r="C3323" s="1" t="s">
        <v>23</v>
      </c>
      <c r="D3323" s="1" t="s">
        <v>23</v>
      </c>
      <c r="E3323" s="1" t="s">
        <v>28</v>
      </c>
      <c r="F3323" s="1" t="s">
        <v>29</v>
      </c>
      <c r="G3323" s="1" t="s">
        <v>20</v>
      </c>
      <c r="H3323" t="s">
        <v>30</v>
      </c>
      <c r="I3323" s="1" t="s">
        <v>26</v>
      </c>
      <c r="J3323" s="2">
        <v>43534.321817129632</v>
      </c>
      <c r="K3323" s="2">
        <v>43540.321817129632</v>
      </c>
      <c r="L3323" s="2">
        <v>43537.321817129632</v>
      </c>
      <c r="M3323" s="1">
        <f>_xlfn.DAYS(Table1[[#This Row],[actual_delivery_date]],Table1[[#This Row],[dispatch_date]])</f>
        <v>6</v>
      </c>
      <c r="N3323">
        <v>0</v>
      </c>
      <c r="O3323">
        <f>Table1[[#This Row],[transit_storage_cost]] * (1-'What -if Analysis'!$D$26)</f>
        <v>0</v>
      </c>
      <c r="P3323">
        <v>129</v>
      </c>
      <c r="Q3323">
        <v>3160.8841505998016</v>
      </c>
    </row>
    <row r="3324" spans="1:17" x14ac:dyDescent="0.3">
      <c r="A3324">
        <v>54795</v>
      </c>
      <c r="B3324" s="1" t="s">
        <v>41</v>
      </c>
      <c r="C3324" s="1" t="s">
        <v>16</v>
      </c>
      <c r="D3324" s="1" t="s">
        <v>17</v>
      </c>
      <c r="E3324" s="1" t="s">
        <v>18</v>
      </c>
      <c r="F3324" s="1" t="s">
        <v>29</v>
      </c>
      <c r="G3324" s="1" t="s">
        <v>20</v>
      </c>
      <c r="H3324" t="s">
        <v>30</v>
      </c>
      <c r="I3324" s="1" t="s">
        <v>26</v>
      </c>
      <c r="J3324" s="2">
        <v>43531.327025462961</v>
      </c>
      <c r="K3324" s="2">
        <v>43540.327025462961</v>
      </c>
      <c r="L3324" s="2">
        <v>43534.327025462961</v>
      </c>
      <c r="M3324" s="1">
        <f>_xlfn.DAYS(Table1[[#This Row],[actual_delivery_date]],Table1[[#This Row],[dispatch_date]])</f>
        <v>9</v>
      </c>
      <c r="N3324">
        <v>34</v>
      </c>
      <c r="O3324">
        <f>Table1[[#This Row],[transit_storage_cost]] * (1-'What -if Analysis'!$D$26)</f>
        <v>34</v>
      </c>
      <c r="P3324">
        <v>106</v>
      </c>
      <c r="Q3324">
        <v>835</v>
      </c>
    </row>
    <row r="3325" spans="1:17" x14ac:dyDescent="0.3">
      <c r="A3325">
        <v>996653</v>
      </c>
      <c r="B3325" s="1" t="s">
        <v>37</v>
      </c>
      <c r="C3325" s="1" t="s">
        <v>16</v>
      </c>
      <c r="D3325" s="1" t="s">
        <v>17</v>
      </c>
      <c r="E3325" s="1" t="s">
        <v>18</v>
      </c>
      <c r="F3325" s="1" t="s">
        <v>29</v>
      </c>
      <c r="G3325" s="1" t="s">
        <v>20</v>
      </c>
      <c r="H3325" t="s">
        <v>34</v>
      </c>
      <c r="I3325" s="1" t="s">
        <v>22</v>
      </c>
      <c r="J3325" s="2">
        <v>43535.327349537038</v>
      </c>
      <c r="K3325" s="2">
        <v>43540.327349537038</v>
      </c>
      <c r="L3325" s="2">
        <v>43541.327349537038</v>
      </c>
      <c r="M3325" s="1">
        <f>_xlfn.DAYS(Table1[[#This Row],[actual_delivery_date]],Table1[[#This Row],[dispatch_date]])</f>
        <v>5</v>
      </c>
      <c r="N3325">
        <v>27</v>
      </c>
      <c r="O3325">
        <f>Table1[[#This Row],[transit_storage_cost]] * (1-'What -if Analysis'!$D$26)</f>
        <v>27</v>
      </c>
      <c r="P3325">
        <v>111</v>
      </c>
      <c r="Q3325">
        <v>3386.1694624604188</v>
      </c>
    </row>
    <row r="3326" spans="1:17" x14ac:dyDescent="0.3">
      <c r="A3326">
        <v>580647</v>
      </c>
      <c r="B3326" s="1" t="s">
        <v>41</v>
      </c>
      <c r="C3326" s="1" t="s">
        <v>23</v>
      </c>
      <c r="D3326" s="1" t="s">
        <v>23</v>
      </c>
      <c r="E3326" s="1" t="s">
        <v>28</v>
      </c>
      <c r="F3326" s="1" t="s">
        <v>29</v>
      </c>
      <c r="G3326" s="1" t="s">
        <v>20</v>
      </c>
      <c r="H3326" t="s">
        <v>30</v>
      </c>
      <c r="I3326" s="1" t="s">
        <v>26</v>
      </c>
      <c r="J3326" s="2">
        <v>43534.327870370369</v>
      </c>
      <c r="K3326" s="2">
        <v>43540.327870370369</v>
      </c>
      <c r="L3326" s="2">
        <v>43540.327870370369</v>
      </c>
      <c r="M3326" s="1">
        <f>_xlfn.DAYS(Table1[[#This Row],[actual_delivery_date]],Table1[[#This Row],[dispatch_date]])</f>
        <v>6</v>
      </c>
      <c r="N3326">
        <v>0</v>
      </c>
      <c r="O3326">
        <f>Table1[[#This Row],[transit_storage_cost]] * (1-'What -if Analysis'!$D$26)</f>
        <v>0</v>
      </c>
      <c r="P3326">
        <v>127</v>
      </c>
      <c r="Q3326">
        <v>3029</v>
      </c>
    </row>
    <row r="3327" spans="1:17" x14ac:dyDescent="0.3">
      <c r="A3327">
        <v>135105</v>
      </c>
      <c r="B3327" s="1" t="s">
        <v>40</v>
      </c>
      <c r="C3327" s="1" t="s">
        <v>16</v>
      </c>
      <c r="D3327" s="1" t="s">
        <v>23</v>
      </c>
      <c r="E3327" s="1" t="s">
        <v>28</v>
      </c>
      <c r="F3327" s="1" t="s">
        <v>29</v>
      </c>
      <c r="G3327" s="1" t="s">
        <v>20</v>
      </c>
      <c r="H3327" t="s">
        <v>30</v>
      </c>
      <c r="I3327" s="1" t="s">
        <v>26</v>
      </c>
      <c r="J3327" s="2">
        <v>43531.33079861111</v>
      </c>
      <c r="K3327" s="2">
        <v>43540.33079861111</v>
      </c>
      <c r="L3327" s="2">
        <v>43534.33079861111</v>
      </c>
      <c r="M3327" s="1">
        <f>_xlfn.DAYS(Table1[[#This Row],[actual_delivery_date]],Table1[[#This Row],[dispatch_date]])</f>
        <v>9</v>
      </c>
      <c r="N3327">
        <v>35</v>
      </c>
      <c r="O3327">
        <f>Table1[[#This Row],[transit_storage_cost]] * (1-'What -if Analysis'!$D$26)</f>
        <v>35</v>
      </c>
      <c r="P3327">
        <v>121</v>
      </c>
      <c r="Q3327">
        <v>2807.4973944996927</v>
      </c>
    </row>
    <row r="3328" spans="1:17" x14ac:dyDescent="0.3">
      <c r="A3328">
        <v>140984</v>
      </c>
      <c r="B3328" s="1" t="s">
        <v>38</v>
      </c>
      <c r="C3328" s="1" t="s">
        <v>23</v>
      </c>
      <c r="D3328" s="1" t="s">
        <v>16</v>
      </c>
      <c r="E3328" s="1" t="s">
        <v>27</v>
      </c>
      <c r="F3328" s="1" t="s">
        <v>19</v>
      </c>
      <c r="G3328" s="1" t="s">
        <v>20</v>
      </c>
      <c r="H3328" t="s">
        <v>21</v>
      </c>
      <c r="I3328" s="1" t="s">
        <v>22</v>
      </c>
      <c r="J3328" s="2">
        <v>43535.343946759262</v>
      </c>
      <c r="K3328" s="2">
        <v>43540.343946759262</v>
      </c>
      <c r="L3328" s="2">
        <v>43542.343946759262</v>
      </c>
      <c r="M3328" s="1">
        <f>_xlfn.DAYS(Table1[[#This Row],[actual_delivery_date]],Table1[[#This Row],[dispatch_date]])</f>
        <v>5</v>
      </c>
      <c r="N3328">
        <v>39</v>
      </c>
      <c r="O3328">
        <f>Table1[[#This Row],[transit_storage_cost]] * (1-'What -if Analysis'!$D$26)</f>
        <v>39</v>
      </c>
      <c r="P3328">
        <v>129</v>
      </c>
      <c r="Q3328">
        <v>1378.139752589836</v>
      </c>
    </row>
    <row r="3329" spans="1:17" x14ac:dyDescent="0.3">
      <c r="A3329">
        <v>234571</v>
      </c>
      <c r="B3329" s="1" t="s">
        <v>38</v>
      </c>
      <c r="C3329" s="1" t="s">
        <v>16</v>
      </c>
      <c r="D3329" s="1" t="s">
        <v>17</v>
      </c>
      <c r="E3329" s="1" t="s">
        <v>18</v>
      </c>
      <c r="F3329" s="1" t="s">
        <v>19</v>
      </c>
      <c r="G3329" s="1" t="s">
        <v>20</v>
      </c>
      <c r="H3329" t="s">
        <v>30</v>
      </c>
      <c r="I3329" s="1" t="s">
        <v>22</v>
      </c>
      <c r="J3329" s="2">
        <v>43538.347407407404</v>
      </c>
      <c r="K3329" s="2">
        <v>43540.347407407404</v>
      </c>
      <c r="L3329" s="2">
        <v>43544.347407407404</v>
      </c>
      <c r="M3329" s="1">
        <f>_xlfn.DAYS(Table1[[#This Row],[actual_delivery_date]],Table1[[#This Row],[dispatch_date]])</f>
        <v>2</v>
      </c>
      <c r="N3329">
        <v>80</v>
      </c>
      <c r="O3329">
        <f>Table1[[#This Row],[transit_storage_cost]] * (1-'What -if Analysis'!$D$26)</f>
        <v>80</v>
      </c>
      <c r="P3329">
        <v>90</v>
      </c>
      <c r="Q3329">
        <v>2260.7119443120641</v>
      </c>
    </row>
    <row r="3330" spans="1:17" x14ac:dyDescent="0.3">
      <c r="A3330">
        <v>628967</v>
      </c>
      <c r="B3330" s="1" t="s">
        <v>38</v>
      </c>
      <c r="C3330" s="1" t="s">
        <v>16</v>
      </c>
      <c r="D3330" s="1" t="s">
        <v>24</v>
      </c>
      <c r="E3330" s="1" t="s">
        <v>25</v>
      </c>
      <c r="F3330" s="1" t="s">
        <v>29</v>
      </c>
      <c r="G3330" s="1" t="s">
        <v>20</v>
      </c>
      <c r="H3330" t="s">
        <v>30</v>
      </c>
      <c r="I3330" s="1" t="s">
        <v>22</v>
      </c>
      <c r="J3330" s="2">
        <v>43538.348923611113</v>
      </c>
      <c r="K3330" s="2">
        <v>43540.348923611113</v>
      </c>
      <c r="L3330" s="2">
        <v>43544.348923611113</v>
      </c>
      <c r="M3330" s="1">
        <f>_xlfn.DAYS(Table1[[#This Row],[actual_delivery_date]],Table1[[#This Row],[dispatch_date]])</f>
        <v>2</v>
      </c>
      <c r="N3330">
        <v>48</v>
      </c>
      <c r="O3330">
        <f>Table1[[#This Row],[transit_storage_cost]] * (1-'What -if Analysis'!$D$26)</f>
        <v>48</v>
      </c>
      <c r="P3330">
        <v>120</v>
      </c>
      <c r="Q3330">
        <v>351.77000614400322</v>
      </c>
    </row>
    <row r="3331" spans="1:17" x14ac:dyDescent="0.3">
      <c r="A3331">
        <v>161654</v>
      </c>
      <c r="B3331" s="1" t="s">
        <v>41</v>
      </c>
      <c r="C3331" s="1" t="s">
        <v>16</v>
      </c>
      <c r="D3331" s="1" t="s">
        <v>17</v>
      </c>
      <c r="E3331" s="1" t="s">
        <v>18</v>
      </c>
      <c r="F3331" s="1" t="s">
        <v>31</v>
      </c>
      <c r="G3331" s="1" t="s">
        <v>20</v>
      </c>
      <c r="H3331" t="s">
        <v>21</v>
      </c>
      <c r="I3331" s="1" t="s">
        <v>22</v>
      </c>
      <c r="J3331" s="2">
        <v>43531.368923611109</v>
      </c>
      <c r="K3331" s="2">
        <v>43540.368923611109</v>
      </c>
      <c r="L3331" s="2">
        <v>43538.368923611109</v>
      </c>
      <c r="M3331" s="1">
        <f>_xlfn.DAYS(Table1[[#This Row],[actual_delivery_date]],Table1[[#This Row],[dispatch_date]])</f>
        <v>9</v>
      </c>
      <c r="N3331">
        <v>28</v>
      </c>
      <c r="O3331">
        <f>Table1[[#This Row],[transit_storage_cost]] * (1-'What -if Analysis'!$D$26)</f>
        <v>28</v>
      </c>
      <c r="P3331">
        <v>114</v>
      </c>
      <c r="Q3331">
        <v>641</v>
      </c>
    </row>
    <row r="3332" spans="1:17" x14ac:dyDescent="0.3">
      <c r="A3332">
        <v>631811</v>
      </c>
      <c r="B3332" s="1" t="s">
        <v>38</v>
      </c>
      <c r="C3332" s="1" t="s">
        <v>16</v>
      </c>
      <c r="D3332" s="1" t="s">
        <v>24</v>
      </c>
      <c r="E3332" s="1" t="s">
        <v>25</v>
      </c>
      <c r="F3332" s="1" t="s">
        <v>29</v>
      </c>
      <c r="G3332" s="1" t="s">
        <v>20</v>
      </c>
      <c r="H3332" t="s">
        <v>30</v>
      </c>
      <c r="I3332" s="1" t="s">
        <v>22</v>
      </c>
      <c r="J3332" s="2">
        <v>43538.369212962964</v>
      </c>
      <c r="K3332" s="2">
        <v>43540.369212962964</v>
      </c>
      <c r="L3332" s="2">
        <v>43542.369212962964</v>
      </c>
      <c r="M3332" s="1">
        <f>_xlfn.DAYS(Table1[[#This Row],[actual_delivery_date]],Table1[[#This Row],[dispatch_date]])</f>
        <v>2</v>
      </c>
      <c r="N3332">
        <v>47</v>
      </c>
      <c r="O3332">
        <f>Table1[[#This Row],[transit_storage_cost]] * (1-'What -if Analysis'!$D$26)</f>
        <v>47</v>
      </c>
      <c r="P3332">
        <v>126</v>
      </c>
      <c r="Q3332">
        <v>3426.2133833987791</v>
      </c>
    </row>
    <row r="3333" spans="1:17" x14ac:dyDescent="0.3">
      <c r="A3333">
        <v>881019</v>
      </c>
      <c r="B3333" s="1" t="s">
        <v>37</v>
      </c>
      <c r="C3333" s="1" t="s">
        <v>16</v>
      </c>
      <c r="D3333" s="1" t="s">
        <v>24</v>
      </c>
      <c r="E3333" s="1" t="s">
        <v>25</v>
      </c>
      <c r="F3333" s="1" t="s">
        <v>29</v>
      </c>
      <c r="G3333" s="1" t="s">
        <v>20</v>
      </c>
      <c r="H3333" t="s">
        <v>30</v>
      </c>
      <c r="I3333" s="1" t="s">
        <v>26</v>
      </c>
      <c r="J3333" s="2">
        <v>43536.378263888888</v>
      </c>
      <c r="K3333" s="2">
        <v>43540.378263888888</v>
      </c>
      <c r="L3333" s="2">
        <v>43540.378263888888</v>
      </c>
      <c r="M3333" s="1">
        <f>_xlfn.DAYS(Table1[[#This Row],[actual_delivery_date]],Table1[[#This Row],[dispatch_date]])</f>
        <v>4</v>
      </c>
      <c r="N3333">
        <v>49</v>
      </c>
      <c r="O3333">
        <f>Table1[[#This Row],[transit_storage_cost]] * (1-'What -if Analysis'!$D$26)</f>
        <v>49</v>
      </c>
      <c r="P3333">
        <v>129</v>
      </c>
      <c r="Q3333">
        <v>1977.9439841227845</v>
      </c>
    </row>
    <row r="3334" spans="1:17" x14ac:dyDescent="0.3">
      <c r="A3334">
        <v>46551</v>
      </c>
      <c r="B3334" s="1" t="s">
        <v>38</v>
      </c>
      <c r="C3334" s="1" t="s">
        <v>16</v>
      </c>
      <c r="D3334" s="1" t="s">
        <v>17</v>
      </c>
      <c r="E3334" s="1" t="s">
        <v>18</v>
      </c>
      <c r="F3334" s="1" t="s">
        <v>29</v>
      </c>
      <c r="G3334" s="1" t="s">
        <v>20</v>
      </c>
      <c r="H3334" t="s">
        <v>30</v>
      </c>
      <c r="I3334" s="1" t="s">
        <v>26</v>
      </c>
      <c r="J3334" s="2">
        <v>43532.387245370373</v>
      </c>
      <c r="K3334" s="2">
        <v>43540.387245370373</v>
      </c>
      <c r="L3334" s="2">
        <v>43536.387245370373</v>
      </c>
      <c r="M3334" s="1">
        <f>_xlfn.DAYS(Table1[[#This Row],[actual_delivery_date]],Table1[[#This Row],[dispatch_date]])</f>
        <v>8</v>
      </c>
      <c r="N3334">
        <v>39</v>
      </c>
      <c r="O3334">
        <f>Table1[[#This Row],[transit_storage_cost]] * (1-'What -if Analysis'!$D$26)</f>
        <v>39</v>
      </c>
      <c r="P3334">
        <v>110</v>
      </c>
      <c r="Q3334">
        <v>2760.9760724177477</v>
      </c>
    </row>
    <row r="3335" spans="1:17" x14ac:dyDescent="0.3">
      <c r="A3335">
        <v>753268</v>
      </c>
      <c r="B3335" s="1" t="s">
        <v>37</v>
      </c>
      <c r="C3335" s="1" t="s">
        <v>16</v>
      </c>
      <c r="D3335" s="1" t="s">
        <v>24</v>
      </c>
      <c r="E3335" s="1" t="s">
        <v>25</v>
      </c>
      <c r="F3335" s="1" t="s">
        <v>19</v>
      </c>
      <c r="G3335" s="1" t="s">
        <v>20</v>
      </c>
      <c r="H3335" t="s">
        <v>21</v>
      </c>
      <c r="I3335" s="1" t="s">
        <v>22</v>
      </c>
      <c r="J3335" s="2">
        <v>43534.38921296296</v>
      </c>
      <c r="K3335" s="2">
        <v>43540.38921296296</v>
      </c>
      <c r="L3335" s="2">
        <v>43541.38921296296</v>
      </c>
      <c r="M3335" s="1">
        <f>_xlfn.DAYS(Table1[[#This Row],[actual_delivery_date]],Table1[[#This Row],[dispatch_date]])</f>
        <v>6</v>
      </c>
      <c r="N3335">
        <v>35</v>
      </c>
      <c r="O3335">
        <f>Table1[[#This Row],[transit_storage_cost]] * (1-'What -if Analysis'!$D$26)</f>
        <v>35</v>
      </c>
      <c r="P3335">
        <v>121</v>
      </c>
      <c r="Q3335">
        <v>2499</v>
      </c>
    </row>
    <row r="3336" spans="1:17" x14ac:dyDescent="0.3">
      <c r="A3336">
        <v>36357</v>
      </c>
      <c r="B3336" s="1" t="s">
        <v>40</v>
      </c>
      <c r="C3336" s="1" t="s">
        <v>16</v>
      </c>
      <c r="D3336" s="1" t="s">
        <v>23</v>
      </c>
      <c r="E3336" s="1" t="s">
        <v>28</v>
      </c>
      <c r="F3336" s="1" t="s">
        <v>29</v>
      </c>
      <c r="G3336" s="1" t="s">
        <v>20</v>
      </c>
      <c r="H3336" t="s">
        <v>30</v>
      </c>
      <c r="I3336" s="1" t="s">
        <v>26</v>
      </c>
      <c r="J3336" s="2">
        <v>43534.397511574076</v>
      </c>
      <c r="K3336" s="2">
        <v>43540.397511574076</v>
      </c>
      <c r="L3336" s="2">
        <v>43539.397511574076</v>
      </c>
      <c r="M3336" s="1">
        <f>_xlfn.DAYS(Table1[[#This Row],[actual_delivery_date]],Table1[[#This Row],[dispatch_date]])</f>
        <v>6</v>
      </c>
      <c r="N3336">
        <v>32</v>
      </c>
      <c r="O3336">
        <f>Table1[[#This Row],[transit_storage_cost]] * (1-'What -if Analysis'!$D$26)</f>
        <v>32</v>
      </c>
      <c r="P3336">
        <v>122</v>
      </c>
      <c r="Q3336">
        <v>687.48150004612103</v>
      </c>
    </row>
    <row r="3337" spans="1:17" x14ac:dyDescent="0.3">
      <c r="A3337">
        <v>490320</v>
      </c>
      <c r="B3337" s="1" t="s">
        <v>39</v>
      </c>
      <c r="C3337" s="1" t="s">
        <v>23</v>
      </c>
      <c r="D3337" s="1" t="s">
        <v>24</v>
      </c>
      <c r="E3337" s="1" t="s">
        <v>25</v>
      </c>
      <c r="F3337" s="1" t="s">
        <v>19</v>
      </c>
      <c r="G3337" s="1" t="s">
        <v>20</v>
      </c>
      <c r="H3337" t="s">
        <v>21</v>
      </c>
      <c r="I3337" s="1" t="s">
        <v>26</v>
      </c>
      <c r="J3337" s="2">
        <v>43532.404247685183</v>
      </c>
      <c r="K3337" s="2">
        <v>43540.404247685183</v>
      </c>
      <c r="L3337" s="2">
        <v>43537.404247685183</v>
      </c>
      <c r="M3337" s="1">
        <f>_xlfn.DAYS(Table1[[#This Row],[actual_delivery_date]],Table1[[#This Row],[dispatch_date]])</f>
        <v>8</v>
      </c>
      <c r="N3337">
        <v>30</v>
      </c>
      <c r="O3337">
        <f>Table1[[#This Row],[transit_storage_cost]] * (1-'What -if Analysis'!$D$26)</f>
        <v>30</v>
      </c>
      <c r="P3337">
        <v>130</v>
      </c>
      <c r="Q3337">
        <v>3530.8446428812767</v>
      </c>
    </row>
    <row r="3338" spans="1:17" x14ac:dyDescent="0.3">
      <c r="A3338">
        <v>9825</v>
      </c>
      <c r="B3338" s="1" t="s">
        <v>37</v>
      </c>
      <c r="C3338" s="1" t="s">
        <v>16</v>
      </c>
      <c r="D3338" s="1" t="s">
        <v>17</v>
      </c>
      <c r="E3338" s="1" t="s">
        <v>18</v>
      </c>
      <c r="F3338" s="1" t="s">
        <v>19</v>
      </c>
      <c r="G3338" s="1" t="s">
        <v>20</v>
      </c>
      <c r="H3338" t="s">
        <v>30</v>
      </c>
      <c r="I3338" s="1" t="s">
        <v>26</v>
      </c>
      <c r="J3338" s="2">
        <v>43535.412499999999</v>
      </c>
      <c r="K3338" s="2">
        <v>43540.412499999999</v>
      </c>
      <c r="L3338" s="2">
        <v>43539.412499999999</v>
      </c>
      <c r="M3338" s="1">
        <f>_xlfn.DAYS(Table1[[#This Row],[actual_delivery_date]],Table1[[#This Row],[dispatch_date]])</f>
        <v>5</v>
      </c>
      <c r="N3338">
        <v>77</v>
      </c>
      <c r="O3338">
        <f>Table1[[#This Row],[transit_storage_cost]] * (1-'What -if Analysis'!$D$26)</f>
        <v>77</v>
      </c>
      <c r="P3338">
        <v>89</v>
      </c>
      <c r="Q3338">
        <v>2728.8360389475438</v>
      </c>
    </row>
    <row r="3339" spans="1:17" x14ac:dyDescent="0.3">
      <c r="A3339">
        <v>492315</v>
      </c>
      <c r="B3339" s="1" t="s">
        <v>40</v>
      </c>
      <c r="C3339" s="1" t="s">
        <v>16</v>
      </c>
      <c r="D3339" s="1" t="s">
        <v>16</v>
      </c>
      <c r="E3339" s="1" t="s">
        <v>27</v>
      </c>
      <c r="F3339" s="1" t="s">
        <v>29</v>
      </c>
      <c r="G3339" s="1" t="s">
        <v>20</v>
      </c>
      <c r="H3339" t="s">
        <v>30</v>
      </c>
      <c r="I3339" s="1" t="s">
        <v>26</v>
      </c>
      <c r="J3339" s="2">
        <v>43537.442812499998</v>
      </c>
      <c r="K3339" s="2">
        <v>43540.442812499998</v>
      </c>
      <c r="L3339" s="2">
        <v>43542.442812499998</v>
      </c>
      <c r="M3339" s="1">
        <f>_xlfn.DAYS(Table1[[#This Row],[actual_delivery_date]],Table1[[#This Row],[dispatch_date]])</f>
        <v>3</v>
      </c>
      <c r="N3339">
        <v>0</v>
      </c>
      <c r="O3339">
        <f>Table1[[#This Row],[transit_storage_cost]] * (1-'What -if Analysis'!$D$26)</f>
        <v>0</v>
      </c>
      <c r="P3339">
        <v>127</v>
      </c>
      <c r="Q3339">
        <v>1964</v>
      </c>
    </row>
    <row r="3340" spans="1:17" x14ac:dyDescent="0.3">
      <c r="A3340">
        <v>78406</v>
      </c>
      <c r="B3340" s="1" t="s">
        <v>38</v>
      </c>
      <c r="C3340" s="1" t="s">
        <v>23</v>
      </c>
      <c r="D3340" s="1" t="s">
        <v>17</v>
      </c>
      <c r="E3340" s="1" t="s">
        <v>18</v>
      </c>
      <c r="F3340" s="1" t="s">
        <v>31</v>
      </c>
      <c r="G3340" s="1" t="s">
        <v>20</v>
      </c>
      <c r="H3340" t="s">
        <v>21</v>
      </c>
      <c r="I3340" s="1" t="s">
        <v>22</v>
      </c>
      <c r="J3340" s="2">
        <v>43535.448692129627</v>
      </c>
      <c r="K3340" s="2">
        <v>43540.448692129627</v>
      </c>
      <c r="L3340" s="2">
        <v>43539.448692129627</v>
      </c>
      <c r="M3340" s="1">
        <f>_xlfn.DAYS(Table1[[#This Row],[actual_delivery_date]],Table1[[#This Row],[dispatch_date]])</f>
        <v>5</v>
      </c>
      <c r="N3340">
        <v>40</v>
      </c>
      <c r="O3340">
        <f>Table1[[#This Row],[transit_storage_cost]] * (1-'What -if Analysis'!$D$26)</f>
        <v>40</v>
      </c>
      <c r="P3340">
        <v>109</v>
      </c>
      <c r="Q3340">
        <v>396</v>
      </c>
    </row>
    <row r="3341" spans="1:17" x14ac:dyDescent="0.3">
      <c r="A3341">
        <v>723861</v>
      </c>
      <c r="B3341" s="1" t="s">
        <v>39</v>
      </c>
      <c r="C3341" s="1" t="s">
        <v>16</v>
      </c>
      <c r="D3341" s="1" t="s">
        <v>23</v>
      </c>
      <c r="E3341" s="1" t="s">
        <v>28</v>
      </c>
      <c r="F3341" s="1" t="s">
        <v>29</v>
      </c>
      <c r="G3341" s="1" t="s">
        <v>20</v>
      </c>
      <c r="H3341" t="s">
        <v>30</v>
      </c>
      <c r="I3341" s="1" t="s">
        <v>26</v>
      </c>
      <c r="J3341" s="2">
        <v>43535.459930555553</v>
      </c>
      <c r="K3341" s="2">
        <v>43540.459930555553</v>
      </c>
      <c r="L3341" s="2">
        <v>43539.459930555553</v>
      </c>
      <c r="M3341" s="1">
        <f>_xlfn.DAYS(Table1[[#This Row],[actual_delivery_date]],Table1[[#This Row],[dispatch_date]])</f>
        <v>5</v>
      </c>
      <c r="N3341">
        <v>41</v>
      </c>
      <c r="O3341">
        <f>Table1[[#This Row],[transit_storage_cost]] * (1-'What -if Analysis'!$D$26)</f>
        <v>41</v>
      </c>
      <c r="P3341">
        <v>122</v>
      </c>
      <c r="Q3341">
        <v>2725.4392216045626</v>
      </c>
    </row>
    <row r="3342" spans="1:17" x14ac:dyDescent="0.3">
      <c r="A3342">
        <v>309072</v>
      </c>
      <c r="B3342" s="1" t="s">
        <v>37</v>
      </c>
      <c r="C3342" s="1" t="s">
        <v>16</v>
      </c>
      <c r="D3342" s="1" t="s">
        <v>17</v>
      </c>
      <c r="E3342" s="1" t="s">
        <v>18</v>
      </c>
      <c r="F3342" s="1" t="s">
        <v>19</v>
      </c>
      <c r="G3342" s="1" t="s">
        <v>20</v>
      </c>
      <c r="H3342" t="s">
        <v>21</v>
      </c>
      <c r="I3342" s="1" t="s">
        <v>26</v>
      </c>
      <c r="J3342" s="2">
        <v>43537.46503472222</v>
      </c>
      <c r="K3342" s="2">
        <v>43540.46503472222</v>
      </c>
      <c r="L3342" s="2">
        <v>43543.46503472222</v>
      </c>
      <c r="M3342" s="1">
        <f>_xlfn.DAYS(Table1[[#This Row],[actual_delivery_date]],Table1[[#This Row],[dispatch_date]])</f>
        <v>3</v>
      </c>
      <c r="N3342">
        <v>81</v>
      </c>
      <c r="O3342">
        <f>Table1[[#This Row],[transit_storage_cost]] * (1-'What -if Analysis'!$D$26)</f>
        <v>81</v>
      </c>
      <c r="P3342">
        <v>87</v>
      </c>
      <c r="Q3342">
        <v>2841</v>
      </c>
    </row>
    <row r="3343" spans="1:17" x14ac:dyDescent="0.3">
      <c r="A3343">
        <v>782766</v>
      </c>
      <c r="B3343" s="1" t="s">
        <v>41</v>
      </c>
      <c r="C3343" s="1" t="s">
        <v>23</v>
      </c>
      <c r="D3343" s="1" t="s">
        <v>23</v>
      </c>
      <c r="E3343" s="1" t="s">
        <v>28</v>
      </c>
      <c r="F3343" s="1" t="s">
        <v>31</v>
      </c>
      <c r="G3343" s="1" t="s">
        <v>20</v>
      </c>
      <c r="H3343" t="s">
        <v>21</v>
      </c>
      <c r="I3343" s="1" t="s">
        <v>26</v>
      </c>
      <c r="J3343" s="2">
        <v>43537.4684375</v>
      </c>
      <c r="K3343" s="2">
        <v>43540.4684375</v>
      </c>
      <c r="L3343" s="2">
        <v>43543.4684375</v>
      </c>
      <c r="M3343" s="1">
        <f>_xlfn.DAYS(Table1[[#This Row],[actual_delivery_date]],Table1[[#This Row],[dispatch_date]])</f>
        <v>3</v>
      </c>
      <c r="N3343">
        <v>0</v>
      </c>
      <c r="O3343">
        <f>Table1[[#This Row],[transit_storage_cost]] * (1-'What -if Analysis'!$D$26)</f>
        <v>0</v>
      </c>
      <c r="P3343">
        <v>122</v>
      </c>
      <c r="Q3343">
        <v>803.51483534218175</v>
      </c>
    </row>
    <row r="3344" spans="1:17" x14ac:dyDescent="0.3">
      <c r="A3344">
        <v>731866</v>
      </c>
      <c r="B3344" s="1" t="s">
        <v>40</v>
      </c>
      <c r="C3344" s="1" t="s">
        <v>16</v>
      </c>
      <c r="D3344" s="1" t="s">
        <v>17</v>
      </c>
      <c r="E3344" s="1" t="s">
        <v>18</v>
      </c>
      <c r="F3344" s="1" t="s">
        <v>31</v>
      </c>
      <c r="G3344" s="1" t="s">
        <v>20</v>
      </c>
      <c r="H3344" t="s">
        <v>21</v>
      </c>
      <c r="I3344" s="1" t="s">
        <v>22</v>
      </c>
      <c r="J3344" s="2">
        <v>43533.471689814818</v>
      </c>
      <c r="K3344" s="2">
        <v>43540.471689814818</v>
      </c>
      <c r="L3344" s="2">
        <v>43540.471689814818</v>
      </c>
      <c r="M3344" s="1">
        <f>_xlfn.DAYS(Table1[[#This Row],[actual_delivery_date]],Table1[[#This Row],[dispatch_date]])</f>
        <v>7</v>
      </c>
      <c r="N3344">
        <v>26</v>
      </c>
      <c r="O3344">
        <f>Table1[[#This Row],[transit_storage_cost]] * (1-'What -if Analysis'!$D$26)</f>
        <v>26</v>
      </c>
      <c r="P3344">
        <v>113</v>
      </c>
      <c r="Q3344">
        <v>1924.2547985917561</v>
      </c>
    </row>
    <row r="3345" spans="1:17" x14ac:dyDescent="0.3">
      <c r="A3345">
        <v>708965</v>
      </c>
      <c r="B3345" s="1" t="s">
        <v>37</v>
      </c>
      <c r="C3345" s="1" t="s">
        <v>16</v>
      </c>
      <c r="D3345" s="1" t="s">
        <v>23</v>
      </c>
      <c r="E3345" s="1" t="s">
        <v>28</v>
      </c>
      <c r="F3345" s="1" t="s">
        <v>29</v>
      </c>
      <c r="G3345" s="1" t="s">
        <v>20</v>
      </c>
      <c r="H3345" t="s">
        <v>30</v>
      </c>
      <c r="I3345" s="1" t="s">
        <v>22</v>
      </c>
      <c r="J3345" s="2">
        <v>43530.484409722223</v>
      </c>
      <c r="K3345" s="2">
        <v>43540.484409722223</v>
      </c>
      <c r="L3345" s="2">
        <v>43536.484409722223</v>
      </c>
      <c r="M3345" s="1">
        <f>_xlfn.DAYS(Table1[[#This Row],[actual_delivery_date]],Table1[[#This Row],[dispatch_date]])</f>
        <v>10</v>
      </c>
      <c r="N3345">
        <v>43</v>
      </c>
      <c r="O3345">
        <f>Table1[[#This Row],[transit_storage_cost]] * (1-'What -if Analysis'!$D$26)</f>
        <v>43</v>
      </c>
      <c r="P3345">
        <v>126</v>
      </c>
      <c r="Q3345">
        <v>2635</v>
      </c>
    </row>
    <row r="3346" spans="1:17" x14ac:dyDescent="0.3">
      <c r="A3346">
        <v>963235</v>
      </c>
      <c r="B3346" s="1" t="s">
        <v>38</v>
      </c>
      <c r="C3346" s="1" t="s">
        <v>23</v>
      </c>
      <c r="D3346" s="1" t="s">
        <v>23</v>
      </c>
      <c r="E3346" s="1" t="s">
        <v>28</v>
      </c>
      <c r="F3346" s="1" t="s">
        <v>19</v>
      </c>
      <c r="G3346" s="1" t="s">
        <v>20</v>
      </c>
      <c r="H3346" t="s">
        <v>34</v>
      </c>
      <c r="I3346" s="1" t="s">
        <v>22</v>
      </c>
      <c r="J3346" s="2">
        <v>43538.487835648149</v>
      </c>
      <c r="K3346" s="2">
        <v>43540.487835648149</v>
      </c>
      <c r="L3346" s="2">
        <v>43541.487835648149</v>
      </c>
      <c r="M3346" s="1">
        <f>_xlfn.DAYS(Table1[[#This Row],[actual_delivery_date]],Table1[[#This Row],[dispatch_date]])</f>
        <v>2</v>
      </c>
      <c r="N3346">
        <v>0</v>
      </c>
      <c r="O3346">
        <f>Table1[[#This Row],[transit_storage_cost]] * (1-'What -if Analysis'!$D$26)</f>
        <v>0</v>
      </c>
      <c r="P3346">
        <v>105</v>
      </c>
      <c r="Q3346">
        <v>2930.0232860970787</v>
      </c>
    </row>
    <row r="3347" spans="1:17" x14ac:dyDescent="0.3">
      <c r="A3347">
        <v>644994</v>
      </c>
      <c r="B3347" s="1" t="s">
        <v>38</v>
      </c>
      <c r="C3347" s="1" t="s">
        <v>23</v>
      </c>
      <c r="D3347" s="1" t="s">
        <v>17</v>
      </c>
      <c r="E3347" s="1" t="s">
        <v>18</v>
      </c>
      <c r="F3347" s="1" t="s">
        <v>31</v>
      </c>
      <c r="G3347" s="1" t="s">
        <v>20</v>
      </c>
      <c r="H3347" t="s">
        <v>21</v>
      </c>
      <c r="I3347" s="1" t="s">
        <v>26</v>
      </c>
      <c r="J3347" s="2">
        <v>43532.493159722224</v>
      </c>
      <c r="K3347" s="2">
        <v>43540.493159722224</v>
      </c>
      <c r="L3347" s="2">
        <v>43535.493159722224</v>
      </c>
      <c r="M3347" s="1">
        <f>_xlfn.DAYS(Table1[[#This Row],[actual_delivery_date]],Table1[[#This Row],[dispatch_date]])</f>
        <v>8</v>
      </c>
      <c r="N3347">
        <v>33</v>
      </c>
      <c r="O3347">
        <f>Table1[[#This Row],[transit_storage_cost]] * (1-'What -if Analysis'!$D$26)</f>
        <v>33</v>
      </c>
      <c r="P3347">
        <v>106</v>
      </c>
      <c r="Q3347">
        <v>253.59051265359341</v>
      </c>
    </row>
    <row r="3348" spans="1:17" x14ac:dyDescent="0.3">
      <c r="A3348">
        <v>572705</v>
      </c>
      <c r="B3348" s="1" t="s">
        <v>37</v>
      </c>
      <c r="C3348" s="1" t="s">
        <v>23</v>
      </c>
      <c r="D3348" s="1" t="s">
        <v>32</v>
      </c>
      <c r="E3348" s="1" t="s">
        <v>33</v>
      </c>
      <c r="F3348" s="1" t="s">
        <v>29</v>
      </c>
      <c r="G3348" s="1" t="s">
        <v>20</v>
      </c>
      <c r="H3348" t="s">
        <v>34</v>
      </c>
      <c r="I3348" s="1" t="s">
        <v>22</v>
      </c>
      <c r="J3348" s="2">
        <v>43538.493900462963</v>
      </c>
      <c r="K3348" s="2">
        <v>43540.493900462963</v>
      </c>
      <c r="L3348" s="2">
        <v>43544.493900462963</v>
      </c>
      <c r="M3348" s="1">
        <f>_xlfn.DAYS(Table1[[#This Row],[actual_delivery_date]],Table1[[#This Row],[dispatch_date]])</f>
        <v>2</v>
      </c>
      <c r="N3348">
        <v>41</v>
      </c>
      <c r="O3348">
        <f>Table1[[#This Row],[transit_storage_cost]] * (1-'What -if Analysis'!$D$26)</f>
        <v>41</v>
      </c>
      <c r="P3348">
        <v>108</v>
      </c>
      <c r="Q3348">
        <v>1910</v>
      </c>
    </row>
    <row r="3349" spans="1:17" x14ac:dyDescent="0.3">
      <c r="A3349">
        <v>585119</v>
      </c>
      <c r="B3349" s="1" t="s">
        <v>39</v>
      </c>
      <c r="C3349" s="1" t="s">
        <v>23</v>
      </c>
      <c r="D3349" s="1" t="s">
        <v>32</v>
      </c>
      <c r="E3349" s="1" t="s">
        <v>33</v>
      </c>
      <c r="F3349" s="1" t="s">
        <v>29</v>
      </c>
      <c r="G3349" s="1" t="s">
        <v>20</v>
      </c>
      <c r="H3349" t="s">
        <v>30</v>
      </c>
      <c r="I3349" s="1" t="s">
        <v>22</v>
      </c>
      <c r="J3349" s="2">
        <v>43534.496874999997</v>
      </c>
      <c r="K3349" s="2">
        <v>43540.496874999997</v>
      </c>
      <c r="L3349" s="2">
        <v>43537.496874999997</v>
      </c>
      <c r="M3349" s="1">
        <f>_xlfn.DAYS(Table1[[#This Row],[actual_delivery_date]],Table1[[#This Row],[dispatch_date]])</f>
        <v>6</v>
      </c>
      <c r="N3349">
        <v>27</v>
      </c>
      <c r="O3349">
        <f>Table1[[#This Row],[transit_storage_cost]] * (1-'What -if Analysis'!$D$26)</f>
        <v>27</v>
      </c>
      <c r="P3349">
        <v>112</v>
      </c>
      <c r="Q3349">
        <v>2887.7021807767533</v>
      </c>
    </row>
    <row r="3350" spans="1:17" x14ac:dyDescent="0.3">
      <c r="A3350">
        <v>901197</v>
      </c>
      <c r="B3350" s="1" t="s">
        <v>37</v>
      </c>
      <c r="C3350" s="1" t="s">
        <v>16</v>
      </c>
      <c r="D3350" s="1" t="s">
        <v>17</v>
      </c>
      <c r="E3350" s="1" t="s">
        <v>18</v>
      </c>
      <c r="F3350" s="1" t="s">
        <v>29</v>
      </c>
      <c r="G3350" s="1" t="s">
        <v>20</v>
      </c>
      <c r="H3350" t="s">
        <v>30</v>
      </c>
      <c r="I3350" s="1" t="s">
        <v>26</v>
      </c>
      <c r="J3350" s="2">
        <v>43535.499675925923</v>
      </c>
      <c r="K3350" s="2">
        <v>43540.499675925923</v>
      </c>
      <c r="L3350" s="2">
        <v>43541.499675925923</v>
      </c>
      <c r="M3350" s="1">
        <f>_xlfn.DAYS(Table1[[#This Row],[actual_delivery_date]],Table1[[#This Row],[dispatch_date]])</f>
        <v>5</v>
      </c>
      <c r="N3350">
        <v>49</v>
      </c>
      <c r="O3350">
        <f>Table1[[#This Row],[transit_storage_cost]] * (1-'What -if Analysis'!$D$26)</f>
        <v>49</v>
      </c>
      <c r="P3350">
        <v>112</v>
      </c>
      <c r="Q3350">
        <v>2018</v>
      </c>
    </row>
    <row r="3351" spans="1:17" x14ac:dyDescent="0.3">
      <c r="A3351">
        <v>435119</v>
      </c>
      <c r="B3351" s="1" t="s">
        <v>15</v>
      </c>
      <c r="C3351" s="1" t="s">
        <v>23</v>
      </c>
      <c r="D3351" s="1" t="s">
        <v>17</v>
      </c>
      <c r="E3351" s="1" t="s">
        <v>18</v>
      </c>
      <c r="F3351" s="1" t="s">
        <v>29</v>
      </c>
      <c r="G3351" s="1" t="s">
        <v>20</v>
      </c>
      <c r="H3351" t="s">
        <v>30</v>
      </c>
      <c r="I3351" s="1" t="s">
        <v>22</v>
      </c>
      <c r="J3351" s="2">
        <v>43537.499976851854</v>
      </c>
      <c r="K3351" s="2">
        <v>43540.499976851854</v>
      </c>
      <c r="L3351" s="2">
        <v>43544.499976851854</v>
      </c>
      <c r="M3351" s="1">
        <f>_xlfn.DAYS(Table1[[#This Row],[actual_delivery_date]],Table1[[#This Row],[dispatch_date]])</f>
        <v>3</v>
      </c>
      <c r="N3351">
        <v>25</v>
      </c>
      <c r="O3351">
        <f>Table1[[#This Row],[transit_storage_cost]] * (1-'What -if Analysis'!$D$26)</f>
        <v>25</v>
      </c>
      <c r="P3351">
        <v>108</v>
      </c>
      <c r="Q3351">
        <v>3743.0003559015663</v>
      </c>
    </row>
    <row r="3352" spans="1:17" x14ac:dyDescent="0.3">
      <c r="A3352">
        <v>154855</v>
      </c>
      <c r="B3352" s="1" t="s">
        <v>38</v>
      </c>
      <c r="C3352" s="1" t="s">
        <v>23</v>
      </c>
      <c r="D3352" s="1" t="s">
        <v>17</v>
      </c>
      <c r="E3352" s="1" t="s">
        <v>18</v>
      </c>
      <c r="F3352" s="1" t="s">
        <v>29</v>
      </c>
      <c r="G3352" s="1" t="s">
        <v>20</v>
      </c>
      <c r="H3352" t="s">
        <v>30</v>
      </c>
      <c r="I3352" s="1" t="s">
        <v>22</v>
      </c>
      <c r="J3352" s="2">
        <v>43534.500081018516</v>
      </c>
      <c r="K3352" s="2">
        <v>43540.500081018516</v>
      </c>
      <c r="L3352" s="2">
        <v>43540.500081018516</v>
      </c>
      <c r="M3352" s="1">
        <f>_xlfn.DAYS(Table1[[#This Row],[actual_delivery_date]],Table1[[#This Row],[dispatch_date]])</f>
        <v>6</v>
      </c>
      <c r="N3352">
        <v>38</v>
      </c>
      <c r="O3352">
        <f>Table1[[#This Row],[transit_storage_cost]] * (1-'What -if Analysis'!$D$26)</f>
        <v>38</v>
      </c>
      <c r="P3352">
        <v>112</v>
      </c>
      <c r="Q3352">
        <v>2838</v>
      </c>
    </row>
    <row r="3353" spans="1:17" x14ac:dyDescent="0.3">
      <c r="A3353">
        <v>797925</v>
      </c>
      <c r="B3353" s="1" t="s">
        <v>15</v>
      </c>
      <c r="C3353" s="1" t="s">
        <v>23</v>
      </c>
      <c r="D3353" s="1" t="s">
        <v>16</v>
      </c>
      <c r="E3353" s="1" t="s">
        <v>27</v>
      </c>
      <c r="F3353" s="1" t="s">
        <v>19</v>
      </c>
      <c r="G3353" s="1" t="s">
        <v>20</v>
      </c>
      <c r="H3353" t="s">
        <v>30</v>
      </c>
      <c r="I3353" s="1" t="s">
        <v>26</v>
      </c>
      <c r="J3353" s="2">
        <v>43534.501944444448</v>
      </c>
      <c r="K3353" s="2">
        <v>43540.501944444448</v>
      </c>
      <c r="L3353" s="2">
        <v>43539.501944444448</v>
      </c>
      <c r="M3353" s="1">
        <f>_xlfn.DAYS(Table1[[#This Row],[actual_delivery_date]],Table1[[#This Row],[dispatch_date]])</f>
        <v>6</v>
      </c>
      <c r="N3353">
        <v>79</v>
      </c>
      <c r="O3353">
        <f>Table1[[#This Row],[transit_storage_cost]] * (1-'What -if Analysis'!$D$26)</f>
        <v>79</v>
      </c>
      <c r="P3353">
        <v>110</v>
      </c>
      <c r="Q3353">
        <v>494</v>
      </c>
    </row>
    <row r="3354" spans="1:17" x14ac:dyDescent="0.3">
      <c r="A3354">
        <v>651369</v>
      </c>
      <c r="B3354" s="1" t="s">
        <v>38</v>
      </c>
      <c r="C3354" s="1" t="s">
        <v>16</v>
      </c>
      <c r="D3354" s="1" t="s">
        <v>16</v>
      </c>
      <c r="E3354" s="1" t="s">
        <v>27</v>
      </c>
      <c r="F3354" s="1" t="s">
        <v>29</v>
      </c>
      <c r="G3354" s="1" t="s">
        <v>20</v>
      </c>
      <c r="H3354" t="s">
        <v>30</v>
      </c>
      <c r="I3354" s="1" t="s">
        <v>26</v>
      </c>
      <c r="J3354" s="2">
        <v>43538.502025462964</v>
      </c>
      <c r="K3354" s="2">
        <v>43540.502025462964</v>
      </c>
      <c r="L3354" s="2">
        <v>43543.502025462964</v>
      </c>
      <c r="M3354" s="1">
        <f>_xlfn.DAYS(Table1[[#This Row],[actual_delivery_date]],Table1[[#This Row],[dispatch_date]])</f>
        <v>2</v>
      </c>
      <c r="N3354">
        <v>0</v>
      </c>
      <c r="O3354">
        <f>Table1[[#This Row],[transit_storage_cost]] * (1-'What -if Analysis'!$D$26)</f>
        <v>0</v>
      </c>
      <c r="P3354">
        <v>125</v>
      </c>
      <c r="Q3354">
        <v>3084</v>
      </c>
    </row>
    <row r="3355" spans="1:17" x14ac:dyDescent="0.3">
      <c r="A3355">
        <v>505574</v>
      </c>
      <c r="B3355" s="1" t="s">
        <v>40</v>
      </c>
      <c r="C3355" s="1" t="s">
        <v>23</v>
      </c>
      <c r="D3355" s="1" t="s">
        <v>17</v>
      </c>
      <c r="E3355" s="1" t="s">
        <v>18</v>
      </c>
      <c r="F3355" s="1" t="s">
        <v>31</v>
      </c>
      <c r="G3355" s="1" t="s">
        <v>20</v>
      </c>
      <c r="H3355" t="s">
        <v>21</v>
      </c>
      <c r="I3355" s="1" t="s">
        <v>22</v>
      </c>
      <c r="J3355" s="2">
        <v>43536.512002314812</v>
      </c>
      <c r="K3355" s="2">
        <v>43540.512002314812</v>
      </c>
      <c r="L3355" s="2">
        <v>43543.512002314812</v>
      </c>
      <c r="M3355" s="1">
        <f>_xlfn.DAYS(Table1[[#This Row],[actual_delivery_date]],Table1[[#This Row],[dispatch_date]])</f>
        <v>4</v>
      </c>
      <c r="N3355">
        <v>39</v>
      </c>
      <c r="O3355">
        <f>Table1[[#This Row],[transit_storage_cost]] * (1-'What -if Analysis'!$D$26)</f>
        <v>39</v>
      </c>
      <c r="P3355">
        <v>107</v>
      </c>
      <c r="Q3355">
        <v>2640.6038996019352</v>
      </c>
    </row>
    <row r="3356" spans="1:17" x14ac:dyDescent="0.3">
      <c r="A3356">
        <v>123955</v>
      </c>
      <c r="B3356" s="1" t="s">
        <v>37</v>
      </c>
      <c r="C3356" s="1" t="s">
        <v>23</v>
      </c>
      <c r="D3356" s="1" t="s">
        <v>16</v>
      </c>
      <c r="E3356" s="1" t="s">
        <v>27</v>
      </c>
      <c r="F3356" s="1" t="s">
        <v>29</v>
      </c>
      <c r="G3356" s="1" t="s">
        <v>20</v>
      </c>
      <c r="H3356" t="s">
        <v>30</v>
      </c>
      <c r="I3356" s="1" t="s">
        <v>22</v>
      </c>
      <c r="J3356" s="2">
        <v>43536.514560185184</v>
      </c>
      <c r="K3356" s="2">
        <v>43540.514560185184</v>
      </c>
      <c r="L3356" s="2">
        <v>43541.514560185184</v>
      </c>
      <c r="M3356" s="1">
        <f>_xlfn.DAYS(Table1[[#This Row],[actual_delivery_date]],Table1[[#This Row],[dispatch_date]])</f>
        <v>4</v>
      </c>
      <c r="N3356">
        <v>44</v>
      </c>
      <c r="O3356">
        <f>Table1[[#This Row],[transit_storage_cost]] * (1-'What -if Analysis'!$D$26)</f>
        <v>44</v>
      </c>
      <c r="P3356">
        <v>127</v>
      </c>
      <c r="Q3356">
        <v>1623.5494116383263</v>
      </c>
    </row>
    <row r="3357" spans="1:17" x14ac:dyDescent="0.3">
      <c r="A3357">
        <v>286199</v>
      </c>
      <c r="B3357" s="1" t="s">
        <v>37</v>
      </c>
      <c r="C3357" s="1" t="s">
        <v>23</v>
      </c>
      <c r="D3357" s="1" t="s">
        <v>16</v>
      </c>
      <c r="E3357" s="1" t="s">
        <v>27</v>
      </c>
      <c r="F3357" s="1" t="s">
        <v>29</v>
      </c>
      <c r="G3357" s="1" t="s">
        <v>20</v>
      </c>
      <c r="H3357" t="s">
        <v>30</v>
      </c>
      <c r="I3357" s="1" t="s">
        <v>22</v>
      </c>
      <c r="J3357" s="2">
        <v>43533.523194444446</v>
      </c>
      <c r="K3357" s="2">
        <v>43540.523194444446</v>
      </c>
      <c r="L3357" s="2">
        <v>43538.523194444446</v>
      </c>
      <c r="M3357" s="1">
        <f>_xlfn.DAYS(Table1[[#This Row],[actual_delivery_date]],Table1[[#This Row],[dispatch_date]])</f>
        <v>7</v>
      </c>
      <c r="N3357">
        <v>37</v>
      </c>
      <c r="O3357">
        <f>Table1[[#This Row],[transit_storage_cost]] * (1-'What -if Analysis'!$D$26)</f>
        <v>37</v>
      </c>
      <c r="P3357">
        <v>124</v>
      </c>
      <c r="Q3357">
        <v>2130.4308079346274</v>
      </c>
    </row>
    <row r="3358" spans="1:17" x14ac:dyDescent="0.3">
      <c r="A3358">
        <v>38030</v>
      </c>
      <c r="B3358" s="1" t="s">
        <v>37</v>
      </c>
      <c r="C3358" s="1" t="s">
        <v>23</v>
      </c>
      <c r="D3358" s="1" t="s">
        <v>17</v>
      </c>
      <c r="E3358" s="1" t="s">
        <v>18</v>
      </c>
      <c r="F3358" s="1" t="s">
        <v>19</v>
      </c>
      <c r="G3358" s="1" t="s">
        <v>20</v>
      </c>
      <c r="H3358" t="s">
        <v>21</v>
      </c>
      <c r="I3358" s="1" t="s">
        <v>22</v>
      </c>
      <c r="J3358" s="2">
        <v>43536.523831018516</v>
      </c>
      <c r="K3358" s="2">
        <v>43540.523831018516</v>
      </c>
      <c r="L3358" s="2">
        <v>43541.523831018516</v>
      </c>
      <c r="M3358" s="1">
        <f>_xlfn.DAYS(Table1[[#This Row],[actual_delivery_date]],Table1[[#This Row],[dispatch_date]])</f>
        <v>4</v>
      </c>
      <c r="N3358">
        <v>70</v>
      </c>
      <c r="O3358">
        <f>Table1[[#This Row],[transit_storage_cost]] * (1-'What -if Analysis'!$D$26)</f>
        <v>70</v>
      </c>
      <c r="P3358">
        <v>87</v>
      </c>
      <c r="Q3358">
        <v>2141.2090388012762</v>
      </c>
    </row>
    <row r="3359" spans="1:17" x14ac:dyDescent="0.3">
      <c r="A3359">
        <v>354666</v>
      </c>
      <c r="B3359" s="1" t="s">
        <v>38</v>
      </c>
      <c r="C3359" s="1" t="s">
        <v>23</v>
      </c>
      <c r="D3359" s="1" t="s">
        <v>16</v>
      </c>
      <c r="E3359" s="1" t="s">
        <v>27</v>
      </c>
      <c r="F3359" s="1" t="s">
        <v>19</v>
      </c>
      <c r="G3359" s="1" t="s">
        <v>20</v>
      </c>
      <c r="H3359" t="s">
        <v>21</v>
      </c>
      <c r="I3359" s="1" t="s">
        <v>26</v>
      </c>
      <c r="J3359" s="2">
        <v>43538.528078703705</v>
      </c>
      <c r="K3359" s="2">
        <v>43540.528078703705</v>
      </c>
      <c r="L3359" s="2">
        <v>43543.528078703705</v>
      </c>
      <c r="M3359" s="1">
        <f>_xlfn.DAYS(Table1[[#This Row],[actual_delivery_date]],Table1[[#This Row],[dispatch_date]])</f>
        <v>2</v>
      </c>
      <c r="N3359">
        <v>77</v>
      </c>
      <c r="O3359">
        <f>Table1[[#This Row],[transit_storage_cost]] * (1-'What -if Analysis'!$D$26)</f>
        <v>77</v>
      </c>
      <c r="P3359">
        <v>100</v>
      </c>
      <c r="Q3359">
        <v>1031.2511010063824</v>
      </c>
    </row>
    <row r="3360" spans="1:17" x14ac:dyDescent="0.3">
      <c r="A3360">
        <v>572139</v>
      </c>
      <c r="B3360" s="1" t="s">
        <v>41</v>
      </c>
      <c r="C3360" s="1" t="s">
        <v>23</v>
      </c>
      <c r="D3360" s="1" t="s">
        <v>17</v>
      </c>
      <c r="E3360" s="1" t="s">
        <v>18</v>
      </c>
      <c r="F3360" s="1" t="s">
        <v>29</v>
      </c>
      <c r="G3360" s="1" t="s">
        <v>20</v>
      </c>
      <c r="H3360" t="s">
        <v>30</v>
      </c>
      <c r="I3360" s="1" t="s">
        <v>26</v>
      </c>
      <c r="J3360" s="2">
        <v>43537.53392361111</v>
      </c>
      <c r="K3360" s="2">
        <v>43540.53392361111</v>
      </c>
      <c r="L3360" s="2">
        <v>43540.53392361111</v>
      </c>
      <c r="M3360" s="1">
        <f>_xlfn.DAYS(Table1[[#This Row],[actual_delivery_date]],Table1[[#This Row],[dispatch_date]])</f>
        <v>3</v>
      </c>
      <c r="N3360">
        <v>34</v>
      </c>
      <c r="O3360">
        <f>Table1[[#This Row],[transit_storage_cost]] * (1-'What -if Analysis'!$D$26)</f>
        <v>34</v>
      </c>
      <c r="P3360">
        <v>113</v>
      </c>
      <c r="Q3360">
        <v>208.84618144525172</v>
      </c>
    </row>
    <row r="3361" spans="1:17" x14ac:dyDescent="0.3">
      <c r="A3361">
        <v>188011</v>
      </c>
      <c r="B3361" s="1" t="s">
        <v>38</v>
      </c>
      <c r="C3361" s="1" t="s">
        <v>16</v>
      </c>
      <c r="D3361" s="1" t="s">
        <v>32</v>
      </c>
      <c r="E3361" s="1" t="s">
        <v>33</v>
      </c>
      <c r="F3361" s="1" t="s">
        <v>19</v>
      </c>
      <c r="G3361" s="1" t="s">
        <v>20</v>
      </c>
      <c r="H3361" t="s">
        <v>30</v>
      </c>
      <c r="I3361" s="1" t="s">
        <v>22</v>
      </c>
      <c r="J3361" s="2">
        <v>43533.547939814816</v>
      </c>
      <c r="K3361" s="2">
        <v>43540.547939814816</v>
      </c>
      <c r="L3361" s="2">
        <v>43538.547939814816</v>
      </c>
      <c r="M3361" s="1">
        <f>_xlfn.DAYS(Table1[[#This Row],[actual_delivery_date]],Table1[[#This Row],[dispatch_date]])</f>
        <v>7</v>
      </c>
      <c r="N3361">
        <v>58</v>
      </c>
      <c r="O3361">
        <f>Table1[[#This Row],[transit_storage_cost]] * (1-'What -if Analysis'!$D$26)</f>
        <v>58</v>
      </c>
      <c r="P3361">
        <v>87</v>
      </c>
      <c r="Q3361">
        <v>1599</v>
      </c>
    </row>
    <row r="3362" spans="1:17" x14ac:dyDescent="0.3">
      <c r="A3362">
        <v>760821</v>
      </c>
      <c r="B3362" s="1" t="s">
        <v>39</v>
      </c>
      <c r="C3362" s="1" t="s">
        <v>16</v>
      </c>
      <c r="D3362" s="1" t="s">
        <v>16</v>
      </c>
      <c r="E3362" s="1" t="s">
        <v>27</v>
      </c>
      <c r="F3362" s="1" t="s">
        <v>19</v>
      </c>
      <c r="G3362" s="1" t="s">
        <v>20</v>
      </c>
      <c r="H3362" t="s">
        <v>30</v>
      </c>
      <c r="I3362" s="1" t="s">
        <v>26</v>
      </c>
      <c r="J3362" s="2">
        <v>43535.548298611109</v>
      </c>
      <c r="K3362" s="2">
        <v>43540.548298611109</v>
      </c>
      <c r="L3362" s="2">
        <v>43539.548298611109</v>
      </c>
      <c r="M3362" s="1">
        <f>_xlfn.DAYS(Table1[[#This Row],[actual_delivery_date]],Table1[[#This Row],[dispatch_date]])</f>
        <v>5</v>
      </c>
      <c r="N3362">
        <v>0</v>
      </c>
      <c r="O3362">
        <f>Table1[[#This Row],[transit_storage_cost]] * (1-'What -if Analysis'!$D$26)</f>
        <v>0</v>
      </c>
      <c r="P3362">
        <v>102</v>
      </c>
      <c r="Q3362">
        <v>2935.5134610576633</v>
      </c>
    </row>
    <row r="3363" spans="1:17" x14ac:dyDescent="0.3">
      <c r="A3363">
        <v>705043</v>
      </c>
      <c r="B3363" s="1" t="s">
        <v>39</v>
      </c>
      <c r="C3363" s="1" t="s">
        <v>16</v>
      </c>
      <c r="D3363" s="1" t="s">
        <v>16</v>
      </c>
      <c r="E3363" s="1" t="s">
        <v>27</v>
      </c>
      <c r="F3363" s="1" t="s">
        <v>19</v>
      </c>
      <c r="G3363" s="1" t="s">
        <v>20</v>
      </c>
      <c r="H3363" t="s">
        <v>30</v>
      </c>
      <c r="I3363" s="1" t="s">
        <v>22</v>
      </c>
      <c r="J3363" s="2">
        <v>43535.548692129632</v>
      </c>
      <c r="K3363" s="2">
        <v>43540.548692129632</v>
      </c>
      <c r="L3363" s="2">
        <v>43542.548692129632</v>
      </c>
      <c r="M3363" s="1">
        <f>_xlfn.DAYS(Table1[[#This Row],[actual_delivery_date]],Table1[[#This Row],[dispatch_date]])</f>
        <v>5</v>
      </c>
      <c r="N3363">
        <v>0</v>
      </c>
      <c r="O3363">
        <f>Table1[[#This Row],[transit_storage_cost]] * (1-'What -if Analysis'!$D$26)</f>
        <v>0</v>
      </c>
      <c r="P3363">
        <v>102</v>
      </c>
      <c r="Q3363">
        <v>2436.9775683505009</v>
      </c>
    </row>
    <row r="3364" spans="1:17" x14ac:dyDescent="0.3">
      <c r="A3364">
        <v>741320</v>
      </c>
      <c r="B3364" s="1" t="s">
        <v>15</v>
      </c>
      <c r="C3364" s="1" t="s">
        <v>23</v>
      </c>
      <c r="D3364" s="1" t="s">
        <v>23</v>
      </c>
      <c r="E3364" s="1" t="s">
        <v>28</v>
      </c>
      <c r="F3364" s="1" t="s">
        <v>19</v>
      </c>
      <c r="G3364" s="1" t="s">
        <v>20</v>
      </c>
      <c r="H3364" t="s">
        <v>21</v>
      </c>
      <c r="I3364" s="1" t="s">
        <v>22</v>
      </c>
      <c r="J3364" s="2">
        <v>43536.550428240742</v>
      </c>
      <c r="K3364" s="2">
        <v>43540.550428240742</v>
      </c>
      <c r="L3364" s="2">
        <v>43540.550428240742</v>
      </c>
      <c r="M3364" s="1">
        <f>_xlfn.DAYS(Table1[[#This Row],[actual_delivery_date]],Table1[[#This Row],[dispatch_date]])</f>
        <v>4</v>
      </c>
      <c r="N3364">
        <v>0</v>
      </c>
      <c r="O3364">
        <f>Table1[[#This Row],[transit_storage_cost]] * (1-'What -if Analysis'!$D$26)</f>
        <v>0</v>
      </c>
      <c r="P3364">
        <v>126</v>
      </c>
      <c r="Q3364">
        <v>3327</v>
      </c>
    </row>
    <row r="3365" spans="1:17" x14ac:dyDescent="0.3">
      <c r="A3365">
        <v>986103</v>
      </c>
      <c r="B3365" s="1" t="s">
        <v>39</v>
      </c>
      <c r="C3365" s="1" t="s">
        <v>16</v>
      </c>
      <c r="D3365" s="1" t="s">
        <v>17</v>
      </c>
      <c r="E3365" s="1" t="s">
        <v>18</v>
      </c>
      <c r="F3365" s="1" t="s">
        <v>19</v>
      </c>
      <c r="G3365" s="1" t="s">
        <v>20</v>
      </c>
      <c r="H3365" t="s">
        <v>30</v>
      </c>
      <c r="I3365" s="1" t="s">
        <v>26</v>
      </c>
      <c r="J3365" s="2">
        <v>43538.55195601852</v>
      </c>
      <c r="K3365" s="2">
        <v>43540.55195601852</v>
      </c>
      <c r="L3365" s="2">
        <v>43544.55195601852</v>
      </c>
      <c r="M3365" s="1">
        <f>_xlfn.DAYS(Table1[[#This Row],[actual_delivery_date]],Table1[[#This Row],[dispatch_date]])</f>
        <v>2</v>
      </c>
      <c r="N3365">
        <v>80</v>
      </c>
      <c r="O3365">
        <f>Table1[[#This Row],[transit_storage_cost]] * (1-'What -if Analysis'!$D$26)</f>
        <v>80</v>
      </c>
      <c r="P3365">
        <v>86</v>
      </c>
      <c r="Q3365">
        <v>3315</v>
      </c>
    </row>
    <row r="3366" spans="1:17" x14ac:dyDescent="0.3">
      <c r="A3366">
        <v>293797</v>
      </c>
      <c r="B3366" s="1" t="s">
        <v>15</v>
      </c>
      <c r="C3366" s="1" t="s">
        <v>16</v>
      </c>
      <c r="D3366" s="1" t="s">
        <v>17</v>
      </c>
      <c r="E3366" s="1" t="s">
        <v>18</v>
      </c>
      <c r="F3366" s="1" t="s">
        <v>29</v>
      </c>
      <c r="G3366" s="1" t="s">
        <v>20</v>
      </c>
      <c r="H3366" t="s">
        <v>34</v>
      </c>
      <c r="I3366" s="1" t="s">
        <v>22</v>
      </c>
      <c r="J3366" s="2">
        <v>43534.553460648145</v>
      </c>
      <c r="K3366" s="2">
        <v>43540.553460648145</v>
      </c>
      <c r="L3366" s="2">
        <v>43539.553460648145</v>
      </c>
      <c r="M3366" s="1">
        <f>_xlfn.DAYS(Table1[[#This Row],[actual_delivery_date]],Table1[[#This Row],[dispatch_date]])</f>
        <v>6</v>
      </c>
      <c r="N3366">
        <v>25</v>
      </c>
      <c r="O3366">
        <f>Table1[[#This Row],[transit_storage_cost]] * (1-'What -if Analysis'!$D$26)</f>
        <v>25</v>
      </c>
      <c r="P3366">
        <v>108</v>
      </c>
      <c r="Q3366">
        <v>549.79479953978739</v>
      </c>
    </row>
    <row r="3367" spans="1:17" x14ac:dyDescent="0.3">
      <c r="A3367">
        <v>125070</v>
      </c>
      <c r="B3367" s="1" t="s">
        <v>41</v>
      </c>
      <c r="C3367" s="1" t="s">
        <v>23</v>
      </c>
      <c r="D3367" s="1" t="s">
        <v>17</v>
      </c>
      <c r="E3367" s="1" t="s">
        <v>18</v>
      </c>
      <c r="F3367" s="1" t="s">
        <v>31</v>
      </c>
      <c r="G3367" s="1" t="s">
        <v>20</v>
      </c>
      <c r="H3367" t="s">
        <v>21</v>
      </c>
      <c r="I3367" s="1" t="s">
        <v>26</v>
      </c>
      <c r="J3367" s="2">
        <v>43531.560706018521</v>
      </c>
      <c r="K3367" s="2">
        <v>43540.560706018521</v>
      </c>
      <c r="L3367" s="2">
        <v>43536.560706018521</v>
      </c>
      <c r="M3367" s="1">
        <f>_xlfn.DAYS(Table1[[#This Row],[actual_delivery_date]],Table1[[#This Row],[dispatch_date]])</f>
        <v>9</v>
      </c>
      <c r="N3367">
        <v>38</v>
      </c>
      <c r="O3367">
        <f>Table1[[#This Row],[transit_storage_cost]] * (1-'What -if Analysis'!$D$26)</f>
        <v>38</v>
      </c>
      <c r="P3367">
        <v>114</v>
      </c>
      <c r="Q3367">
        <v>564.69775701731476</v>
      </c>
    </row>
    <row r="3368" spans="1:17" x14ac:dyDescent="0.3">
      <c r="A3368">
        <v>265920</v>
      </c>
      <c r="B3368" s="1" t="s">
        <v>38</v>
      </c>
      <c r="C3368" s="1" t="s">
        <v>16</v>
      </c>
      <c r="D3368" s="1" t="s">
        <v>23</v>
      </c>
      <c r="E3368" s="1" t="s">
        <v>28</v>
      </c>
      <c r="F3368" s="1" t="s">
        <v>19</v>
      </c>
      <c r="G3368" s="1" t="s">
        <v>20</v>
      </c>
      <c r="H3368" t="s">
        <v>21</v>
      </c>
      <c r="I3368" s="1" t="s">
        <v>26</v>
      </c>
      <c r="J3368" s="2">
        <v>43537.574282407404</v>
      </c>
      <c r="K3368" s="2">
        <v>43540.574282407404</v>
      </c>
      <c r="L3368" s="2">
        <v>43544.574282407404</v>
      </c>
      <c r="M3368" s="1">
        <f>_xlfn.DAYS(Table1[[#This Row],[actual_delivery_date]],Table1[[#This Row],[dispatch_date]])</f>
        <v>3</v>
      </c>
      <c r="N3368">
        <v>27</v>
      </c>
      <c r="O3368">
        <f>Table1[[#This Row],[transit_storage_cost]] * (1-'What -if Analysis'!$D$26)</f>
        <v>27</v>
      </c>
      <c r="P3368">
        <v>121</v>
      </c>
      <c r="Q3368">
        <v>1203.8142285024178</v>
      </c>
    </row>
    <row r="3369" spans="1:17" x14ac:dyDescent="0.3">
      <c r="A3369">
        <v>409793</v>
      </c>
      <c r="B3369" s="1" t="s">
        <v>37</v>
      </c>
      <c r="C3369" s="1" t="s">
        <v>23</v>
      </c>
      <c r="D3369" s="1" t="s">
        <v>32</v>
      </c>
      <c r="E3369" s="1" t="s">
        <v>33</v>
      </c>
      <c r="F3369" s="1" t="s">
        <v>29</v>
      </c>
      <c r="G3369" s="1" t="s">
        <v>20</v>
      </c>
      <c r="H3369" t="s">
        <v>30</v>
      </c>
      <c r="I3369" s="1" t="s">
        <v>22</v>
      </c>
      <c r="J3369" s="2">
        <v>43534.577650462961</v>
      </c>
      <c r="K3369" s="2">
        <v>43540.577650462961</v>
      </c>
      <c r="L3369" s="2">
        <v>43539.577650462961</v>
      </c>
      <c r="M3369" s="1">
        <f>_xlfn.DAYS(Table1[[#This Row],[actual_delivery_date]],Table1[[#This Row],[dispatch_date]])</f>
        <v>6</v>
      </c>
      <c r="N3369">
        <v>47</v>
      </c>
      <c r="O3369">
        <f>Table1[[#This Row],[transit_storage_cost]] * (1-'What -if Analysis'!$D$26)</f>
        <v>47</v>
      </c>
      <c r="P3369">
        <v>106</v>
      </c>
      <c r="Q3369">
        <v>1886.6533012537193</v>
      </c>
    </row>
    <row r="3370" spans="1:17" x14ac:dyDescent="0.3">
      <c r="A3370">
        <v>168930</v>
      </c>
      <c r="B3370" s="1" t="s">
        <v>37</v>
      </c>
      <c r="C3370" s="1" t="s">
        <v>16</v>
      </c>
      <c r="D3370" s="1" t="s">
        <v>23</v>
      </c>
      <c r="E3370" s="1" t="s">
        <v>28</v>
      </c>
      <c r="F3370" s="1" t="s">
        <v>31</v>
      </c>
      <c r="G3370" s="1" t="s">
        <v>20</v>
      </c>
      <c r="H3370" t="s">
        <v>21</v>
      </c>
      <c r="I3370" s="1" t="s">
        <v>26</v>
      </c>
      <c r="J3370" s="2">
        <v>43533.581562500003</v>
      </c>
      <c r="K3370" s="2">
        <v>43540.581562500003</v>
      </c>
      <c r="L3370" s="2">
        <v>43540.581562500003</v>
      </c>
      <c r="M3370" s="1">
        <f>_xlfn.DAYS(Table1[[#This Row],[actual_delivery_date]],Table1[[#This Row],[dispatch_date]])</f>
        <v>7</v>
      </c>
      <c r="N3370">
        <v>28</v>
      </c>
      <c r="O3370">
        <f>Table1[[#This Row],[transit_storage_cost]] * (1-'What -if Analysis'!$D$26)</f>
        <v>28</v>
      </c>
      <c r="P3370">
        <v>129</v>
      </c>
      <c r="Q3370">
        <v>2726</v>
      </c>
    </row>
    <row r="3371" spans="1:17" x14ac:dyDescent="0.3">
      <c r="A3371">
        <v>58868</v>
      </c>
      <c r="B3371" s="1" t="s">
        <v>39</v>
      </c>
      <c r="C3371" s="1" t="s">
        <v>16</v>
      </c>
      <c r="D3371" s="1" t="s">
        <v>23</v>
      </c>
      <c r="E3371" s="1" t="s">
        <v>28</v>
      </c>
      <c r="F3371" s="1" t="s">
        <v>19</v>
      </c>
      <c r="G3371" s="1" t="s">
        <v>20</v>
      </c>
      <c r="H3371" t="s">
        <v>21</v>
      </c>
      <c r="I3371" s="1" t="s">
        <v>22</v>
      </c>
      <c r="J3371" s="2">
        <v>43538.585960648146</v>
      </c>
      <c r="K3371" s="2">
        <v>43540.585960648146</v>
      </c>
      <c r="L3371" s="2">
        <v>43543.585960648146</v>
      </c>
      <c r="M3371" s="1">
        <f>_xlfn.DAYS(Table1[[#This Row],[actual_delivery_date]],Table1[[#This Row],[dispatch_date]])</f>
        <v>2</v>
      </c>
      <c r="N3371">
        <v>25</v>
      </c>
      <c r="O3371">
        <f>Table1[[#This Row],[transit_storage_cost]] * (1-'What -if Analysis'!$D$26)</f>
        <v>25</v>
      </c>
      <c r="P3371">
        <v>125</v>
      </c>
      <c r="Q3371">
        <v>1383.0920106726851</v>
      </c>
    </row>
    <row r="3372" spans="1:17" x14ac:dyDescent="0.3">
      <c r="A3372">
        <v>256915</v>
      </c>
      <c r="B3372" s="1" t="s">
        <v>40</v>
      </c>
      <c r="C3372" s="1" t="s">
        <v>23</v>
      </c>
      <c r="D3372" s="1" t="s">
        <v>24</v>
      </c>
      <c r="E3372" s="1" t="s">
        <v>25</v>
      </c>
      <c r="F3372" s="1" t="s">
        <v>29</v>
      </c>
      <c r="G3372" s="1" t="s">
        <v>20</v>
      </c>
      <c r="H3372" t="s">
        <v>30</v>
      </c>
      <c r="I3372" s="1" t="s">
        <v>22</v>
      </c>
      <c r="J3372" s="2">
        <v>43534.587141203701</v>
      </c>
      <c r="K3372" s="2">
        <v>43540.587141203701</v>
      </c>
      <c r="L3372" s="2">
        <v>43540.587141203701</v>
      </c>
      <c r="M3372" s="1">
        <f>_xlfn.DAYS(Table1[[#This Row],[actual_delivery_date]],Table1[[#This Row],[dispatch_date]])</f>
        <v>6</v>
      </c>
      <c r="N3372">
        <v>27</v>
      </c>
      <c r="O3372">
        <f>Table1[[#This Row],[transit_storage_cost]] * (1-'What -if Analysis'!$D$26)</f>
        <v>27</v>
      </c>
      <c r="P3372">
        <v>130</v>
      </c>
      <c r="Q3372">
        <v>3384</v>
      </c>
    </row>
    <row r="3373" spans="1:17" x14ac:dyDescent="0.3">
      <c r="A3373">
        <v>363022</v>
      </c>
      <c r="B3373" s="1" t="s">
        <v>41</v>
      </c>
      <c r="C3373" s="1" t="s">
        <v>16</v>
      </c>
      <c r="D3373" s="1" t="s">
        <v>24</v>
      </c>
      <c r="E3373" s="1" t="s">
        <v>25</v>
      </c>
      <c r="F3373" s="1" t="s">
        <v>19</v>
      </c>
      <c r="G3373" s="1" t="s">
        <v>20</v>
      </c>
      <c r="H3373" t="s">
        <v>21</v>
      </c>
      <c r="I3373" s="1" t="s">
        <v>22</v>
      </c>
      <c r="J3373" s="2">
        <v>43535.59480324074</v>
      </c>
      <c r="K3373" s="2">
        <v>43540.59480324074</v>
      </c>
      <c r="L3373" s="2">
        <v>43540.59480324074</v>
      </c>
      <c r="M3373" s="1">
        <f>_xlfn.DAYS(Table1[[#This Row],[actual_delivery_date]],Table1[[#This Row],[dispatch_date]])</f>
        <v>5</v>
      </c>
      <c r="N3373">
        <v>70</v>
      </c>
      <c r="O3373">
        <f>Table1[[#This Row],[transit_storage_cost]] * (1-'What -if Analysis'!$D$26)</f>
        <v>70</v>
      </c>
      <c r="P3373">
        <v>101</v>
      </c>
      <c r="Q3373">
        <v>768</v>
      </c>
    </row>
    <row r="3374" spans="1:17" x14ac:dyDescent="0.3">
      <c r="A3374">
        <v>849008</v>
      </c>
      <c r="B3374" s="1" t="s">
        <v>40</v>
      </c>
      <c r="C3374" s="1" t="s">
        <v>16</v>
      </c>
      <c r="D3374" s="1" t="s">
        <v>23</v>
      </c>
      <c r="E3374" s="1" t="s">
        <v>28</v>
      </c>
      <c r="F3374" s="1" t="s">
        <v>19</v>
      </c>
      <c r="G3374" s="1" t="s">
        <v>20</v>
      </c>
      <c r="H3374" t="s">
        <v>21</v>
      </c>
      <c r="I3374" s="1" t="s">
        <v>22</v>
      </c>
      <c r="J3374" s="2">
        <v>43535.595405092594</v>
      </c>
      <c r="K3374" s="2">
        <v>43540.595405092594</v>
      </c>
      <c r="L3374" s="2">
        <v>43539.595405092594</v>
      </c>
      <c r="M3374" s="1">
        <f>_xlfn.DAYS(Table1[[#This Row],[actual_delivery_date]],Table1[[#This Row],[dispatch_date]])</f>
        <v>5</v>
      </c>
      <c r="N3374">
        <v>39</v>
      </c>
      <c r="O3374">
        <f>Table1[[#This Row],[transit_storage_cost]] * (1-'What -if Analysis'!$D$26)</f>
        <v>39</v>
      </c>
      <c r="P3374">
        <v>126</v>
      </c>
      <c r="Q3374">
        <v>537.37686507880267</v>
      </c>
    </row>
    <row r="3375" spans="1:17" x14ac:dyDescent="0.3">
      <c r="A3375">
        <v>915961</v>
      </c>
      <c r="B3375" s="1" t="s">
        <v>15</v>
      </c>
      <c r="C3375" s="1" t="s">
        <v>23</v>
      </c>
      <c r="D3375" s="1" t="s">
        <v>17</v>
      </c>
      <c r="E3375" s="1" t="s">
        <v>18</v>
      </c>
      <c r="F3375" s="1" t="s">
        <v>29</v>
      </c>
      <c r="G3375" s="1" t="s">
        <v>20</v>
      </c>
      <c r="H3375" t="s">
        <v>30</v>
      </c>
      <c r="I3375" s="1" t="s">
        <v>22</v>
      </c>
      <c r="J3375" s="2">
        <v>43533.598263888889</v>
      </c>
      <c r="K3375" s="2">
        <v>43540.598263888889</v>
      </c>
      <c r="L3375" s="2">
        <v>43537.598263888889</v>
      </c>
      <c r="M3375" s="1">
        <f>_xlfn.DAYS(Table1[[#This Row],[actual_delivery_date]],Table1[[#This Row],[dispatch_date]])</f>
        <v>7</v>
      </c>
      <c r="N3375">
        <v>38</v>
      </c>
      <c r="O3375">
        <f>Table1[[#This Row],[transit_storage_cost]] * (1-'What -if Analysis'!$D$26)</f>
        <v>38</v>
      </c>
      <c r="P3375">
        <v>110</v>
      </c>
      <c r="Q3375">
        <v>1954</v>
      </c>
    </row>
    <row r="3376" spans="1:17" x14ac:dyDescent="0.3">
      <c r="A3376">
        <v>391384</v>
      </c>
      <c r="B3376" s="1" t="s">
        <v>39</v>
      </c>
      <c r="C3376" s="1" t="s">
        <v>23</v>
      </c>
      <c r="D3376" s="1" t="s">
        <v>17</v>
      </c>
      <c r="E3376" s="1" t="s">
        <v>18</v>
      </c>
      <c r="F3376" s="1" t="s">
        <v>19</v>
      </c>
      <c r="G3376" s="1" t="s">
        <v>20</v>
      </c>
      <c r="H3376" t="s">
        <v>21</v>
      </c>
      <c r="I3376" s="1" t="s">
        <v>22</v>
      </c>
      <c r="J3376" s="2">
        <v>43538.598449074074</v>
      </c>
      <c r="K3376" s="2">
        <v>43540.598449074074</v>
      </c>
      <c r="L3376" s="2">
        <v>43541.598449074074</v>
      </c>
      <c r="M3376" s="1">
        <f>_xlfn.DAYS(Table1[[#This Row],[actual_delivery_date]],Table1[[#This Row],[dispatch_date]])</f>
        <v>2</v>
      </c>
      <c r="N3376">
        <v>32</v>
      </c>
      <c r="O3376">
        <f>Table1[[#This Row],[transit_storage_cost]] * (1-'What -if Analysis'!$D$26)</f>
        <v>32</v>
      </c>
      <c r="P3376">
        <v>110</v>
      </c>
      <c r="Q3376">
        <v>425.95347152861063</v>
      </c>
    </row>
    <row r="3377" spans="1:17" x14ac:dyDescent="0.3">
      <c r="A3377">
        <v>757105</v>
      </c>
      <c r="B3377" s="1" t="s">
        <v>41</v>
      </c>
      <c r="C3377" s="1" t="s">
        <v>23</v>
      </c>
      <c r="D3377" s="1" t="s">
        <v>16</v>
      </c>
      <c r="E3377" s="1" t="s">
        <v>27</v>
      </c>
      <c r="F3377" s="1" t="s">
        <v>19</v>
      </c>
      <c r="G3377" s="1" t="s">
        <v>20</v>
      </c>
      <c r="H3377" t="s">
        <v>30</v>
      </c>
      <c r="I3377" s="1" t="s">
        <v>22</v>
      </c>
      <c r="J3377" s="2">
        <v>43536.599317129629</v>
      </c>
      <c r="K3377" s="2">
        <v>43540.599317129629</v>
      </c>
      <c r="L3377" s="2">
        <v>43541.599317129629</v>
      </c>
      <c r="M3377" s="1">
        <f>_xlfn.DAYS(Table1[[#This Row],[actual_delivery_date]],Table1[[#This Row],[dispatch_date]])</f>
        <v>4</v>
      </c>
      <c r="N3377">
        <v>71</v>
      </c>
      <c r="O3377">
        <f>Table1[[#This Row],[transit_storage_cost]] * (1-'What -if Analysis'!$D$26)</f>
        <v>71</v>
      </c>
      <c r="P3377">
        <v>105</v>
      </c>
      <c r="Q3377">
        <v>2092.5091859971858</v>
      </c>
    </row>
    <row r="3378" spans="1:17" x14ac:dyDescent="0.3">
      <c r="A3378">
        <v>107894</v>
      </c>
      <c r="B3378" s="1" t="s">
        <v>38</v>
      </c>
      <c r="C3378" s="1" t="s">
        <v>16</v>
      </c>
      <c r="D3378" s="1" t="s">
        <v>17</v>
      </c>
      <c r="E3378" s="1" t="s">
        <v>18</v>
      </c>
      <c r="F3378" s="1" t="s">
        <v>31</v>
      </c>
      <c r="G3378" s="1" t="s">
        <v>20</v>
      </c>
      <c r="H3378" t="s">
        <v>21</v>
      </c>
      <c r="I3378" s="1" t="s">
        <v>22</v>
      </c>
      <c r="J3378" s="2">
        <v>43537.600810185184</v>
      </c>
      <c r="K3378" s="2">
        <v>43540.600810185184</v>
      </c>
      <c r="L3378" s="2">
        <v>43540.600810185184</v>
      </c>
      <c r="M3378" s="1">
        <f>_xlfn.DAYS(Table1[[#This Row],[actual_delivery_date]],Table1[[#This Row],[dispatch_date]])</f>
        <v>3</v>
      </c>
      <c r="N3378">
        <v>25</v>
      </c>
      <c r="O3378">
        <f>Table1[[#This Row],[transit_storage_cost]] * (1-'What -if Analysis'!$D$26)</f>
        <v>25</v>
      </c>
      <c r="P3378">
        <v>113</v>
      </c>
      <c r="Q3378">
        <v>2302.368341474777</v>
      </c>
    </row>
    <row r="3379" spans="1:17" x14ac:dyDescent="0.3">
      <c r="A3379">
        <v>375113</v>
      </c>
      <c r="B3379" s="1" t="s">
        <v>39</v>
      </c>
      <c r="C3379" s="1" t="s">
        <v>16</v>
      </c>
      <c r="D3379" s="1" t="s">
        <v>17</v>
      </c>
      <c r="E3379" s="1" t="s">
        <v>18</v>
      </c>
      <c r="F3379" s="1" t="s">
        <v>29</v>
      </c>
      <c r="G3379" s="1" t="s">
        <v>20</v>
      </c>
      <c r="H3379" t="s">
        <v>30</v>
      </c>
      <c r="I3379" s="1" t="s">
        <v>22</v>
      </c>
      <c r="J3379" s="2">
        <v>43536.603773148148</v>
      </c>
      <c r="K3379" s="2">
        <v>43540.603773148148</v>
      </c>
      <c r="L3379" s="2">
        <v>43543.603773148148</v>
      </c>
      <c r="M3379" s="1">
        <f>_xlfn.DAYS(Table1[[#This Row],[actual_delivery_date]],Table1[[#This Row],[dispatch_date]])</f>
        <v>4</v>
      </c>
      <c r="N3379">
        <v>38</v>
      </c>
      <c r="O3379">
        <f>Table1[[#This Row],[transit_storage_cost]] * (1-'What -if Analysis'!$D$26)</f>
        <v>38</v>
      </c>
      <c r="P3379">
        <v>110</v>
      </c>
      <c r="Q3379">
        <v>1542.6179065076719</v>
      </c>
    </row>
    <row r="3380" spans="1:17" x14ac:dyDescent="0.3">
      <c r="A3380">
        <v>788514</v>
      </c>
      <c r="B3380" s="1" t="s">
        <v>38</v>
      </c>
      <c r="C3380" s="1" t="s">
        <v>16</v>
      </c>
      <c r="D3380" s="1" t="s">
        <v>17</v>
      </c>
      <c r="E3380" s="1" t="s">
        <v>18</v>
      </c>
      <c r="F3380" s="1" t="s">
        <v>19</v>
      </c>
      <c r="G3380" s="1" t="s">
        <v>20</v>
      </c>
      <c r="H3380" t="s">
        <v>21</v>
      </c>
      <c r="I3380" s="1" t="s">
        <v>26</v>
      </c>
      <c r="J3380" s="2">
        <v>43538.604768518519</v>
      </c>
      <c r="K3380" s="2">
        <v>43540.604768518519</v>
      </c>
      <c r="L3380" s="2">
        <v>43542.604768518519</v>
      </c>
      <c r="M3380" s="1">
        <f>_xlfn.DAYS(Table1[[#This Row],[actual_delivery_date]],Table1[[#This Row],[dispatch_date]])</f>
        <v>2</v>
      </c>
      <c r="N3380">
        <v>67</v>
      </c>
      <c r="O3380">
        <f>Table1[[#This Row],[transit_storage_cost]] * (1-'What -if Analysis'!$D$26)</f>
        <v>67</v>
      </c>
      <c r="P3380">
        <v>89</v>
      </c>
      <c r="Q3380">
        <v>1840.4028829692977</v>
      </c>
    </row>
    <row r="3381" spans="1:17" x14ac:dyDescent="0.3">
      <c r="A3381">
        <v>122255</v>
      </c>
      <c r="B3381" s="1" t="s">
        <v>38</v>
      </c>
      <c r="C3381" s="1" t="s">
        <v>23</v>
      </c>
      <c r="D3381" s="1" t="s">
        <v>24</v>
      </c>
      <c r="E3381" s="1" t="s">
        <v>25</v>
      </c>
      <c r="F3381" s="1" t="s">
        <v>19</v>
      </c>
      <c r="G3381" s="1" t="s">
        <v>20</v>
      </c>
      <c r="H3381" t="s">
        <v>34</v>
      </c>
      <c r="I3381" s="1" t="s">
        <v>22</v>
      </c>
      <c r="J3381" s="2">
        <v>43535.618993055556</v>
      </c>
      <c r="K3381" s="2">
        <v>43540.618993055556</v>
      </c>
      <c r="L3381" s="2">
        <v>43540.618993055556</v>
      </c>
      <c r="M3381" s="1">
        <f>_xlfn.DAYS(Table1[[#This Row],[actual_delivery_date]],Table1[[#This Row],[dispatch_date]])</f>
        <v>5</v>
      </c>
      <c r="N3381">
        <v>66</v>
      </c>
      <c r="O3381">
        <f>Table1[[#This Row],[transit_storage_cost]] * (1-'What -if Analysis'!$D$26)</f>
        <v>66</v>
      </c>
      <c r="P3381">
        <v>104</v>
      </c>
      <c r="Q3381">
        <v>1574</v>
      </c>
    </row>
    <row r="3382" spans="1:17" x14ac:dyDescent="0.3">
      <c r="A3382">
        <v>79850</v>
      </c>
      <c r="B3382" s="1" t="s">
        <v>40</v>
      </c>
      <c r="C3382" s="1" t="s">
        <v>23</v>
      </c>
      <c r="D3382" s="1" t="s">
        <v>16</v>
      </c>
      <c r="E3382" s="1" t="s">
        <v>27</v>
      </c>
      <c r="F3382" s="1" t="s">
        <v>31</v>
      </c>
      <c r="G3382" s="1" t="s">
        <v>20</v>
      </c>
      <c r="H3382" t="s">
        <v>21</v>
      </c>
      <c r="I3382" s="1" t="s">
        <v>22</v>
      </c>
      <c r="J3382" s="2">
        <v>43535.620694444442</v>
      </c>
      <c r="K3382" s="2">
        <v>43540.620694444442</v>
      </c>
      <c r="L3382" s="2">
        <v>43542.620694444442</v>
      </c>
      <c r="M3382" s="1">
        <f>_xlfn.DAYS(Table1[[#This Row],[actual_delivery_date]],Table1[[#This Row],[dispatch_date]])</f>
        <v>5</v>
      </c>
      <c r="N3382">
        <v>42</v>
      </c>
      <c r="O3382">
        <f>Table1[[#This Row],[transit_storage_cost]] * (1-'What -if Analysis'!$D$26)</f>
        <v>42</v>
      </c>
      <c r="P3382">
        <v>129</v>
      </c>
      <c r="Q3382">
        <v>425.17270607518378</v>
      </c>
    </row>
    <row r="3383" spans="1:17" x14ac:dyDescent="0.3">
      <c r="A3383">
        <v>690444</v>
      </c>
      <c r="B3383" s="1" t="s">
        <v>38</v>
      </c>
      <c r="C3383" s="1" t="s">
        <v>16</v>
      </c>
      <c r="D3383" s="1" t="s">
        <v>17</v>
      </c>
      <c r="E3383" s="1" t="s">
        <v>18</v>
      </c>
      <c r="F3383" s="1" t="s">
        <v>19</v>
      </c>
      <c r="G3383" s="1" t="s">
        <v>20</v>
      </c>
      <c r="H3383" t="s">
        <v>21</v>
      </c>
      <c r="I3383" s="1" t="s">
        <v>26</v>
      </c>
      <c r="J3383" s="2">
        <v>43536.621076388888</v>
      </c>
      <c r="K3383" s="2">
        <v>43540.621076388888</v>
      </c>
      <c r="L3383" s="2">
        <v>43539.621076388888</v>
      </c>
      <c r="M3383" s="1">
        <f>_xlfn.DAYS(Table1[[#This Row],[actual_delivery_date]],Table1[[#This Row],[dispatch_date]])</f>
        <v>4</v>
      </c>
      <c r="N3383">
        <v>44</v>
      </c>
      <c r="O3383">
        <f>Table1[[#This Row],[transit_storage_cost]] * (1-'What -if Analysis'!$D$26)</f>
        <v>44</v>
      </c>
      <c r="P3383">
        <v>107</v>
      </c>
      <c r="Q3383">
        <v>355.48802702960586</v>
      </c>
    </row>
    <row r="3384" spans="1:17" x14ac:dyDescent="0.3">
      <c r="A3384">
        <v>170466</v>
      </c>
      <c r="B3384" s="1" t="s">
        <v>37</v>
      </c>
      <c r="C3384" s="1" t="s">
        <v>23</v>
      </c>
      <c r="D3384" s="1" t="s">
        <v>23</v>
      </c>
      <c r="E3384" s="1" t="s">
        <v>28</v>
      </c>
      <c r="F3384" s="1" t="s">
        <v>31</v>
      </c>
      <c r="G3384" s="1" t="s">
        <v>36</v>
      </c>
      <c r="H3384" t="s">
        <v>21</v>
      </c>
      <c r="I3384" s="1" t="s">
        <v>26</v>
      </c>
      <c r="J3384" s="2">
        <v>43534.626342592594</v>
      </c>
      <c r="K3384" s="2">
        <v>43540.626342592594</v>
      </c>
      <c r="L3384" s="2">
        <v>43539.626342592594</v>
      </c>
      <c r="M3384" s="1">
        <f>_xlfn.DAYS(Table1[[#This Row],[actual_delivery_date]],Table1[[#This Row],[dispatch_date]])</f>
        <v>6</v>
      </c>
      <c r="N3384">
        <v>0</v>
      </c>
      <c r="O3384">
        <f>Table1[[#This Row],[transit_storage_cost]] * (1-'What -if Analysis'!$D$26)</f>
        <v>0</v>
      </c>
      <c r="P3384">
        <v>126</v>
      </c>
      <c r="Q3384">
        <v>3497.597050057313</v>
      </c>
    </row>
    <row r="3385" spans="1:17" x14ac:dyDescent="0.3">
      <c r="A3385">
        <v>815619</v>
      </c>
      <c r="B3385" s="1" t="s">
        <v>15</v>
      </c>
      <c r="C3385" s="1" t="s">
        <v>16</v>
      </c>
      <c r="D3385" s="1" t="s">
        <v>23</v>
      </c>
      <c r="E3385" s="1" t="s">
        <v>28</v>
      </c>
      <c r="F3385" s="1" t="s">
        <v>19</v>
      </c>
      <c r="G3385" s="1" t="s">
        <v>20</v>
      </c>
      <c r="H3385" t="s">
        <v>34</v>
      </c>
      <c r="I3385" s="1" t="s">
        <v>26</v>
      </c>
      <c r="J3385" s="2">
        <v>43536.628425925926</v>
      </c>
      <c r="K3385" s="2">
        <v>43540.628425925926</v>
      </c>
      <c r="L3385" s="2">
        <v>43540.628425925926</v>
      </c>
      <c r="M3385" s="1">
        <f>_xlfn.DAYS(Table1[[#This Row],[actual_delivery_date]],Table1[[#This Row],[dispatch_date]])</f>
        <v>4</v>
      </c>
      <c r="N3385">
        <v>83</v>
      </c>
      <c r="O3385">
        <f>Table1[[#This Row],[transit_storage_cost]] * (1-'What -if Analysis'!$D$26)</f>
        <v>83</v>
      </c>
      <c r="P3385">
        <v>102</v>
      </c>
      <c r="Q3385">
        <v>3741.4506478236722</v>
      </c>
    </row>
    <row r="3386" spans="1:17" x14ac:dyDescent="0.3">
      <c r="A3386">
        <v>317800</v>
      </c>
      <c r="B3386" s="1" t="s">
        <v>39</v>
      </c>
      <c r="C3386" s="1" t="s">
        <v>23</v>
      </c>
      <c r="D3386" s="1" t="s">
        <v>17</v>
      </c>
      <c r="E3386" s="1" t="s">
        <v>18</v>
      </c>
      <c r="F3386" s="1" t="s">
        <v>19</v>
      </c>
      <c r="G3386" s="1" t="s">
        <v>20</v>
      </c>
      <c r="H3386" t="s">
        <v>21</v>
      </c>
      <c r="I3386" s="1" t="s">
        <v>22</v>
      </c>
      <c r="J3386" s="2">
        <v>43538.628472222219</v>
      </c>
      <c r="K3386" s="2">
        <v>43540.628472222219</v>
      </c>
      <c r="L3386" s="2">
        <v>43543.628472222219</v>
      </c>
      <c r="M3386" s="1">
        <f>_xlfn.DAYS(Table1[[#This Row],[actual_delivery_date]],Table1[[#This Row],[dispatch_date]])</f>
        <v>2</v>
      </c>
      <c r="N3386">
        <v>61</v>
      </c>
      <c r="O3386">
        <f>Table1[[#This Row],[transit_storage_cost]] * (1-'What -if Analysis'!$D$26)</f>
        <v>61</v>
      </c>
      <c r="P3386">
        <v>90</v>
      </c>
      <c r="Q3386">
        <v>681.57701382242158</v>
      </c>
    </row>
    <row r="3387" spans="1:17" x14ac:dyDescent="0.3">
      <c r="A3387">
        <v>263609</v>
      </c>
      <c r="B3387" s="1" t="s">
        <v>38</v>
      </c>
      <c r="C3387" s="1" t="s">
        <v>23</v>
      </c>
      <c r="D3387" s="1" t="s">
        <v>17</v>
      </c>
      <c r="E3387" s="1" t="s">
        <v>18</v>
      </c>
      <c r="F3387" s="1" t="s">
        <v>19</v>
      </c>
      <c r="G3387" s="1" t="s">
        <v>20</v>
      </c>
      <c r="H3387" t="s">
        <v>30</v>
      </c>
      <c r="I3387" s="1" t="s">
        <v>22</v>
      </c>
      <c r="J3387" s="2">
        <v>43534.628831018519</v>
      </c>
      <c r="K3387" s="2">
        <v>43540.628831018519</v>
      </c>
      <c r="L3387" s="2">
        <v>43538.628831018519</v>
      </c>
      <c r="M3387" s="1">
        <f>_xlfn.DAYS(Table1[[#This Row],[actual_delivery_date]],Table1[[#This Row],[dispatch_date]])</f>
        <v>6</v>
      </c>
      <c r="N3387">
        <v>64</v>
      </c>
      <c r="O3387">
        <f>Table1[[#This Row],[transit_storage_cost]] * (1-'What -if Analysis'!$D$26)</f>
        <v>64</v>
      </c>
      <c r="P3387">
        <v>90</v>
      </c>
      <c r="Q3387">
        <v>3201.0255977965944</v>
      </c>
    </row>
    <row r="3388" spans="1:17" x14ac:dyDescent="0.3">
      <c r="A3388">
        <v>371935</v>
      </c>
      <c r="B3388" s="1" t="s">
        <v>39</v>
      </c>
      <c r="C3388" s="1" t="s">
        <v>16</v>
      </c>
      <c r="D3388" s="1" t="s">
        <v>17</v>
      </c>
      <c r="E3388" s="1" t="s">
        <v>18</v>
      </c>
      <c r="F3388" s="1" t="s">
        <v>29</v>
      </c>
      <c r="G3388" s="1" t="s">
        <v>20</v>
      </c>
      <c r="H3388" t="s">
        <v>30</v>
      </c>
      <c r="I3388" s="1" t="s">
        <v>22</v>
      </c>
      <c r="J3388" s="2">
        <v>43532.630254629628</v>
      </c>
      <c r="K3388" s="2">
        <v>43540.630254629628</v>
      </c>
      <c r="L3388" s="2">
        <v>43538.630254629628</v>
      </c>
      <c r="M3388" s="1">
        <f>_xlfn.DAYS(Table1[[#This Row],[actual_delivery_date]],Table1[[#This Row],[dispatch_date]])</f>
        <v>8</v>
      </c>
      <c r="N3388">
        <v>29</v>
      </c>
      <c r="O3388">
        <f>Table1[[#This Row],[transit_storage_cost]] * (1-'What -if Analysis'!$D$26)</f>
        <v>29</v>
      </c>
      <c r="P3388">
        <v>108</v>
      </c>
      <c r="Q3388">
        <v>1292.0424516630933</v>
      </c>
    </row>
    <row r="3389" spans="1:17" x14ac:dyDescent="0.3">
      <c r="A3389">
        <v>172901</v>
      </c>
      <c r="B3389" s="1" t="s">
        <v>38</v>
      </c>
      <c r="C3389" s="1" t="s">
        <v>23</v>
      </c>
      <c r="D3389" s="1" t="s">
        <v>17</v>
      </c>
      <c r="E3389" s="1" t="s">
        <v>18</v>
      </c>
      <c r="F3389" s="1" t="s">
        <v>29</v>
      </c>
      <c r="G3389" s="1" t="s">
        <v>20</v>
      </c>
      <c r="H3389" t="s">
        <v>30</v>
      </c>
      <c r="I3389" s="1" t="s">
        <v>22</v>
      </c>
      <c r="J3389" s="2">
        <v>43537.645312499997</v>
      </c>
      <c r="K3389" s="2">
        <v>43540.645312499997</v>
      </c>
      <c r="L3389" s="2">
        <v>43541.645312499997</v>
      </c>
      <c r="M3389" s="1">
        <f>_xlfn.DAYS(Table1[[#This Row],[actual_delivery_date]],Table1[[#This Row],[dispatch_date]])</f>
        <v>3</v>
      </c>
      <c r="N3389">
        <v>32</v>
      </c>
      <c r="O3389">
        <f>Table1[[#This Row],[transit_storage_cost]] * (1-'What -if Analysis'!$D$26)</f>
        <v>32</v>
      </c>
      <c r="P3389">
        <v>111</v>
      </c>
      <c r="Q3389">
        <v>3425</v>
      </c>
    </row>
    <row r="3390" spans="1:17" x14ac:dyDescent="0.3">
      <c r="A3390">
        <v>451605</v>
      </c>
      <c r="B3390" s="1" t="s">
        <v>37</v>
      </c>
      <c r="C3390" s="1" t="s">
        <v>23</v>
      </c>
      <c r="D3390" s="1" t="s">
        <v>16</v>
      </c>
      <c r="E3390" s="1" t="s">
        <v>27</v>
      </c>
      <c r="F3390" s="1" t="s">
        <v>19</v>
      </c>
      <c r="G3390" s="1" t="s">
        <v>20</v>
      </c>
      <c r="H3390" t="s">
        <v>34</v>
      </c>
      <c r="I3390" s="1" t="s">
        <v>26</v>
      </c>
      <c r="J3390" s="2">
        <v>43538.657650462963</v>
      </c>
      <c r="K3390" s="2">
        <v>43540.657650462963</v>
      </c>
      <c r="L3390" s="2">
        <v>43542.657650462963</v>
      </c>
      <c r="M3390" s="1">
        <f>_xlfn.DAYS(Table1[[#This Row],[actual_delivery_date]],Table1[[#This Row],[dispatch_date]])</f>
        <v>2</v>
      </c>
      <c r="N3390">
        <v>68</v>
      </c>
      <c r="O3390">
        <f>Table1[[#This Row],[transit_storage_cost]] * (1-'What -if Analysis'!$D$26)</f>
        <v>68</v>
      </c>
      <c r="P3390">
        <v>104</v>
      </c>
      <c r="Q3390">
        <v>3017.7284179809276</v>
      </c>
    </row>
    <row r="3391" spans="1:17" x14ac:dyDescent="0.3">
      <c r="A3391">
        <v>191431</v>
      </c>
      <c r="B3391" s="1" t="s">
        <v>38</v>
      </c>
      <c r="C3391" s="1" t="s">
        <v>23</v>
      </c>
      <c r="D3391" s="1" t="s">
        <v>16</v>
      </c>
      <c r="E3391" s="1" t="s">
        <v>27</v>
      </c>
      <c r="F3391" s="1" t="s">
        <v>29</v>
      </c>
      <c r="G3391" s="1" t="s">
        <v>20</v>
      </c>
      <c r="H3391" t="s">
        <v>30</v>
      </c>
      <c r="I3391" s="1" t="s">
        <v>22</v>
      </c>
      <c r="J3391" s="2">
        <v>43532.658125000002</v>
      </c>
      <c r="K3391" s="2">
        <v>43540.658125000002</v>
      </c>
      <c r="L3391" s="2">
        <v>43537.658125000002</v>
      </c>
      <c r="M3391" s="1">
        <f>_xlfn.DAYS(Table1[[#This Row],[actual_delivery_date]],Table1[[#This Row],[dispatch_date]])</f>
        <v>8</v>
      </c>
      <c r="N3391">
        <v>37</v>
      </c>
      <c r="O3391">
        <f>Table1[[#This Row],[transit_storage_cost]] * (1-'What -if Analysis'!$D$26)</f>
        <v>37</v>
      </c>
      <c r="P3391">
        <v>123</v>
      </c>
      <c r="Q3391">
        <v>2788.4969041525069</v>
      </c>
    </row>
    <row r="3392" spans="1:17" x14ac:dyDescent="0.3">
      <c r="A3392">
        <v>812771</v>
      </c>
      <c r="B3392" s="1" t="s">
        <v>41</v>
      </c>
      <c r="C3392" s="1" t="s">
        <v>16</v>
      </c>
      <c r="D3392" s="1" t="s">
        <v>17</v>
      </c>
      <c r="E3392" s="1" t="s">
        <v>18</v>
      </c>
      <c r="F3392" s="1" t="s">
        <v>19</v>
      </c>
      <c r="G3392" s="1" t="s">
        <v>20</v>
      </c>
      <c r="H3392" t="s">
        <v>30</v>
      </c>
      <c r="I3392" s="1" t="s">
        <v>22</v>
      </c>
      <c r="J3392" s="2">
        <v>43537.660243055558</v>
      </c>
      <c r="K3392" s="2">
        <v>43540.660243055558</v>
      </c>
      <c r="L3392" s="2">
        <v>43542.660243055558</v>
      </c>
      <c r="M3392" s="1">
        <f>_xlfn.DAYS(Table1[[#This Row],[actual_delivery_date]],Table1[[#This Row],[dispatch_date]])</f>
        <v>3</v>
      </c>
      <c r="N3392">
        <v>79</v>
      </c>
      <c r="O3392">
        <f>Table1[[#This Row],[transit_storage_cost]] * (1-'What -if Analysis'!$D$26)</f>
        <v>79</v>
      </c>
      <c r="P3392">
        <v>86</v>
      </c>
      <c r="Q3392">
        <v>955</v>
      </c>
    </row>
    <row r="3393" spans="1:17" x14ac:dyDescent="0.3">
      <c r="A3393">
        <v>119342</v>
      </c>
      <c r="B3393" s="1" t="s">
        <v>40</v>
      </c>
      <c r="C3393" s="1" t="s">
        <v>16</v>
      </c>
      <c r="D3393" s="1" t="s">
        <v>23</v>
      </c>
      <c r="E3393" s="1" t="s">
        <v>28</v>
      </c>
      <c r="F3393" s="1" t="s">
        <v>19</v>
      </c>
      <c r="G3393" s="1" t="s">
        <v>20</v>
      </c>
      <c r="H3393" t="s">
        <v>21</v>
      </c>
      <c r="I3393" s="1" t="s">
        <v>22</v>
      </c>
      <c r="J3393" s="2">
        <v>43534.662245370368</v>
      </c>
      <c r="K3393" s="2">
        <v>43540.662245370368</v>
      </c>
      <c r="L3393" s="2">
        <v>43539.662245370368</v>
      </c>
      <c r="M3393" s="1">
        <f>_xlfn.DAYS(Table1[[#This Row],[actual_delivery_date]],Table1[[#This Row],[dispatch_date]])</f>
        <v>6</v>
      </c>
      <c r="N3393">
        <v>85</v>
      </c>
      <c r="O3393">
        <f>Table1[[#This Row],[transit_storage_cost]] * (1-'What -if Analysis'!$D$26)</f>
        <v>85</v>
      </c>
      <c r="P3393">
        <v>107</v>
      </c>
      <c r="Q3393">
        <v>1196</v>
      </c>
    </row>
    <row r="3394" spans="1:17" x14ac:dyDescent="0.3">
      <c r="A3394">
        <v>930600</v>
      </c>
      <c r="B3394" s="1" t="s">
        <v>39</v>
      </c>
      <c r="C3394" s="1" t="s">
        <v>16</v>
      </c>
      <c r="D3394" s="1" t="s">
        <v>17</v>
      </c>
      <c r="E3394" s="1" t="s">
        <v>18</v>
      </c>
      <c r="F3394" s="1" t="s">
        <v>19</v>
      </c>
      <c r="G3394" s="1" t="s">
        <v>20</v>
      </c>
      <c r="H3394" t="s">
        <v>21</v>
      </c>
      <c r="I3394" s="1" t="s">
        <v>26</v>
      </c>
      <c r="J3394" s="2">
        <v>43538.663703703707</v>
      </c>
      <c r="K3394" s="2">
        <v>43540.663703703707</v>
      </c>
      <c r="L3394" s="2">
        <v>43544.663703703707</v>
      </c>
      <c r="M3394" s="1">
        <f>_xlfn.DAYS(Table1[[#This Row],[actual_delivery_date]],Table1[[#This Row],[dispatch_date]])</f>
        <v>2</v>
      </c>
      <c r="N3394">
        <v>80</v>
      </c>
      <c r="O3394">
        <f>Table1[[#This Row],[transit_storage_cost]] * (1-'What -if Analysis'!$D$26)</f>
        <v>80</v>
      </c>
      <c r="P3394">
        <v>86</v>
      </c>
      <c r="Q3394">
        <v>3084.9898268901434</v>
      </c>
    </row>
    <row r="3395" spans="1:17" x14ac:dyDescent="0.3">
      <c r="A3395">
        <v>356664</v>
      </c>
      <c r="B3395" s="1" t="s">
        <v>40</v>
      </c>
      <c r="C3395" s="1" t="s">
        <v>16</v>
      </c>
      <c r="D3395" s="1" t="s">
        <v>17</v>
      </c>
      <c r="E3395" s="1" t="s">
        <v>18</v>
      </c>
      <c r="F3395" s="1" t="s">
        <v>19</v>
      </c>
      <c r="G3395" s="1" t="s">
        <v>20</v>
      </c>
      <c r="H3395" t="s">
        <v>21</v>
      </c>
      <c r="I3395" s="1" t="s">
        <v>26</v>
      </c>
      <c r="J3395" s="2">
        <v>43535.676145833335</v>
      </c>
      <c r="K3395" s="2">
        <v>43540.676145833335</v>
      </c>
      <c r="L3395" s="2">
        <v>43541.676145833335</v>
      </c>
      <c r="M3395" s="1">
        <f>_xlfn.DAYS(Table1[[#This Row],[actual_delivery_date]],Table1[[#This Row],[dispatch_date]])</f>
        <v>5</v>
      </c>
      <c r="N3395">
        <v>26</v>
      </c>
      <c r="O3395">
        <f>Table1[[#This Row],[transit_storage_cost]] * (1-'What -if Analysis'!$D$26)</f>
        <v>26</v>
      </c>
      <c r="P3395">
        <v>105</v>
      </c>
      <c r="Q3395">
        <v>2850.8196764993454</v>
      </c>
    </row>
    <row r="3396" spans="1:17" x14ac:dyDescent="0.3">
      <c r="A3396">
        <v>862415</v>
      </c>
      <c r="B3396" s="1" t="s">
        <v>15</v>
      </c>
      <c r="C3396" s="1" t="s">
        <v>16</v>
      </c>
      <c r="D3396" s="1" t="s">
        <v>32</v>
      </c>
      <c r="E3396" s="1" t="s">
        <v>33</v>
      </c>
      <c r="F3396" s="1" t="s">
        <v>29</v>
      </c>
      <c r="G3396" s="1" t="s">
        <v>20</v>
      </c>
      <c r="H3396" t="s">
        <v>30</v>
      </c>
      <c r="I3396" s="1" t="s">
        <v>22</v>
      </c>
      <c r="J3396" s="2">
        <v>43535.677106481482</v>
      </c>
      <c r="K3396" s="2">
        <v>43540.677106481482</v>
      </c>
      <c r="L3396" s="2">
        <v>43539.677106481482</v>
      </c>
      <c r="M3396" s="1">
        <f>_xlfn.DAYS(Table1[[#This Row],[actual_delivery_date]],Table1[[#This Row],[dispatch_date]])</f>
        <v>5</v>
      </c>
      <c r="N3396">
        <v>28</v>
      </c>
      <c r="O3396">
        <f>Table1[[#This Row],[transit_storage_cost]] * (1-'What -if Analysis'!$D$26)</f>
        <v>28</v>
      </c>
      <c r="P3396">
        <v>106</v>
      </c>
      <c r="Q3396">
        <v>2992.0182263499851</v>
      </c>
    </row>
    <row r="3397" spans="1:17" x14ac:dyDescent="0.3">
      <c r="A3397">
        <v>912261</v>
      </c>
      <c r="B3397" s="1" t="s">
        <v>38</v>
      </c>
      <c r="C3397" s="1" t="s">
        <v>16</v>
      </c>
      <c r="D3397" s="1" t="s">
        <v>16</v>
      </c>
      <c r="E3397" s="1" t="s">
        <v>27</v>
      </c>
      <c r="F3397" s="1" t="s">
        <v>19</v>
      </c>
      <c r="G3397" s="1" t="s">
        <v>20</v>
      </c>
      <c r="H3397" t="s">
        <v>34</v>
      </c>
      <c r="I3397" s="1" t="s">
        <v>26</v>
      </c>
      <c r="J3397" s="2">
        <v>43537.68178240741</v>
      </c>
      <c r="K3397" s="2">
        <v>43540.68178240741</v>
      </c>
      <c r="L3397" s="2">
        <v>43544.68178240741</v>
      </c>
      <c r="M3397" s="1">
        <f>_xlfn.DAYS(Table1[[#This Row],[actual_delivery_date]],Table1[[#This Row],[dispatch_date]])</f>
        <v>3</v>
      </c>
      <c r="N3397">
        <v>0</v>
      </c>
      <c r="O3397">
        <f>Table1[[#This Row],[transit_storage_cost]] * (1-'What -if Analysis'!$D$26)</f>
        <v>0</v>
      </c>
      <c r="P3397">
        <v>103</v>
      </c>
      <c r="Q3397">
        <v>3877.98251985761</v>
      </c>
    </row>
    <row r="3398" spans="1:17" x14ac:dyDescent="0.3">
      <c r="A3398">
        <v>631427</v>
      </c>
      <c r="B3398" s="1" t="s">
        <v>41</v>
      </c>
      <c r="C3398" s="1" t="s">
        <v>23</v>
      </c>
      <c r="D3398" s="1" t="s">
        <v>17</v>
      </c>
      <c r="E3398" s="1" t="s">
        <v>18</v>
      </c>
      <c r="F3398" s="1" t="s">
        <v>19</v>
      </c>
      <c r="G3398" s="1" t="s">
        <v>20</v>
      </c>
      <c r="H3398" t="s">
        <v>30</v>
      </c>
      <c r="I3398" s="1" t="s">
        <v>22</v>
      </c>
      <c r="J3398" s="2">
        <v>43538.682696759257</v>
      </c>
      <c r="K3398" s="2">
        <v>43540.682696759257</v>
      </c>
      <c r="L3398" s="2">
        <v>43544.682696759257</v>
      </c>
      <c r="M3398" s="1">
        <f>_xlfn.DAYS(Table1[[#This Row],[actual_delivery_date]],Table1[[#This Row],[dispatch_date]])</f>
        <v>2</v>
      </c>
      <c r="N3398">
        <v>71</v>
      </c>
      <c r="O3398">
        <f>Table1[[#This Row],[transit_storage_cost]] * (1-'What -if Analysis'!$D$26)</f>
        <v>71</v>
      </c>
      <c r="P3398">
        <v>90</v>
      </c>
      <c r="Q3398">
        <v>3424</v>
      </c>
    </row>
    <row r="3399" spans="1:17" x14ac:dyDescent="0.3">
      <c r="A3399">
        <v>802593</v>
      </c>
      <c r="B3399" s="1" t="s">
        <v>15</v>
      </c>
      <c r="C3399" s="1" t="s">
        <v>16</v>
      </c>
      <c r="D3399" s="1" t="s">
        <v>23</v>
      </c>
      <c r="E3399" s="1" t="s">
        <v>28</v>
      </c>
      <c r="F3399" s="1" t="s">
        <v>19</v>
      </c>
      <c r="G3399" s="1" t="s">
        <v>20</v>
      </c>
      <c r="H3399" t="s">
        <v>30</v>
      </c>
      <c r="I3399" s="1" t="s">
        <v>26</v>
      </c>
      <c r="J3399" s="2">
        <v>43538.68445601852</v>
      </c>
      <c r="K3399" s="2">
        <v>43540.68445601852</v>
      </c>
      <c r="L3399" s="2">
        <v>43542.68445601852</v>
      </c>
      <c r="M3399" s="1">
        <f>_xlfn.DAYS(Table1[[#This Row],[actual_delivery_date]],Table1[[#This Row],[dispatch_date]])</f>
        <v>2</v>
      </c>
      <c r="N3399">
        <v>0</v>
      </c>
      <c r="O3399">
        <f>Table1[[#This Row],[transit_storage_cost]] * (1-'What -if Analysis'!$D$26)</f>
        <v>0</v>
      </c>
      <c r="P3399">
        <v>109</v>
      </c>
      <c r="Q3399">
        <v>2155</v>
      </c>
    </row>
    <row r="3400" spans="1:17" x14ac:dyDescent="0.3">
      <c r="A3400">
        <v>967694</v>
      </c>
      <c r="B3400" s="1" t="s">
        <v>41</v>
      </c>
      <c r="C3400" s="1" t="s">
        <v>23</v>
      </c>
      <c r="D3400" s="1" t="s">
        <v>17</v>
      </c>
      <c r="E3400" s="1" t="s">
        <v>18</v>
      </c>
      <c r="F3400" s="1" t="s">
        <v>31</v>
      </c>
      <c r="G3400" s="1" t="s">
        <v>20</v>
      </c>
      <c r="H3400" t="s">
        <v>21</v>
      </c>
      <c r="I3400" s="1" t="s">
        <v>22</v>
      </c>
      <c r="J3400" s="2">
        <v>43535.685277777775</v>
      </c>
      <c r="K3400" s="2">
        <v>43540.685277777775</v>
      </c>
      <c r="L3400" s="2">
        <v>43540.685277777775</v>
      </c>
      <c r="M3400" s="1">
        <f>_xlfn.DAYS(Table1[[#This Row],[actual_delivery_date]],Table1[[#This Row],[dispatch_date]])</f>
        <v>5</v>
      </c>
      <c r="N3400">
        <v>48</v>
      </c>
      <c r="O3400">
        <f>Table1[[#This Row],[transit_storage_cost]] * (1-'What -if Analysis'!$D$26)</f>
        <v>48</v>
      </c>
      <c r="P3400">
        <v>109</v>
      </c>
      <c r="Q3400">
        <v>3115.8067367775884</v>
      </c>
    </row>
    <row r="3401" spans="1:17" x14ac:dyDescent="0.3">
      <c r="A3401">
        <v>208091</v>
      </c>
      <c r="B3401" s="1" t="s">
        <v>41</v>
      </c>
      <c r="C3401" s="1" t="s">
        <v>23</v>
      </c>
      <c r="D3401" s="1" t="s">
        <v>16</v>
      </c>
      <c r="E3401" s="1" t="s">
        <v>27</v>
      </c>
      <c r="F3401" s="1" t="s">
        <v>19</v>
      </c>
      <c r="G3401" s="1" t="s">
        <v>20</v>
      </c>
      <c r="H3401" t="s">
        <v>30</v>
      </c>
      <c r="I3401" s="1" t="s">
        <v>22</v>
      </c>
      <c r="J3401" s="2">
        <v>43538.693506944444</v>
      </c>
      <c r="K3401" s="2">
        <v>43540.693506944444</v>
      </c>
      <c r="L3401" s="2">
        <v>43543.693506944444</v>
      </c>
      <c r="M3401" s="1">
        <f>_xlfn.DAYS(Table1[[#This Row],[actual_delivery_date]],Table1[[#This Row],[dispatch_date]])</f>
        <v>2</v>
      </c>
      <c r="N3401">
        <v>83</v>
      </c>
      <c r="O3401">
        <f>Table1[[#This Row],[transit_storage_cost]] * (1-'What -if Analysis'!$D$26)</f>
        <v>83</v>
      </c>
      <c r="P3401">
        <v>109</v>
      </c>
      <c r="Q3401">
        <v>1283</v>
      </c>
    </row>
    <row r="3402" spans="1:17" x14ac:dyDescent="0.3">
      <c r="A3402">
        <v>768910</v>
      </c>
      <c r="B3402" s="1" t="s">
        <v>38</v>
      </c>
      <c r="C3402" s="1" t="s">
        <v>23</v>
      </c>
      <c r="D3402" s="1" t="s">
        <v>24</v>
      </c>
      <c r="E3402" s="1" t="s">
        <v>25</v>
      </c>
      <c r="F3402" s="1" t="s">
        <v>19</v>
      </c>
      <c r="G3402" s="1" t="s">
        <v>20</v>
      </c>
      <c r="H3402" t="s">
        <v>21</v>
      </c>
      <c r="I3402" s="1" t="s">
        <v>22</v>
      </c>
      <c r="J3402" s="2">
        <v>43532.694849537038</v>
      </c>
      <c r="K3402" s="2">
        <v>43540.694849537038</v>
      </c>
      <c r="L3402" s="2">
        <v>43537.694849537038</v>
      </c>
      <c r="M3402" s="1">
        <f>_xlfn.DAYS(Table1[[#This Row],[actual_delivery_date]],Table1[[#This Row],[dispatch_date]])</f>
        <v>8</v>
      </c>
      <c r="N3402">
        <v>72</v>
      </c>
      <c r="O3402">
        <f>Table1[[#This Row],[transit_storage_cost]] * (1-'What -if Analysis'!$D$26)</f>
        <v>72</v>
      </c>
      <c r="P3402">
        <v>100</v>
      </c>
      <c r="Q3402">
        <v>2195.6117097699698</v>
      </c>
    </row>
    <row r="3403" spans="1:17" x14ac:dyDescent="0.3">
      <c r="A3403">
        <v>604856</v>
      </c>
      <c r="B3403" s="1" t="s">
        <v>39</v>
      </c>
      <c r="C3403" s="1" t="s">
        <v>16</v>
      </c>
      <c r="D3403" s="1" t="s">
        <v>32</v>
      </c>
      <c r="E3403" s="1" t="s">
        <v>33</v>
      </c>
      <c r="F3403" s="1" t="s">
        <v>19</v>
      </c>
      <c r="G3403" s="1" t="s">
        <v>20</v>
      </c>
      <c r="H3403" t="s">
        <v>21</v>
      </c>
      <c r="I3403" s="1" t="s">
        <v>22</v>
      </c>
      <c r="J3403" s="2">
        <v>43535.69568287037</v>
      </c>
      <c r="K3403" s="2">
        <v>43540.69568287037</v>
      </c>
      <c r="L3403" s="2">
        <v>43538.69568287037</v>
      </c>
      <c r="M3403" s="1">
        <f>_xlfn.DAYS(Table1[[#This Row],[actual_delivery_date]],Table1[[#This Row],[dispatch_date]])</f>
        <v>5</v>
      </c>
      <c r="N3403">
        <v>38</v>
      </c>
      <c r="O3403">
        <f>Table1[[#This Row],[transit_storage_cost]] * (1-'What -if Analysis'!$D$26)</f>
        <v>38</v>
      </c>
      <c r="P3403">
        <v>109</v>
      </c>
      <c r="Q3403">
        <v>2598.3231053092882</v>
      </c>
    </row>
    <row r="3404" spans="1:17" x14ac:dyDescent="0.3">
      <c r="A3404">
        <v>245147</v>
      </c>
      <c r="B3404" s="1" t="s">
        <v>37</v>
      </c>
      <c r="C3404" s="1" t="s">
        <v>16</v>
      </c>
      <c r="D3404" s="1" t="s">
        <v>17</v>
      </c>
      <c r="E3404" s="1" t="s">
        <v>18</v>
      </c>
      <c r="F3404" s="1" t="s">
        <v>29</v>
      </c>
      <c r="G3404" s="1" t="s">
        <v>20</v>
      </c>
      <c r="H3404" t="s">
        <v>34</v>
      </c>
      <c r="I3404" s="1" t="s">
        <v>22</v>
      </c>
      <c r="J3404" s="2">
        <v>43536.703460648147</v>
      </c>
      <c r="K3404" s="2">
        <v>43540.703460648147</v>
      </c>
      <c r="L3404" s="2">
        <v>43543.703460648147</v>
      </c>
      <c r="M3404" s="1">
        <f>_xlfn.DAYS(Table1[[#This Row],[actual_delivery_date]],Table1[[#This Row],[dispatch_date]])</f>
        <v>4</v>
      </c>
      <c r="N3404">
        <v>33</v>
      </c>
      <c r="O3404">
        <f>Table1[[#This Row],[transit_storage_cost]] * (1-'What -if Analysis'!$D$26)</f>
        <v>33</v>
      </c>
      <c r="P3404">
        <v>114</v>
      </c>
      <c r="Q3404">
        <v>279.93769076565309</v>
      </c>
    </row>
    <row r="3405" spans="1:17" x14ac:dyDescent="0.3">
      <c r="A3405">
        <v>259262</v>
      </c>
      <c r="B3405" s="1" t="s">
        <v>39</v>
      </c>
      <c r="C3405" s="1" t="s">
        <v>16</v>
      </c>
      <c r="D3405" s="1" t="s">
        <v>23</v>
      </c>
      <c r="E3405" s="1" t="s">
        <v>28</v>
      </c>
      <c r="F3405" s="1" t="s">
        <v>31</v>
      </c>
      <c r="G3405" s="1" t="s">
        <v>20</v>
      </c>
      <c r="H3405" t="s">
        <v>21</v>
      </c>
      <c r="I3405" s="1" t="s">
        <v>22</v>
      </c>
      <c r="J3405" s="2">
        <v>43531.705879629626</v>
      </c>
      <c r="K3405" s="2">
        <v>43540.705879629626</v>
      </c>
      <c r="L3405" s="2">
        <v>43534.705879629626</v>
      </c>
      <c r="M3405" s="1">
        <f>_xlfn.DAYS(Table1[[#This Row],[actual_delivery_date]],Table1[[#This Row],[dispatch_date]])</f>
        <v>9</v>
      </c>
      <c r="N3405">
        <v>35</v>
      </c>
      <c r="O3405">
        <f>Table1[[#This Row],[transit_storage_cost]] * (1-'What -if Analysis'!$D$26)</f>
        <v>35</v>
      </c>
      <c r="P3405">
        <v>122</v>
      </c>
      <c r="Q3405">
        <v>1604.2223426456162</v>
      </c>
    </row>
    <row r="3406" spans="1:17" x14ac:dyDescent="0.3">
      <c r="A3406">
        <v>465640</v>
      </c>
      <c r="B3406" s="1" t="s">
        <v>37</v>
      </c>
      <c r="C3406" s="1" t="s">
        <v>16</v>
      </c>
      <c r="D3406" s="1" t="s">
        <v>24</v>
      </c>
      <c r="E3406" s="1" t="s">
        <v>25</v>
      </c>
      <c r="F3406" s="1" t="s">
        <v>19</v>
      </c>
      <c r="G3406" s="1" t="s">
        <v>20</v>
      </c>
      <c r="H3406" t="s">
        <v>21</v>
      </c>
      <c r="I3406" s="1" t="s">
        <v>22</v>
      </c>
      <c r="J3406" s="2">
        <v>43535.70857638889</v>
      </c>
      <c r="K3406" s="2">
        <v>43540.70857638889</v>
      </c>
      <c r="L3406" s="2">
        <v>43540.70857638889</v>
      </c>
      <c r="M3406" s="1">
        <f>_xlfn.DAYS(Table1[[#This Row],[actual_delivery_date]],Table1[[#This Row],[dispatch_date]])</f>
        <v>5</v>
      </c>
      <c r="N3406">
        <v>27</v>
      </c>
      <c r="O3406">
        <f>Table1[[#This Row],[transit_storage_cost]] * (1-'What -if Analysis'!$D$26)</f>
        <v>27</v>
      </c>
      <c r="P3406">
        <v>120</v>
      </c>
      <c r="Q3406">
        <v>794.38380104168596</v>
      </c>
    </row>
    <row r="3407" spans="1:17" x14ac:dyDescent="0.3">
      <c r="A3407">
        <v>497312</v>
      </c>
      <c r="B3407" s="1" t="s">
        <v>38</v>
      </c>
      <c r="C3407" s="1" t="s">
        <v>16</v>
      </c>
      <c r="D3407" s="1" t="s">
        <v>23</v>
      </c>
      <c r="E3407" s="1" t="s">
        <v>28</v>
      </c>
      <c r="F3407" s="1" t="s">
        <v>19</v>
      </c>
      <c r="G3407" s="1" t="s">
        <v>20</v>
      </c>
      <c r="H3407" t="s">
        <v>21</v>
      </c>
      <c r="I3407" s="1" t="s">
        <v>22</v>
      </c>
      <c r="J3407" s="2">
        <v>43538.711585648147</v>
      </c>
      <c r="K3407" s="2">
        <v>43540.711585648147</v>
      </c>
      <c r="L3407" s="2">
        <v>43542.711585648147</v>
      </c>
      <c r="M3407" s="1">
        <f>_xlfn.DAYS(Table1[[#This Row],[actual_delivery_date]],Table1[[#This Row],[dispatch_date]])</f>
        <v>2</v>
      </c>
      <c r="N3407">
        <v>25</v>
      </c>
      <c r="O3407">
        <f>Table1[[#This Row],[transit_storage_cost]] * (1-'What -if Analysis'!$D$26)</f>
        <v>25</v>
      </c>
      <c r="P3407">
        <v>130</v>
      </c>
      <c r="Q3407">
        <v>2919</v>
      </c>
    </row>
    <row r="3408" spans="1:17" x14ac:dyDescent="0.3">
      <c r="A3408">
        <v>836177</v>
      </c>
      <c r="B3408" s="1" t="s">
        <v>39</v>
      </c>
      <c r="C3408" s="1" t="s">
        <v>16</v>
      </c>
      <c r="D3408" s="1" t="s">
        <v>16</v>
      </c>
      <c r="E3408" s="1" t="s">
        <v>27</v>
      </c>
      <c r="F3408" s="1" t="s">
        <v>29</v>
      </c>
      <c r="G3408" s="1" t="s">
        <v>20</v>
      </c>
      <c r="H3408" t="s">
        <v>30</v>
      </c>
      <c r="I3408" s="1" t="s">
        <v>22</v>
      </c>
      <c r="J3408" s="2">
        <v>43537.711817129632</v>
      </c>
      <c r="K3408" s="2">
        <v>43540.711817129632</v>
      </c>
      <c r="L3408" s="2">
        <v>43540.711817129632</v>
      </c>
      <c r="M3408" s="1">
        <f>_xlfn.DAYS(Table1[[#This Row],[actual_delivery_date]],Table1[[#This Row],[dispatch_date]])</f>
        <v>3</v>
      </c>
      <c r="N3408">
        <v>0</v>
      </c>
      <c r="O3408">
        <f>Table1[[#This Row],[transit_storage_cost]] * (1-'What -if Analysis'!$D$26)</f>
        <v>0</v>
      </c>
      <c r="P3408">
        <v>129</v>
      </c>
      <c r="Q3408">
        <v>2402.3978391677151</v>
      </c>
    </row>
    <row r="3409" spans="1:17" x14ac:dyDescent="0.3">
      <c r="A3409">
        <v>209966</v>
      </c>
      <c r="B3409" s="1" t="s">
        <v>39</v>
      </c>
      <c r="C3409" s="1" t="s">
        <v>16</v>
      </c>
      <c r="D3409" s="1" t="s">
        <v>17</v>
      </c>
      <c r="E3409" s="1" t="s">
        <v>18</v>
      </c>
      <c r="F3409" s="1" t="s">
        <v>31</v>
      </c>
      <c r="G3409" s="1" t="s">
        <v>20</v>
      </c>
      <c r="H3409" t="s">
        <v>21</v>
      </c>
      <c r="I3409" s="1" t="s">
        <v>22</v>
      </c>
      <c r="J3409" s="2">
        <v>43535.712719907409</v>
      </c>
      <c r="K3409" s="2">
        <v>43540.712719907409</v>
      </c>
      <c r="L3409" s="2">
        <v>43541.712719907409</v>
      </c>
      <c r="M3409" s="1">
        <f>_xlfn.DAYS(Table1[[#This Row],[actual_delivery_date]],Table1[[#This Row],[dispatch_date]])</f>
        <v>5</v>
      </c>
      <c r="N3409">
        <v>29</v>
      </c>
      <c r="O3409">
        <f>Table1[[#This Row],[transit_storage_cost]] * (1-'What -if Analysis'!$D$26)</f>
        <v>29</v>
      </c>
      <c r="P3409">
        <v>108</v>
      </c>
      <c r="Q3409">
        <v>3214.9021475480386</v>
      </c>
    </row>
    <row r="3410" spans="1:17" x14ac:dyDescent="0.3">
      <c r="A3410">
        <v>551444</v>
      </c>
      <c r="B3410" s="1" t="s">
        <v>37</v>
      </c>
      <c r="C3410" s="1" t="s">
        <v>23</v>
      </c>
      <c r="D3410" s="1" t="s">
        <v>16</v>
      </c>
      <c r="E3410" s="1" t="s">
        <v>27</v>
      </c>
      <c r="F3410" s="1" t="s">
        <v>19</v>
      </c>
      <c r="G3410" s="1" t="s">
        <v>20</v>
      </c>
      <c r="H3410" t="s">
        <v>21</v>
      </c>
      <c r="I3410" s="1" t="s">
        <v>22</v>
      </c>
      <c r="J3410" s="2">
        <v>43534.714363425926</v>
      </c>
      <c r="K3410" s="2">
        <v>43540.714363425926</v>
      </c>
      <c r="L3410" s="2">
        <v>43540.714363425926</v>
      </c>
      <c r="M3410" s="1">
        <f>_xlfn.DAYS(Table1[[#This Row],[actual_delivery_date]],Table1[[#This Row],[dispatch_date]])</f>
        <v>6</v>
      </c>
      <c r="N3410">
        <v>31</v>
      </c>
      <c r="O3410">
        <f>Table1[[#This Row],[transit_storage_cost]] * (1-'What -if Analysis'!$D$26)</f>
        <v>31</v>
      </c>
      <c r="P3410">
        <v>125</v>
      </c>
      <c r="Q3410">
        <v>2941.2791830395845</v>
      </c>
    </row>
    <row r="3411" spans="1:17" x14ac:dyDescent="0.3">
      <c r="A3411">
        <v>866153</v>
      </c>
      <c r="B3411" s="1" t="s">
        <v>37</v>
      </c>
      <c r="C3411" s="1" t="s">
        <v>16</v>
      </c>
      <c r="D3411" s="1" t="s">
        <v>32</v>
      </c>
      <c r="E3411" s="1" t="s">
        <v>33</v>
      </c>
      <c r="F3411" s="1" t="s">
        <v>29</v>
      </c>
      <c r="G3411" s="1" t="s">
        <v>20</v>
      </c>
      <c r="H3411" t="s">
        <v>30</v>
      </c>
      <c r="I3411" s="1" t="s">
        <v>22</v>
      </c>
      <c r="J3411" s="2">
        <v>43538.721087962964</v>
      </c>
      <c r="K3411" s="2">
        <v>43540.721087962964</v>
      </c>
      <c r="L3411" s="2">
        <v>43545.721087962964</v>
      </c>
      <c r="M3411" s="1">
        <f>_xlfn.DAYS(Table1[[#This Row],[actual_delivery_date]],Table1[[#This Row],[dispatch_date]])</f>
        <v>2</v>
      </c>
      <c r="N3411">
        <v>37</v>
      </c>
      <c r="O3411">
        <f>Table1[[#This Row],[transit_storage_cost]] * (1-'What -if Analysis'!$D$26)</f>
        <v>37</v>
      </c>
      <c r="P3411">
        <v>114</v>
      </c>
      <c r="Q3411">
        <v>1141</v>
      </c>
    </row>
    <row r="3412" spans="1:17" x14ac:dyDescent="0.3">
      <c r="A3412">
        <v>331435</v>
      </c>
      <c r="B3412" s="1" t="s">
        <v>41</v>
      </c>
      <c r="C3412" s="1" t="s">
        <v>23</v>
      </c>
      <c r="D3412" s="1" t="s">
        <v>24</v>
      </c>
      <c r="E3412" s="1" t="s">
        <v>25</v>
      </c>
      <c r="F3412" s="1" t="s">
        <v>29</v>
      </c>
      <c r="G3412" s="1" t="s">
        <v>20</v>
      </c>
      <c r="H3412" t="s">
        <v>30</v>
      </c>
      <c r="I3412" s="1" t="s">
        <v>22</v>
      </c>
      <c r="J3412" s="2">
        <v>43534.723715277774</v>
      </c>
      <c r="K3412" s="2">
        <v>43540.723715277774</v>
      </c>
      <c r="L3412" s="2">
        <v>43538.723715277774</v>
      </c>
      <c r="M3412" s="1">
        <f>_xlfn.DAYS(Table1[[#This Row],[actual_delivery_date]],Table1[[#This Row],[dispatch_date]])</f>
        <v>6</v>
      </c>
      <c r="N3412">
        <v>46</v>
      </c>
      <c r="O3412">
        <f>Table1[[#This Row],[transit_storage_cost]] * (1-'What -if Analysis'!$D$26)</f>
        <v>46</v>
      </c>
      <c r="P3412">
        <v>125</v>
      </c>
      <c r="Q3412">
        <v>2404.525580519155</v>
      </c>
    </row>
    <row r="3413" spans="1:17" x14ac:dyDescent="0.3">
      <c r="A3413">
        <v>309739</v>
      </c>
      <c r="B3413" s="1" t="s">
        <v>41</v>
      </c>
      <c r="C3413" s="1" t="s">
        <v>16</v>
      </c>
      <c r="D3413" s="1" t="s">
        <v>32</v>
      </c>
      <c r="E3413" s="1" t="s">
        <v>33</v>
      </c>
      <c r="F3413" s="1" t="s">
        <v>29</v>
      </c>
      <c r="G3413" s="1" t="s">
        <v>20</v>
      </c>
      <c r="H3413" t="s">
        <v>30</v>
      </c>
      <c r="I3413" s="1" t="s">
        <v>22</v>
      </c>
      <c r="J3413" s="2">
        <v>43537.723900462966</v>
      </c>
      <c r="K3413" s="2">
        <v>43540.723900462966</v>
      </c>
      <c r="L3413" s="2">
        <v>43542.723900462966</v>
      </c>
      <c r="M3413" s="1">
        <f>_xlfn.DAYS(Table1[[#This Row],[actual_delivery_date]],Table1[[#This Row],[dispatch_date]])</f>
        <v>3</v>
      </c>
      <c r="N3413">
        <v>49</v>
      </c>
      <c r="O3413">
        <f>Table1[[#This Row],[transit_storage_cost]] * (1-'What -if Analysis'!$D$26)</f>
        <v>49</v>
      </c>
      <c r="P3413">
        <v>113</v>
      </c>
      <c r="Q3413">
        <v>1606.0822787163086</v>
      </c>
    </row>
    <row r="3414" spans="1:17" x14ac:dyDescent="0.3">
      <c r="A3414">
        <v>26000</v>
      </c>
      <c r="B3414" s="1" t="s">
        <v>41</v>
      </c>
      <c r="C3414" s="1" t="s">
        <v>23</v>
      </c>
      <c r="D3414" s="1" t="s">
        <v>17</v>
      </c>
      <c r="E3414" s="1" t="s">
        <v>18</v>
      </c>
      <c r="F3414" s="1" t="s">
        <v>19</v>
      </c>
      <c r="G3414" s="1" t="s">
        <v>20</v>
      </c>
      <c r="H3414" t="s">
        <v>21</v>
      </c>
      <c r="I3414" s="1" t="s">
        <v>22</v>
      </c>
      <c r="J3414" s="2">
        <v>43537.724317129629</v>
      </c>
      <c r="K3414" s="2">
        <v>43540.724317129629</v>
      </c>
      <c r="L3414" s="2">
        <v>43540.724317129629</v>
      </c>
      <c r="M3414" s="1">
        <f>_xlfn.DAYS(Table1[[#This Row],[actual_delivery_date]],Table1[[#This Row],[dispatch_date]])</f>
        <v>3</v>
      </c>
      <c r="N3414">
        <v>84</v>
      </c>
      <c r="O3414">
        <f>Table1[[#This Row],[transit_storage_cost]] * (1-'What -if Analysis'!$D$26)</f>
        <v>84</v>
      </c>
      <c r="P3414">
        <v>88</v>
      </c>
      <c r="Q3414">
        <v>2494</v>
      </c>
    </row>
    <row r="3415" spans="1:17" x14ac:dyDescent="0.3">
      <c r="A3415">
        <v>69811</v>
      </c>
      <c r="B3415" s="1" t="s">
        <v>38</v>
      </c>
      <c r="C3415" s="1" t="s">
        <v>23</v>
      </c>
      <c r="D3415" s="1" t="s">
        <v>17</v>
      </c>
      <c r="E3415" s="1" t="s">
        <v>18</v>
      </c>
      <c r="F3415" s="1" t="s">
        <v>29</v>
      </c>
      <c r="G3415" s="1" t="s">
        <v>20</v>
      </c>
      <c r="H3415" t="s">
        <v>34</v>
      </c>
      <c r="I3415" s="1" t="s">
        <v>22</v>
      </c>
      <c r="J3415" s="2">
        <v>43532.727430555555</v>
      </c>
      <c r="K3415" s="2">
        <v>43540.727430555555</v>
      </c>
      <c r="L3415" s="2">
        <v>43535.727430555555</v>
      </c>
      <c r="M3415" s="1">
        <f>_xlfn.DAYS(Table1[[#This Row],[actual_delivery_date]],Table1[[#This Row],[dispatch_date]])</f>
        <v>8</v>
      </c>
      <c r="N3415">
        <v>43</v>
      </c>
      <c r="O3415">
        <f>Table1[[#This Row],[transit_storage_cost]] * (1-'What -if Analysis'!$D$26)</f>
        <v>43</v>
      </c>
      <c r="P3415">
        <v>109</v>
      </c>
      <c r="Q3415">
        <v>439.6467495337821</v>
      </c>
    </row>
    <row r="3416" spans="1:17" x14ac:dyDescent="0.3">
      <c r="A3416">
        <v>265301</v>
      </c>
      <c r="B3416" s="1" t="s">
        <v>37</v>
      </c>
      <c r="C3416" s="1" t="s">
        <v>23</v>
      </c>
      <c r="D3416" s="1" t="s">
        <v>16</v>
      </c>
      <c r="E3416" s="1" t="s">
        <v>27</v>
      </c>
      <c r="F3416" s="1" t="s">
        <v>19</v>
      </c>
      <c r="G3416" s="1" t="s">
        <v>20</v>
      </c>
      <c r="H3416" t="s">
        <v>30</v>
      </c>
      <c r="I3416" s="1" t="s">
        <v>22</v>
      </c>
      <c r="J3416" s="2">
        <v>43535.728854166664</v>
      </c>
      <c r="K3416" s="2">
        <v>43540.728854166664</v>
      </c>
      <c r="L3416" s="2">
        <v>43539.728854166664</v>
      </c>
      <c r="M3416" s="1">
        <f>_xlfn.DAYS(Table1[[#This Row],[actual_delivery_date]],Table1[[#This Row],[dispatch_date]])</f>
        <v>5</v>
      </c>
      <c r="N3416">
        <v>59</v>
      </c>
      <c r="O3416">
        <f>Table1[[#This Row],[transit_storage_cost]] * (1-'What -if Analysis'!$D$26)</f>
        <v>59</v>
      </c>
      <c r="P3416">
        <v>104</v>
      </c>
      <c r="Q3416">
        <v>2213</v>
      </c>
    </row>
    <row r="3417" spans="1:17" x14ac:dyDescent="0.3">
      <c r="A3417">
        <v>279160</v>
      </c>
      <c r="B3417" s="1" t="s">
        <v>41</v>
      </c>
      <c r="C3417" s="1" t="s">
        <v>23</v>
      </c>
      <c r="D3417" s="1" t="s">
        <v>17</v>
      </c>
      <c r="E3417" s="1" t="s">
        <v>18</v>
      </c>
      <c r="F3417" s="1" t="s">
        <v>19</v>
      </c>
      <c r="G3417" s="1" t="s">
        <v>20</v>
      </c>
      <c r="H3417" t="s">
        <v>21</v>
      </c>
      <c r="I3417" s="1" t="s">
        <v>22</v>
      </c>
      <c r="J3417" s="2">
        <v>43538.731562499997</v>
      </c>
      <c r="K3417" s="2">
        <v>43540.731562499997</v>
      </c>
      <c r="L3417" s="2">
        <v>43544.731562499997</v>
      </c>
      <c r="M3417" s="1">
        <f>_xlfn.DAYS(Table1[[#This Row],[actual_delivery_date]],Table1[[#This Row],[dispatch_date]])</f>
        <v>2</v>
      </c>
      <c r="N3417">
        <v>30</v>
      </c>
      <c r="O3417">
        <f>Table1[[#This Row],[transit_storage_cost]] * (1-'What -if Analysis'!$D$26)</f>
        <v>30</v>
      </c>
      <c r="P3417">
        <v>111</v>
      </c>
      <c r="Q3417">
        <v>654</v>
      </c>
    </row>
    <row r="3418" spans="1:17" x14ac:dyDescent="0.3">
      <c r="A3418">
        <v>4769</v>
      </c>
      <c r="B3418" s="1" t="s">
        <v>39</v>
      </c>
      <c r="C3418" s="1" t="s">
        <v>16</v>
      </c>
      <c r="D3418" s="1" t="s">
        <v>23</v>
      </c>
      <c r="E3418" s="1" t="s">
        <v>28</v>
      </c>
      <c r="F3418" s="1" t="s">
        <v>29</v>
      </c>
      <c r="G3418" s="1" t="s">
        <v>20</v>
      </c>
      <c r="H3418" t="s">
        <v>30</v>
      </c>
      <c r="I3418" s="1" t="s">
        <v>22</v>
      </c>
      <c r="J3418" s="2">
        <v>43536.731898148151</v>
      </c>
      <c r="K3418" s="2">
        <v>43540.731898148151</v>
      </c>
      <c r="L3418" s="2">
        <v>43540.731898148151</v>
      </c>
      <c r="M3418" s="1">
        <f>_xlfn.DAYS(Table1[[#This Row],[actual_delivery_date]],Table1[[#This Row],[dispatch_date]])</f>
        <v>4</v>
      </c>
      <c r="N3418">
        <v>50</v>
      </c>
      <c r="O3418">
        <f>Table1[[#This Row],[transit_storage_cost]] * (1-'What -if Analysis'!$D$26)</f>
        <v>50</v>
      </c>
      <c r="P3418">
        <v>128</v>
      </c>
      <c r="Q3418">
        <v>1656</v>
      </c>
    </row>
    <row r="3419" spans="1:17" x14ac:dyDescent="0.3">
      <c r="A3419">
        <v>183511</v>
      </c>
      <c r="B3419" s="1" t="s">
        <v>40</v>
      </c>
      <c r="C3419" s="1" t="s">
        <v>16</v>
      </c>
      <c r="D3419" s="1" t="s">
        <v>16</v>
      </c>
      <c r="E3419" s="1" t="s">
        <v>27</v>
      </c>
      <c r="F3419" s="1" t="s">
        <v>29</v>
      </c>
      <c r="G3419" s="1" t="s">
        <v>20</v>
      </c>
      <c r="H3419" t="s">
        <v>30</v>
      </c>
      <c r="I3419" s="1" t="s">
        <v>22</v>
      </c>
      <c r="J3419" s="2">
        <v>43534.733831018515</v>
      </c>
      <c r="K3419" s="2">
        <v>43540.733831018515</v>
      </c>
      <c r="L3419" s="2">
        <v>43537.733831018515</v>
      </c>
      <c r="M3419" s="1">
        <f>_xlfn.DAYS(Table1[[#This Row],[actual_delivery_date]],Table1[[#This Row],[dispatch_date]])</f>
        <v>6</v>
      </c>
      <c r="N3419">
        <v>0</v>
      </c>
      <c r="O3419">
        <f>Table1[[#This Row],[transit_storage_cost]] * (1-'What -if Analysis'!$D$26)</f>
        <v>0</v>
      </c>
      <c r="P3419">
        <v>128</v>
      </c>
      <c r="Q3419">
        <v>2110.5801964159914</v>
      </c>
    </row>
    <row r="3420" spans="1:17" x14ac:dyDescent="0.3">
      <c r="A3420">
        <v>764213</v>
      </c>
      <c r="B3420" s="1" t="s">
        <v>37</v>
      </c>
      <c r="C3420" s="1" t="s">
        <v>16</v>
      </c>
      <c r="D3420" s="1" t="s">
        <v>17</v>
      </c>
      <c r="E3420" s="1" t="s">
        <v>18</v>
      </c>
      <c r="F3420" s="1" t="s">
        <v>29</v>
      </c>
      <c r="G3420" s="1" t="s">
        <v>20</v>
      </c>
      <c r="H3420" t="s">
        <v>30</v>
      </c>
      <c r="I3420" s="1" t="s">
        <v>22</v>
      </c>
      <c r="J3420" s="2">
        <v>43531.734675925924</v>
      </c>
      <c r="K3420" s="2">
        <v>43540.734675925924</v>
      </c>
      <c r="L3420" s="2">
        <v>43534.734675925924</v>
      </c>
      <c r="M3420" s="1">
        <f>_xlfn.DAYS(Table1[[#This Row],[actual_delivery_date]],Table1[[#This Row],[dispatch_date]])</f>
        <v>9</v>
      </c>
      <c r="N3420">
        <v>31</v>
      </c>
      <c r="O3420">
        <f>Table1[[#This Row],[transit_storage_cost]] * (1-'What -if Analysis'!$D$26)</f>
        <v>31</v>
      </c>
      <c r="P3420">
        <v>113</v>
      </c>
      <c r="Q3420">
        <v>3421</v>
      </c>
    </row>
    <row r="3421" spans="1:17" x14ac:dyDescent="0.3">
      <c r="A3421">
        <v>726982</v>
      </c>
      <c r="B3421" s="1" t="s">
        <v>40</v>
      </c>
      <c r="C3421" s="1" t="s">
        <v>23</v>
      </c>
      <c r="D3421" s="1" t="s">
        <v>16</v>
      </c>
      <c r="E3421" s="1" t="s">
        <v>27</v>
      </c>
      <c r="F3421" s="1" t="s">
        <v>31</v>
      </c>
      <c r="G3421" s="1" t="s">
        <v>20</v>
      </c>
      <c r="H3421" t="s">
        <v>21</v>
      </c>
      <c r="I3421" s="1" t="s">
        <v>22</v>
      </c>
      <c r="J3421" s="2">
        <v>43533.735914351855</v>
      </c>
      <c r="K3421" s="2">
        <v>43540.735914351855</v>
      </c>
      <c r="L3421" s="2">
        <v>43537.735914351855</v>
      </c>
      <c r="M3421" s="1">
        <f>_xlfn.DAYS(Table1[[#This Row],[actual_delivery_date]],Table1[[#This Row],[dispatch_date]])</f>
        <v>7</v>
      </c>
      <c r="N3421">
        <v>27</v>
      </c>
      <c r="O3421">
        <f>Table1[[#This Row],[transit_storage_cost]] * (1-'What -if Analysis'!$D$26)</f>
        <v>27</v>
      </c>
      <c r="P3421">
        <v>123</v>
      </c>
      <c r="Q3421">
        <v>1847</v>
      </c>
    </row>
    <row r="3422" spans="1:17" x14ac:dyDescent="0.3">
      <c r="A3422">
        <v>812696</v>
      </c>
      <c r="B3422" s="1" t="s">
        <v>37</v>
      </c>
      <c r="C3422" s="1" t="s">
        <v>16</v>
      </c>
      <c r="D3422" s="1" t="s">
        <v>16</v>
      </c>
      <c r="E3422" s="1" t="s">
        <v>27</v>
      </c>
      <c r="F3422" s="1" t="s">
        <v>19</v>
      </c>
      <c r="G3422" s="1" t="s">
        <v>20</v>
      </c>
      <c r="H3422" t="s">
        <v>21</v>
      </c>
      <c r="I3422" s="1" t="s">
        <v>22</v>
      </c>
      <c r="J3422" s="2">
        <v>43536.73609953704</v>
      </c>
      <c r="K3422" s="2">
        <v>43540.73609953704</v>
      </c>
      <c r="L3422" s="2">
        <v>43540.73609953704</v>
      </c>
      <c r="M3422" s="1">
        <f>_xlfn.DAYS(Table1[[#This Row],[actual_delivery_date]],Table1[[#This Row],[dispatch_date]])</f>
        <v>4</v>
      </c>
      <c r="N3422">
        <v>0</v>
      </c>
      <c r="O3422">
        <f>Table1[[#This Row],[transit_storage_cost]] * (1-'What -if Analysis'!$D$26)</f>
        <v>0</v>
      </c>
      <c r="P3422">
        <v>122</v>
      </c>
      <c r="Q3422">
        <v>3197.9213572176081</v>
      </c>
    </row>
    <row r="3423" spans="1:17" x14ac:dyDescent="0.3">
      <c r="A3423">
        <v>96300</v>
      </c>
      <c r="B3423" s="1" t="s">
        <v>37</v>
      </c>
      <c r="C3423" s="1" t="s">
        <v>16</v>
      </c>
      <c r="D3423" s="1" t="s">
        <v>17</v>
      </c>
      <c r="E3423" s="1" t="s">
        <v>18</v>
      </c>
      <c r="F3423" s="1" t="s">
        <v>19</v>
      </c>
      <c r="G3423" s="1" t="s">
        <v>20</v>
      </c>
      <c r="H3423" t="s">
        <v>21</v>
      </c>
      <c r="I3423" s="1" t="s">
        <v>26</v>
      </c>
      <c r="J3423" s="2">
        <v>43535.750914351855</v>
      </c>
      <c r="K3423" s="2">
        <v>43540.750914351855</v>
      </c>
      <c r="L3423" s="2">
        <v>43542.750914351855</v>
      </c>
      <c r="M3423" s="1">
        <f>_xlfn.DAYS(Table1[[#This Row],[actual_delivery_date]],Table1[[#This Row],[dispatch_date]])</f>
        <v>5</v>
      </c>
      <c r="N3423">
        <v>36</v>
      </c>
      <c r="O3423">
        <f>Table1[[#This Row],[transit_storage_cost]] * (1-'What -if Analysis'!$D$26)</f>
        <v>36</v>
      </c>
      <c r="P3423">
        <v>114</v>
      </c>
      <c r="Q3423">
        <v>2704</v>
      </c>
    </row>
    <row r="3424" spans="1:17" x14ac:dyDescent="0.3">
      <c r="A3424">
        <v>26635</v>
      </c>
      <c r="B3424" s="1" t="s">
        <v>41</v>
      </c>
      <c r="C3424" s="1" t="s">
        <v>16</v>
      </c>
      <c r="D3424" s="1" t="s">
        <v>17</v>
      </c>
      <c r="E3424" s="1" t="s">
        <v>18</v>
      </c>
      <c r="F3424" s="1" t="s">
        <v>29</v>
      </c>
      <c r="G3424" s="1" t="s">
        <v>20</v>
      </c>
      <c r="H3424" t="s">
        <v>34</v>
      </c>
      <c r="I3424" s="1" t="s">
        <v>22</v>
      </c>
      <c r="J3424" s="2">
        <v>43533.752523148149</v>
      </c>
      <c r="K3424" s="2">
        <v>43540.752523148149</v>
      </c>
      <c r="L3424" s="2">
        <v>43536.752523148149</v>
      </c>
      <c r="M3424" s="1">
        <f>_xlfn.DAYS(Table1[[#This Row],[actual_delivery_date]],Table1[[#This Row],[dispatch_date]])</f>
        <v>7</v>
      </c>
      <c r="N3424">
        <v>47</v>
      </c>
      <c r="O3424">
        <f>Table1[[#This Row],[transit_storage_cost]] * (1-'What -if Analysis'!$D$26)</f>
        <v>47</v>
      </c>
      <c r="P3424">
        <v>109</v>
      </c>
      <c r="Q3424">
        <v>1164</v>
      </c>
    </row>
    <row r="3425" spans="1:17" x14ac:dyDescent="0.3">
      <c r="A3425">
        <v>871095</v>
      </c>
      <c r="B3425" s="1" t="s">
        <v>37</v>
      </c>
      <c r="C3425" s="1" t="s">
        <v>16</v>
      </c>
      <c r="D3425" s="1" t="s">
        <v>17</v>
      </c>
      <c r="E3425" s="1" t="s">
        <v>18</v>
      </c>
      <c r="F3425" s="1" t="s">
        <v>29</v>
      </c>
      <c r="G3425" s="1" t="s">
        <v>20</v>
      </c>
      <c r="H3425" t="s">
        <v>30</v>
      </c>
      <c r="I3425" s="1" t="s">
        <v>26</v>
      </c>
      <c r="J3425" s="2">
        <v>43534.752685185187</v>
      </c>
      <c r="K3425" s="2">
        <v>43540.752685185187</v>
      </c>
      <c r="L3425" s="2">
        <v>43541.752685185187</v>
      </c>
      <c r="M3425" s="1">
        <f>_xlfn.DAYS(Table1[[#This Row],[actual_delivery_date]],Table1[[#This Row],[dispatch_date]])</f>
        <v>6</v>
      </c>
      <c r="N3425">
        <v>30</v>
      </c>
      <c r="O3425">
        <f>Table1[[#This Row],[transit_storage_cost]] * (1-'What -if Analysis'!$D$26)</f>
        <v>30</v>
      </c>
      <c r="P3425">
        <v>112</v>
      </c>
      <c r="Q3425">
        <v>872</v>
      </c>
    </row>
    <row r="3426" spans="1:17" x14ac:dyDescent="0.3">
      <c r="A3426">
        <v>143779</v>
      </c>
      <c r="B3426" s="1" t="s">
        <v>38</v>
      </c>
      <c r="C3426" s="1" t="s">
        <v>23</v>
      </c>
      <c r="D3426" s="1" t="s">
        <v>16</v>
      </c>
      <c r="E3426" s="1" t="s">
        <v>27</v>
      </c>
      <c r="F3426" s="1" t="s">
        <v>29</v>
      </c>
      <c r="G3426" s="1" t="s">
        <v>36</v>
      </c>
      <c r="H3426" t="s">
        <v>30</v>
      </c>
      <c r="I3426" s="1" t="s">
        <v>22</v>
      </c>
      <c r="J3426" s="2">
        <v>43537.753611111111</v>
      </c>
      <c r="K3426" s="2">
        <v>43540.753611111111</v>
      </c>
      <c r="L3426" s="2">
        <v>43543.753611111111</v>
      </c>
      <c r="M3426" s="1">
        <f>_xlfn.DAYS(Table1[[#This Row],[actual_delivery_date]],Table1[[#This Row],[dispatch_date]])</f>
        <v>3</v>
      </c>
      <c r="N3426">
        <v>35</v>
      </c>
      <c r="O3426">
        <f>Table1[[#This Row],[transit_storage_cost]] * (1-'What -if Analysis'!$D$26)</f>
        <v>35</v>
      </c>
      <c r="P3426">
        <v>124</v>
      </c>
      <c r="Q3426">
        <v>1228.233719000915</v>
      </c>
    </row>
    <row r="3427" spans="1:17" x14ac:dyDescent="0.3">
      <c r="A3427">
        <v>529489</v>
      </c>
      <c r="B3427" s="1" t="s">
        <v>41</v>
      </c>
      <c r="C3427" s="1" t="s">
        <v>23</v>
      </c>
      <c r="D3427" s="1" t="s">
        <v>23</v>
      </c>
      <c r="E3427" s="1" t="s">
        <v>28</v>
      </c>
      <c r="F3427" s="1" t="s">
        <v>29</v>
      </c>
      <c r="G3427" s="1" t="s">
        <v>20</v>
      </c>
      <c r="H3427" t="s">
        <v>30</v>
      </c>
      <c r="I3427" s="1" t="s">
        <v>22</v>
      </c>
      <c r="J3427" s="2">
        <v>43534.755023148151</v>
      </c>
      <c r="K3427" s="2">
        <v>43540.755023148151</v>
      </c>
      <c r="L3427" s="2">
        <v>43538.755023148151</v>
      </c>
      <c r="M3427" s="1">
        <f>_xlfn.DAYS(Table1[[#This Row],[actual_delivery_date]],Table1[[#This Row],[dispatch_date]])</f>
        <v>6</v>
      </c>
      <c r="N3427">
        <v>0</v>
      </c>
      <c r="O3427">
        <f>Table1[[#This Row],[transit_storage_cost]] * (1-'What -if Analysis'!$D$26)</f>
        <v>0</v>
      </c>
      <c r="P3427">
        <v>128</v>
      </c>
      <c r="Q3427">
        <v>2192.0190062739011</v>
      </c>
    </row>
    <row r="3428" spans="1:17" x14ac:dyDescent="0.3">
      <c r="A3428">
        <v>821186</v>
      </c>
      <c r="B3428" s="1" t="s">
        <v>40</v>
      </c>
      <c r="C3428" s="1" t="s">
        <v>16</v>
      </c>
      <c r="D3428" s="1" t="s">
        <v>23</v>
      </c>
      <c r="E3428" s="1" t="s">
        <v>28</v>
      </c>
      <c r="F3428" s="1" t="s">
        <v>19</v>
      </c>
      <c r="G3428" s="1" t="s">
        <v>20</v>
      </c>
      <c r="H3428" t="s">
        <v>21</v>
      </c>
      <c r="I3428" s="1" t="s">
        <v>22</v>
      </c>
      <c r="J3428" s="2">
        <v>43534.760717592595</v>
      </c>
      <c r="K3428" s="2">
        <v>43540.760717592595</v>
      </c>
      <c r="L3428" s="2">
        <v>43541.760717592595</v>
      </c>
      <c r="M3428" s="1">
        <f>_xlfn.DAYS(Table1[[#This Row],[actual_delivery_date]],Table1[[#This Row],[dispatch_date]])</f>
        <v>6</v>
      </c>
      <c r="N3428">
        <v>59</v>
      </c>
      <c r="O3428">
        <f>Table1[[#This Row],[transit_storage_cost]] * (1-'What -if Analysis'!$D$26)</f>
        <v>59</v>
      </c>
      <c r="P3428">
        <v>106</v>
      </c>
      <c r="Q3428">
        <v>1061</v>
      </c>
    </row>
    <row r="3429" spans="1:17" x14ac:dyDescent="0.3">
      <c r="A3429">
        <v>111770</v>
      </c>
      <c r="B3429" s="1" t="s">
        <v>37</v>
      </c>
      <c r="C3429" s="1" t="s">
        <v>16</v>
      </c>
      <c r="D3429" s="1" t="s">
        <v>24</v>
      </c>
      <c r="E3429" s="1" t="s">
        <v>25</v>
      </c>
      <c r="F3429" s="1" t="s">
        <v>31</v>
      </c>
      <c r="G3429" s="1" t="s">
        <v>20</v>
      </c>
      <c r="H3429" t="s">
        <v>21</v>
      </c>
      <c r="I3429" s="1" t="s">
        <v>22</v>
      </c>
      <c r="J3429" s="2">
        <v>43536.761793981481</v>
      </c>
      <c r="K3429" s="2">
        <v>43540.761793981481</v>
      </c>
      <c r="L3429" s="2">
        <v>43543.761793981481</v>
      </c>
      <c r="M3429" s="1">
        <f>_xlfn.DAYS(Table1[[#This Row],[actual_delivery_date]],Table1[[#This Row],[dispatch_date]])</f>
        <v>4</v>
      </c>
      <c r="N3429">
        <v>35</v>
      </c>
      <c r="O3429">
        <f>Table1[[#This Row],[transit_storage_cost]] * (1-'What -if Analysis'!$D$26)</f>
        <v>35</v>
      </c>
      <c r="P3429">
        <v>129</v>
      </c>
      <c r="Q3429">
        <v>2681.0938280661517</v>
      </c>
    </row>
    <row r="3430" spans="1:17" x14ac:dyDescent="0.3">
      <c r="A3430">
        <v>109542</v>
      </c>
      <c r="B3430" s="1" t="s">
        <v>37</v>
      </c>
      <c r="C3430" s="1" t="s">
        <v>16</v>
      </c>
      <c r="D3430" s="1" t="s">
        <v>16</v>
      </c>
      <c r="E3430" s="1" t="s">
        <v>27</v>
      </c>
      <c r="F3430" s="1" t="s">
        <v>31</v>
      </c>
      <c r="G3430" s="1" t="s">
        <v>36</v>
      </c>
      <c r="H3430" t="s">
        <v>21</v>
      </c>
      <c r="I3430" s="1" t="s">
        <v>26</v>
      </c>
      <c r="J3430" s="2">
        <v>43535.766747685186</v>
      </c>
      <c r="K3430" s="2">
        <v>43540.766747685186</v>
      </c>
      <c r="L3430" s="2">
        <v>43539.766747685186</v>
      </c>
      <c r="M3430" s="1">
        <f>_xlfn.DAYS(Table1[[#This Row],[actual_delivery_date]],Table1[[#This Row],[dispatch_date]])</f>
        <v>5</v>
      </c>
      <c r="N3430">
        <v>0</v>
      </c>
      <c r="O3430">
        <f>Table1[[#This Row],[transit_storage_cost]] * (1-'What -if Analysis'!$D$26)</f>
        <v>0</v>
      </c>
      <c r="P3430">
        <v>129</v>
      </c>
      <c r="Q3430">
        <v>1184.5029727366782</v>
      </c>
    </row>
    <row r="3431" spans="1:17" x14ac:dyDescent="0.3">
      <c r="A3431">
        <v>725928</v>
      </c>
      <c r="B3431" s="1" t="s">
        <v>38</v>
      </c>
      <c r="C3431" s="1" t="s">
        <v>16</v>
      </c>
      <c r="D3431" s="1" t="s">
        <v>23</v>
      </c>
      <c r="E3431" s="1" t="s">
        <v>28</v>
      </c>
      <c r="F3431" s="1" t="s">
        <v>19</v>
      </c>
      <c r="G3431" s="1" t="s">
        <v>20</v>
      </c>
      <c r="H3431" t="s">
        <v>21</v>
      </c>
      <c r="I3431" s="1" t="s">
        <v>26</v>
      </c>
      <c r="J3431" s="2">
        <v>43535.77847222222</v>
      </c>
      <c r="K3431" s="2">
        <v>43540.77847222222</v>
      </c>
      <c r="L3431" s="2">
        <v>43541.77847222222</v>
      </c>
      <c r="M3431" s="1">
        <f>_xlfn.DAYS(Table1[[#This Row],[actual_delivery_date]],Table1[[#This Row],[dispatch_date]])</f>
        <v>5</v>
      </c>
      <c r="N3431">
        <v>46</v>
      </c>
      <c r="O3431">
        <f>Table1[[#This Row],[transit_storage_cost]] * (1-'What -if Analysis'!$D$26)</f>
        <v>46</v>
      </c>
      <c r="P3431">
        <v>123</v>
      </c>
      <c r="Q3431">
        <v>876.28407636226916</v>
      </c>
    </row>
    <row r="3432" spans="1:17" x14ac:dyDescent="0.3">
      <c r="A3432">
        <v>451145</v>
      </c>
      <c r="B3432" s="1" t="s">
        <v>37</v>
      </c>
      <c r="C3432" s="1" t="s">
        <v>16</v>
      </c>
      <c r="D3432" s="1" t="s">
        <v>16</v>
      </c>
      <c r="E3432" s="1" t="s">
        <v>27</v>
      </c>
      <c r="F3432" s="1" t="s">
        <v>29</v>
      </c>
      <c r="G3432" s="1" t="s">
        <v>20</v>
      </c>
      <c r="H3432" t="s">
        <v>30</v>
      </c>
      <c r="I3432" s="1" t="s">
        <v>22</v>
      </c>
      <c r="J3432" s="2">
        <v>43537.790231481478</v>
      </c>
      <c r="K3432" s="2">
        <v>43540.790231481478</v>
      </c>
      <c r="L3432" s="2">
        <v>43543.790231481478</v>
      </c>
      <c r="M3432" s="1">
        <f>_xlfn.DAYS(Table1[[#This Row],[actual_delivery_date]],Table1[[#This Row],[dispatch_date]])</f>
        <v>3</v>
      </c>
      <c r="N3432">
        <v>0</v>
      </c>
      <c r="O3432">
        <f>Table1[[#This Row],[transit_storage_cost]] * (1-'What -if Analysis'!$D$26)</f>
        <v>0</v>
      </c>
      <c r="P3432">
        <v>121</v>
      </c>
      <c r="Q3432">
        <v>2428</v>
      </c>
    </row>
    <row r="3433" spans="1:17" x14ac:dyDescent="0.3">
      <c r="A3433">
        <v>44094</v>
      </c>
      <c r="B3433" s="1" t="s">
        <v>38</v>
      </c>
      <c r="C3433" s="1" t="s">
        <v>16</v>
      </c>
      <c r="D3433" s="1" t="s">
        <v>24</v>
      </c>
      <c r="E3433" s="1" t="s">
        <v>25</v>
      </c>
      <c r="F3433" s="1" t="s">
        <v>31</v>
      </c>
      <c r="G3433" s="1" t="s">
        <v>20</v>
      </c>
      <c r="H3433" t="s">
        <v>21</v>
      </c>
      <c r="I3433" s="1" t="s">
        <v>26</v>
      </c>
      <c r="J3433" s="2">
        <v>43534.79042824074</v>
      </c>
      <c r="K3433" s="2">
        <v>43540.79042824074</v>
      </c>
      <c r="L3433" s="2">
        <v>43538.79042824074</v>
      </c>
      <c r="M3433" s="1">
        <f>_xlfn.DAYS(Table1[[#This Row],[actual_delivery_date]],Table1[[#This Row],[dispatch_date]])</f>
        <v>6</v>
      </c>
      <c r="N3433">
        <v>47</v>
      </c>
      <c r="O3433">
        <f>Table1[[#This Row],[transit_storage_cost]] * (1-'What -if Analysis'!$D$26)</f>
        <v>47</v>
      </c>
      <c r="P3433">
        <v>122</v>
      </c>
      <c r="Q3433">
        <v>2462</v>
      </c>
    </row>
    <row r="3434" spans="1:17" x14ac:dyDescent="0.3">
      <c r="A3434">
        <v>79273</v>
      </c>
      <c r="B3434" s="1" t="s">
        <v>40</v>
      </c>
      <c r="C3434" s="1" t="s">
        <v>16</v>
      </c>
      <c r="D3434" s="1" t="s">
        <v>17</v>
      </c>
      <c r="E3434" s="1" t="s">
        <v>18</v>
      </c>
      <c r="F3434" s="1" t="s">
        <v>29</v>
      </c>
      <c r="G3434" s="1" t="s">
        <v>20</v>
      </c>
      <c r="H3434" t="s">
        <v>30</v>
      </c>
      <c r="I3434" s="1" t="s">
        <v>22</v>
      </c>
      <c r="J3434" s="2">
        <v>43536.79378472222</v>
      </c>
      <c r="K3434" s="2">
        <v>43540.79378472222</v>
      </c>
      <c r="L3434" s="2">
        <v>43541.79378472222</v>
      </c>
      <c r="M3434" s="1">
        <f>_xlfn.DAYS(Table1[[#This Row],[actual_delivery_date]],Table1[[#This Row],[dispatch_date]])</f>
        <v>4</v>
      </c>
      <c r="N3434">
        <v>27</v>
      </c>
      <c r="O3434">
        <f>Table1[[#This Row],[transit_storage_cost]] * (1-'What -if Analysis'!$D$26)</f>
        <v>27</v>
      </c>
      <c r="P3434">
        <v>113</v>
      </c>
      <c r="Q3434">
        <v>1049.984824676545</v>
      </c>
    </row>
    <row r="3435" spans="1:17" x14ac:dyDescent="0.3">
      <c r="A3435">
        <v>567590</v>
      </c>
      <c r="B3435" s="1" t="s">
        <v>37</v>
      </c>
      <c r="C3435" s="1" t="s">
        <v>23</v>
      </c>
      <c r="D3435" s="1" t="s">
        <v>17</v>
      </c>
      <c r="E3435" s="1" t="s">
        <v>18</v>
      </c>
      <c r="F3435" s="1" t="s">
        <v>31</v>
      </c>
      <c r="G3435" s="1" t="s">
        <v>20</v>
      </c>
      <c r="H3435" t="s">
        <v>21</v>
      </c>
      <c r="I3435" s="1" t="s">
        <v>22</v>
      </c>
      <c r="J3435" s="2">
        <v>43533.793993055559</v>
      </c>
      <c r="K3435" s="2">
        <v>43540.793993055559</v>
      </c>
      <c r="L3435" s="2">
        <v>43536.793993055559</v>
      </c>
      <c r="M3435" s="1">
        <f>_xlfn.DAYS(Table1[[#This Row],[actual_delivery_date]],Table1[[#This Row],[dispatch_date]])</f>
        <v>7</v>
      </c>
      <c r="N3435">
        <v>27</v>
      </c>
      <c r="O3435">
        <f>Table1[[#This Row],[transit_storage_cost]] * (1-'What -if Analysis'!$D$26)</f>
        <v>27</v>
      </c>
      <c r="P3435">
        <v>111</v>
      </c>
      <c r="Q3435">
        <v>3126.6724983769273</v>
      </c>
    </row>
    <row r="3436" spans="1:17" x14ac:dyDescent="0.3">
      <c r="A3436">
        <v>159408</v>
      </c>
      <c r="B3436" s="1" t="s">
        <v>39</v>
      </c>
      <c r="C3436" s="1" t="s">
        <v>23</v>
      </c>
      <c r="D3436" s="1" t="s">
        <v>24</v>
      </c>
      <c r="E3436" s="1" t="s">
        <v>25</v>
      </c>
      <c r="F3436" s="1" t="s">
        <v>19</v>
      </c>
      <c r="G3436" s="1" t="s">
        <v>20</v>
      </c>
      <c r="H3436" t="s">
        <v>21</v>
      </c>
      <c r="I3436" s="1" t="s">
        <v>26</v>
      </c>
      <c r="J3436" s="2">
        <v>43533.796064814815</v>
      </c>
      <c r="K3436" s="2">
        <v>43540.796064814815</v>
      </c>
      <c r="L3436" s="2">
        <v>43537.796064814815</v>
      </c>
      <c r="M3436" s="1">
        <f>_xlfn.DAYS(Table1[[#This Row],[actual_delivery_date]],Table1[[#This Row],[dispatch_date]])</f>
        <v>7</v>
      </c>
      <c r="N3436">
        <v>42</v>
      </c>
      <c r="O3436">
        <f>Table1[[#This Row],[transit_storage_cost]] * (1-'What -if Analysis'!$D$26)</f>
        <v>42</v>
      </c>
      <c r="P3436">
        <v>126</v>
      </c>
      <c r="Q3436">
        <v>2867.5356105534624</v>
      </c>
    </row>
    <row r="3437" spans="1:17" x14ac:dyDescent="0.3">
      <c r="A3437">
        <v>487921</v>
      </c>
      <c r="B3437" s="1" t="s">
        <v>41</v>
      </c>
      <c r="C3437" s="1" t="s">
        <v>23</v>
      </c>
      <c r="D3437" s="1" t="s">
        <v>17</v>
      </c>
      <c r="E3437" s="1" t="s">
        <v>18</v>
      </c>
      <c r="F3437" s="1" t="s">
        <v>29</v>
      </c>
      <c r="G3437" s="1" t="s">
        <v>20</v>
      </c>
      <c r="H3437" t="s">
        <v>34</v>
      </c>
      <c r="I3437" s="1" t="s">
        <v>22</v>
      </c>
      <c r="J3437" s="2">
        <v>43531.796851851854</v>
      </c>
      <c r="K3437" s="2">
        <v>43540.796851851854</v>
      </c>
      <c r="L3437" s="2">
        <v>43537.796851851854</v>
      </c>
      <c r="M3437" s="1">
        <f>_xlfn.DAYS(Table1[[#This Row],[actual_delivery_date]],Table1[[#This Row],[dispatch_date]])</f>
        <v>9</v>
      </c>
      <c r="N3437">
        <v>9999</v>
      </c>
      <c r="O3437">
        <f>Table1[[#This Row],[transit_storage_cost]] * (1-'What -if Analysis'!$D$26)</f>
        <v>9999</v>
      </c>
      <c r="P3437">
        <v>110</v>
      </c>
      <c r="Q3437">
        <v>905</v>
      </c>
    </row>
    <row r="3438" spans="1:17" x14ac:dyDescent="0.3">
      <c r="A3438">
        <v>22766</v>
      </c>
      <c r="B3438" s="1" t="s">
        <v>38</v>
      </c>
      <c r="C3438" s="1" t="s">
        <v>16</v>
      </c>
      <c r="D3438" s="1" t="s">
        <v>23</v>
      </c>
      <c r="E3438" s="1" t="s">
        <v>28</v>
      </c>
      <c r="F3438" s="1" t="s">
        <v>31</v>
      </c>
      <c r="G3438" s="1" t="s">
        <v>20</v>
      </c>
      <c r="H3438" t="s">
        <v>21</v>
      </c>
      <c r="I3438" s="1" t="s">
        <v>22</v>
      </c>
      <c r="J3438" s="2">
        <v>43533.800127314818</v>
      </c>
      <c r="K3438" s="2">
        <v>43540.800127314818</v>
      </c>
      <c r="L3438" s="2">
        <v>43539.800127314818</v>
      </c>
      <c r="M3438" s="1">
        <f>_xlfn.DAYS(Table1[[#This Row],[actual_delivery_date]],Table1[[#This Row],[dispatch_date]])</f>
        <v>7</v>
      </c>
      <c r="N3438">
        <v>27</v>
      </c>
      <c r="O3438">
        <f>Table1[[#This Row],[transit_storage_cost]] * (1-'What -if Analysis'!$D$26)</f>
        <v>27</v>
      </c>
      <c r="P3438">
        <v>130</v>
      </c>
      <c r="Q3438">
        <v>2837.9727290464739</v>
      </c>
    </row>
    <row r="3439" spans="1:17" x14ac:dyDescent="0.3">
      <c r="A3439">
        <v>538372</v>
      </c>
      <c r="B3439" s="1" t="s">
        <v>38</v>
      </c>
      <c r="C3439" s="1" t="s">
        <v>23</v>
      </c>
      <c r="D3439" s="1" t="s">
        <v>32</v>
      </c>
      <c r="E3439" s="1" t="s">
        <v>33</v>
      </c>
      <c r="F3439" s="1" t="s">
        <v>19</v>
      </c>
      <c r="G3439" s="1" t="s">
        <v>20</v>
      </c>
      <c r="H3439" t="s">
        <v>21</v>
      </c>
      <c r="I3439" s="1" t="s">
        <v>22</v>
      </c>
      <c r="J3439" s="2">
        <v>43534.801585648151</v>
      </c>
      <c r="K3439" s="2">
        <v>43540.801585648151</v>
      </c>
      <c r="L3439" s="2">
        <v>43541.801585648151</v>
      </c>
      <c r="M3439" s="1">
        <f>_xlfn.DAYS(Table1[[#This Row],[actual_delivery_date]],Table1[[#This Row],[dispatch_date]])</f>
        <v>6</v>
      </c>
      <c r="N3439">
        <v>41</v>
      </c>
      <c r="O3439">
        <f>Table1[[#This Row],[transit_storage_cost]] * (1-'What -if Analysis'!$D$26)</f>
        <v>41</v>
      </c>
      <c r="P3439">
        <v>112</v>
      </c>
      <c r="Q3439">
        <v>754</v>
      </c>
    </row>
    <row r="3440" spans="1:17" x14ac:dyDescent="0.3">
      <c r="A3440">
        <v>154688</v>
      </c>
      <c r="B3440" s="1" t="s">
        <v>41</v>
      </c>
      <c r="C3440" s="1" t="s">
        <v>23</v>
      </c>
      <c r="D3440" s="1" t="s">
        <v>24</v>
      </c>
      <c r="E3440" s="1" t="s">
        <v>25</v>
      </c>
      <c r="F3440" s="1" t="s">
        <v>19</v>
      </c>
      <c r="G3440" s="1" t="s">
        <v>20</v>
      </c>
      <c r="H3440" t="s">
        <v>21</v>
      </c>
      <c r="I3440" s="1" t="s">
        <v>22</v>
      </c>
      <c r="J3440" s="2">
        <v>43534.801620370374</v>
      </c>
      <c r="K3440" s="2">
        <v>43540.801620370374</v>
      </c>
      <c r="L3440" s="2">
        <v>43538.801620370374</v>
      </c>
      <c r="M3440" s="1">
        <f>_xlfn.DAYS(Table1[[#This Row],[actual_delivery_date]],Table1[[#This Row],[dispatch_date]])</f>
        <v>6</v>
      </c>
      <c r="N3440">
        <v>32</v>
      </c>
      <c r="O3440">
        <f>Table1[[#This Row],[transit_storage_cost]] * (1-'What -if Analysis'!$D$26)</f>
        <v>32</v>
      </c>
      <c r="P3440">
        <v>128</v>
      </c>
      <c r="Q3440">
        <v>1738</v>
      </c>
    </row>
    <row r="3441" spans="1:17" x14ac:dyDescent="0.3">
      <c r="A3441">
        <v>162067</v>
      </c>
      <c r="B3441" s="1" t="s">
        <v>39</v>
      </c>
      <c r="C3441" s="1" t="s">
        <v>23</v>
      </c>
      <c r="D3441" s="1" t="s">
        <v>32</v>
      </c>
      <c r="E3441" s="1" t="s">
        <v>33</v>
      </c>
      <c r="F3441" s="1" t="s">
        <v>29</v>
      </c>
      <c r="G3441" s="1" t="s">
        <v>20</v>
      </c>
      <c r="H3441" t="s">
        <v>30</v>
      </c>
      <c r="I3441" s="1" t="s">
        <v>22</v>
      </c>
      <c r="J3441" s="2">
        <v>43536.801701388889</v>
      </c>
      <c r="K3441" s="2">
        <v>43540.801701388889</v>
      </c>
      <c r="L3441" s="2">
        <v>43542.801701388889</v>
      </c>
      <c r="M3441" s="1">
        <f>_xlfn.DAYS(Table1[[#This Row],[actual_delivery_date]],Table1[[#This Row],[dispatch_date]])</f>
        <v>4</v>
      </c>
      <c r="N3441">
        <v>38</v>
      </c>
      <c r="O3441">
        <f>Table1[[#This Row],[transit_storage_cost]] * (1-'What -if Analysis'!$D$26)</f>
        <v>38</v>
      </c>
      <c r="P3441">
        <v>114</v>
      </c>
      <c r="Q3441">
        <v>2074.2346409107122</v>
      </c>
    </row>
    <row r="3442" spans="1:17" x14ac:dyDescent="0.3">
      <c r="A3442">
        <v>486278</v>
      </c>
      <c r="B3442" s="1" t="s">
        <v>38</v>
      </c>
      <c r="C3442" s="1" t="s">
        <v>23</v>
      </c>
      <c r="D3442" s="1" t="s">
        <v>17</v>
      </c>
      <c r="E3442" s="1" t="s">
        <v>18</v>
      </c>
      <c r="F3442" s="1" t="s">
        <v>31</v>
      </c>
      <c r="G3442" s="1" t="s">
        <v>20</v>
      </c>
      <c r="H3442" t="s">
        <v>21</v>
      </c>
      <c r="I3442" s="1" t="s">
        <v>22</v>
      </c>
      <c r="J3442" s="2">
        <v>43531.809675925928</v>
      </c>
      <c r="K3442" s="2">
        <v>43540.809675925928</v>
      </c>
      <c r="L3442" s="2">
        <v>43538.809675925928</v>
      </c>
      <c r="M3442" s="1">
        <f>_xlfn.DAYS(Table1[[#This Row],[actual_delivery_date]],Table1[[#This Row],[dispatch_date]])</f>
        <v>9</v>
      </c>
      <c r="N3442">
        <v>42</v>
      </c>
      <c r="O3442">
        <f>Table1[[#This Row],[transit_storage_cost]] * (1-'What -if Analysis'!$D$26)</f>
        <v>42</v>
      </c>
      <c r="P3442">
        <v>107</v>
      </c>
      <c r="Q3442">
        <v>496.42123620453719</v>
      </c>
    </row>
    <row r="3443" spans="1:17" x14ac:dyDescent="0.3">
      <c r="A3443">
        <v>17421</v>
      </c>
      <c r="B3443" s="1" t="s">
        <v>37</v>
      </c>
      <c r="C3443" s="1" t="s">
        <v>16</v>
      </c>
      <c r="D3443" s="1" t="s">
        <v>24</v>
      </c>
      <c r="E3443" s="1" t="s">
        <v>25</v>
      </c>
      <c r="F3443" s="1" t="s">
        <v>29</v>
      </c>
      <c r="G3443" s="1" t="s">
        <v>20</v>
      </c>
      <c r="H3443" t="s">
        <v>30</v>
      </c>
      <c r="I3443" s="1" t="s">
        <v>26</v>
      </c>
      <c r="J3443" s="2">
        <v>43536.811203703706</v>
      </c>
      <c r="K3443" s="2">
        <v>43540.811203703706</v>
      </c>
      <c r="L3443" s="2">
        <v>43543.811203703706</v>
      </c>
      <c r="M3443" s="1">
        <f>_xlfn.DAYS(Table1[[#This Row],[actual_delivery_date]],Table1[[#This Row],[dispatch_date]])</f>
        <v>4</v>
      </c>
      <c r="N3443">
        <v>46</v>
      </c>
      <c r="O3443">
        <f>Table1[[#This Row],[transit_storage_cost]] * (1-'What -if Analysis'!$D$26)</f>
        <v>46</v>
      </c>
      <c r="P3443">
        <v>128</v>
      </c>
      <c r="Q3443">
        <v>2233.5280691730859</v>
      </c>
    </row>
    <row r="3444" spans="1:17" x14ac:dyDescent="0.3">
      <c r="A3444">
        <v>145207</v>
      </c>
      <c r="B3444" s="1" t="s">
        <v>40</v>
      </c>
      <c r="C3444" s="1" t="s">
        <v>23</v>
      </c>
      <c r="D3444" s="1" t="s">
        <v>17</v>
      </c>
      <c r="E3444" s="1" t="s">
        <v>18</v>
      </c>
      <c r="F3444" s="1" t="s">
        <v>29</v>
      </c>
      <c r="G3444" s="1" t="s">
        <v>20</v>
      </c>
      <c r="H3444" t="s">
        <v>30</v>
      </c>
      <c r="I3444" s="1" t="s">
        <v>22</v>
      </c>
      <c r="J3444" s="2">
        <v>43533.814583333333</v>
      </c>
      <c r="K3444" s="2">
        <v>43540.814583333333</v>
      </c>
      <c r="L3444" s="2">
        <v>43537.814583333333</v>
      </c>
      <c r="M3444" s="1">
        <f>_xlfn.DAYS(Table1[[#This Row],[actual_delivery_date]],Table1[[#This Row],[dispatch_date]])</f>
        <v>7</v>
      </c>
      <c r="N3444">
        <v>39</v>
      </c>
      <c r="O3444">
        <f>Table1[[#This Row],[transit_storage_cost]] * (1-'What -if Analysis'!$D$26)</f>
        <v>39</v>
      </c>
      <c r="P3444">
        <v>115</v>
      </c>
      <c r="Q3444">
        <v>1252</v>
      </c>
    </row>
    <row r="3445" spans="1:17" x14ac:dyDescent="0.3">
      <c r="A3445">
        <v>315330</v>
      </c>
      <c r="B3445" s="1" t="s">
        <v>37</v>
      </c>
      <c r="C3445" s="1" t="s">
        <v>23</v>
      </c>
      <c r="D3445" s="1" t="s">
        <v>16</v>
      </c>
      <c r="E3445" s="1" t="s">
        <v>27</v>
      </c>
      <c r="F3445" s="1" t="s">
        <v>31</v>
      </c>
      <c r="G3445" s="1" t="s">
        <v>20</v>
      </c>
      <c r="H3445" t="s">
        <v>21</v>
      </c>
      <c r="I3445" s="1" t="s">
        <v>26</v>
      </c>
      <c r="J3445" s="2">
        <v>43532.81527777778</v>
      </c>
      <c r="K3445" s="2">
        <v>43540.81527777778</v>
      </c>
      <c r="L3445" s="2">
        <v>43535.81527777778</v>
      </c>
      <c r="M3445" s="1">
        <f>_xlfn.DAYS(Table1[[#This Row],[actual_delivery_date]],Table1[[#This Row],[dispatch_date]])</f>
        <v>8</v>
      </c>
      <c r="N3445">
        <v>44</v>
      </c>
      <c r="O3445">
        <f>Table1[[#This Row],[transit_storage_cost]] * (1-'What -if Analysis'!$D$26)</f>
        <v>44</v>
      </c>
      <c r="P3445">
        <v>125</v>
      </c>
      <c r="Q3445">
        <v>3758.2585499724719</v>
      </c>
    </row>
    <row r="3446" spans="1:17" x14ac:dyDescent="0.3">
      <c r="A3446">
        <v>161461</v>
      </c>
      <c r="B3446" s="1" t="s">
        <v>38</v>
      </c>
      <c r="C3446" s="1" t="s">
        <v>23</v>
      </c>
      <c r="D3446" s="1" t="s">
        <v>17</v>
      </c>
      <c r="E3446" s="1" t="s">
        <v>18</v>
      </c>
      <c r="F3446" s="1" t="s">
        <v>29</v>
      </c>
      <c r="G3446" s="1" t="s">
        <v>20</v>
      </c>
      <c r="H3446" t="s">
        <v>30</v>
      </c>
      <c r="I3446" s="1" t="s">
        <v>22</v>
      </c>
      <c r="J3446" s="2">
        <v>43533.816724537035</v>
      </c>
      <c r="K3446" s="2">
        <v>43540.816724537035</v>
      </c>
      <c r="L3446" s="2">
        <v>43538.816724537035</v>
      </c>
      <c r="M3446" s="1">
        <f>_xlfn.DAYS(Table1[[#This Row],[actual_delivery_date]],Table1[[#This Row],[dispatch_date]])</f>
        <v>7</v>
      </c>
      <c r="N3446">
        <v>26</v>
      </c>
      <c r="O3446">
        <f>Table1[[#This Row],[transit_storage_cost]] * (1-'What -if Analysis'!$D$26)</f>
        <v>26</v>
      </c>
      <c r="P3446">
        <v>114</v>
      </c>
      <c r="Q3446">
        <v>2218.512387277809</v>
      </c>
    </row>
    <row r="3447" spans="1:17" x14ac:dyDescent="0.3">
      <c r="A3447">
        <v>585435</v>
      </c>
      <c r="B3447" s="1" t="s">
        <v>40</v>
      </c>
      <c r="C3447" s="1" t="s">
        <v>16</v>
      </c>
      <c r="D3447" s="1" t="s">
        <v>17</v>
      </c>
      <c r="E3447" s="1" t="s">
        <v>18</v>
      </c>
      <c r="F3447" s="1" t="s">
        <v>29</v>
      </c>
      <c r="G3447" s="1" t="s">
        <v>20</v>
      </c>
      <c r="H3447" t="s">
        <v>30</v>
      </c>
      <c r="I3447" s="1" t="s">
        <v>26</v>
      </c>
      <c r="J3447" s="2">
        <v>43533.819537037038</v>
      </c>
      <c r="K3447" s="2">
        <v>43540.819537037038</v>
      </c>
      <c r="L3447" s="2">
        <v>43538.819537037038</v>
      </c>
      <c r="M3447" s="1">
        <f>_xlfn.DAYS(Table1[[#This Row],[actual_delivery_date]],Table1[[#This Row],[dispatch_date]])</f>
        <v>7</v>
      </c>
      <c r="N3447">
        <v>47</v>
      </c>
      <c r="O3447">
        <f>Table1[[#This Row],[transit_storage_cost]] * (1-'What -if Analysis'!$D$26)</f>
        <v>47</v>
      </c>
      <c r="P3447">
        <v>112</v>
      </c>
      <c r="Q3447">
        <v>1288.8406531283545</v>
      </c>
    </row>
    <row r="3448" spans="1:17" x14ac:dyDescent="0.3">
      <c r="A3448">
        <v>714534</v>
      </c>
      <c r="B3448" s="1" t="s">
        <v>38</v>
      </c>
      <c r="C3448" s="1" t="s">
        <v>16</v>
      </c>
      <c r="D3448" s="1" t="s">
        <v>17</v>
      </c>
      <c r="E3448" s="1" t="s">
        <v>18</v>
      </c>
      <c r="F3448" s="1" t="s">
        <v>19</v>
      </c>
      <c r="G3448" s="1" t="s">
        <v>20</v>
      </c>
      <c r="H3448" t="s">
        <v>21</v>
      </c>
      <c r="I3448" s="1" t="s">
        <v>26</v>
      </c>
      <c r="J3448" s="2">
        <v>43537.825046296297</v>
      </c>
      <c r="K3448" s="2">
        <v>43540.825046296297</v>
      </c>
      <c r="L3448" s="2">
        <v>43541.825046296297</v>
      </c>
      <c r="M3448" s="1">
        <f>_xlfn.DAYS(Table1[[#This Row],[actual_delivery_date]],Table1[[#This Row],[dispatch_date]])</f>
        <v>3</v>
      </c>
      <c r="N3448">
        <v>80</v>
      </c>
      <c r="O3448">
        <f>Table1[[#This Row],[transit_storage_cost]] * (1-'What -if Analysis'!$D$26)</f>
        <v>80</v>
      </c>
      <c r="P3448">
        <v>90</v>
      </c>
      <c r="Q3448">
        <v>2548.419246749304</v>
      </c>
    </row>
    <row r="3449" spans="1:17" x14ac:dyDescent="0.3">
      <c r="A3449">
        <v>398638</v>
      </c>
      <c r="B3449" s="1" t="s">
        <v>38</v>
      </c>
      <c r="C3449" s="1" t="s">
        <v>23</v>
      </c>
      <c r="D3449" s="1" t="s">
        <v>23</v>
      </c>
      <c r="E3449" s="1" t="s">
        <v>28</v>
      </c>
      <c r="F3449" s="1" t="s">
        <v>31</v>
      </c>
      <c r="G3449" s="1" t="s">
        <v>20</v>
      </c>
      <c r="H3449" t="s">
        <v>21</v>
      </c>
      <c r="I3449" s="1" t="s">
        <v>22</v>
      </c>
      <c r="J3449" s="2">
        <v>43538.825092592589</v>
      </c>
      <c r="K3449" s="2">
        <v>43540.825092592589</v>
      </c>
      <c r="L3449" s="2">
        <v>43544.825092592589</v>
      </c>
      <c r="M3449" s="1">
        <f>_xlfn.DAYS(Table1[[#This Row],[actual_delivery_date]],Table1[[#This Row],[dispatch_date]])</f>
        <v>2</v>
      </c>
      <c r="N3449">
        <v>0</v>
      </c>
      <c r="O3449">
        <f>Table1[[#This Row],[transit_storage_cost]] * (1-'What -if Analysis'!$D$26)</f>
        <v>0</v>
      </c>
      <c r="P3449">
        <v>121</v>
      </c>
      <c r="Q3449">
        <v>2966</v>
      </c>
    </row>
    <row r="3450" spans="1:17" x14ac:dyDescent="0.3">
      <c r="A3450">
        <v>73898</v>
      </c>
      <c r="B3450" s="1" t="s">
        <v>39</v>
      </c>
      <c r="C3450" s="1" t="s">
        <v>16</v>
      </c>
      <c r="D3450" s="1" t="s">
        <v>24</v>
      </c>
      <c r="E3450" s="1" t="s">
        <v>25</v>
      </c>
      <c r="F3450" s="1" t="s">
        <v>31</v>
      </c>
      <c r="G3450" s="1" t="s">
        <v>20</v>
      </c>
      <c r="H3450" t="s">
        <v>21</v>
      </c>
      <c r="I3450" s="1" t="s">
        <v>22</v>
      </c>
      <c r="J3450" s="2">
        <v>43534.828831018516</v>
      </c>
      <c r="K3450" s="2">
        <v>43540.828831018516</v>
      </c>
      <c r="L3450" s="2">
        <v>43538.828831018516</v>
      </c>
      <c r="M3450" s="1">
        <f>_xlfn.DAYS(Table1[[#This Row],[actual_delivery_date]],Table1[[#This Row],[dispatch_date]])</f>
        <v>6</v>
      </c>
      <c r="N3450">
        <v>27</v>
      </c>
      <c r="O3450">
        <f>Table1[[#This Row],[transit_storage_cost]] * (1-'What -if Analysis'!$D$26)</f>
        <v>27</v>
      </c>
      <c r="P3450">
        <v>128</v>
      </c>
      <c r="Q3450">
        <v>1043</v>
      </c>
    </row>
    <row r="3451" spans="1:17" x14ac:dyDescent="0.3">
      <c r="A3451">
        <v>234479</v>
      </c>
      <c r="B3451" s="1" t="s">
        <v>39</v>
      </c>
      <c r="C3451" s="1" t="s">
        <v>23</v>
      </c>
      <c r="D3451" s="1" t="s">
        <v>32</v>
      </c>
      <c r="E3451" s="1" t="s">
        <v>33</v>
      </c>
      <c r="F3451" s="1" t="s">
        <v>29</v>
      </c>
      <c r="G3451" s="1" t="s">
        <v>20</v>
      </c>
      <c r="H3451" t="s">
        <v>34</v>
      </c>
      <c r="I3451" s="1" t="s">
        <v>22</v>
      </c>
      <c r="J3451" s="2">
        <v>43538.828923611109</v>
      </c>
      <c r="K3451" s="2">
        <v>43540.828923611109</v>
      </c>
      <c r="L3451" s="2">
        <v>43542.828923611109</v>
      </c>
      <c r="M3451" s="1">
        <f>_xlfn.DAYS(Table1[[#This Row],[actual_delivery_date]],Table1[[#This Row],[dispatch_date]])</f>
        <v>2</v>
      </c>
      <c r="N3451">
        <v>9999</v>
      </c>
      <c r="O3451">
        <f>Table1[[#This Row],[transit_storage_cost]] * (1-'What -if Analysis'!$D$26)</f>
        <v>9999</v>
      </c>
      <c r="P3451">
        <v>108</v>
      </c>
      <c r="Q3451">
        <v>1663.5825318213583</v>
      </c>
    </row>
    <row r="3452" spans="1:17" x14ac:dyDescent="0.3">
      <c r="A3452">
        <v>798376</v>
      </c>
      <c r="B3452" s="1" t="s">
        <v>38</v>
      </c>
      <c r="C3452" s="1" t="s">
        <v>16</v>
      </c>
      <c r="D3452" s="1" t="s">
        <v>32</v>
      </c>
      <c r="E3452" s="1" t="s">
        <v>33</v>
      </c>
      <c r="F3452" s="1" t="s">
        <v>19</v>
      </c>
      <c r="G3452" s="1" t="s">
        <v>20</v>
      </c>
      <c r="H3452" t="s">
        <v>21</v>
      </c>
      <c r="I3452" s="1" t="s">
        <v>22</v>
      </c>
      <c r="J3452" s="2">
        <v>43532.836793981478</v>
      </c>
      <c r="K3452" s="2">
        <v>43540.836793981478</v>
      </c>
      <c r="L3452" s="2">
        <v>43537.836793981478</v>
      </c>
      <c r="M3452" s="1">
        <f>_xlfn.DAYS(Table1[[#This Row],[actual_delivery_date]],Table1[[#This Row],[dispatch_date]])</f>
        <v>8</v>
      </c>
      <c r="N3452">
        <v>41</v>
      </c>
      <c r="O3452">
        <f>Table1[[#This Row],[transit_storage_cost]] * (1-'What -if Analysis'!$D$26)</f>
        <v>41</v>
      </c>
      <c r="P3452">
        <v>109</v>
      </c>
      <c r="Q3452">
        <v>2544</v>
      </c>
    </row>
    <row r="3453" spans="1:17" x14ac:dyDescent="0.3">
      <c r="A3453">
        <v>349160</v>
      </c>
      <c r="B3453" s="1" t="s">
        <v>37</v>
      </c>
      <c r="C3453" s="1" t="s">
        <v>16</v>
      </c>
      <c r="D3453" s="1" t="s">
        <v>23</v>
      </c>
      <c r="E3453" s="1" t="s">
        <v>28</v>
      </c>
      <c r="F3453" s="1" t="s">
        <v>19</v>
      </c>
      <c r="G3453" s="1" t="s">
        <v>20</v>
      </c>
      <c r="H3453" t="s">
        <v>21</v>
      </c>
      <c r="I3453" s="1" t="s">
        <v>22</v>
      </c>
      <c r="J3453" s="2">
        <v>43534.84003472222</v>
      </c>
      <c r="K3453" s="2">
        <v>43540.84003472222</v>
      </c>
      <c r="L3453" s="2">
        <v>43537.84003472222</v>
      </c>
      <c r="M3453" s="1">
        <f>_xlfn.DAYS(Table1[[#This Row],[actual_delivery_date]],Table1[[#This Row],[dispatch_date]])</f>
        <v>6</v>
      </c>
      <c r="N3453">
        <v>9999</v>
      </c>
      <c r="O3453">
        <f>Table1[[#This Row],[transit_storage_cost]] * (1-'What -if Analysis'!$D$26)</f>
        <v>9999</v>
      </c>
      <c r="P3453">
        <v>109</v>
      </c>
      <c r="Q3453">
        <v>3674.4417457147806</v>
      </c>
    </row>
    <row r="3454" spans="1:17" x14ac:dyDescent="0.3">
      <c r="A3454">
        <v>989760</v>
      </c>
      <c r="B3454" s="1" t="s">
        <v>37</v>
      </c>
      <c r="C3454" s="1" t="s">
        <v>16</v>
      </c>
      <c r="D3454" s="1" t="s">
        <v>16</v>
      </c>
      <c r="E3454" s="1" t="s">
        <v>27</v>
      </c>
      <c r="F3454" s="1" t="s">
        <v>19</v>
      </c>
      <c r="G3454" s="1" t="s">
        <v>20</v>
      </c>
      <c r="H3454" t="s">
        <v>21</v>
      </c>
      <c r="I3454" s="1" t="s">
        <v>26</v>
      </c>
      <c r="J3454" s="2">
        <v>43538.848136574074</v>
      </c>
      <c r="K3454" s="2">
        <v>43540.848136574074</v>
      </c>
      <c r="L3454" s="2">
        <v>43542.848136574074</v>
      </c>
      <c r="M3454" s="1">
        <f>_xlfn.DAYS(Table1[[#This Row],[actual_delivery_date]],Table1[[#This Row],[dispatch_date]])</f>
        <v>2</v>
      </c>
      <c r="N3454">
        <v>0</v>
      </c>
      <c r="O3454">
        <f>Table1[[#This Row],[transit_storage_cost]] * (1-'What -if Analysis'!$D$26)</f>
        <v>0</v>
      </c>
      <c r="P3454">
        <v>109</v>
      </c>
      <c r="Q3454">
        <v>2173.1637416739022</v>
      </c>
    </row>
    <row r="3455" spans="1:17" x14ac:dyDescent="0.3">
      <c r="A3455">
        <v>774476</v>
      </c>
      <c r="B3455" s="1" t="s">
        <v>37</v>
      </c>
      <c r="C3455" s="1" t="s">
        <v>16</v>
      </c>
      <c r="D3455" s="1" t="s">
        <v>17</v>
      </c>
      <c r="E3455" s="1" t="s">
        <v>18</v>
      </c>
      <c r="F3455" s="1" t="s">
        <v>19</v>
      </c>
      <c r="G3455" s="1" t="s">
        <v>20</v>
      </c>
      <c r="H3455" t="s">
        <v>21</v>
      </c>
      <c r="I3455" s="1" t="s">
        <v>22</v>
      </c>
      <c r="J3455" s="2">
        <v>43535.852951388886</v>
      </c>
      <c r="K3455" s="2">
        <v>43540.852951388886</v>
      </c>
      <c r="L3455" s="2">
        <v>43541.852951388886</v>
      </c>
      <c r="M3455" s="1">
        <f>_xlfn.DAYS(Table1[[#This Row],[actual_delivery_date]],Table1[[#This Row],[dispatch_date]])</f>
        <v>5</v>
      </c>
      <c r="N3455">
        <v>65</v>
      </c>
      <c r="O3455">
        <f>Table1[[#This Row],[transit_storage_cost]] * (1-'What -if Analysis'!$D$26)</f>
        <v>65</v>
      </c>
      <c r="P3455">
        <v>94</v>
      </c>
      <c r="Q3455">
        <v>3485</v>
      </c>
    </row>
    <row r="3456" spans="1:17" x14ac:dyDescent="0.3">
      <c r="A3456">
        <v>250908</v>
      </c>
      <c r="B3456" s="1" t="s">
        <v>37</v>
      </c>
      <c r="C3456" s="1" t="s">
        <v>23</v>
      </c>
      <c r="D3456" s="1" t="s">
        <v>32</v>
      </c>
      <c r="E3456" s="1" t="s">
        <v>33</v>
      </c>
      <c r="F3456" s="1" t="s">
        <v>19</v>
      </c>
      <c r="G3456" s="1" t="s">
        <v>20</v>
      </c>
      <c r="H3456" t="s">
        <v>21</v>
      </c>
      <c r="I3456" s="1" t="s">
        <v>26</v>
      </c>
      <c r="J3456" s="2">
        <v>43534.855173611111</v>
      </c>
      <c r="K3456" s="2">
        <v>43540.855173611111</v>
      </c>
      <c r="L3456" s="2">
        <v>43538.855173611111</v>
      </c>
      <c r="M3456" s="1">
        <f>_xlfn.DAYS(Table1[[#This Row],[actual_delivery_date]],Table1[[#This Row],[dispatch_date]])</f>
        <v>6</v>
      </c>
      <c r="N3456">
        <v>35</v>
      </c>
      <c r="O3456">
        <f>Table1[[#This Row],[transit_storage_cost]] * (1-'What -if Analysis'!$D$26)</f>
        <v>35</v>
      </c>
      <c r="P3456">
        <v>105</v>
      </c>
      <c r="Q3456">
        <v>2993.0656441163073</v>
      </c>
    </row>
    <row r="3457" spans="1:17" x14ac:dyDescent="0.3">
      <c r="A3457">
        <v>397066</v>
      </c>
      <c r="B3457" s="1" t="s">
        <v>37</v>
      </c>
      <c r="C3457" s="1" t="s">
        <v>16</v>
      </c>
      <c r="D3457" s="1" t="s">
        <v>16</v>
      </c>
      <c r="E3457" s="1" t="s">
        <v>27</v>
      </c>
      <c r="F3457" s="1" t="s">
        <v>31</v>
      </c>
      <c r="G3457" s="1" t="s">
        <v>20</v>
      </c>
      <c r="H3457" t="s">
        <v>21</v>
      </c>
      <c r="I3457" s="1" t="s">
        <v>22</v>
      </c>
      <c r="J3457" s="2">
        <v>43536.855300925927</v>
      </c>
      <c r="K3457" s="2">
        <v>43540.855300925927</v>
      </c>
      <c r="L3457" s="2">
        <v>43541.855300925927</v>
      </c>
      <c r="M3457" s="1">
        <f>_xlfn.DAYS(Table1[[#This Row],[actual_delivery_date]],Table1[[#This Row],[dispatch_date]])</f>
        <v>4</v>
      </c>
      <c r="N3457">
        <v>0</v>
      </c>
      <c r="O3457">
        <f>Table1[[#This Row],[transit_storage_cost]] * (1-'What -if Analysis'!$D$26)</f>
        <v>0</v>
      </c>
      <c r="P3457">
        <v>120</v>
      </c>
      <c r="Q3457">
        <v>840</v>
      </c>
    </row>
    <row r="3458" spans="1:17" x14ac:dyDescent="0.3">
      <c r="A3458">
        <v>62181</v>
      </c>
      <c r="B3458" s="1" t="s">
        <v>37</v>
      </c>
      <c r="C3458" s="1" t="s">
        <v>16</v>
      </c>
      <c r="D3458" s="1" t="s">
        <v>23</v>
      </c>
      <c r="E3458" s="1" t="s">
        <v>28</v>
      </c>
      <c r="F3458" s="1" t="s">
        <v>19</v>
      </c>
      <c r="G3458" s="1" t="s">
        <v>20</v>
      </c>
      <c r="H3458" t="s">
        <v>34</v>
      </c>
      <c r="I3458" s="1" t="s">
        <v>26</v>
      </c>
      <c r="J3458" s="2">
        <v>43538.863159722219</v>
      </c>
      <c r="K3458" s="2">
        <v>43540.863159722219</v>
      </c>
      <c r="L3458" s="2">
        <v>43543.863159722219</v>
      </c>
      <c r="M3458" s="1">
        <f>_xlfn.DAYS(Table1[[#This Row],[actual_delivery_date]],Table1[[#This Row],[dispatch_date]])</f>
        <v>2</v>
      </c>
      <c r="N3458">
        <v>69</v>
      </c>
      <c r="O3458">
        <f>Table1[[#This Row],[transit_storage_cost]] * (1-'What -if Analysis'!$D$26)</f>
        <v>69</v>
      </c>
      <c r="P3458">
        <v>105</v>
      </c>
      <c r="Q3458">
        <v>3367.5849373930296</v>
      </c>
    </row>
    <row r="3459" spans="1:17" x14ac:dyDescent="0.3">
      <c r="A3459">
        <v>964544</v>
      </c>
      <c r="B3459" s="1" t="s">
        <v>40</v>
      </c>
      <c r="C3459" s="1" t="s">
        <v>16</v>
      </c>
      <c r="D3459" s="1" t="s">
        <v>24</v>
      </c>
      <c r="E3459" s="1" t="s">
        <v>25</v>
      </c>
      <c r="F3459" s="1" t="s">
        <v>19</v>
      </c>
      <c r="G3459" s="1" t="s">
        <v>20</v>
      </c>
      <c r="H3459" t="s">
        <v>21</v>
      </c>
      <c r="I3459" s="1" t="s">
        <v>22</v>
      </c>
      <c r="J3459" s="2">
        <v>43531.866168981483</v>
      </c>
      <c r="K3459" s="2">
        <v>43540.866168981483</v>
      </c>
      <c r="L3459" s="2">
        <v>43535.866168981483</v>
      </c>
      <c r="M3459" s="1">
        <f>_xlfn.DAYS(Table1[[#This Row],[actual_delivery_date]],Table1[[#This Row],[dispatch_date]])</f>
        <v>9</v>
      </c>
      <c r="N3459">
        <v>36</v>
      </c>
      <c r="O3459">
        <f>Table1[[#This Row],[transit_storage_cost]] * (1-'What -if Analysis'!$D$26)</f>
        <v>36</v>
      </c>
      <c r="P3459">
        <v>130</v>
      </c>
      <c r="Q3459">
        <v>524.57505033127234</v>
      </c>
    </row>
    <row r="3460" spans="1:17" x14ac:dyDescent="0.3">
      <c r="A3460">
        <v>516682</v>
      </c>
      <c r="B3460" s="1" t="s">
        <v>38</v>
      </c>
      <c r="C3460" s="1" t="s">
        <v>23</v>
      </c>
      <c r="D3460" s="1" t="s">
        <v>17</v>
      </c>
      <c r="E3460" s="1" t="s">
        <v>18</v>
      </c>
      <c r="F3460" s="1" t="s">
        <v>31</v>
      </c>
      <c r="G3460" s="1" t="s">
        <v>20</v>
      </c>
      <c r="H3460" t="s">
        <v>21</v>
      </c>
      <c r="I3460" s="1" t="s">
        <v>22</v>
      </c>
      <c r="J3460" s="2">
        <v>43532.870925925927</v>
      </c>
      <c r="K3460" s="2">
        <v>43540.870925925927</v>
      </c>
      <c r="L3460" s="2">
        <v>43539.870925925927</v>
      </c>
      <c r="M3460" s="1">
        <f>_xlfn.DAYS(Table1[[#This Row],[actual_delivery_date]],Table1[[#This Row],[dispatch_date]])</f>
        <v>8</v>
      </c>
      <c r="N3460">
        <v>33</v>
      </c>
      <c r="O3460">
        <f>Table1[[#This Row],[transit_storage_cost]] * (1-'What -if Analysis'!$D$26)</f>
        <v>33</v>
      </c>
      <c r="P3460">
        <v>113</v>
      </c>
      <c r="Q3460">
        <v>2410.6293087205936</v>
      </c>
    </row>
    <row r="3461" spans="1:17" x14ac:dyDescent="0.3">
      <c r="A3461">
        <v>128769</v>
      </c>
      <c r="B3461" s="1" t="s">
        <v>41</v>
      </c>
      <c r="C3461" s="1" t="s">
        <v>16</v>
      </c>
      <c r="D3461" s="1" t="s">
        <v>23</v>
      </c>
      <c r="E3461" s="1" t="s">
        <v>28</v>
      </c>
      <c r="F3461" s="1" t="s">
        <v>29</v>
      </c>
      <c r="G3461" s="1" t="s">
        <v>20</v>
      </c>
      <c r="H3461" t="s">
        <v>30</v>
      </c>
      <c r="I3461" s="1" t="s">
        <v>26</v>
      </c>
      <c r="J3461" s="2">
        <v>43533.872754629629</v>
      </c>
      <c r="K3461" s="2">
        <v>43540.872754629629</v>
      </c>
      <c r="L3461" s="2">
        <v>43539.872754629629</v>
      </c>
      <c r="M3461" s="1">
        <f>_xlfn.DAYS(Table1[[#This Row],[actual_delivery_date]],Table1[[#This Row],[dispatch_date]])</f>
        <v>7</v>
      </c>
      <c r="N3461">
        <v>46</v>
      </c>
      <c r="O3461">
        <f>Table1[[#This Row],[transit_storage_cost]] * (1-'What -if Analysis'!$D$26)</f>
        <v>46</v>
      </c>
      <c r="P3461">
        <v>126</v>
      </c>
      <c r="Q3461">
        <v>1193.0776123254741</v>
      </c>
    </row>
    <row r="3462" spans="1:17" x14ac:dyDescent="0.3">
      <c r="A3462">
        <v>187223</v>
      </c>
      <c r="B3462" s="1" t="s">
        <v>39</v>
      </c>
      <c r="C3462" s="1" t="s">
        <v>16</v>
      </c>
      <c r="D3462" s="1" t="s">
        <v>16</v>
      </c>
      <c r="E3462" s="1" t="s">
        <v>27</v>
      </c>
      <c r="F3462" s="1" t="s">
        <v>29</v>
      </c>
      <c r="G3462" s="1" t="s">
        <v>20</v>
      </c>
      <c r="H3462" t="s">
        <v>30</v>
      </c>
      <c r="I3462" s="1" t="s">
        <v>22</v>
      </c>
      <c r="J3462" s="2">
        <v>43537.876631944448</v>
      </c>
      <c r="K3462" s="2">
        <v>43540.876631944448</v>
      </c>
      <c r="L3462" s="2">
        <v>43544.876631944448</v>
      </c>
      <c r="M3462" s="1">
        <f>_xlfn.DAYS(Table1[[#This Row],[actual_delivery_date]],Table1[[#This Row],[dispatch_date]])</f>
        <v>3</v>
      </c>
      <c r="N3462">
        <v>0</v>
      </c>
      <c r="O3462">
        <f>Table1[[#This Row],[transit_storage_cost]] * (1-'What -if Analysis'!$D$26)</f>
        <v>0</v>
      </c>
      <c r="P3462">
        <v>121</v>
      </c>
      <c r="Q3462">
        <v>2844.5056983794598</v>
      </c>
    </row>
    <row r="3463" spans="1:17" x14ac:dyDescent="0.3">
      <c r="A3463">
        <v>316214</v>
      </c>
      <c r="B3463" s="1" t="s">
        <v>41</v>
      </c>
      <c r="C3463" s="1" t="s">
        <v>23</v>
      </c>
      <c r="D3463" s="1" t="s">
        <v>17</v>
      </c>
      <c r="E3463" s="1" t="s">
        <v>18</v>
      </c>
      <c r="F3463" s="1" t="s">
        <v>19</v>
      </c>
      <c r="G3463" s="1" t="s">
        <v>20</v>
      </c>
      <c r="H3463" t="s">
        <v>21</v>
      </c>
      <c r="I3463" s="1" t="s">
        <v>22</v>
      </c>
      <c r="J3463" s="2">
        <v>43534.877615740741</v>
      </c>
      <c r="K3463" s="2">
        <v>43540.877615740741</v>
      </c>
      <c r="L3463" s="2">
        <v>43540.877615740741</v>
      </c>
      <c r="M3463" s="1">
        <f>_xlfn.DAYS(Table1[[#This Row],[actual_delivery_date]],Table1[[#This Row],[dispatch_date]])</f>
        <v>6</v>
      </c>
      <c r="N3463">
        <v>66</v>
      </c>
      <c r="O3463">
        <f>Table1[[#This Row],[transit_storage_cost]] * (1-'What -if Analysis'!$D$26)</f>
        <v>66</v>
      </c>
      <c r="P3463">
        <v>93</v>
      </c>
      <c r="Q3463">
        <v>3086.4235284471265</v>
      </c>
    </row>
    <row r="3464" spans="1:17" x14ac:dyDescent="0.3">
      <c r="A3464">
        <v>929329</v>
      </c>
      <c r="B3464" s="1" t="s">
        <v>41</v>
      </c>
      <c r="C3464" s="1" t="s">
        <v>16</v>
      </c>
      <c r="D3464" s="1" t="s">
        <v>16</v>
      </c>
      <c r="E3464" s="1" t="s">
        <v>27</v>
      </c>
      <c r="F3464" s="1" t="s">
        <v>29</v>
      </c>
      <c r="G3464" s="1" t="s">
        <v>20</v>
      </c>
      <c r="H3464" t="s">
        <v>30</v>
      </c>
      <c r="I3464" s="1" t="s">
        <v>22</v>
      </c>
      <c r="J3464" s="2">
        <v>43536.877754629626</v>
      </c>
      <c r="K3464" s="2">
        <v>43540.877754629626</v>
      </c>
      <c r="L3464" s="2">
        <v>43542.877754629626</v>
      </c>
      <c r="M3464" s="1">
        <f>_xlfn.DAYS(Table1[[#This Row],[actual_delivery_date]],Table1[[#This Row],[dispatch_date]])</f>
        <v>4</v>
      </c>
      <c r="N3464">
        <v>0</v>
      </c>
      <c r="O3464">
        <f>Table1[[#This Row],[transit_storage_cost]] * (1-'What -if Analysis'!$D$26)</f>
        <v>0</v>
      </c>
      <c r="P3464">
        <v>127</v>
      </c>
      <c r="Q3464">
        <v>2506</v>
      </c>
    </row>
    <row r="3465" spans="1:17" x14ac:dyDescent="0.3">
      <c r="A3465">
        <v>272525</v>
      </c>
      <c r="B3465" s="1" t="s">
        <v>37</v>
      </c>
      <c r="C3465" s="1" t="s">
        <v>16</v>
      </c>
      <c r="D3465" s="1" t="s">
        <v>23</v>
      </c>
      <c r="E3465" s="1" t="s">
        <v>28</v>
      </c>
      <c r="F3465" s="1" t="s">
        <v>29</v>
      </c>
      <c r="G3465" s="1" t="s">
        <v>20</v>
      </c>
      <c r="H3465" t="s">
        <v>30</v>
      </c>
      <c r="I3465" s="1" t="s">
        <v>22</v>
      </c>
      <c r="J3465" s="2">
        <v>43536.896990740737</v>
      </c>
      <c r="K3465" s="2">
        <v>43540.896990740737</v>
      </c>
      <c r="L3465" s="2">
        <v>43541.896990740737</v>
      </c>
      <c r="M3465" s="1">
        <f>_xlfn.DAYS(Table1[[#This Row],[actual_delivery_date]],Table1[[#This Row],[dispatch_date]])</f>
        <v>4</v>
      </c>
      <c r="N3465">
        <v>45</v>
      </c>
      <c r="O3465">
        <f>Table1[[#This Row],[transit_storage_cost]] * (1-'What -if Analysis'!$D$26)</f>
        <v>45</v>
      </c>
      <c r="P3465">
        <v>125</v>
      </c>
      <c r="Q3465">
        <v>2904.2783370593729</v>
      </c>
    </row>
    <row r="3466" spans="1:17" x14ac:dyDescent="0.3">
      <c r="A3466">
        <v>615847</v>
      </c>
      <c r="B3466" s="1" t="s">
        <v>38</v>
      </c>
      <c r="C3466" s="1" t="s">
        <v>16</v>
      </c>
      <c r="D3466" s="1" t="s">
        <v>16</v>
      </c>
      <c r="E3466" s="1" t="s">
        <v>27</v>
      </c>
      <c r="F3466" s="1" t="s">
        <v>29</v>
      </c>
      <c r="G3466" s="1" t="s">
        <v>20</v>
      </c>
      <c r="H3466" t="s">
        <v>30</v>
      </c>
      <c r="I3466" s="1" t="s">
        <v>22</v>
      </c>
      <c r="J3466" s="2">
        <v>43534.904629629629</v>
      </c>
      <c r="K3466" s="2">
        <v>43540.904629629629</v>
      </c>
      <c r="L3466" s="2">
        <v>43538.904629629629</v>
      </c>
      <c r="M3466" s="1">
        <f>_xlfn.DAYS(Table1[[#This Row],[actual_delivery_date]],Table1[[#This Row],[dispatch_date]])</f>
        <v>6</v>
      </c>
      <c r="N3466">
        <v>0</v>
      </c>
      <c r="O3466">
        <f>Table1[[#This Row],[transit_storage_cost]] * (1-'What -if Analysis'!$D$26)</f>
        <v>0</v>
      </c>
      <c r="P3466">
        <v>129</v>
      </c>
      <c r="Q3466">
        <v>1971.0864126732699</v>
      </c>
    </row>
    <row r="3467" spans="1:17" x14ac:dyDescent="0.3">
      <c r="A3467">
        <v>718359</v>
      </c>
      <c r="B3467" s="1" t="s">
        <v>37</v>
      </c>
      <c r="C3467" s="1" t="s">
        <v>16</v>
      </c>
      <c r="D3467" s="1" t="s">
        <v>23</v>
      </c>
      <c r="E3467" s="1" t="s">
        <v>28</v>
      </c>
      <c r="F3467" s="1" t="s">
        <v>29</v>
      </c>
      <c r="G3467" s="1" t="s">
        <v>20</v>
      </c>
      <c r="H3467" t="s">
        <v>30</v>
      </c>
      <c r="I3467" s="1" t="s">
        <v>26</v>
      </c>
      <c r="J3467" s="2">
        <v>43531.90587962963</v>
      </c>
      <c r="K3467" s="2">
        <v>43540.90587962963</v>
      </c>
      <c r="L3467" s="2">
        <v>43537.90587962963</v>
      </c>
      <c r="M3467" s="1">
        <f>_xlfn.DAYS(Table1[[#This Row],[actual_delivery_date]],Table1[[#This Row],[dispatch_date]])</f>
        <v>9</v>
      </c>
      <c r="N3467">
        <v>38</v>
      </c>
      <c r="O3467">
        <f>Table1[[#This Row],[transit_storage_cost]] * (1-'What -if Analysis'!$D$26)</f>
        <v>38</v>
      </c>
      <c r="P3467">
        <v>125</v>
      </c>
      <c r="Q3467">
        <v>1286</v>
      </c>
    </row>
    <row r="3468" spans="1:17" x14ac:dyDescent="0.3">
      <c r="A3468">
        <v>350351</v>
      </c>
      <c r="B3468" s="1" t="s">
        <v>37</v>
      </c>
      <c r="C3468" s="1" t="s">
        <v>23</v>
      </c>
      <c r="D3468" s="1" t="s">
        <v>16</v>
      </c>
      <c r="E3468" s="1" t="s">
        <v>27</v>
      </c>
      <c r="F3468" s="1" t="s">
        <v>29</v>
      </c>
      <c r="G3468" s="1" t="s">
        <v>20</v>
      </c>
      <c r="H3468" t="s">
        <v>30</v>
      </c>
      <c r="I3468" s="1" t="s">
        <v>22</v>
      </c>
      <c r="J3468" s="2">
        <v>43532.906273148146</v>
      </c>
      <c r="K3468" s="2">
        <v>43540.906273148146</v>
      </c>
      <c r="L3468" s="2">
        <v>43535.906273148146</v>
      </c>
      <c r="M3468" s="1">
        <f>_xlfn.DAYS(Table1[[#This Row],[actual_delivery_date]],Table1[[#This Row],[dispatch_date]])</f>
        <v>8</v>
      </c>
      <c r="N3468">
        <v>48</v>
      </c>
      <c r="O3468">
        <f>Table1[[#This Row],[transit_storage_cost]] * (1-'What -if Analysis'!$D$26)</f>
        <v>48</v>
      </c>
      <c r="P3468">
        <v>123</v>
      </c>
      <c r="Q3468">
        <v>977.59323377283681</v>
      </c>
    </row>
    <row r="3469" spans="1:17" x14ac:dyDescent="0.3">
      <c r="A3469">
        <v>192049</v>
      </c>
      <c r="B3469" s="1" t="s">
        <v>37</v>
      </c>
      <c r="C3469" s="1" t="s">
        <v>23</v>
      </c>
      <c r="D3469" s="1" t="s">
        <v>17</v>
      </c>
      <c r="E3469" s="1" t="s">
        <v>18</v>
      </c>
      <c r="F3469" s="1" t="s">
        <v>29</v>
      </c>
      <c r="G3469" s="1" t="s">
        <v>20</v>
      </c>
      <c r="H3469" t="s">
        <v>30</v>
      </c>
      <c r="I3469" s="1" t="s">
        <v>22</v>
      </c>
      <c r="J3469" s="2">
        <v>43536.908020833333</v>
      </c>
      <c r="K3469" s="2">
        <v>43540.908020833333</v>
      </c>
      <c r="L3469" s="2">
        <v>43540.908020833333</v>
      </c>
      <c r="M3469" s="1">
        <f>_xlfn.DAYS(Table1[[#This Row],[actual_delivery_date]],Table1[[#This Row],[dispatch_date]])</f>
        <v>4</v>
      </c>
      <c r="N3469">
        <v>31</v>
      </c>
      <c r="O3469">
        <f>Table1[[#This Row],[transit_storage_cost]] * (1-'What -if Analysis'!$D$26)</f>
        <v>31</v>
      </c>
      <c r="P3469">
        <v>106</v>
      </c>
      <c r="Q3469">
        <v>2323</v>
      </c>
    </row>
    <row r="3470" spans="1:17" x14ac:dyDescent="0.3">
      <c r="A3470">
        <v>368320</v>
      </c>
      <c r="B3470" s="1" t="s">
        <v>37</v>
      </c>
      <c r="C3470" s="1" t="s">
        <v>23</v>
      </c>
      <c r="D3470" s="1" t="s">
        <v>24</v>
      </c>
      <c r="E3470" s="1" t="s">
        <v>25</v>
      </c>
      <c r="F3470" s="1" t="s">
        <v>19</v>
      </c>
      <c r="G3470" s="1" t="s">
        <v>20</v>
      </c>
      <c r="H3470" t="s">
        <v>21</v>
      </c>
      <c r="I3470" s="1" t="s">
        <v>22</v>
      </c>
      <c r="J3470" s="2">
        <v>43532.908564814818</v>
      </c>
      <c r="K3470" s="2">
        <v>43540.908564814818</v>
      </c>
      <c r="L3470" s="2">
        <v>43536.908564814818</v>
      </c>
      <c r="M3470" s="1">
        <f>_xlfn.DAYS(Table1[[#This Row],[actual_delivery_date]],Table1[[#This Row],[dispatch_date]])</f>
        <v>8</v>
      </c>
      <c r="N3470">
        <v>71</v>
      </c>
      <c r="O3470">
        <f>Table1[[#This Row],[transit_storage_cost]] * (1-'What -if Analysis'!$D$26)</f>
        <v>71</v>
      </c>
      <c r="P3470">
        <v>105</v>
      </c>
      <c r="Q3470">
        <v>1648.1007055804878</v>
      </c>
    </row>
    <row r="3471" spans="1:17" x14ac:dyDescent="0.3">
      <c r="A3471">
        <v>886634</v>
      </c>
      <c r="B3471" s="1" t="s">
        <v>38</v>
      </c>
      <c r="C3471" s="1" t="s">
        <v>23</v>
      </c>
      <c r="D3471" s="1" t="s">
        <v>17</v>
      </c>
      <c r="E3471" s="1" t="s">
        <v>18</v>
      </c>
      <c r="F3471" s="1" t="s">
        <v>31</v>
      </c>
      <c r="G3471" s="1" t="s">
        <v>20</v>
      </c>
      <c r="H3471" t="s">
        <v>21</v>
      </c>
      <c r="I3471" s="1" t="s">
        <v>22</v>
      </c>
      <c r="J3471" s="2">
        <v>43533.909618055557</v>
      </c>
      <c r="K3471" s="2">
        <v>43540.909618055557</v>
      </c>
      <c r="L3471" s="2">
        <v>43540.909618055557</v>
      </c>
      <c r="M3471" s="1">
        <f>_xlfn.DAYS(Table1[[#This Row],[actual_delivery_date]],Table1[[#This Row],[dispatch_date]])</f>
        <v>7</v>
      </c>
      <c r="N3471">
        <v>26</v>
      </c>
      <c r="O3471">
        <f>Table1[[#This Row],[transit_storage_cost]] * (1-'What -if Analysis'!$D$26)</f>
        <v>26</v>
      </c>
      <c r="P3471">
        <v>112</v>
      </c>
      <c r="Q3471">
        <v>2346.8094083271817</v>
      </c>
    </row>
    <row r="3472" spans="1:17" x14ac:dyDescent="0.3">
      <c r="A3472">
        <v>227918</v>
      </c>
      <c r="B3472" s="1" t="s">
        <v>37</v>
      </c>
      <c r="C3472" s="1" t="s">
        <v>23</v>
      </c>
      <c r="D3472" s="1" t="s">
        <v>16</v>
      </c>
      <c r="E3472" s="1" t="s">
        <v>27</v>
      </c>
      <c r="F3472" s="1" t="s">
        <v>31</v>
      </c>
      <c r="G3472" s="1" t="s">
        <v>20</v>
      </c>
      <c r="H3472" t="s">
        <v>21</v>
      </c>
      <c r="I3472" s="1" t="s">
        <v>22</v>
      </c>
      <c r="J3472" s="2">
        <v>43536.910787037035</v>
      </c>
      <c r="K3472" s="2">
        <v>43540.910787037035</v>
      </c>
      <c r="L3472" s="2">
        <v>43543.910787037035</v>
      </c>
      <c r="M3472" s="1">
        <f>_xlfn.DAYS(Table1[[#This Row],[actual_delivery_date]],Table1[[#This Row],[dispatch_date]])</f>
        <v>4</v>
      </c>
      <c r="N3472">
        <v>42</v>
      </c>
      <c r="O3472">
        <f>Table1[[#This Row],[transit_storage_cost]] * (1-'What -if Analysis'!$D$26)</f>
        <v>42</v>
      </c>
      <c r="P3472">
        <v>124</v>
      </c>
      <c r="Q3472">
        <v>3104.7533941435254</v>
      </c>
    </row>
    <row r="3473" spans="1:17" x14ac:dyDescent="0.3">
      <c r="A3473">
        <v>304253</v>
      </c>
      <c r="B3473" s="1" t="s">
        <v>15</v>
      </c>
      <c r="C3473" s="1" t="s">
        <v>23</v>
      </c>
      <c r="D3473" s="1" t="s">
        <v>16</v>
      </c>
      <c r="E3473" s="1" t="s">
        <v>27</v>
      </c>
      <c r="F3473" s="1" t="s">
        <v>29</v>
      </c>
      <c r="G3473" s="1" t="s">
        <v>20</v>
      </c>
      <c r="H3473" t="s">
        <v>30</v>
      </c>
      <c r="I3473" s="1" t="s">
        <v>22</v>
      </c>
      <c r="J3473" s="2">
        <v>43533.91238425926</v>
      </c>
      <c r="K3473" s="2">
        <v>43540.91238425926</v>
      </c>
      <c r="L3473" s="2">
        <v>43540.91238425926</v>
      </c>
      <c r="M3473" s="1">
        <f>_xlfn.DAYS(Table1[[#This Row],[actual_delivery_date]],Table1[[#This Row],[dispatch_date]])</f>
        <v>7</v>
      </c>
      <c r="N3473">
        <v>30</v>
      </c>
      <c r="O3473">
        <f>Table1[[#This Row],[transit_storage_cost]] * (1-'What -if Analysis'!$D$26)</f>
        <v>30</v>
      </c>
      <c r="P3473">
        <v>129</v>
      </c>
      <c r="Q3473">
        <v>496</v>
      </c>
    </row>
    <row r="3474" spans="1:17" x14ac:dyDescent="0.3">
      <c r="A3474">
        <v>763884</v>
      </c>
      <c r="B3474" s="1" t="s">
        <v>37</v>
      </c>
      <c r="C3474" s="1" t="s">
        <v>16</v>
      </c>
      <c r="D3474" s="1" t="s">
        <v>16</v>
      </c>
      <c r="E3474" s="1" t="s">
        <v>27</v>
      </c>
      <c r="F3474" s="1" t="s">
        <v>19</v>
      </c>
      <c r="G3474" s="1" t="s">
        <v>20</v>
      </c>
      <c r="H3474" t="s">
        <v>21</v>
      </c>
      <c r="I3474" s="1" t="s">
        <v>26</v>
      </c>
      <c r="J3474" s="2">
        <v>43535.913807870369</v>
      </c>
      <c r="K3474" s="2">
        <v>43540.913807870369</v>
      </c>
      <c r="L3474" s="2">
        <v>43541.913807870369</v>
      </c>
      <c r="M3474" s="1">
        <f>_xlfn.DAYS(Table1[[#This Row],[actual_delivery_date]],Table1[[#This Row],[dispatch_date]])</f>
        <v>5</v>
      </c>
      <c r="N3474">
        <v>0</v>
      </c>
      <c r="O3474">
        <f>Table1[[#This Row],[transit_storage_cost]] * (1-'What -if Analysis'!$D$26)</f>
        <v>0</v>
      </c>
      <c r="P3474">
        <v>123</v>
      </c>
      <c r="Q3474">
        <v>3586</v>
      </c>
    </row>
    <row r="3475" spans="1:17" x14ac:dyDescent="0.3">
      <c r="A3475">
        <v>414732</v>
      </c>
      <c r="B3475" s="1" t="s">
        <v>39</v>
      </c>
      <c r="C3475" s="1" t="s">
        <v>23</v>
      </c>
      <c r="D3475" s="1" t="s">
        <v>16</v>
      </c>
      <c r="E3475" s="1" t="s">
        <v>27</v>
      </c>
      <c r="F3475" s="1" t="s">
        <v>19</v>
      </c>
      <c r="G3475" s="1" t="s">
        <v>20</v>
      </c>
      <c r="H3475" t="s">
        <v>21</v>
      </c>
      <c r="I3475" s="1" t="s">
        <v>26</v>
      </c>
      <c r="J3475" s="2">
        <v>43537.918634259258</v>
      </c>
      <c r="K3475" s="2">
        <v>43540.918634259258</v>
      </c>
      <c r="L3475" s="2">
        <v>43544.918634259258</v>
      </c>
      <c r="M3475" s="1">
        <f>_xlfn.DAYS(Table1[[#This Row],[actual_delivery_date]],Table1[[#This Row],[dispatch_date]])</f>
        <v>3</v>
      </c>
      <c r="N3475">
        <v>85</v>
      </c>
      <c r="O3475">
        <f>Table1[[#This Row],[transit_storage_cost]] * (1-'What -if Analysis'!$D$26)</f>
        <v>85</v>
      </c>
      <c r="P3475">
        <v>107</v>
      </c>
      <c r="Q3475">
        <v>1664.067446282967</v>
      </c>
    </row>
    <row r="3476" spans="1:17" x14ac:dyDescent="0.3">
      <c r="A3476">
        <v>735398</v>
      </c>
      <c r="B3476" s="1" t="s">
        <v>37</v>
      </c>
      <c r="C3476" s="1" t="s">
        <v>16</v>
      </c>
      <c r="D3476" s="1" t="s">
        <v>17</v>
      </c>
      <c r="E3476" s="1" t="s">
        <v>18</v>
      </c>
      <c r="F3476" s="1" t="s">
        <v>19</v>
      </c>
      <c r="G3476" s="1" t="s">
        <v>20</v>
      </c>
      <c r="H3476" t="s">
        <v>21</v>
      </c>
      <c r="I3476" s="1" t="s">
        <v>22</v>
      </c>
      <c r="J3476" s="2">
        <v>43536.919386574074</v>
      </c>
      <c r="K3476" s="2">
        <v>43540.919386574074</v>
      </c>
      <c r="L3476" s="2">
        <v>43541.919386574074</v>
      </c>
      <c r="M3476" s="1">
        <f>_xlfn.DAYS(Table1[[#This Row],[actual_delivery_date]],Table1[[#This Row],[dispatch_date]])</f>
        <v>4</v>
      </c>
      <c r="N3476">
        <v>73</v>
      </c>
      <c r="O3476">
        <f>Table1[[#This Row],[transit_storage_cost]] * (1-'What -if Analysis'!$D$26)</f>
        <v>73</v>
      </c>
      <c r="P3476">
        <v>91</v>
      </c>
      <c r="Q3476">
        <v>2254</v>
      </c>
    </row>
    <row r="3477" spans="1:17" x14ac:dyDescent="0.3">
      <c r="A3477">
        <v>189272</v>
      </c>
      <c r="B3477" s="1" t="s">
        <v>37</v>
      </c>
      <c r="C3477" s="1" t="s">
        <v>23</v>
      </c>
      <c r="D3477" s="1" t="s">
        <v>16</v>
      </c>
      <c r="E3477" s="1" t="s">
        <v>27</v>
      </c>
      <c r="F3477" s="1" t="s">
        <v>19</v>
      </c>
      <c r="G3477" s="1" t="s">
        <v>20</v>
      </c>
      <c r="H3477" t="s">
        <v>21</v>
      </c>
      <c r="I3477" s="1" t="s">
        <v>22</v>
      </c>
      <c r="J3477" s="2">
        <v>43534.919421296298</v>
      </c>
      <c r="K3477" s="2">
        <v>43540.919421296298</v>
      </c>
      <c r="L3477" s="2">
        <v>43541.919421296298</v>
      </c>
      <c r="M3477" s="1">
        <f>_xlfn.DAYS(Table1[[#This Row],[actual_delivery_date]],Table1[[#This Row],[dispatch_date]])</f>
        <v>6</v>
      </c>
      <c r="N3477">
        <v>71</v>
      </c>
      <c r="O3477">
        <f>Table1[[#This Row],[transit_storage_cost]] * (1-'What -if Analysis'!$D$26)</f>
        <v>71</v>
      </c>
      <c r="P3477">
        <v>104</v>
      </c>
      <c r="Q3477">
        <v>1956.5192795043097</v>
      </c>
    </row>
    <row r="3478" spans="1:17" x14ac:dyDescent="0.3">
      <c r="A3478">
        <v>501750</v>
      </c>
      <c r="B3478" s="1" t="s">
        <v>38</v>
      </c>
      <c r="C3478" s="1" t="s">
        <v>16</v>
      </c>
      <c r="D3478" s="1" t="s">
        <v>23</v>
      </c>
      <c r="E3478" s="1" t="s">
        <v>28</v>
      </c>
      <c r="F3478" s="1" t="s">
        <v>19</v>
      </c>
      <c r="G3478" s="1" t="s">
        <v>20</v>
      </c>
      <c r="H3478" t="s">
        <v>21</v>
      </c>
      <c r="I3478" s="1" t="s">
        <v>26</v>
      </c>
      <c r="J3478" s="2">
        <v>43534.922002314815</v>
      </c>
      <c r="K3478" s="2">
        <v>43540.922002314815</v>
      </c>
      <c r="L3478" s="2">
        <v>43537.922002314815</v>
      </c>
      <c r="M3478" s="1">
        <f>_xlfn.DAYS(Table1[[#This Row],[actual_delivery_date]],Table1[[#This Row],[dispatch_date]])</f>
        <v>6</v>
      </c>
      <c r="N3478">
        <v>60</v>
      </c>
      <c r="O3478">
        <f>Table1[[#This Row],[transit_storage_cost]] * (1-'What -if Analysis'!$D$26)</f>
        <v>60</v>
      </c>
      <c r="P3478">
        <v>110</v>
      </c>
      <c r="Q3478">
        <v>803</v>
      </c>
    </row>
    <row r="3479" spans="1:17" x14ac:dyDescent="0.3">
      <c r="A3479">
        <v>987529</v>
      </c>
      <c r="B3479" s="1" t="s">
        <v>40</v>
      </c>
      <c r="C3479" s="1" t="s">
        <v>23</v>
      </c>
      <c r="D3479" s="1" t="s">
        <v>17</v>
      </c>
      <c r="E3479" s="1" t="s">
        <v>18</v>
      </c>
      <c r="F3479" s="1" t="s">
        <v>29</v>
      </c>
      <c r="G3479" s="1" t="s">
        <v>20</v>
      </c>
      <c r="H3479" t="s">
        <v>30</v>
      </c>
      <c r="I3479" s="1" t="s">
        <v>22</v>
      </c>
      <c r="J3479" s="2">
        <v>43534.926192129627</v>
      </c>
      <c r="K3479" s="2">
        <v>43540.926192129627</v>
      </c>
      <c r="L3479" s="2">
        <v>43540.926192129627</v>
      </c>
      <c r="M3479" s="1">
        <f>_xlfn.DAYS(Table1[[#This Row],[actual_delivery_date]],Table1[[#This Row],[dispatch_date]])</f>
        <v>6</v>
      </c>
      <c r="N3479">
        <v>48</v>
      </c>
      <c r="O3479">
        <f>Table1[[#This Row],[transit_storage_cost]] * (1-'What -if Analysis'!$D$26)</f>
        <v>48</v>
      </c>
      <c r="P3479">
        <v>106</v>
      </c>
      <c r="Q3479">
        <v>3068.1022266210111</v>
      </c>
    </row>
    <row r="3480" spans="1:17" x14ac:dyDescent="0.3">
      <c r="A3480">
        <v>95869</v>
      </c>
      <c r="B3480" s="1" t="s">
        <v>37</v>
      </c>
      <c r="C3480" s="1" t="s">
        <v>16</v>
      </c>
      <c r="D3480" s="1" t="s">
        <v>24</v>
      </c>
      <c r="E3480" s="1" t="s">
        <v>25</v>
      </c>
      <c r="F3480" s="1" t="s">
        <v>19</v>
      </c>
      <c r="G3480" s="1" t="s">
        <v>20</v>
      </c>
      <c r="H3480" t="s">
        <v>30</v>
      </c>
      <c r="I3480" s="1" t="s">
        <v>22</v>
      </c>
      <c r="J3480" s="2">
        <v>43535.926666666666</v>
      </c>
      <c r="K3480" s="2">
        <v>43540.926666666666</v>
      </c>
      <c r="L3480" s="2">
        <v>43541.926666666666</v>
      </c>
      <c r="M3480" s="1">
        <f>_xlfn.DAYS(Table1[[#This Row],[actual_delivery_date]],Table1[[#This Row],[dispatch_date]])</f>
        <v>5</v>
      </c>
      <c r="N3480">
        <v>89</v>
      </c>
      <c r="O3480">
        <f>Table1[[#This Row],[transit_storage_cost]] * (1-'What -if Analysis'!$D$26)</f>
        <v>89</v>
      </c>
      <c r="P3480">
        <v>104</v>
      </c>
      <c r="Q3480">
        <v>1902.6802493922571</v>
      </c>
    </row>
    <row r="3481" spans="1:17" x14ac:dyDescent="0.3">
      <c r="A3481">
        <v>44809</v>
      </c>
      <c r="B3481" s="1" t="s">
        <v>39</v>
      </c>
      <c r="C3481" s="1" t="s">
        <v>16</v>
      </c>
      <c r="D3481" s="1" t="s">
        <v>23</v>
      </c>
      <c r="E3481" s="1" t="s">
        <v>28</v>
      </c>
      <c r="F3481" s="1" t="s">
        <v>19</v>
      </c>
      <c r="G3481" s="1" t="s">
        <v>20</v>
      </c>
      <c r="H3481" t="s">
        <v>30</v>
      </c>
      <c r="I3481" s="1" t="s">
        <v>22</v>
      </c>
      <c r="J3481" s="2">
        <v>43535.929502314815</v>
      </c>
      <c r="K3481" s="2">
        <v>43540.929502314815</v>
      </c>
      <c r="L3481" s="2">
        <v>43540.929502314815</v>
      </c>
      <c r="M3481" s="1">
        <f>_xlfn.DAYS(Table1[[#This Row],[actual_delivery_date]],Table1[[#This Row],[dispatch_date]])</f>
        <v>5</v>
      </c>
      <c r="N3481">
        <v>65</v>
      </c>
      <c r="O3481">
        <f>Table1[[#This Row],[transit_storage_cost]] * (1-'What -if Analysis'!$D$26)</f>
        <v>65</v>
      </c>
      <c r="P3481">
        <v>103</v>
      </c>
      <c r="Q3481">
        <v>791.6164311104834</v>
      </c>
    </row>
    <row r="3482" spans="1:17" x14ac:dyDescent="0.3">
      <c r="A3482">
        <v>577234</v>
      </c>
      <c r="B3482" s="1" t="s">
        <v>37</v>
      </c>
      <c r="C3482" s="1" t="s">
        <v>23</v>
      </c>
      <c r="D3482" s="1" t="s">
        <v>32</v>
      </c>
      <c r="E3482" s="1" t="s">
        <v>33</v>
      </c>
      <c r="F3482" s="1" t="s">
        <v>31</v>
      </c>
      <c r="G3482" s="1" t="s">
        <v>20</v>
      </c>
      <c r="H3482" t="s">
        <v>21</v>
      </c>
      <c r="I3482" s="1" t="s">
        <v>22</v>
      </c>
      <c r="J3482" s="2">
        <v>43534.930995370371</v>
      </c>
      <c r="K3482" s="2">
        <v>43540.930995370371</v>
      </c>
      <c r="L3482" s="2">
        <v>43541.930995370371</v>
      </c>
      <c r="M3482" s="1">
        <f>_xlfn.DAYS(Table1[[#This Row],[actual_delivery_date]],Table1[[#This Row],[dispatch_date]])</f>
        <v>6</v>
      </c>
      <c r="N3482">
        <v>40</v>
      </c>
      <c r="O3482">
        <f>Table1[[#This Row],[transit_storage_cost]] * (1-'What -if Analysis'!$D$26)</f>
        <v>40</v>
      </c>
      <c r="P3482">
        <v>112</v>
      </c>
      <c r="Q3482">
        <v>2802.3919362698502</v>
      </c>
    </row>
    <row r="3483" spans="1:17" x14ac:dyDescent="0.3">
      <c r="A3483">
        <v>394835</v>
      </c>
      <c r="B3483" s="1" t="s">
        <v>38</v>
      </c>
      <c r="C3483" s="1" t="s">
        <v>16</v>
      </c>
      <c r="D3483" s="1" t="s">
        <v>17</v>
      </c>
      <c r="E3483" s="1" t="s">
        <v>18</v>
      </c>
      <c r="F3483" s="1" t="s">
        <v>29</v>
      </c>
      <c r="G3483" s="1" t="s">
        <v>20</v>
      </c>
      <c r="H3483" t="s">
        <v>34</v>
      </c>
      <c r="I3483" s="1" t="s">
        <v>22</v>
      </c>
      <c r="J3483" s="2">
        <v>43535.931331018517</v>
      </c>
      <c r="K3483" s="2">
        <v>43540.931331018517</v>
      </c>
      <c r="L3483" s="2">
        <v>43538.931331018517</v>
      </c>
      <c r="M3483" s="1">
        <f>_xlfn.DAYS(Table1[[#This Row],[actual_delivery_date]],Table1[[#This Row],[dispatch_date]])</f>
        <v>5</v>
      </c>
      <c r="N3483">
        <v>32</v>
      </c>
      <c r="O3483">
        <f>Table1[[#This Row],[transit_storage_cost]] * (1-'What -if Analysis'!$D$26)</f>
        <v>32</v>
      </c>
      <c r="P3483">
        <v>111</v>
      </c>
      <c r="Q3483">
        <v>998.22390760674386</v>
      </c>
    </row>
    <row r="3484" spans="1:17" x14ac:dyDescent="0.3">
      <c r="A3484">
        <v>701939</v>
      </c>
      <c r="B3484" s="1" t="s">
        <v>15</v>
      </c>
      <c r="C3484" s="1" t="s">
        <v>16</v>
      </c>
      <c r="D3484" s="1" t="s">
        <v>23</v>
      </c>
      <c r="E3484" s="1" t="s">
        <v>28</v>
      </c>
      <c r="F3484" s="1" t="s">
        <v>19</v>
      </c>
      <c r="G3484" s="1" t="s">
        <v>20</v>
      </c>
      <c r="H3484" t="s">
        <v>34</v>
      </c>
      <c r="I3484" s="1" t="s">
        <v>22</v>
      </c>
      <c r="J3484" s="2">
        <v>43538.939432870371</v>
      </c>
      <c r="K3484" s="2">
        <v>43540.939432870371</v>
      </c>
      <c r="L3484" s="2">
        <v>43542.939432870371</v>
      </c>
      <c r="M3484" s="1">
        <f>_xlfn.DAYS(Table1[[#This Row],[actual_delivery_date]],Table1[[#This Row],[dispatch_date]])</f>
        <v>2</v>
      </c>
      <c r="N3484">
        <v>72</v>
      </c>
      <c r="O3484">
        <f>Table1[[#This Row],[transit_storage_cost]] * (1-'What -if Analysis'!$D$26)</f>
        <v>72</v>
      </c>
      <c r="P3484">
        <v>104</v>
      </c>
      <c r="Q3484">
        <v>543.92847182299624</v>
      </c>
    </row>
    <row r="3485" spans="1:17" x14ac:dyDescent="0.3">
      <c r="A3485">
        <v>84507</v>
      </c>
      <c r="B3485" s="1" t="s">
        <v>38</v>
      </c>
      <c r="C3485" s="1" t="s">
        <v>23</v>
      </c>
      <c r="D3485" s="1" t="s">
        <v>24</v>
      </c>
      <c r="E3485" s="1" t="s">
        <v>25</v>
      </c>
      <c r="F3485" s="1" t="s">
        <v>29</v>
      </c>
      <c r="G3485" s="1" t="s">
        <v>20</v>
      </c>
      <c r="H3485" t="s">
        <v>30</v>
      </c>
      <c r="I3485" s="1" t="s">
        <v>26</v>
      </c>
      <c r="J3485" s="2">
        <v>43538.939756944441</v>
      </c>
      <c r="K3485" s="2">
        <v>43540.939756944441</v>
      </c>
      <c r="L3485" s="2">
        <v>43541.939756944441</v>
      </c>
      <c r="M3485" s="1">
        <f>_xlfn.DAYS(Table1[[#This Row],[actual_delivery_date]],Table1[[#This Row],[dispatch_date]])</f>
        <v>2</v>
      </c>
      <c r="N3485">
        <v>41</v>
      </c>
      <c r="O3485">
        <f>Table1[[#This Row],[transit_storage_cost]] * (1-'What -if Analysis'!$D$26)</f>
        <v>41</v>
      </c>
      <c r="P3485">
        <v>124</v>
      </c>
      <c r="Q3485">
        <v>2287</v>
      </c>
    </row>
    <row r="3486" spans="1:17" x14ac:dyDescent="0.3">
      <c r="A3486">
        <v>538190</v>
      </c>
      <c r="B3486" s="1" t="s">
        <v>39</v>
      </c>
      <c r="C3486" s="1" t="s">
        <v>16</v>
      </c>
      <c r="D3486" s="1" t="s">
        <v>17</v>
      </c>
      <c r="E3486" s="1" t="s">
        <v>18</v>
      </c>
      <c r="F3486" s="1" t="s">
        <v>19</v>
      </c>
      <c r="G3486" s="1" t="s">
        <v>20</v>
      </c>
      <c r="H3486" t="s">
        <v>21</v>
      </c>
      <c r="I3486" s="1" t="s">
        <v>22</v>
      </c>
      <c r="J3486" s="2">
        <v>43535.943425925929</v>
      </c>
      <c r="K3486" s="2">
        <v>43540.943425925929</v>
      </c>
      <c r="L3486" s="2">
        <v>43540.943425925929</v>
      </c>
      <c r="M3486" s="1">
        <f>_xlfn.DAYS(Table1[[#This Row],[actual_delivery_date]],Table1[[#This Row],[dispatch_date]])</f>
        <v>5</v>
      </c>
      <c r="N3486">
        <v>78</v>
      </c>
      <c r="O3486">
        <f>Table1[[#This Row],[transit_storage_cost]] * (1-'What -if Analysis'!$D$26)</f>
        <v>78</v>
      </c>
      <c r="P3486">
        <v>90</v>
      </c>
      <c r="Q3486">
        <v>1242.6416314212595</v>
      </c>
    </row>
    <row r="3487" spans="1:17" x14ac:dyDescent="0.3">
      <c r="A3487">
        <v>8279</v>
      </c>
      <c r="B3487" s="1" t="s">
        <v>38</v>
      </c>
      <c r="C3487" s="1" t="s">
        <v>16</v>
      </c>
      <c r="D3487" s="1" t="s">
        <v>17</v>
      </c>
      <c r="E3487" s="1" t="s">
        <v>18</v>
      </c>
      <c r="F3487" s="1" t="s">
        <v>19</v>
      </c>
      <c r="G3487" s="1" t="s">
        <v>20</v>
      </c>
      <c r="H3487" t="s">
        <v>30</v>
      </c>
      <c r="I3487" s="1" t="s">
        <v>22</v>
      </c>
      <c r="J3487" s="2">
        <v>43538.948101851849</v>
      </c>
      <c r="K3487" s="2">
        <v>43540.948101851849</v>
      </c>
      <c r="L3487" s="2">
        <v>43544.948101851849</v>
      </c>
      <c r="M3487" s="1">
        <f>_xlfn.DAYS(Table1[[#This Row],[actual_delivery_date]],Table1[[#This Row],[dispatch_date]])</f>
        <v>2</v>
      </c>
      <c r="N3487">
        <v>62</v>
      </c>
      <c r="O3487">
        <f>Table1[[#This Row],[transit_storage_cost]] * (1-'What -if Analysis'!$D$26)</f>
        <v>62</v>
      </c>
      <c r="P3487">
        <v>91</v>
      </c>
      <c r="Q3487">
        <v>2761.3103665847884</v>
      </c>
    </row>
    <row r="3488" spans="1:17" x14ac:dyDescent="0.3">
      <c r="A3488">
        <v>931058</v>
      </c>
      <c r="B3488" s="1" t="s">
        <v>39</v>
      </c>
      <c r="C3488" s="1" t="s">
        <v>16</v>
      </c>
      <c r="D3488" s="1" t="s">
        <v>17</v>
      </c>
      <c r="E3488" s="1" t="s">
        <v>18</v>
      </c>
      <c r="F3488" s="1" t="s">
        <v>31</v>
      </c>
      <c r="G3488" s="1" t="s">
        <v>20</v>
      </c>
      <c r="H3488" t="s">
        <v>21</v>
      </c>
      <c r="I3488" s="1" t="s">
        <v>22</v>
      </c>
      <c r="J3488" s="2">
        <v>43537.948217592595</v>
      </c>
      <c r="K3488" s="2">
        <v>43540.948217592595</v>
      </c>
      <c r="L3488" s="2">
        <v>43544.948217592595</v>
      </c>
      <c r="M3488" s="1">
        <f>_xlfn.DAYS(Table1[[#This Row],[actual_delivery_date]],Table1[[#This Row],[dispatch_date]])</f>
        <v>3</v>
      </c>
      <c r="N3488">
        <v>38</v>
      </c>
      <c r="O3488">
        <f>Table1[[#This Row],[transit_storage_cost]] * (1-'What -if Analysis'!$D$26)</f>
        <v>38</v>
      </c>
      <c r="P3488">
        <v>106</v>
      </c>
      <c r="Q3488">
        <v>901.3926348461456</v>
      </c>
    </row>
    <row r="3489" spans="1:17" x14ac:dyDescent="0.3">
      <c r="A3489">
        <v>110907</v>
      </c>
      <c r="B3489" s="1" t="s">
        <v>15</v>
      </c>
      <c r="C3489" s="1" t="s">
        <v>16</v>
      </c>
      <c r="D3489" s="1" t="s">
        <v>23</v>
      </c>
      <c r="E3489" s="1" t="s">
        <v>28</v>
      </c>
      <c r="F3489" s="1" t="s">
        <v>29</v>
      </c>
      <c r="G3489" s="1" t="s">
        <v>20</v>
      </c>
      <c r="H3489" t="s">
        <v>30</v>
      </c>
      <c r="I3489" s="1" t="s">
        <v>26</v>
      </c>
      <c r="J3489" s="2">
        <v>43536.950509259259</v>
      </c>
      <c r="K3489" s="2">
        <v>43540.950509259259</v>
      </c>
      <c r="L3489" s="2">
        <v>43541.950509259259</v>
      </c>
      <c r="M3489" s="1">
        <f>_xlfn.DAYS(Table1[[#This Row],[actual_delivery_date]],Table1[[#This Row],[dispatch_date]])</f>
        <v>4</v>
      </c>
      <c r="N3489">
        <v>33</v>
      </c>
      <c r="O3489">
        <f>Table1[[#This Row],[transit_storage_cost]] * (1-'What -if Analysis'!$D$26)</f>
        <v>33</v>
      </c>
      <c r="P3489">
        <v>126</v>
      </c>
      <c r="Q3489">
        <v>2209.7472979424197</v>
      </c>
    </row>
    <row r="3490" spans="1:17" x14ac:dyDescent="0.3">
      <c r="A3490">
        <v>96178</v>
      </c>
      <c r="B3490" s="1" t="s">
        <v>38</v>
      </c>
      <c r="C3490" s="1" t="s">
        <v>16</v>
      </c>
      <c r="D3490" s="1" t="s">
        <v>17</v>
      </c>
      <c r="E3490" s="1" t="s">
        <v>18</v>
      </c>
      <c r="F3490" s="1" t="s">
        <v>19</v>
      </c>
      <c r="G3490" s="1" t="s">
        <v>20</v>
      </c>
      <c r="H3490" t="s">
        <v>21</v>
      </c>
      <c r="I3490" s="1" t="s">
        <v>22</v>
      </c>
      <c r="J3490" s="2">
        <v>43536.95385416667</v>
      </c>
      <c r="K3490" s="2">
        <v>43540.95385416667</v>
      </c>
      <c r="L3490" s="2">
        <v>43542.95385416667</v>
      </c>
      <c r="M3490" s="1">
        <f>_xlfn.DAYS(Table1[[#This Row],[actual_delivery_date]],Table1[[#This Row],[dispatch_date]])</f>
        <v>4</v>
      </c>
      <c r="N3490">
        <v>67</v>
      </c>
      <c r="O3490">
        <f>Table1[[#This Row],[transit_storage_cost]] * (1-'What -if Analysis'!$D$26)</f>
        <v>67</v>
      </c>
      <c r="P3490">
        <v>88</v>
      </c>
      <c r="Q3490">
        <v>3283.2223254378691</v>
      </c>
    </row>
    <row r="3491" spans="1:17" x14ac:dyDescent="0.3">
      <c r="A3491">
        <v>17344</v>
      </c>
      <c r="B3491" s="1" t="s">
        <v>39</v>
      </c>
      <c r="C3491" s="1" t="s">
        <v>23</v>
      </c>
      <c r="D3491" s="1" t="s">
        <v>17</v>
      </c>
      <c r="E3491" s="1" t="s">
        <v>18</v>
      </c>
      <c r="F3491" s="1" t="s">
        <v>19</v>
      </c>
      <c r="G3491" s="1" t="s">
        <v>20</v>
      </c>
      <c r="H3491" t="s">
        <v>21</v>
      </c>
      <c r="I3491" s="1" t="s">
        <v>22</v>
      </c>
      <c r="J3491" s="2">
        <v>43536.954907407409</v>
      </c>
      <c r="K3491" s="2">
        <v>43540.954907407409</v>
      </c>
      <c r="L3491" s="2">
        <v>43539.954907407409</v>
      </c>
      <c r="M3491" s="1">
        <f>_xlfn.DAYS(Table1[[#This Row],[actual_delivery_date]],Table1[[#This Row],[dispatch_date]])</f>
        <v>4</v>
      </c>
      <c r="N3491">
        <v>38</v>
      </c>
      <c r="O3491">
        <f>Table1[[#This Row],[transit_storage_cost]] * (1-'What -if Analysis'!$D$26)</f>
        <v>38</v>
      </c>
      <c r="P3491">
        <v>113</v>
      </c>
      <c r="Q3491">
        <v>2617.6957384017992</v>
      </c>
    </row>
    <row r="3492" spans="1:17" x14ac:dyDescent="0.3">
      <c r="A3492">
        <v>182315</v>
      </c>
      <c r="B3492" s="1" t="s">
        <v>37</v>
      </c>
      <c r="C3492" s="1" t="s">
        <v>16</v>
      </c>
      <c r="D3492" s="1" t="s">
        <v>24</v>
      </c>
      <c r="E3492" s="1" t="s">
        <v>25</v>
      </c>
      <c r="F3492" s="1" t="s">
        <v>29</v>
      </c>
      <c r="G3492" s="1" t="s">
        <v>20</v>
      </c>
      <c r="H3492" t="s">
        <v>34</v>
      </c>
      <c r="I3492" s="1" t="s">
        <v>22</v>
      </c>
      <c r="J3492" s="2">
        <v>43535.955439814818</v>
      </c>
      <c r="K3492" s="2">
        <v>43540.955439814818</v>
      </c>
      <c r="L3492" s="2">
        <v>43538.955439814818</v>
      </c>
      <c r="M3492" s="1">
        <f>_xlfn.DAYS(Table1[[#This Row],[actual_delivery_date]],Table1[[#This Row],[dispatch_date]])</f>
        <v>5</v>
      </c>
      <c r="N3492">
        <v>43</v>
      </c>
      <c r="O3492">
        <f>Table1[[#This Row],[transit_storage_cost]] * (1-'What -if Analysis'!$D$26)</f>
        <v>43</v>
      </c>
      <c r="P3492">
        <v>127</v>
      </c>
      <c r="Q3492">
        <v>3560.8531457249642</v>
      </c>
    </row>
    <row r="3493" spans="1:17" x14ac:dyDescent="0.3">
      <c r="A3493">
        <v>12731</v>
      </c>
      <c r="B3493" s="1" t="s">
        <v>41</v>
      </c>
      <c r="C3493" s="1" t="s">
        <v>16</v>
      </c>
      <c r="D3493" s="1" t="s">
        <v>23</v>
      </c>
      <c r="E3493" s="1" t="s">
        <v>28</v>
      </c>
      <c r="F3493" s="1" t="s">
        <v>29</v>
      </c>
      <c r="G3493" s="1" t="s">
        <v>20</v>
      </c>
      <c r="H3493" t="s">
        <v>30</v>
      </c>
      <c r="I3493" s="1" t="s">
        <v>22</v>
      </c>
      <c r="J3493" s="2">
        <v>43532.957245370373</v>
      </c>
      <c r="K3493" s="2">
        <v>43540.957245370373</v>
      </c>
      <c r="L3493" s="2">
        <v>43535.957245370373</v>
      </c>
      <c r="M3493" s="1">
        <f>_xlfn.DAYS(Table1[[#This Row],[actual_delivery_date]],Table1[[#This Row],[dispatch_date]])</f>
        <v>8</v>
      </c>
      <c r="N3493">
        <v>47</v>
      </c>
      <c r="O3493">
        <f>Table1[[#This Row],[transit_storage_cost]] * (1-'What -if Analysis'!$D$26)</f>
        <v>47</v>
      </c>
      <c r="P3493">
        <v>127</v>
      </c>
      <c r="Q3493">
        <v>2517.5595184100821</v>
      </c>
    </row>
    <row r="3494" spans="1:17" x14ac:dyDescent="0.3">
      <c r="A3494">
        <v>262822</v>
      </c>
      <c r="B3494" s="1" t="s">
        <v>40</v>
      </c>
      <c r="C3494" s="1" t="s">
        <v>23</v>
      </c>
      <c r="D3494" s="1" t="s">
        <v>24</v>
      </c>
      <c r="E3494" s="1" t="s">
        <v>25</v>
      </c>
      <c r="F3494" s="1" t="s">
        <v>31</v>
      </c>
      <c r="G3494" s="1" t="s">
        <v>20</v>
      </c>
      <c r="H3494" t="s">
        <v>21</v>
      </c>
      <c r="I3494" s="1" t="s">
        <v>22</v>
      </c>
      <c r="J3494" s="2">
        <v>43536.959432870368</v>
      </c>
      <c r="K3494" s="2">
        <v>43540.959432870368</v>
      </c>
      <c r="L3494" s="2">
        <v>43539.959432870368</v>
      </c>
      <c r="M3494" s="1">
        <f>_xlfn.DAYS(Table1[[#This Row],[actual_delivery_date]],Table1[[#This Row],[dispatch_date]])</f>
        <v>4</v>
      </c>
      <c r="N3494">
        <v>46</v>
      </c>
      <c r="O3494">
        <f>Table1[[#This Row],[transit_storage_cost]] * (1-'What -if Analysis'!$D$26)</f>
        <v>46</v>
      </c>
      <c r="P3494">
        <v>129</v>
      </c>
      <c r="Q3494">
        <v>2637.366471009233</v>
      </c>
    </row>
    <row r="3495" spans="1:17" x14ac:dyDescent="0.3">
      <c r="A3495">
        <v>377661</v>
      </c>
      <c r="B3495" s="1" t="s">
        <v>39</v>
      </c>
      <c r="C3495" s="1" t="s">
        <v>23</v>
      </c>
      <c r="D3495" s="1" t="s">
        <v>17</v>
      </c>
      <c r="E3495" s="1" t="s">
        <v>18</v>
      </c>
      <c r="F3495" s="1" t="s">
        <v>29</v>
      </c>
      <c r="G3495" s="1" t="s">
        <v>20</v>
      </c>
      <c r="H3495" t="s">
        <v>30</v>
      </c>
      <c r="I3495" s="1" t="s">
        <v>26</v>
      </c>
      <c r="J3495" s="2">
        <v>43534.960185185184</v>
      </c>
      <c r="K3495" s="2">
        <v>43540.960185185184</v>
      </c>
      <c r="L3495" s="2">
        <v>43537.960185185184</v>
      </c>
      <c r="M3495" s="1">
        <f>_xlfn.DAYS(Table1[[#This Row],[actual_delivery_date]],Table1[[#This Row],[dispatch_date]])</f>
        <v>6</v>
      </c>
      <c r="N3495">
        <v>45</v>
      </c>
      <c r="O3495">
        <f>Table1[[#This Row],[transit_storage_cost]] * (1-'What -if Analysis'!$D$26)</f>
        <v>45</v>
      </c>
      <c r="P3495">
        <v>108</v>
      </c>
      <c r="Q3495">
        <v>1410.5845948982733</v>
      </c>
    </row>
    <row r="3496" spans="1:17" x14ac:dyDescent="0.3">
      <c r="A3496">
        <v>371741</v>
      </c>
      <c r="B3496" s="1" t="s">
        <v>39</v>
      </c>
      <c r="C3496" s="1" t="s">
        <v>23</v>
      </c>
      <c r="D3496" s="1" t="s">
        <v>24</v>
      </c>
      <c r="E3496" s="1" t="s">
        <v>25</v>
      </c>
      <c r="F3496" s="1" t="s">
        <v>29</v>
      </c>
      <c r="G3496" s="1" t="s">
        <v>36</v>
      </c>
      <c r="H3496" t="s">
        <v>30</v>
      </c>
      <c r="I3496" s="1" t="s">
        <v>22</v>
      </c>
      <c r="J3496" s="2">
        <v>43538.960960648146</v>
      </c>
      <c r="K3496" s="2">
        <v>43540.960960648146</v>
      </c>
      <c r="L3496" s="2">
        <v>43542.960960648146</v>
      </c>
      <c r="M3496" s="1">
        <f>_xlfn.DAYS(Table1[[#This Row],[actual_delivery_date]],Table1[[#This Row],[dispatch_date]])</f>
        <v>2</v>
      </c>
      <c r="N3496">
        <v>25</v>
      </c>
      <c r="O3496">
        <f>Table1[[#This Row],[transit_storage_cost]] * (1-'What -if Analysis'!$D$26)</f>
        <v>25</v>
      </c>
      <c r="P3496">
        <v>123</v>
      </c>
      <c r="Q3496">
        <v>1068</v>
      </c>
    </row>
    <row r="3497" spans="1:17" x14ac:dyDescent="0.3">
      <c r="A3497">
        <v>224936</v>
      </c>
      <c r="B3497" s="1" t="s">
        <v>41</v>
      </c>
      <c r="C3497" s="1" t="s">
        <v>16</v>
      </c>
      <c r="D3497" s="1" t="s">
        <v>24</v>
      </c>
      <c r="E3497" s="1" t="s">
        <v>25</v>
      </c>
      <c r="F3497" s="1" t="s">
        <v>19</v>
      </c>
      <c r="G3497" s="1" t="s">
        <v>20</v>
      </c>
      <c r="H3497" t="s">
        <v>21</v>
      </c>
      <c r="I3497" s="1" t="s">
        <v>22</v>
      </c>
      <c r="J3497" s="2">
        <v>43531.962118055555</v>
      </c>
      <c r="K3497" s="2">
        <v>43540.962118055555</v>
      </c>
      <c r="L3497" s="2">
        <v>43537.962118055555</v>
      </c>
      <c r="M3497" s="1">
        <f>_xlfn.DAYS(Table1[[#This Row],[actual_delivery_date]],Table1[[#This Row],[dispatch_date]])</f>
        <v>9</v>
      </c>
      <c r="N3497">
        <v>46</v>
      </c>
      <c r="O3497">
        <f>Table1[[#This Row],[transit_storage_cost]] * (1-'What -if Analysis'!$D$26)</f>
        <v>46</v>
      </c>
      <c r="P3497">
        <v>121</v>
      </c>
      <c r="Q3497">
        <v>3426.7085144000757</v>
      </c>
    </row>
    <row r="3498" spans="1:17" x14ac:dyDescent="0.3">
      <c r="A3498">
        <v>114382</v>
      </c>
      <c r="B3498" s="1" t="s">
        <v>37</v>
      </c>
      <c r="C3498" s="1" t="s">
        <v>16</v>
      </c>
      <c r="D3498" s="1" t="s">
        <v>32</v>
      </c>
      <c r="E3498" s="1" t="s">
        <v>33</v>
      </c>
      <c r="F3498" s="1" t="s">
        <v>19</v>
      </c>
      <c r="G3498" s="1" t="s">
        <v>20</v>
      </c>
      <c r="H3498" t="s">
        <v>21</v>
      </c>
      <c r="I3498" s="1" t="s">
        <v>22</v>
      </c>
      <c r="J3498" s="2">
        <v>43531.964502314811</v>
      </c>
      <c r="K3498" s="2">
        <v>43540.964502314811</v>
      </c>
      <c r="L3498" s="2">
        <v>43535.964502314811</v>
      </c>
      <c r="M3498" s="1">
        <f>_xlfn.DAYS(Table1[[#This Row],[actual_delivery_date]],Table1[[#This Row],[dispatch_date]])</f>
        <v>9</v>
      </c>
      <c r="N3498">
        <v>76</v>
      </c>
      <c r="O3498">
        <f>Table1[[#This Row],[transit_storage_cost]] * (1-'What -if Analysis'!$D$26)</f>
        <v>76</v>
      </c>
      <c r="P3498">
        <v>93</v>
      </c>
      <c r="Q3498">
        <v>909</v>
      </c>
    </row>
    <row r="3499" spans="1:17" x14ac:dyDescent="0.3">
      <c r="A3499">
        <v>208829</v>
      </c>
      <c r="B3499" s="1" t="s">
        <v>39</v>
      </c>
      <c r="C3499" s="1" t="s">
        <v>23</v>
      </c>
      <c r="D3499" s="1" t="s">
        <v>24</v>
      </c>
      <c r="E3499" s="1" t="s">
        <v>25</v>
      </c>
      <c r="F3499" s="1" t="s">
        <v>29</v>
      </c>
      <c r="G3499" s="1" t="s">
        <v>20</v>
      </c>
      <c r="H3499" t="s">
        <v>30</v>
      </c>
      <c r="I3499" s="1" t="s">
        <v>22</v>
      </c>
      <c r="J3499" s="2">
        <v>43534.965439814812</v>
      </c>
      <c r="K3499" s="2">
        <v>43540.965439814812</v>
      </c>
      <c r="L3499" s="2">
        <v>43539.965439814812</v>
      </c>
      <c r="M3499" s="1">
        <f>_xlfn.DAYS(Table1[[#This Row],[actual_delivery_date]],Table1[[#This Row],[dispatch_date]])</f>
        <v>6</v>
      </c>
      <c r="N3499">
        <v>39</v>
      </c>
      <c r="O3499">
        <f>Table1[[#This Row],[transit_storage_cost]] * (1-'What -if Analysis'!$D$26)</f>
        <v>39</v>
      </c>
      <c r="P3499">
        <v>124</v>
      </c>
      <c r="Q3499">
        <v>3384.4856551615921</v>
      </c>
    </row>
    <row r="3500" spans="1:17" x14ac:dyDescent="0.3">
      <c r="A3500">
        <v>351941</v>
      </c>
      <c r="B3500" s="1" t="s">
        <v>39</v>
      </c>
      <c r="C3500" s="1" t="s">
        <v>16</v>
      </c>
      <c r="D3500" s="1" t="s">
        <v>17</v>
      </c>
      <c r="E3500" s="1" t="s">
        <v>18</v>
      </c>
      <c r="F3500" s="1" t="s">
        <v>29</v>
      </c>
      <c r="G3500" s="1" t="s">
        <v>20</v>
      </c>
      <c r="H3500" t="s">
        <v>30</v>
      </c>
      <c r="I3500" s="1" t="s">
        <v>22</v>
      </c>
      <c r="J3500" s="2">
        <v>43536.965439814812</v>
      </c>
      <c r="K3500" s="2">
        <v>43540.965439814812</v>
      </c>
      <c r="L3500" s="2">
        <v>43542.965439814812</v>
      </c>
      <c r="M3500" s="1">
        <f>_xlfn.DAYS(Table1[[#This Row],[actual_delivery_date]],Table1[[#This Row],[dispatch_date]])</f>
        <v>4</v>
      </c>
      <c r="N3500">
        <v>33</v>
      </c>
      <c r="O3500">
        <f>Table1[[#This Row],[transit_storage_cost]] * (1-'What -if Analysis'!$D$26)</f>
        <v>33</v>
      </c>
      <c r="P3500">
        <v>114</v>
      </c>
      <c r="Q3500">
        <v>2367</v>
      </c>
    </row>
    <row r="3501" spans="1:17" x14ac:dyDescent="0.3">
      <c r="A3501">
        <v>517932</v>
      </c>
      <c r="B3501" s="1" t="s">
        <v>39</v>
      </c>
      <c r="C3501" s="1" t="s">
        <v>23</v>
      </c>
      <c r="D3501" s="1" t="s">
        <v>17</v>
      </c>
      <c r="E3501" s="1" t="s">
        <v>18</v>
      </c>
      <c r="F3501" s="1" t="s">
        <v>19</v>
      </c>
      <c r="G3501" s="1" t="s">
        <v>36</v>
      </c>
      <c r="H3501" t="s">
        <v>21</v>
      </c>
      <c r="I3501" s="1" t="s">
        <v>26</v>
      </c>
      <c r="J3501" s="2">
        <v>43534.97</v>
      </c>
      <c r="K3501" s="2">
        <v>43540.97</v>
      </c>
      <c r="L3501" s="2">
        <v>43538.97</v>
      </c>
      <c r="M3501" s="1">
        <f>_xlfn.DAYS(Table1[[#This Row],[actual_delivery_date]],Table1[[#This Row],[dispatch_date]])</f>
        <v>6</v>
      </c>
      <c r="N3501">
        <v>39</v>
      </c>
      <c r="O3501">
        <f>Table1[[#This Row],[transit_storage_cost]] * (1-'What -if Analysis'!$D$26)</f>
        <v>39</v>
      </c>
      <c r="P3501">
        <v>109</v>
      </c>
      <c r="Q3501">
        <v>1481.852993500584</v>
      </c>
    </row>
    <row r="3502" spans="1:17" x14ac:dyDescent="0.3">
      <c r="A3502">
        <v>78846</v>
      </c>
      <c r="B3502" s="1" t="s">
        <v>15</v>
      </c>
      <c r="C3502" s="1" t="s">
        <v>23</v>
      </c>
      <c r="D3502" s="1" t="s">
        <v>32</v>
      </c>
      <c r="E3502" s="1" t="s">
        <v>33</v>
      </c>
      <c r="F3502" s="1" t="s">
        <v>31</v>
      </c>
      <c r="G3502" s="1" t="s">
        <v>20</v>
      </c>
      <c r="H3502" t="s">
        <v>21</v>
      </c>
      <c r="I3502" s="1" t="s">
        <v>26</v>
      </c>
      <c r="J3502" s="2">
        <v>43537.974282407406</v>
      </c>
      <c r="K3502" s="2">
        <v>43540.974282407406</v>
      </c>
      <c r="L3502" s="2">
        <v>43544.974282407406</v>
      </c>
      <c r="M3502" s="1">
        <f>_xlfn.DAYS(Table1[[#This Row],[actual_delivery_date]],Table1[[#This Row],[dispatch_date]])</f>
        <v>3</v>
      </c>
      <c r="N3502">
        <v>29</v>
      </c>
      <c r="O3502">
        <f>Table1[[#This Row],[transit_storage_cost]] * (1-'What -if Analysis'!$D$26)</f>
        <v>29</v>
      </c>
      <c r="P3502">
        <v>114</v>
      </c>
      <c r="Q3502">
        <v>3501</v>
      </c>
    </row>
    <row r="3503" spans="1:17" x14ac:dyDescent="0.3">
      <c r="A3503">
        <v>13558</v>
      </c>
      <c r="B3503" s="1" t="s">
        <v>40</v>
      </c>
      <c r="C3503" s="1" t="s">
        <v>16</v>
      </c>
      <c r="D3503" s="1" t="s">
        <v>23</v>
      </c>
      <c r="E3503" s="1" t="s">
        <v>28</v>
      </c>
      <c r="F3503" s="1" t="s">
        <v>31</v>
      </c>
      <c r="G3503" s="1" t="s">
        <v>20</v>
      </c>
      <c r="H3503" t="s">
        <v>21</v>
      </c>
      <c r="I3503" s="1" t="s">
        <v>22</v>
      </c>
      <c r="J3503" s="2">
        <v>43533.974942129629</v>
      </c>
      <c r="K3503" s="2">
        <v>43540.974942129629</v>
      </c>
      <c r="L3503" s="2">
        <v>43539.974942129629</v>
      </c>
      <c r="M3503" s="1">
        <f>_xlfn.DAYS(Table1[[#This Row],[actual_delivery_date]],Table1[[#This Row],[dispatch_date]])</f>
        <v>7</v>
      </c>
      <c r="N3503">
        <v>30</v>
      </c>
      <c r="O3503">
        <f>Table1[[#This Row],[transit_storage_cost]] * (1-'What -if Analysis'!$D$26)</f>
        <v>30</v>
      </c>
      <c r="P3503">
        <v>125</v>
      </c>
      <c r="Q3503">
        <v>603.24565716458324</v>
      </c>
    </row>
    <row r="3504" spans="1:17" x14ac:dyDescent="0.3">
      <c r="A3504">
        <v>645212</v>
      </c>
      <c r="B3504" s="1" t="s">
        <v>38</v>
      </c>
      <c r="C3504" s="1" t="s">
        <v>16</v>
      </c>
      <c r="D3504" s="1" t="s">
        <v>24</v>
      </c>
      <c r="E3504" s="1" t="s">
        <v>25</v>
      </c>
      <c r="F3504" s="1" t="s">
        <v>19</v>
      </c>
      <c r="G3504" s="1" t="s">
        <v>20</v>
      </c>
      <c r="H3504" t="s">
        <v>21</v>
      </c>
      <c r="I3504" s="1" t="s">
        <v>22</v>
      </c>
      <c r="J3504" s="2">
        <v>43531.981307870374</v>
      </c>
      <c r="K3504" s="2">
        <v>43540.981307870374</v>
      </c>
      <c r="L3504" s="2">
        <v>43537.981307870374</v>
      </c>
      <c r="M3504" s="1">
        <f>_xlfn.DAYS(Table1[[#This Row],[actual_delivery_date]],Table1[[#This Row],[dispatch_date]])</f>
        <v>9</v>
      </c>
      <c r="N3504">
        <v>43</v>
      </c>
      <c r="O3504">
        <f>Table1[[#This Row],[transit_storage_cost]] * (1-'What -if Analysis'!$D$26)</f>
        <v>43</v>
      </c>
      <c r="P3504">
        <v>128</v>
      </c>
      <c r="Q3504">
        <v>290.92142244306882</v>
      </c>
    </row>
    <row r="3505" spans="1:17" x14ac:dyDescent="0.3">
      <c r="A3505">
        <v>472498</v>
      </c>
      <c r="B3505" s="1" t="s">
        <v>41</v>
      </c>
      <c r="C3505" s="1" t="s">
        <v>23</v>
      </c>
      <c r="D3505" s="1" t="s">
        <v>17</v>
      </c>
      <c r="E3505" s="1" t="s">
        <v>18</v>
      </c>
      <c r="F3505" s="1" t="s">
        <v>31</v>
      </c>
      <c r="G3505" s="1" t="s">
        <v>20</v>
      </c>
      <c r="H3505" t="s">
        <v>21</v>
      </c>
      <c r="I3505" s="1" t="s">
        <v>22</v>
      </c>
      <c r="J3505" s="2">
        <v>43537.981678240743</v>
      </c>
      <c r="K3505" s="2">
        <v>43540.981678240743</v>
      </c>
      <c r="L3505" s="2">
        <v>43544.981678240743</v>
      </c>
      <c r="M3505" s="1">
        <f>_xlfn.DAYS(Table1[[#This Row],[actual_delivery_date]],Table1[[#This Row],[dispatch_date]])</f>
        <v>3</v>
      </c>
      <c r="N3505">
        <v>40</v>
      </c>
      <c r="O3505">
        <f>Table1[[#This Row],[transit_storage_cost]] * (1-'What -if Analysis'!$D$26)</f>
        <v>40</v>
      </c>
      <c r="P3505">
        <v>108</v>
      </c>
      <c r="Q3505">
        <v>1698.8478871114323</v>
      </c>
    </row>
    <row r="3506" spans="1:17" x14ac:dyDescent="0.3">
      <c r="A3506">
        <v>786253</v>
      </c>
      <c r="B3506" s="1" t="s">
        <v>37</v>
      </c>
      <c r="C3506" s="1" t="s">
        <v>16</v>
      </c>
      <c r="D3506" s="1" t="s">
        <v>17</v>
      </c>
      <c r="E3506" s="1" t="s">
        <v>18</v>
      </c>
      <c r="F3506" s="1" t="s">
        <v>29</v>
      </c>
      <c r="G3506" s="1" t="s">
        <v>20</v>
      </c>
      <c r="H3506" t="s">
        <v>30</v>
      </c>
      <c r="I3506" s="1" t="s">
        <v>22</v>
      </c>
      <c r="J3506" s="2">
        <v>43531.986111111109</v>
      </c>
      <c r="K3506" s="2">
        <v>43540.986111111109</v>
      </c>
      <c r="L3506" s="2">
        <v>43534.986111111109</v>
      </c>
      <c r="M3506" s="1">
        <f>_xlfn.DAYS(Table1[[#This Row],[actual_delivery_date]],Table1[[#This Row],[dispatch_date]])</f>
        <v>9</v>
      </c>
      <c r="N3506">
        <v>27</v>
      </c>
      <c r="O3506">
        <f>Table1[[#This Row],[transit_storage_cost]] * (1-'What -if Analysis'!$D$26)</f>
        <v>27</v>
      </c>
      <c r="P3506">
        <v>113</v>
      </c>
      <c r="Q3506">
        <v>3007.1194981079457</v>
      </c>
    </row>
    <row r="3507" spans="1:17" x14ac:dyDescent="0.3">
      <c r="A3507">
        <v>202345</v>
      </c>
      <c r="B3507" s="1" t="s">
        <v>41</v>
      </c>
      <c r="C3507" s="1" t="s">
        <v>16</v>
      </c>
      <c r="D3507" s="1" t="s">
        <v>17</v>
      </c>
      <c r="E3507" s="1" t="s">
        <v>18</v>
      </c>
      <c r="F3507" s="1" t="s">
        <v>19</v>
      </c>
      <c r="G3507" s="1" t="s">
        <v>20</v>
      </c>
      <c r="H3507" t="s">
        <v>30</v>
      </c>
      <c r="I3507" s="1" t="s">
        <v>22</v>
      </c>
      <c r="J3507" s="2">
        <v>43538.992013888892</v>
      </c>
      <c r="K3507" s="2">
        <v>43540.992013888892</v>
      </c>
      <c r="L3507" s="2">
        <v>43542.992013888892</v>
      </c>
      <c r="M3507" s="1">
        <f>_xlfn.DAYS(Table1[[#This Row],[actual_delivery_date]],Table1[[#This Row],[dispatch_date]])</f>
        <v>2</v>
      </c>
      <c r="N3507">
        <v>78</v>
      </c>
      <c r="O3507">
        <f>Table1[[#This Row],[transit_storage_cost]] * (1-'What -if Analysis'!$D$26)</f>
        <v>78</v>
      </c>
      <c r="P3507">
        <v>87</v>
      </c>
      <c r="Q3507">
        <v>827.05361696762691</v>
      </c>
    </row>
    <row r="3508" spans="1:17" x14ac:dyDescent="0.3">
      <c r="A3508">
        <v>861332</v>
      </c>
      <c r="B3508" s="1" t="s">
        <v>38</v>
      </c>
      <c r="C3508" s="1" t="s">
        <v>16</v>
      </c>
      <c r="D3508" s="1" t="s">
        <v>16</v>
      </c>
      <c r="E3508" s="1" t="s">
        <v>27</v>
      </c>
      <c r="F3508" s="1" t="s">
        <v>19</v>
      </c>
      <c r="G3508" s="1" t="s">
        <v>20</v>
      </c>
      <c r="H3508" t="s">
        <v>21</v>
      </c>
      <c r="I3508" s="1" t="s">
        <v>22</v>
      </c>
      <c r="J3508" s="2">
        <v>43536.021805555552</v>
      </c>
      <c r="K3508" s="2">
        <v>43541.021805555552</v>
      </c>
      <c r="L3508" s="2">
        <v>43539.021805555552</v>
      </c>
      <c r="M3508" s="1">
        <f>_xlfn.DAYS(Table1[[#This Row],[actual_delivery_date]],Table1[[#This Row],[dispatch_date]])</f>
        <v>5</v>
      </c>
      <c r="N3508">
        <v>0</v>
      </c>
      <c r="O3508">
        <f>Table1[[#This Row],[transit_storage_cost]] * (1-'What -if Analysis'!$D$26)</f>
        <v>0</v>
      </c>
      <c r="P3508">
        <v>101</v>
      </c>
      <c r="Q3508">
        <v>2974.9200052928809</v>
      </c>
    </row>
    <row r="3509" spans="1:17" x14ac:dyDescent="0.3">
      <c r="A3509">
        <v>654470</v>
      </c>
      <c r="B3509" s="1" t="s">
        <v>41</v>
      </c>
      <c r="C3509" s="1" t="s">
        <v>16</v>
      </c>
      <c r="D3509" s="1" t="s">
        <v>32</v>
      </c>
      <c r="E3509" s="1" t="s">
        <v>33</v>
      </c>
      <c r="F3509" s="1" t="s">
        <v>31</v>
      </c>
      <c r="G3509" s="1" t="s">
        <v>20</v>
      </c>
      <c r="H3509" t="s">
        <v>21</v>
      </c>
      <c r="I3509" s="1" t="s">
        <v>22</v>
      </c>
      <c r="J3509" s="2">
        <v>43536.0237037037</v>
      </c>
      <c r="K3509" s="2">
        <v>43541.0237037037</v>
      </c>
      <c r="L3509" s="2">
        <v>43541.0237037037</v>
      </c>
      <c r="M3509" s="1">
        <f>_xlfn.DAYS(Table1[[#This Row],[actual_delivery_date]],Table1[[#This Row],[dispatch_date]])</f>
        <v>5</v>
      </c>
      <c r="N3509">
        <v>41</v>
      </c>
      <c r="O3509">
        <f>Table1[[#This Row],[transit_storage_cost]] * (1-'What -if Analysis'!$D$26)</f>
        <v>41</v>
      </c>
      <c r="P3509">
        <v>108</v>
      </c>
      <c r="Q3509">
        <v>2465</v>
      </c>
    </row>
    <row r="3510" spans="1:17" x14ac:dyDescent="0.3">
      <c r="A3510">
        <v>875431</v>
      </c>
      <c r="B3510" s="1" t="s">
        <v>40</v>
      </c>
      <c r="C3510" s="1" t="s">
        <v>16</v>
      </c>
      <c r="D3510" s="1" t="s">
        <v>23</v>
      </c>
      <c r="E3510" s="1" t="s">
        <v>28</v>
      </c>
      <c r="F3510" s="1" t="s">
        <v>29</v>
      </c>
      <c r="G3510" s="1" t="s">
        <v>20</v>
      </c>
      <c r="H3510" t="s">
        <v>30</v>
      </c>
      <c r="I3510" s="1" t="s">
        <v>22</v>
      </c>
      <c r="J3510" s="2">
        <v>43535.041145833333</v>
      </c>
      <c r="K3510" s="2">
        <v>43541.041145833333</v>
      </c>
      <c r="L3510" s="2">
        <v>43541.041145833333</v>
      </c>
      <c r="M3510" s="1">
        <f>_xlfn.DAYS(Table1[[#This Row],[actual_delivery_date]],Table1[[#This Row],[dispatch_date]])</f>
        <v>6</v>
      </c>
      <c r="N3510">
        <v>46</v>
      </c>
      <c r="O3510">
        <f>Table1[[#This Row],[transit_storage_cost]] * (1-'What -if Analysis'!$D$26)</f>
        <v>46</v>
      </c>
      <c r="P3510">
        <v>124</v>
      </c>
      <c r="Q3510">
        <v>3534.915976188594</v>
      </c>
    </row>
    <row r="3511" spans="1:17" x14ac:dyDescent="0.3">
      <c r="A3511">
        <v>262453</v>
      </c>
      <c r="B3511" s="1" t="s">
        <v>38</v>
      </c>
      <c r="C3511" s="1" t="s">
        <v>16</v>
      </c>
      <c r="D3511" s="1" t="s">
        <v>17</v>
      </c>
      <c r="E3511" s="1" t="s">
        <v>18</v>
      </c>
      <c r="F3511" s="1" t="s">
        <v>29</v>
      </c>
      <c r="G3511" s="1" t="s">
        <v>20</v>
      </c>
      <c r="H3511" t="s">
        <v>30</v>
      </c>
      <c r="I3511" s="1" t="s">
        <v>22</v>
      </c>
      <c r="J3511" s="2">
        <v>43535.050104166665</v>
      </c>
      <c r="K3511" s="2">
        <v>43541.050104166665</v>
      </c>
      <c r="L3511" s="2">
        <v>43538.050104166665</v>
      </c>
      <c r="M3511" s="1">
        <f>_xlfn.DAYS(Table1[[#This Row],[actual_delivery_date]],Table1[[#This Row],[dispatch_date]])</f>
        <v>6</v>
      </c>
      <c r="N3511">
        <v>40</v>
      </c>
      <c r="O3511">
        <f>Table1[[#This Row],[transit_storage_cost]] * (1-'What -if Analysis'!$D$26)</f>
        <v>40</v>
      </c>
      <c r="P3511">
        <v>106</v>
      </c>
      <c r="Q3511">
        <v>3182.5699158331945</v>
      </c>
    </row>
    <row r="3512" spans="1:17" x14ac:dyDescent="0.3">
      <c r="A3512">
        <v>185498</v>
      </c>
      <c r="B3512" s="1" t="s">
        <v>39</v>
      </c>
      <c r="C3512" s="1" t="s">
        <v>23</v>
      </c>
      <c r="D3512" s="1" t="s">
        <v>17</v>
      </c>
      <c r="E3512" s="1" t="s">
        <v>18</v>
      </c>
      <c r="F3512" s="1" t="s">
        <v>31</v>
      </c>
      <c r="G3512" s="1" t="s">
        <v>20</v>
      </c>
      <c r="H3512" t="s">
        <v>21</v>
      </c>
      <c r="I3512" s="1" t="s">
        <v>22</v>
      </c>
      <c r="J3512" s="2">
        <v>43534.061655092592</v>
      </c>
      <c r="K3512" s="2">
        <v>43541.061655092592</v>
      </c>
      <c r="L3512" s="2">
        <v>43538.061655092592</v>
      </c>
      <c r="M3512" s="1">
        <f>_xlfn.DAYS(Table1[[#This Row],[actual_delivery_date]],Table1[[#This Row],[dispatch_date]])</f>
        <v>7</v>
      </c>
      <c r="N3512">
        <v>32</v>
      </c>
      <c r="O3512">
        <f>Table1[[#This Row],[transit_storage_cost]] * (1-'What -if Analysis'!$D$26)</f>
        <v>32</v>
      </c>
      <c r="P3512">
        <v>108</v>
      </c>
      <c r="Q3512">
        <v>3513</v>
      </c>
    </row>
    <row r="3513" spans="1:17" x14ac:dyDescent="0.3">
      <c r="A3513">
        <v>935358</v>
      </c>
      <c r="B3513" s="1" t="s">
        <v>38</v>
      </c>
      <c r="C3513" s="1" t="s">
        <v>16</v>
      </c>
      <c r="D3513" s="1" t="s">
        <v>17</v>
      </c>
      <c r="E3513" s="1" t="s">
        <v>18</v>
      </c>
      <c r="F3513" s="1" t="s">
        <v>31</v>
      </c>
      <c r="G3513" s="1" t="s">
        <v>20</v>
      </c>
      <c r="H3513" t="s">
        <v>21</v>
      </c>
      <c r="I3513" s="1" t="s">
        <v>26</v>
      </c>
      <c r="J3513" s="2">
        <v>43535.063946759263</v>
      </c>
      <c r="K3513" s="2">
        <v>43541.063946759263</v>
      </c>
      <c r="L3513" s="2">
        <v>43541.063946759263</v>
      </c>
      <c r="M3513" s="1">
        <f>_xlfn.DAYS(Table1[[#This Row],[actual_delivery_date]],Table1[[#This Row],[dispatch_date]])</f>
        <v>6</v>
      </c>
      <c r="N3513">
        <v>36</v>
      </c>
      <c r="O3513">
        <f>Table1[[#This Row],[transit_storage_cost]] * (1-'What -if Analysis'!$D$26)</f>
        <v>36</v>
      </c>
      <c r="P3513">
        <v>114</v>
      </c>
      <c r="Q3513">
        <v>1550</v>
      </c>
    </row>
    <row r="3514" spans="1:17" x14ac:dyDescent="0.3">
      <c r="A3514">
        <v>620639</v>
      </c>
      <c r="B3514" s="1" t="s">
        <v>38</v>
      </c>
      <c r="C3514" s="1" t="s">
        <v>23</v>
      </c>
      <c r="D3514" s="1" t="s">
        <v>16</v>
      </c>
      <c r="E3514" s="1" t="s">
        <v>27</v>
      </c>
      <c r="F3514" s="1" t="s">
        <v>19</v>
      </c>
      <c r="G3514" s="1" t="s">
        <v>20</v>
      </c>
      <c r="H3514" t="s">
        <v>30</v>
      </c>
      <c r="I3514" s="1" t="s">
        <v>22</v>
      </c>
      <c r="J3514" s="2">
        <v>43537.071539351855</v>
      </c>
      <c r="K3514" s="2">
        <v>43541.071539351855</v>
      </c>
      <c r="L3514" s="2">
        <v>43541.071539351855</v>
      </c>
      <c r="M3514" s="1">
        <f>_xlfn.DAYS(Table1[[#This Row],[actual_delivery_date]],Table1[[#This Row],[dispatch_date]])</f>
        <v>4</v>
      </c>
      <c r="N3514">
        <v>74</v>
      </c>
      <c r="O3514">
        <f>Table1[[#This Row],[transit_storage_cost]] * (1-'What -if Analysis'!$D$26)</f>
        <v>74</v>
      </c>
      <c r="P3514">
        <v>108</v>
      </c>
      <c r="Q3514">
        <v>2852.9931216281748</v>
      </c>
    </row>
    <row r="3515" spans="1:17" x14ac:dyDescent="0.3">
      <c r="A3515">
        <v>533449</v>
      </c>
      <c r="B3515" s="1" t="s">
        <v>38</v>
      </c>
      <c r="C3515" s="1" t="s">
        <v>23</v>
      </c>
      <c r="D3515" s="1" t="s">
        <v>24</v>
      </c>
      <c r="E3515" s="1" t="s">
        <v>25</v>
      </c>
      <c r="F3515" s="1" t="s">
        <v>29</v>
      </c>
      <c r="G3515" s="1" t="s">
        <v>20</v>
      </c>
      <c r="H3515" t="s">
        <v>34</v>
      </c>
      <c r="I3515" s="1" t="s">
        <v>22</v>
      </c>
      <c r="J3515" s="2">
        <v>43538.07607638889</v>
      </c>
      <c r="K3515" s="2">
        <v>43541.07607638889</v>
      </c>
      <c r="L3515" s="2">
        <v>43542.07607638889</v>
      </c>
      <c r="M3515" s="1">
        <f>_xlfn.DAYS(Table1[[#This Row],[actual_delivery_date]],Table1[[#This Row],[dispatch_date]])</f>
        <v>3</v>
      </c>
      <c r="N3515">
        <v>48</v>
      </c>
      <c r="O3515">
        <f>Table1[[#This Row],[transit_storage_cost]] * (1-'What -if Analysis'!$D$26)</f>
        <v>48</v>
      </c>
      <c r="P3515">
        <v>123</v>
      </c>
      <c r="Q3515">
        <v>1573</v>
      </c>
    </row>
    <row r="3516" spans="1:17" x14ac:dyDescent="0.3">
      <c r="A3516">
        <v>400020</v>
      </c>
      <c r="B3516" s="1" t="s">
        <v>41</v>
      </c>
      <c r="C3516" s="1" t="s">
        <v>16</v>
      </c>
      <c r="D3516" s="1" t="s">
        <v>17</v>
      </c>
      <c r="E3516" s="1" t="s">
        <v>18</v>
      </c>
      <c r="F3516" s="1" t="s">
        <v>19</v>
      </c>
      <c r="G3516" s="1" t="s">
        <v>20</v>
      </c>
      <c r="H3516" t="s">
        <v>21</v>
      </c>
      <c r="I3516" s="1" t="s">
        <v>26</v>
      </c>
      <c r="J3516" s="2">
        <v>43535.078657407408</v>
      </c>
      <c r="K3516" s="2">
        <v>43541.078657407408</v>
      </c>
      <c r="L3516" s="2">
        <v>43541.078657407408</v>
      </c>
      <c r="M3516" s="1">
        <f>_xlfn.DAYS(Table1[[#This Row],[actual_delivery_date]],Table1[[#This Row],[dispatch_date]])</f>
        <v>6</v>
      </c>
      <c r="N3516">
        <v>76</v>
      </c>
      <c r="O3516">
        <f>Table1[[#This Row],[transit_storage_cost]] * (1-'What -if Analysis'!$D$26)</f>
        <v>76</v>
      </c>
      <c r="P3516">
        <v>94</v>
      </c>
      <c r="Q3516">
        <v>3004.0842897969424</v>
      </c>
    </row>
    <row r="3517" spans="1:17" x14ac:dyDescent="0.3">
      <c r="A3517">
        <v>884681</v>
      </c>
      <c r="B3517" s="1" t="s">
        <v>37</v>
      </c>
      <c r="C3517" s="1" t="s">
        <v>16</v>
      </c>
      <c r="D3517" s="1" t="s">
        <v>16</v>
      </c>
      <c r="E3517" s="1" t="s">
        <v>27</v>
      </c>
      <c r="F3517" s="1" t="s">
        <v>19</v>
      </c>
      <c r="G3517" s="1" t="s">
        <v>20</v>
      </c>
      <c r="H3517" t="s">
        <v>34</v>
      </c>
      <c r="I3517" s="1" t="s">
        <v>22</v>
      </c>
      <c r="J3517" s="2">
        <v>43536.084409722222</v>
      </c>
      <c r="K3517" s="2">
        <v>43541.084409722222</v>
      </c>
      <c r="L3517" s="2">
        <v>43540.084409722222</v>
      </c>
      <c r="M3517" s="1">
        <f>_xlfn.DAYS(Table1[[#This Row],[actual_delivery_date]],Table1[[#This Row],[dispatch_date]])</f>
        <v>5</v>
      </c>
      <c r="N3517">
        <v>0</v>
      </c>
      <c r="O3517">
        <f>Table1[[#This Row],[transit_storage_cost]] * (1-'What -if Analysis'!$D$26)</f>
        <v>0</v>
      </c>
      <c r="P3517">
        <v>103</v>
      </c>
      <c r="Q3517">
        <v>1823</v>
      </c>
    </row>
    <row r="3518" spans="1:17" x14ac:dyDescent="0.3">
      <c r="A3518">
        <v>493346</v>
      </c>
      <c r="B3518" s="1" t="s">
        <v>38</v>
      </c>
      <c r="C3518" s="1" t="s">
        <v>23</v>
      </c>
      <c r="D3518" s="1" t="s">
        <v>16</v>
      </c>
      <c r="E3518" s="1" t="s">
        <v>27</v>
      </c>
      <c r="F3518" s="1" t="s">
        <v>31</v>
      </c>
      <c r="G3518" s="1" t="s">
        <v>20</v>
      </c>
      <c r="H3518" t="s">
        <v>21</v>
      </c>
      <c r="I3518" s="1" t="s">
        <v>22</v>
      </c>
      <c r="J3518" s="2">
        <v>43537.085914351854</v>
      </c>
      <c r="K3518" s="2">
        <v>43541.085914351854</v>
      </c>
      <c r="L3518" s="2">
        <v>43544.085914351854</v>
      </c>
      <c r="M3518" s="1">
        <f>_xlfn.DAYS(Table1[[#This Row],[actual_delivery_date]],Table1[[#This Row],[dispatch_date]])</f>
        <v>4</v>
      </c>
      <c r="N3518">
        <v>37</v>
      </c>
      <c r="O3518">
        <f>Table1[[#This Row],[transit_storage_cost]] * (1-'What -if Analysis'!$D$26)</f>
        <v>37</v>
      </c>
      <c r="P3518">
        <v>124</v>
      </c>
      <c r="Q3518">
        <v>1101.5283342697385</v>
      </c>
    </row>
    <row r="3519" spans="1:17" x14ac:dyDescent="0.3">
      <c r="A3519">
        <v>6601</v>
      </c>
      <c r="B3519" s="1" t="s">
        <v>38</v>
      </c>
      <c r="C3519" s="1" t="s">
        <v>23</v>
      </c>
      <c r="D3519" s="1" t="s">
        <v>17</v>
      </c>
      <c r="E3519" s="1" t="s">
        <v>18</v>
      </c>
      <c r="F3519" s="1" t="s">
        <v>29</v>
      </c>
      <c r="G3519" s="1" t="s">
        <v>20</v>
      </c>
      <c r="H3519" t="s">
        <v>34</v>
      </c>
      <c r="I3519" s="1" t="s">
        <v>22</v>
      </c>
      <c r="J3519" s="2">
        <v>43532.091145833336</v>
      </c>
      <c r="K3519" s="2">
        <v>43541.091145833336</v>
      </c>
      <c r="L3519" s="2">
        <v>43539.091145833336</v>
      </c>
      <c r="M3519" s="1">
        <f>_xlfn.DAYS(Table1[[#This Row],[actual_delivery_date]],Table1[[#This Row],[dispatch_date]])</f>
        <v>9</v>
      </c>
      <c r="N3519">
        <v>25</v>
      </c>
      <c r="O3519">
        <f>Table1[[#This Row],[transit_storage_cost]] * (1-'What -if Analysis'!$D$26)</f>
        <v>25</v>
      </c>
      <c r="P3519">
        <v>114</v>
      </c>
      <c r="Q3519">
        <v>1734</v>
      </c>
    </row>
    <row r="3520" spans="1:17" x14ac:dyDescent="0.3">
      <c r="A3520">
        <v>927591</v>
      </c>
      <c r="B3520" s="1" t="s">
        <v>37</v>
      </c>
      <c r="C3520" s="1" t="s">
        <v>23</v>
      </c>
      <c r="D3520" s="1" t="s">
        <v>16</v>
      </c>
      <c r="E3520" s="1" t="s">
        <v>27</v>
      </c>
      <c r="F3520" s="1" t="s">
        <v>29</v>
      </c>
      <c r="G3520" s="1" t="s">
        <v>20</v>
      </c>
      <c r="H3520" t="s">
        <v>34</v>
      </c>
      <c r="I3520" s="1" t="s">
        <v>26</v>
      </c>
      <c r="J3520" s="2">
        <v>43537.110497685186</v>
      </c>
      <c r="K3520" s="2">
        <v>43541.110497685186</v>
      </c>
      <c r="L3520" s="2">
        <v>43540.110497685186</v>
      </c>
      <c r="M3520" s="1">
        <f>_xlfn.DAYS(Table1[[#This Row],[actual_delivery_date]],Table1[[#This Row],[dispatch_date]])</f>
        <v>4</v>
      </c>
      <c r="N3520">
        <v>48</v>
      </c>
      <c r="O3520">
        <f>Table1[[#This Row],[transit_storage_cost]] * (1-'What -if Analysis'!$D$26)</f>
        <v>48</v>
      </c>
      <c r="P3520">
        <v>126</v>
      </c>
      <c r="Q3520">
        <v>3091</v>
      </c>
    </row>
    <row r="3521" spans="1:17" x14ac:dyDescent="0.3">
      <c r="A3521">
        <v>100260</v>
      </c>
      <c r="B3521" s="1" t="s">
        <v>39</v>
      </c>
      <c r="C3521" s="1" t="s">
        <v>23</v>
      </c>
      <c r="D3521" s="1" t="s">
        <v>32</v>
      </c>
      <c r="E3521" s="1" t="s">
        <v>33</v>
      </c>
      <c r="F3521" s="1" t="s">
        <v>19</v>
      </c>
      <c r="G3521" s="1" t="s">
        <v>20</v>
      </c>
      <c r="H3521" t="s">
        <v>21</v>
      </c>
      <c r="I3521" s="1" t="s">
        <v>26</v>
      </c>
      <c r="J3521" s="2">
        <v>43538.113576388889</v>
      </c>
      <c r="K3521" s="2">
        <v>43541.113576388889</v>
      </c>
      <c r="L3521" s="2">
        <v>43543.113576388889</v>
      </c>
      <c r="M3521" s="1">
        <f>_xlfn.DAYS(Table1[[#This Row],[actual_delivery_date]],Table1[[#This Row],[dispatch_date]])</f>
        <v>3</v>
      </c>
      <c r="N3521">
        <v>33</v>
      </c>
      <c r="O3521">
        <f>Table1[[#This Row],[transit_storage_cost]] * (1-'What -if Analysis'!$D$26)</f>
        <v>33</v>
      </c>
      <c r="P3521">
        <v>110</v>
      </c>
      <c r="Q3521">
        <v>1831.9139286042384</v>
      </c>
    </row>
    <row r="3522" spans="1:17" x14ac:dyDescent="0.3">
      <c r="A3522">
        <v>138134</v>
      </c>
      <c r="B3522" s="1" t="s">
        <v>38</v>
      </c>
      <c r="C3522" s="1" t="s">
        <v>23</v>
      </c>
      <c r="D3522" s="1" t="s">
        <v>23</v>
      </c>
      <c r="E3522" s="1" t="s">
        <v>28</v>
      </c>
      <c r="F3522" s="1" t="s">
        <v>31</v>
      </c>
      <c r="G3522" s="1" t="s">
        <v>20</v>
      </c>
      <c r="H3522" t="s">
        <v>21</v>
      </c>
      <c r="I3522" s="1" t="s">
        <v>22</v>
      </c>
      <c r="J3522" s="2">
        <v>43535.114293981482</v>
      </c>
      <c r="K3522" s="2">
        <v>43541.114293981482</v>
      </c>
      <c r="L3522" s="2">
        <v>43539.114293981482</v>
      </c>
      <c r="M3522" s="1">
        <f>_xlfn.DAYS(Table1[[#This Row],[actual_delivery_date]],Table1[[#This Row],[dispatch_date]])</f>
        <v>6</v>
      </c>
      <c r="N3522">
        <v>0</v>
      </c>
      <c r="O3522">
        <f>Table1[[#This Row],[transit_storage_cost]] * (1-'What -if Analysis'!$D$26)</f>
        <v>0</v>
      </c>
      <c r="P3522">
        <v>124</v>
      </c>
      <c r="Q3522">
        <v>3309.5712709015284</v>
      </c>
    </row>
    <row r="3523" spans="1:17" x14ac:dyDescent="0.3">
      <c r="A3523">
        <v>737819</v>
      </c>
      <c r="B3523" s="1" t="s">
        <v>38</v>
      </c>
      <c r="C3523" s="1" t="s">
        <v>23</v>
      </c>
      <c r="D3523" s="1" t="s">
        <v>32</v>
      </c>
      <c r="E3523" s="1" t="s">
        <v>33</v>
      </c>
      <c r="F3523" s="1" t="s">
        <v>19</v>
      </c>
      <c r="G3523" s="1" t="s">
        <v>20</v>
      </c>
      <c r="H3523" t="s">
        <v>30</v>
      </c>
      <c r="I3523" s="1" t="s">
        <v>22</v>
      </c>
      <c r="J3523" s="2">
        <v>43535.1169212963</v>
      </c>
      <c r="K3523" s="2">
        <v>43541.1169212963</v>
      </c>
      <c r="L3523" s="2">
        <v>43542.1169212963</v>
      </c>
      <c r="M3523" s="1">
        <f>_xlfn.DAYS(Table1[[#This Row],[actual_delivery_date]],Table1[[#This Row],[dispatch_date]])</f>
        <v>6</v>
      </c>
      <c r="N3523">
        <v>84</v>
      </c>
      <c r="O3523">
        <f>Table1[[#This Row],[transit_storage_cost]] * (1-'What -if Analysis'!$D$26)</f>
        <v>84</v>
      </c>
      <c r="P3523">
        <v>85</v>
      </c>
      <c r="Q3523">
        <v>1662.5326896930917</v>
      </c>
    </row>
    <row r="3524" spans="1:17" x14ac:dyDescent="0.3">
      <c r="A3524">
        <v>818010</v>
      </c>
      <c r="B3524" s="1" t="s">
        <v>37</v>
      </c>
      <c r="C3524" s="1" t="s">
        <v>16</v>
      </c>
      <c r="D3524" s="1" t="s">
        <v>17</v>
      </c>
      <c r="E3524" s="1" t="s">
        <v>18</v>
      </c>
      <c r="F3524" s="1" t="s">
        <v>31</v>
      </c>
      <c r="G3524" s="1" t="s">
        <v>20</v>
      </c>
      <c r="H3524" t="s">
        <v>21</v>
      </c>
      <c r="I3524" s="1" t="s">
        <v>26</v>
      </c>
      <c r="J3524" s="2">
        <v>43538.119791666664</v>
      </c>
      <c r="K3524" s="2">
        <v>43541.119791666664</v>
      </c>
      <c r="L3524" s="2">
        <v>43543.119791666664</v>
      </c>
      <c r="M3524" s="1">
        <f>_xlfn.DAYS(Table1[[#This Row],[actual_delivery_date]],Table1[[#This Row],[dispatch_date]])</f>
        <v>3</v>
      </c>
      <c r="N3524">
        <v>31</v>
      </c>
      <c r="O3524">
        <f>Table1[[#This Row],[transit_storage_cost]] * (1-'What -if Analysis'!$D$26)</f>
        <v>31</v>
      </c>
      <c r="P3524">
        <v>113</v>
      </c>
      <c r="Q3524">
        <v>3768.1192276212946</v>
      </c>
    </row>
    <row r="3525" spans="1:17" x14ac:dyDescent="0.3">
      <c r="A3525">
        <v>685717</v>
      </c>
      <c r="B3525" s="1" t="s">
        <v>40</v>
      </c>
      <c r="C3525" s="1" t="s">
        <v>16</v>
      </c>
      <c r="D3525" s="1" t="s">
        <v>17</v>
      </c>
      <c r="E3525" s="1" t="s">
        <v>18</v>
      </c>
      <c r="F3525" s="1" t="s">
        <v>29</v>
      </c>
      <c r="G3525" s="1" t="s">
        <v>20</v>
      </c>
      <c r="H3525" t="s">
        <v>30</v>
      </c>
      <c r="I3525" s="1" t="s">
        <v>22</v>
      </c>
      <c r="J3525" s="2">
        <v>43538.121145833335</v>
      </c>
      <c r="K3525" s="2">
        <v>43541.121145833335</v>
      </c>
      <c r="L3525" s="2">
        <v>43545.121145833335</v>
      </c>
      <c r="M3525" s="1">
        <f>_xlfn.DAYS(Table1[[#This Row],[actual_delivery_date]],Table1[[#This Row],[dispatch_date]])</f>
        <v>3</v>
      </c>
      <c r="N3525">
        <v>44</v>
      </c>
      <c r="O3525">
        <f>Table1[[#This Row],[transit_storage_cost]] * (1-'What -if Analysis'!$D$26)</f>
        <v>44</v>
      </c>
      <c r="P3525">
        <v>106</v>
      </c>
      <c r="Q3525">
        <v>1578.3762547202068</v>
      </c>
    </row>
    <row r="3526" spans="1:17" x14ac:dyDescent="0.3">
      <c r="A3526">
        <v>148951</v>
      </c>
      <c r="B3526" s="1" t="s">
        <v>37</v>
      </c>
      <c r="C3526" s="1" t="s">
        <v>23</v>
      </c>
      <c r="D3526" s="1" t="s">
        <v>16</v>
      </c>
      <c r="E3526" s="1" t="s">
        <v>27</v>
      </c>
      <c r="F3526" s="1" t="s">
        <v>29</v>
      </c>
      <c r="G3526" s="1" t="s">
        <v>20</v>
      </c>
      <c r="H3526" t="s">
        <v>30</v>
      </c>
      <c r="I3526" s="1" t="s">
        <v>22</v>
      </c>
      <c r="J3526" s="2">
        <v>43537.122384259259</v>
      </c>
      <c r="K3526" s="2">
        <v>43541.122384259259</v>
      </c>
      <c r="L3526" s="2">
        <v>43544.122384259259</v>
      </c>
      <c r="M3526" s="1">
        <f>_xlfn.DAYS(Table1[[#This Row],[actual_delivery_date]],Table1[[#This Row],[dispatch_date]])</f>
        <v>4</v>
      </c>
      <c r="N3526">
        <v>47</v>
      </c>
      <c r="O3526">
        <f>Table1[[#This Row],[transit_storage_cost]] * (1-'What -if Analysis'!$D$26)</f>
        <v>47</v>
      </c>
      <c r="P3526">
        <v>123</v>
      </c>
      <c r="Q3526">
        <v>2822.9095694185453</v>
      </c>
    </row>
    <row r="3527" spans="1:17" x14ac:dyDescent="0.3">
      <c r="A3527">
        <v>943595</v>
      </c>
      <c r="B3527" s="1" t="s">
        <v>39</v>
      </c>
      <c r="C3527" s="1" t="s">
        <v>16</v>
      </c>
      <c r="D3527" s="1" t="s">
        <v>24</v>
      </c>
      <c r="E3527" s="1" t="s">
        <v>25</v>
      </c>
      <c r="F3527" s="1" t="s">
        <v>29</v>
      </c>
      <c r="G3527" s="1" t="s">
        <v>20</v>
      </c>
      <c r="H3527" t="s">
        <v>30</v>
      </c>
      <c r="I3527" s="1" t="s">
        <v>22</v>
      </c>
      <c r="J3527" s="2">
        <v>43535.126851851855</v>
      </c>
      <c r="K3527" s="2">
        <v>43541.126851851855</v>
      </c>
      <c r="L3527" s="2">
        <v>43541.126851851855</v>
      </c>
      <c r="M3527" s="1">
        <f>_xlfn.DAYS(Table1[[#This Row],[actual_delivery_date]],Table1[[#This Row],[dispatch_date]])</f>
        <v>6</v>
      </c>
      <c r="N3527">
        <v>48</v>
      </c>
      <c r="O3527">
        <f>Table1[[#This Row],[transit_storage_cost]] * (1-'What -if Analysis'!$D$26)</f>
        <v>48</v>
      </c>
      <c r="P3527">
        <v>124</v>
      </c>
      <c r="Q3527">
        <v>1187.9966499330253</v>
      </c>
    </row>
    <row r="3528" spans="1:17" x14ac:dyDescent="0.3">
      <c r="A3528">
        <v>862849</v>
      </c>
      <c r="B3528" s="1" t="s">
        <v>38</v>
      </c>
      <c r="C3528" s="1" t="s">
        <v>16</v>
      </c>
      <c r="D3528" s="1" t="s">
        <v>23</v>
      </c>
      <c r="E3528" s="1" t="s">
        <v>28</v>
      </c>
      <c r="F3528" s="1" t="s">
        <v>29</v>
      </c>
      <c r="G3528" s="1" t="s">
        <v>20</v>
      </c>
      <c r="H3528" t="s">
        <v>30</v>
      </c>
      <c r="I3528" s="1" t="s">
        <v>22</v>
      </c>
      <c r="J3528" s="2">
        <v>43535.127870370372</v>
      </c>
      <c r="K3528" s="2">
        <v>43541.127870370372</v>
      </c>
      <c r="L3528" s="2">
        <v>43542.127870370372</v>
      </c>
      <c r="M3528" s="1">
        <f>_xlfn.DAYS(Table1[[#This Row],[actual_delivery_date]],Table1[[#This Row],[dispatch_date]])</f>
        <v>6</v>
      </c>
      <c r="N3528">
        <v>33</v>
      </c>
      <c r="O3528">
        <f>Table1[[#This Row],[transit_storage_cost]] * (1-'What -if Analysis'!$D$26)</f>
        <v>33</v>
      </c>
      <c r="P3528">
        <v>130</v>
      </c>
      <c r="Q3528">
        <v>3169.4734441554374</v>
      </c>
    </row>
    <row r="3529" spans="1:17" x14ac:dyDescent="0.3">
      <c r="A3529">
        <v>192073</v>
      </c>
      <c r="B3529" s="1" t="s">
        <v>37</v>
      </c>
      <c r="C3529" s="1" t="s">
        <v>16</v>
      </c>
      <c r="D3529" s="1" t="s">
        <v>24</v>
      </c>
      <c r="E3529" s="1" t="s">
        <v>25</v>
      </c>
      <c r="F3529" s="1" t="s">
        <v>29</v>
      </c>
      <c r="G3529" s="1" t="s">
        <v>20</v>
      </c>
      <c r="H3529" t="s">
        <v>34</v>
      </c>
      <c r="I3529" s="1" t="s">
        <v>22</v>
      </c>
      <c r="J3529" s="2">
        <v>43536.133287037039</v>
      </c>
      <c r="K3529" s="2">
        <v>43541.133287037039</v>
      </c>
      <c r="L3529" s="2">
        <v>43543.133287037039</v>
      </c>
      <c r="M3529" s="1">
        <f>_xlfn.DAYS(Table1[[#This Row],[actual_delivery_date]],Table1[[#This Row],[dispatch_date]])</f>
        <v>5</v>
      </c>
      <c r="N3529">
        <v>43</v>
      </c>
      <c r="O3529">
        <f>Table1[[#This Row],[transit_storage_cost]] * (1-'What -if Analysis'!$D$26)</f>
        <v>43</v>
      </c>
      <c r="P3529">
        <v>125</v>
      </c>
      <c r="Q3529">
        <v>2805.5409228710846</v>
      </c>
    </row>
    <row r="3530" spans="1:17" x14ac:dyDescent="0.3">
      <c r="A3530">
        <v>82372</v>
      </c>
      <c r="B3530" s="1" t="s">
        <v>39</v>
      </c>
      <c r="C3530" s="1" t="s">
        <v>23</v>
      </c>
      <c r="D3530" s="1" t="s">
        <v>17</v>
      </c>
      <c r="E3530" s="1" t="s">
        <v>18</v>
      </c>
      <c r="F3530" s="1" t="s">
        <v>19</v>
      </c>
      <c r="G3530" s="1" t="s">
        <v>20</v>
      </c>
      <c r="H3530" t="s">
        <v>21</v>
      </c>
      <c r="I3530" s="1" t="s">
        <v>22</v>
      </c>
      <c r="J3530" s="2">
        <v>43535.136273148149</v>
      </c>
      <c r="K3530" s="2">
        <v>43541.136273148149</v>
      </c>
      <c r="L3530" s="2">
        <v>43538.136273148149</v>
      </c>
      <c r="M3530" s="1">
        <f>_xlfn.DAYS(Table1[[#This Row],[actual_delivery_date]],Table1[[#This Row],[dispatch_date]])</f>
        <v>6</v>
      </c>
      <c r="N3530">
        <v>32</v>
      </c>
      <c r="O3530">
        <f>Table1[[#This Row],[transit_storage_cost]] * (1-'What -if Analysis'!$D$26)</f>
        <v>32</v>
      </c>
      <c r="P3530">
        <v>108</v>
      </c>
      <c r="Q3530">
        <v>3350.1071929434997</v>
      </c>
    </row>
    <row r="3531" spans="1:17" x14ac:dyDescent="0.3">
      <c r="A3531">
        <v>848399</v>
      </c>
      <c r="B3531" s="1" t="s">
        <v>41</v>
      </c>
      <c r="C3531" s="1" t="s">
        <v>16</v>
      </c>
      <c r="D3531" s="1" t="s">
        <v>24</v>
      </c>
      <c r="E3531" s="1" t="s">
        <v>25</v>
      </c>
      <c r="F3531" s="1" t="s">
        <v>29</v>
      </c>
      <c r="G3531" s="1" t="s">
        <v>20</v>
      </c>
      <c r="H3531" t="s">
        <v>30</v>
      </c>
      <c r="I3531" s="1" t="s">
        <v>22</v>
      </c>
      <c r="J3531" s="2">
        <v>43536.143240740741</v>
      </c>
      <c r="K3531" s="2">
        <v>43541.143240740741</v>
      </c>
      <c r="L3531" s="2">
        <v>43540.143240740741</v>
      </c>
      <c r="M3531" s="1">
        <f>_xlfn.DAYS(Table1[[#This Row],[actual_delivery_date]],Table1[[#This Row],[dispatch_date]])</f>
        <v>5</v>
      </c>
      <c r="N3531">
        <v>38</v>
      </c>
      <c r="O3531">
        <f>Table1[[#This Row],[transit_storage_cost]] * (1-'What -if Analysis'!$D$26)</f>
        <v>38</v>
      </c>
      <c r="P3531">
        <v>128</v>
      </c>
      <c r="Q3531">
        <v>997</v>
      </c>
    </row>
    <row r="3532" spans="1:17" x14ac:dyDescent="0.3">
      <c r="A3532">
        <v>814929</v>
      </c>
      <c r="B3532" s="1" t="s">
        <v>39</v>
      </c>
      <c r="C3532" s="1" t="s">
        <v>23</v>
      </c>
      <c r="D3532" s="1" t="s">
        <v>32</v>
      </c>
      <c r="E3532" s="1" t="s">
        <v>33</v>
      </c>
      <c r="F3532" s="1" t="s">
        <v>19</v>
      </c>
      <c r="G3532" s="1" t="s">
        <v>20</v>
      </c>
      <c r="H3532" t="s">
        <v>30</v>
      </c>
      <c r="I3532" s="1" t="s">
        <v>26</v>
      </c>
      <c r="J3532" s="2">
        <v>43534.152037037034</v>
      </c>
      <c r="K3532" s="2">
        <v>43541.152037037034</v>
      </c>
      <c r="L3532" s="2">
        <v>43538.152037037034</v>
      </c>
      <c r="M3532" s="1">
        <f>_xlfn.DAYS(Table1[[#This Row],[actual_delivery_date]],Table1[[#This Row],[dispatch_date]])</f>
        <v>7</v>
      </c>
      <c r="N3532">
        <v>82</v>
      </c>
      <c r="O3532">
        <f>Table1[[#This Row],[transit_storage_cost]] * (1-'What -if Analysis'!$D$26)</f>
        <v>82</v>
      </c>
      <c r="P3532">
        <v>92</v>
      </c>
      <c r="Q3532">
        <v>3290</v>
      </c>
    </row>
    <row r="3533" spans="1:17" x14ac:dyDescent="0.3">
      <c r="A3533">
        <v>179771</v>
      </c>
      <c r="B3533" s="1" t="s">
        <v>41</v>
      </c>
      <c r="C3533" s="1" t="s">
        <v>23</v>
      </c>
      <c r="D3533" s="1" t="s">
        <v>24</v>
      </c>
      <c r="E3533" s="1" t="s">
        <v>25</v>
      </c>
      <c r="F3533" s="1" t="s">
        <v>29</v>
      </c>
      <c r="G3533" s="1" t="s">
        <v>20</v>
      </c>
      <c r="H3533" t="s">
        <v>30</v>
      </c>
      <c r="I3533" s="1" t="s">
        <v>22</v>
      </c>
      <c r="J3533" s="2">
        <v>43538.153784722221</v>
      </c>
      <c r="K3533" s="2">
        <v>43541.153784722221</v>
      </c>
      <c r="L3533" s="2">
        <v>43541.153784722221</v>
      </c>
      <c r="M3533" s="1">
        <f>_xlfn.DAYS(Table1[[#This Row],[actual_delivery_date]],Table1[[#This Row],[dispatch_date]])</f>
        <v>3</v>
      </c>
      <c r="N3533">
        <v>43</v>
      </c>
      <c r="O3533">
        <f>Table1[[#This Row],[transit_storage_cost]] * (1-'What -if Analysis'!$D$26)</f>
        <v>43</v>
      </c>
      <c r="P3533">
        <v>129</v>
      </c>
      <c r="Q3533">
        <v>639</v>
      </c>
    </row>
    <row r="3534" spans="1:17" x14ac:dyDescent="0.3">
      <c r="A3534">
        <v>662388</v>
      </c>
      <c r="B3534" s="1" t="s">
        <v>40</v>
      </c>
      <c r="C3534" s="1" t="s">
        <v>16</v>
      </c>
      <c r="D3534" s="1" t="s">
        <v>17</v>
      </c>
      <c r="E3534" s="1" t="s">
        <v>18</v>
      </c>
      <c r="F3534" s="1" t="s">
        <v>19</v>
      </c>
      <c r="G3534" s="1" t="s">
        <v>20</v>
      </c>
      <c r="H3534" t="s">
        <v>21</v>
      </c>
      <c r="I3534" s="1" t="s">
        <v>26</v>
      </c>
      <c r="J3534" s="2">
        <v>43536.154074074075</v>
      </c>
      <c r="K3534" s="2">
        <v>43541.154074074075</v>
      </c>
      <c r="L3534" s="2">
        <v>43540.154074074075</v>
      </c>
      <c r="M3534" s="1">
        <f>_xlfn.DAYS(Table1[[#This Row],[actual_delivery_date]],Table1[[#This Row],[dispatch_date]])</f>
        <v>5</v>
      </c>
      <c r="N3534">
        <v>43</v>
      </c>
      <c r="O3534">
        <f>Table1[[#This Row],[transit_storage_cost]] * (1-'What -if Analysis'!$D$26)</f>
        <v>43</v>
      </c>
      <c r="P3534">
        <v>109</v>
      </c>
      <c r="Q3534">
        <v>2804.7608326423197</v>
      </c>
    </row>
    <row r="3535" spans="1:17" x14ac:dyDescent="0.3">
      <c r="A3535">
        <v>421623</v>
      </c>
      <c r="B3535" s="1" t="s">
        <v>40</v>
      </c>
      <c r="C3535" s="1" t="s">
        <v>23</v>
      </c>
      <c r="D3535" s="1" t="s">
        <v>32</v>
      </c>
      <c r="E3535" s="1" t="s">
        <v>33</v>
      </c>
      <c r="F3535" s="1" t="s">
        <v>19</v>
      </c>
      <c r="G3535" s="1" t="s">
        <v>20</v>
      </c>
      <c r="H3535" t="s">
        <v>30</v>
      </c>
      <c r="I3535" s="1" t="s">
        <v>26</v>
      </c>
      <c r="J3535" s="2">
        <v>43532.154652777775</v>
      </c>
      <c r="K3535" s="2">
        <v>43541.154652777775</v>
      </c>
      <c r="L3535" s="2">
        <v>43536.154652777775</v>
      </c>
      <c r="M3535" s="1">
        <f>_xlfn.DAYS(Table1[[#This Row],[actual_delivery_date]],Table1[[#This Row],[dispatch_date]])</f>
        <v>9</v>
      </c>
      <c r="N3535">
        <v>68</v>
      </c>
      <c r="O3535">
        <f>Table1[[#This Row],[transit_storage_cost]] * (1-'What -if Analysis'!$D$26)</f>
        <v>68</v>
      </c>
      <c r="P3535">
        <v>86</v>
      </c>
      <c r="Q3535">
        <v>2797.1164226908986</v>
      </c>
    </row>
    <row r="3536" spans="1:17" x14ac:dyDescent="0.3">
      <c r="A3536">
        <v>646977</v>
      </c>
      <c r="B3536" s="1" t="s">
        <v>38</v>
      </c>
      <c r="C3536" s="1" t="s">
        <v>23</v>
      </c>
      <c r="D3536" s="1" t="s">
        <v>17</v>
      </c>
      <c r="E3536" s="1" t="s">
        <v>18</v>
      </c>
      <c r="F3536" s="1" t="s">
        <v>29</v>
      </c>
      <c r="G3536" s="1" t="s">
        <v>20</v>
      </c>
      <c r="H3536" t="s">
        <v>30</v>
      </c>
      <c r="I3536" s="1" t="s">
        <v>26</v>
      </c>
      <c r="J3536" s="2">
        <v>43538.159571759257</v>
      </c>
      <c r="K3536" s="2">
        <v>43541.159571759257</v>
      </c>
      <c r="L3536" s="2">
        <v>43545.159571759257</v>
      </c>
      <c r="M3536" s="1">
        <f>_xlfn.DAYS(Table1[[#This Row],[actual_delivery_date]],Table1[[#This Row],[dispatch_date]])</f>
        <v>3</v>
      </c>
      <c r="N3536">
        <v>36</v>
      </c>
      <c r="O3536">
        <f>Table1[[#This Row],[transit_storage_cost]] * (1-'What -if Analysis'!$D$26)</f>
        <v>36</v>
      </c>
      <c r="P3536">
        <v>109</v>
      </c>
      <c r="Q3536">
        <v>3500.7972673538152</v>
      </c>
    </row>
    <row r="3537" spans="1:17" x14ac:dyDescent="0.3">
      <c r="A3537">
        <v>645951</v>
      </c>
      <c r="B3537" s="1" t="s">
        <v>37</v>
      </c>
      <c r="C3537" s="1" t="s">
        <v>23</v>
      </c>
      <c r="D3537" s="1" t="s">
        <v>23</v>
      </c>
      <c r="E3537" s="1" t="s">
        <v>28</v>
      </c>
      <c r="F3537" s="1" t="s">
        <v>19</v>
      </c>
      <c r="G3537" s="1" t="s">
        <v>20</v>
      </c>
      <c r="H3537" t="s">
        <v>30</v>
      </c>
      <c r="I3537" s="1" t="s">
        <v>26</v>
      </c>
      <c r="J3537" s="2">
        <v>43537.161076388889</v>
      </c>
      <c r="K3537" s="2">
        <v>43541.161076388889</v>
      </c>
      <c r="L3537" s="2">
        <v>43540.161076388889</v>
      </c>
      <c r="M3537" s="1">
        <f>_xlfn.DAYS(Table1[[#This Row],[actual_delivery_date]],Table1[[#This Row],[dispatch_date]])</f>
        <v>4</v>
      </c>
      <c r="N3537">
        <v>0</v>
      </c>
      <c r="O3537">
        <f>Table1[[#This Row],[transit_storage_cost]] * (1-'What -if Analysis'!$D$26)</f>
        <v>0</v>
      </c>
      <c r="P3537">
        <v>104</v>
      </c>
      <c r="Q3537">
        <v>3642.9686775668447</v>
      </c>
    </row>
    <row r="3538" spans="1:17" x14ac:dyDescent="0.3">
      <c r="A3538">
        <v>863770</v>
      </c>
      <c r="B3538" s="1" t="s">
        <v>39</v>
      </c>
      <c r="C3538" s="1" t="s">
        <v>16</v>
      </c>
      <c r="D3538" s="1" t="s">
        <v>32</v>
      </c>
      <c r="E3538" s="1" t="s">
        <v>33</v>
      </c>
      <c r="F3538" s="1" t="s">
        <v>19</v>
      </c>
      <c r="G3538" s="1" t="s">
        <v>20</v>
      </c>
      <c r="H3538" t="s">
        <v>21</v>
      </c>
      <c r="I3538" s="1" t="s">
        <v>22</v>
      </c>
      <c r="J3538" s="2">
        <v>43532.170972222222</v>
      </c>
      <c r="K3538" s="2">
        <v>43541.170972222222</v>
      </c>
      <c r="L3538" s="2">
        <v>43539.170972222222</v>
      </c>
      <c r="M3538" s="1">
        <f>_xlfn.DAYS(Table1[[#This Row],[actual_delivery_date]],Table1[[#This Row],[dispatch_date]])</f>
        <v>9</v>
      </c>
      <c r="N3538">
        <v>63</v>
      </c>
      <c r="O3538">
        <f>Table1[[#This Row],[transit_storage_cost]] * (1-'What -if Analysis'!$D$26)</f>
        <v>63</v>
      </c>
      <c r="P3538">
        <v>95</v>
      </c>
      <c r="Q3538">
        <v>521</v>
      </c>
    </row>
    <row r="3539" spans="1:17" x14ac:dyDescent="0.3">
      <c r="A3539">
        <v>303265</v>
      </c>
      <c r="B3539" s="1" t="s">
        <v>38</v>
      </c>
      <c r="C3539" s="1" t="s">
        <v>16</v>
      </c>
      <c r="D3539" s="1" t="s">
        <v>17</v>
      </c>
      <c r="E3539" s="1" t="s">
        <v>18</v>
      </c>
      <c r="F3539" s="1" t="s">
        <v>29</v>
      </c>
      <c r="G3539" s="1" t="s">
        <v>20</v>
      </c>
      <c r="H3539" t="s">
        <v>30</v>
      </c>
      <c r="I3539" s="1" t="s">
        <v>22</v>
      </c>
      <c r="J3539" s="2">
        <v>43537.180937500001</v>
      </c>
      <c r="K3539" s="2">
        <v>43541.180937500001</v>
      </c>
      <c r="L3539" s="2">
        <v>43541.180937500001</v>
      </c>
      <c r="M3539" s="1">
        <f>_xlfn.DAYS(Table1[[#This Row],[actual_delivery_date]],Table1[[#This Row],[dispatch_date]])</f>
        <v>4</v>
      </c>
      <c r="N3539">
        <v>50</v>
      </c>
      <c r="O3539">
        <f>Table1[[#This Row],[transit_storage_cost]] * (1-'What -if Analysis'!$D$26)</f>
        <v>50</v>
      </c>
      <c r="P3539">
        <v>106</v>
      </c>
      <c r="Q3539">
        <v>3452.8437167146021</v>
      </c>
    </row>
    <row r="3540" spans="1:17" x14ac:dyDescent="0.3">
      <c r="A3540">
        <v>752373</v>
      </c>
      <c r="B3540" s="1" t="s">
        <v>39</v>
      </c>
      <c r="C3540" s="1" t="s">
        <v>23</v>
      </c>
      <c r="D3540" s="1" t="s">
        <v>17</v>
      </c>
      <c r="E3540" s="1" t="s">
        <v>18</v>
      </c>
      <c r="F3540" s="1" t="s">
        <v>19</v>
      </c>
      <c r="G3540" s="1" t="s">
        <v>20</v>
      </c>
      <c r="H3540" t="s">
        <v>30</v>
      </c>
      <c r="I3540" s="1" t="s">
        <v>26</v>
      </c>
      <c r="J3540" s="2">
        <v>43537.182743055557</v>
      </c>
      <c r="K3540" s="2">
        <v>43541.182743055557</v>
      </c>
      <c r="L3540" s="2">
        <v>43540.182743055557</v>
      </c>
      <c r="M3540" s="1">
        <f>_xlfn.DAYS(Table1[[#This Row],[actual_delivery_date]],Table1[[#This Row],[dispatch_date]])</f>
        <v>4</v>
      </c>
      <c r="N3540">
        <v>88</v>
      </c>
      <c r="O3540">
        <f>Table1[[#This Row],[transit_storage_cost]] * (1-'What -if Analysis'!$D$26)</f>
        <v>88</v>
      </c>
      <c r="P3540">
        <v>85</v>
      </c>
      <c r="Q3540">
        <v>1484</v>
      </c>
    </row>
    <row r="3541" spans="1:17" x14ac:dyDescent="0.3">
      <c r="A3541">
        <v>722635</v>
      </c>
      <c r="B3541" s="1" t="s">
        <v>38</v>
      </c>
      <c r="C3541" s="1" t="s">
        <v>16</v>
      </c>
      <c r="D3541" s="1" t="s">
        <v>23</v>
      </c>
      <c r="E3541" s="1" t="s">
        <v>28</v>
      </c>
      <c r="F3541" s="1" t="s">
        <v>19</v>
      </c>
      <c r="G3541" s="1" t="s">
        <v>20</v>
      </c>
      <c r="H3541" t="s">
        <v>30</v>
      </c>
      <c r="I3541" s="1" t="s">
        <v>22</v>
      </c>
      <c r="J3541" s="2">
        <v>43536.192488425928</v>
      </c>
      <c r="K3541" s="2">
        <v>43541.192488425928</v>
      </c>
      <c r="L3541" s="2">
        <v>43540.192488425928</v>
      </c>
      <c r="M3541" s="1">
        <f>_xlfn.DAYS(Table1[[#This Row],[actual_delivery_date]],Table1[[#This Row],[dispatch_date]])</f>
        <v>5</v>
      </c>
      <c r="N3541">
        <v>79</v>
      </c>
      <c r="O3541">
        <f>Table1[[#This Row],[transit_storage_cost]] * (1-'What -if Analysis'!$D$26)</f>
        <v>79</v>
      </c>
      <c r="P3541">
        <v>109</v>
      </c>
      <c r="Q3541">
        <v>3282.3948082864545</v>
      </c>
    </row>
    <row r="3542" spans="1:17" x14ac:dyDescent="0.3">
      <c r="A3542">
        <v>897791</v>
      </c>
      <c r="B3542" s="1" t="s">
        <v>38</v>
      </c>
      <c r="C3542" s="1" t="s">
        <v>16</v>
      </c>
      <c r="D3542" s="1" t="s">
        <v>23</v>
      </c>
      <c r="E3542" s="1" t="s">
        <v>28</v>
      </c>
      <c r="F3542" s="1" t="s">
        <v>29</v>
      </c>
      <c r="G3542" s="1" t="s">
        <v>20</v>
      </c>
      <c r="H3542" t="s">
        <v>30</v>
      </c>
      <c r="I3542" s="1" t="s">
        <v>22</v>
      </c>
      <c r="J3542" s="2">
        <v>43535.195011574076</v>
      </c>
      <c r="K3542" s="2">
        <v>43541.195011574076</v>
      </c>
      <c r="L3542" s="2">
        <v>43539.195011574076</v>
      </c>
      <c r="M3542" s="1">
        <f>_xlfn.DAYS(Table1[[#This Row],[actual_delivery_date]],Table1[[#This Row],[dispatch_date]])</f>
        <v>6</v>
      </c>
      <c r="N3542">
        <v>35</v>
      </c>
      <c r="O3542">
        <f>Table1[[#This Row],[transit_storage_cost]] * (1-'What -if Analysis'!$D$26)</f>
        <v>35</v>
      </c>
      <c r="P3542">
        <v>129</v>
      </c>
      <c r="Q3542">
        <v>2736.9574296181245</v>
      </c>
    </row>
    <row r="3543" spans="1:17" x14ac:dyDescent="0.3">
      <c r="A3543">
        <v>392839</v>
      </c>
      <c r="B3543" s="1" t="s">
        <v>15</v>
      </c>
      <c r="C3543" s="1" t="s">
        <v>23</v>
      </c>
      <c r="D3543" s="1" t="s">
        <v>17</v>
      </c>
      <c r="E3543" s="1" t="s">
        <v>18</v>
      </c>
      <c r="F3543" s="1" t="s">
        <v>19</v>
      </c>
      <c r="G3543" s="1" t="s">
        <v>20</v>
      </c>
      <c r="H3543" t="s">
        <v>30</v>
      </c>
      <c r="I3543" s="1" t="s">
        <v>22</v>
      </c>
      <c r="J3543" s="2">
        <v>43535.201388888891</v>
      </c>
      <c r="K3543" s="2">
        <v>43541.201388888891</v>
      </c>
      <c r="L3543" s="2">
        <v>43542.201388888891</v>
      </c>
      <c r="M3543" s="1">
        <f>_xlfn.DAYS(Table1[[#This Row],[actual_delivery_date]],Table1[[#This Row],[dispatch_date]])</f>
        <v>6</v>
      </c>
      <c r="N3543">
        <v>62</v>
      </c>
      <c r="O3543">
        <f>Table1[[#This Row],[transit_storage_cost]] * (1-'What -if Analysis'!$D$26)</f>
        <v>62</v>
      </c>
      <c r="P3543">
        <v>85</v>
      </c>
      <c r="Q3543">
        <v>3563.2934383887455</v>
      </c>
    </row>
    <row r="3544" spans="1:17" x14ac:dyDescent="0.3">
      <c r="A3544">
        <v>845182</v>
      </c>
      <c r="B3544" s="1" t="s">
        <v>39</v>
      </c>
      <c r="C3544" s="1" t="s">
        <v>23</v>
      </c>
      <c r="D3544" s="1" t="s">
        <v>16</v>
      </c>
      <c r="E3544" s="1" t="s">
        <v>27</v>
      </c>
      <c r="F3544" s="1" t="s">
        <v>31</v>
      </c>
      <c r="G3544" s="1" t="s">
        <v>20</v>
      </c>
      <c r="H3544" t="s">
        <v>21</v>
      </c>
      <c r="I3544" s="1" t="s">
        <v>22</v>
      </c>
      <c r="J3544" s="2">
        <v>43535.209039351852</v>
      </c>
      <c r="K3544" s="2">
        <v>43541.209039351852</v>
      </c>
      <c r="L3544" s="2">
        <v>43542.209039351852</v>
      </c>
      <c r="M3544" s="1">
        <f>_xlfn.DAYS(Table1[[#This Row],[actual_delivery_date]],Table1[[#This Row],[dispatch_date]])</f>
        <v>6</v>
      </c>
      <c r="N3544">
        <v>37</v>
      </c>
      <c r="O3544">
        <f>Table1[[#This Row],[transit_storage_cost]] * (1-'What -if Analysis'!$D$26)</f>
        <v>37</v>
      </c>
      <c r="P3544">
        <v>128</v>
      </c>
      <c r="Q3544">
        <v>2781.373929449479</v>
      </c>
    </row>
    <row r="3545" spans="1:17" x14ac:dyDescent="0.3">
      <c r="A3545">
        <v>190791</v>
      </c>
      <c r="B3545" s="1" t="s">
        <v>39</v>
      </c>
      <c r="C3545" s="1" t="s">
        <v>16</v>
      </c>
      <c r="D3545" s="1" t="s">
        <v>32</v>
      </c>
      <c r="E3545" s="1" t="s">
        <v>33</v>
      </c>
      <c r="F3545" s="1" t="s">
        <v>19</v>
      </c>
      <c r="G3545" s="1" t="s">
        <v>20</v>
      </c>
      <c r="H3545" t="s">
        <v>30</v>
      </c>
      <c r="I3545" s="1" t="s">
        <v>26</v>
      </c>
      <c r="J3545" s="2">
        <v>43535.227453703701</v>
      </c>
      <c r="K3545" s="2">
        <v>43541.227453703701</v>
      </c>
      <c r="L3545" s="2">
        <v>43539.227453703701</v>
      </c>
      <c r="M3545" s="1">
        <f>_xlfn.DAYS(Table1[[#This Row],[actual_delivery_date]],Table1[[#This Row],[dispatch_date]])</f>
        <v>6</v>
      </c>
      <c r="N3545">
        <v>70</v>
      </c>
      <c r="O3545">
        <f>Table1[[#This Row],[transit_storage_cost]] * (1-'What -if Analysis'!$D$26)</f>
        <v>70</v>
      </c>
      <c r="P3545">
        <v>92</v>
      </c>
      <c r="Q3545">
        <v>1017</v>
      </c>
    </row>
    <row r="3546" spans="1:17" x14ac:dyDescent="0.3">
      <c r="A3546">
        <v>949503</v>
      </c>
      <c r="B3546" s="1" t="s">
        <v>38</v>
      </c>
      <c r="C3546" s="1" t="s">
        <v>23</v>
      </c>
      <c r="D3546" s="1" t="s">
        <v>32</v>
      </c>
      <c r="E3546" s="1" t="s">
        <v>33</v>
      </c>
      <c r="F3546" s="1" t="s">
        <v>29</v>
      </c>
      <c r="G3546" s="1" t="s">
        <v>20</v>
      </c>
      <c r="H3546" t="s">
        <v>30</v>
      </c>
      <c r="I3546" s="1" t="s">
        <v>26</v>
      </c>
      <c r="J3546" s="2">
        <v>43535.22859953704</v>
      </c>
      <c r="K3546" s="2">
        <v>43541.22859953704</v>
      </c>
      <c r="L3546" s="2">
        <v>43542.22859953704</v>
      </c>
      <c r="M3546" s="1">
        <f>_xlfn.DAYS(Table1[[#This Row],[actual_delivery_date]],Table1[[#This Row],[dispatch_date]])</f>
        <v>6</v>
      </c>
      <c r="N3546">
        <v>30</v>
      </c>
      <c r="O3546">
        <f>Table1[[#This Row],[transit_storage_cost]] * (1-'What -if Analysis'!$D$26)</f>
        <v>30</v>
      </c>
      <c r="P3546">
        <v>115</v>
      </c>
      <c r="Q3546">
        <v>284</v>
      </c>
    </row>
    <row r="3547" spans="1:17" x14ac:dyDescent="0.3">
      <c r="A3547">
        <v>169288</v>
      </c>
      <c r="B3547" s="1" t="s">
        <v>37</v>
      </c>
      <c r="C3547" s="1" t="s">
        <v>16</v>
      </c>
      <c r="D3547" s="1" t="s">
        <v>16</v>
      </c>
      <c r="E3547" s="1" t="s">
        <v>27</v>
      </c>
      <c r="F3547" s="1" t="s">
        <v>19</v>
      </c>
      <c r="G3547" s="1" t="s">
        <v>20</v>
      </c>
      <c r="H3547" t="s">
        <v>21</v>
      </c>
      <c r="I3547" s="1" t="s">
        <v>22</v>
      </c>
      <c r="J3547" s="2">
        <v>43537.233298611114</v>
      </c>
      <c r="K3547" s="2">
        <v>43541.233298611114</v>
      </c>
      <c r="L3547" s="2">
        <v>43543.233298611114</v>
      </c>
      <c r="M3547" s="1">
        <f>_xlfn.DAYS(Table1[[#This Row],[actual_delivery_date]],Table1[[#This Row],[dispatch_date]])</f>
        <v>4</v>
      </c>
      <c r="N3547">
        <v>0</v>
      </c>
      <c r="O3547">
        <f>Table1[[#This Row],[transit_storage_cost]] * (1-'What -if Analysis'!$D$26)</f>
        <v>0</v>
      </c>
      <c r="P3547">
        <v>122</v>
      </c>
      <c r="Q3547">
        <v>2463.4276673297318</v>
      </c>
    </row>
    <row r="3548" spans="1:17" x14ac:dyDescent="0.3">
      <c r="A3548">
        <v>427825</v>
      </c>
      <c r="B3548" s="1" t="s">
        <v>38</v>
      </c>
      <c r="C3548" s="1" t="s">
        <v>16</v>
      </c>
      <c r="D3548" s="1" t="s">
        <v>24</v>
      </c>
      <c r="E3548" s="1" t="s">
        <v>25</v>
      </c>
      <c r="F3548" s="1" t="s">
        <v>29</v>
      </c>
      <c r="G3548" s="1" t="s">
        <v>20</v>
      </c>
      <c r="H3548" t="s">
        <v>30</v>
      </c>
      <c r="I3548" s="1" t="s">
        <v>22</v>
      </c>
      <c r="J3548" s="2">
        <v>43535.234502314815</v>
      </c>
      <c r="K3548" s="2">
        <v>43541.234502314815</v>
      </c>
      <c r="L3548" s="2">
        <v>43539.234502314815</v>
      </c>
      <c r="M3548" s="1">
        <f>_xlfn.DAYS(Table1[[#This Row],[actual_delivery_date]],Table1[[#This Row],[dispatch_date]])</f>
        <v>6</v>
      </c>
      <c r="N3548">
        <v>48</v>
      </c>
      <c r="O3548">
        <f>Table1[[#This Row],[transit_storage_cost]] * (1-'What -if Analysis'!$D$26)</f>
        <v>48</v>
      </c>
      <c r="P3548">
        <v>121</v>
      </c>
      <c r="Q3548">
        <v>2862.988348676663</v>
      </c>
    </row>
    <row r="3549" spans="1:17" x14ac:dyDescent="0.3">
      <c r="A3549">
        <v>738183</v>
      </c>
      <c r="B3549" s="1" t="s">
        <v>38</v>
      </c>
      <c r="C3549" s="1" t="s">
        <v>23</v>
      </c>
      <c r="D3549" s="1" t="s">
        <v>17</v>
      </c>
      <c r="E3549" s="1" t="s">
        <v>18</v>
      </c>
      <c r="F3549" s="1" t="s">
        <v>29</v>
      </c>
      <c r="G3549" s="1" t="s">
        <v>20</v>
      </c>
      <c r="H3549" t="s">
        <v>30</v>
      </c>
      <c r="I3549" s="1" t="s">
        <v>26</v>
      </c>
      <c r="J3549" s="2">
        <v>43535.235752314817</v>
      </c>
      <c r="K3549" s="2">
        <v>43541.235752314817</v>
      </c>
      <c r="L3549" s="2">
        <v>43540.235752314817</v>
      </c>
      <c r="M3549" s="1">
        <f>_xlfn.DAYS(Table1[[#This Row],[actual_delivery_date]],Table1[[#This Row],[dispatch_date]])</f>
        <v>6</v>
      </c>
      <c r="N3549">
        <v>26</v>
      </c>
      <c r="O3549">
        <f>Table1[[#This Row],[transit_storage_cost]] * (1-'What -if Analysis'!$D$26)</f>
        <v>26</v>
      </c>
      <c r="P3549">
        <v>111</v>
      </c>
      <c r="Q3549">
        <v>1813.6739190458527</v>
      </c>
    </row>
    <row r="3550" spans="1:17" x14ac:dyDescent="0.3">
      <c r="A3550">
        <v>815613</v>
      </c>
      <c r="B3550" s="1" t="s">
        <v>41</v>
      </c>
      <c r="C3550" s="1" t="s">
        <v>16</v>
      </c>
      <c r="D3550" s="1" t="s">
        <v>23</v>
      </c>
      <c r="E3550" s="1" t="s">
        <v>28</v>
      </c>
      <c r="F3550" s="1" t="s">
        <v>29</v>
      </c>
      <c r="G3550" s="1" t="s">
        <v>20</v>
      </c>
      <c r="H3550" t="s">
        <v>30</v>
      </c>
      <c r="I3550" s="1" t="s">
        <v>26</v>
      </c>
      <c r="J3550" s="2">
        <v>43536.24</v>
      </c>
      <c r="K3550" s="2">
        <v>43541.24</v>
      </c>
      <c r="L3550" s="2">
        <v>43540.24</v>
      </c>
      <c r="M3550" s="1">
        <f>_xlfn.DAYS(Table1[[#This Row],[actual_delivery_date]],Table1[[#This Row],[dispatch_date]])</f>
        <v>5</v>
      </c>
      <c r="N3550">
        <v>43</v>
      </c>
      <c r="O3550">
        <f>Table1[[#This Row],[transit_storage_cost]] * (1-'What -if Analysis'!$D$26)</f>
        <v>43</v>
      </c>
      <c r="P3550">
        <v>125</v>
      </c>
      <c r="Q3550">
        <v>2428.6861595641371</v>
      </c>
    </row>
    <row r="3551" spans="1:17" x14ac:dyDescent="0.3">
      <c r="A3551">
        <v>672829</v>
      </c>
      <c r="B3551" s="1" t="s">
        <v>41</v>
      </c>
      <c r="C3551" s="1" t="s">
        <v>16</v>
      </c>
      <c r="D3551" s="1" t="s">
        <v>24</v>
      </c>
      <c r="E3551" s="1" t="s">
        <v>25</v>
      </c>
      <c r="F3551" s="1" t="s">
        <v>29</v>
      </c>
      <c r="G3551" s="1" t="s">
        <v>20</v>
      </c>
      <c r="H3551" t="s">
        <v>30</v>
      </c>
      <c r="I3551" s="1" t="s">
        <v>22</v>
      </c>
      <c r="J3551" s="2">
        <v>43537.240046296298</v>
      </c>
      <c r="K3551" s="2">
        <v>43541.240046296298</v>
      </c>
      <c r="L3551" s="2">
        <v>43542.240046296298</v>
      </c>
      <c r="M3551" s="1">
        <f>_xlfn.DAYS(Table1[[#This Row],[actual_delivery_date]],Table1[[#This Row],[dispatch_date]])</f>
        <v>4</v>
      </c>
      <c r="N3551">
        <v>40</v>
      </c>
      <c r="O3551">
        <f>Table1[[#This Row],[transit_storage_cost]] * (1-'What -if Analysis'!$D$26)</f>
        <v>40</v>
      </c>
      <c r="P3551">
        <v>128</v>
      </c>
      <c r="Q3551">
        <v>3182</v>
      </c>
    </row>
    <row r="3552" spans="1:17" x14ac:dyDescent="0.3">
      <c r="A3552">
        <v>611351</v>
      </c>
      <c r="B3552" s="1" t="s">
        <v>38</v>
      </c>
      <c r="C3552" s="1" t="s">
        <v>16</v>
      </c>
      <c r="D3552" s="1" t="s">
        <v>16</v>
      </c>
      <c r="E3552" s="1" t="s">
        <v>27</v>
      </c>
      <c r="F3552" s="1" t="s">
        <v>19</v>
      </c>
      <c r="G3552" s="1" t="s">
        <v>20</v>
      </c>
      <c r="H3552" t="s">
        <v>30</v>
      </c>
      <c r="I3552" s="1" t="s">
        <v>22</v>
      </c>
      <c r="J3552" s="2">
        <v>43538.241597222222</v>
      </c>
      <c r="K3552" s="2">
        <v>43541.241597222222</v>
      </c>
      <c r="L3552" s="2">
        <v>43541.241597222222</v>
      </c>
      <c r="M3552" s="1">
        <f>_xlfn.DAYS(Table1[[#This Row],[actual_delivery_date]],Table1[[#This Row],[dispatch_date]])</f>
        <v>3</v>
      </c>
      <c r="N3552">
        <v>0</v>
      </c>
      <c r="O3552">
        <f>Table1[[#This Row],[transit_storage_cost]] * (1-'What -if Analysis'!$D$26)</f>
        <v>0</v>
      </c>
      <c r="P3552">
        <v>109</v>
      </c>
      <c r="Q3552">
        <v>2518.8792129211961</v>
      </c>
    </row>
    <row r="3553" spans="1:17" x14ac:dyDescent="0.3">
      <c r="A3553">
        <v>908072</v>
      </c>
      <c r="B3553" s="1" t="s">
        <v>41</v>
      </c>
      <c r="C3553" s="1" t="s">
        <v>23</v>
      </c>
      <c r="D3553" s="1" t="s">
        <v>16</v>
      </c>
      <c r="E3553" s="1" t="s">
        <v>27</v>
      </c>
      <c r="F3553" s="1" t="s">
        <v>19</v>
      </c>
      <c r="G3553" s="1" t="s">
        <v>20</v>
      </c>
      <c r="H3553" t="s">
        <v>21</v>
      </c>
      <c r="I3553" s="1" t="s">
        <v>22</v>
      </c>
      <c r="J3553" s="2">
        <v>43536.244108796294</v>
      </c>
      <c r="K3553" s="2">
        <v>43541.244108796294</v>
      </c>
      <c r="L3553" s="2">
        <v>43541.244108796294</v>
      </c>
      <c r="M3553" s="1">
        <f>_xlfn.DAYS(Table1[[#This Row],[actual_delivery_date]],Table1[[#This Row],[dispatch_date]])</f>
        <v>5</v>
      </c>
      <c r="N3553">
        <v>28</v>
      </c>
      <c r="O3553">
        <f>Table1[[#This Row],[transit_storage_cost]] * (1-'What -if Analysis'!$D$26)</f>
        <v>28</v>
      </c>
      <c r="P3553">
        <v>123</v>
      </c>
      <c r="Q3553">
        <v>2577.8322525842273</v>
      </c>
    </row>
    <row r="3554" spans="1:17" x14ac:dyDescent="0.3">
      <c r="A3554">
        <v>332</v>
      </c>
      <c r="B3554" s="1" t="s">
        <v>38</v>
      </c>
      <c r="C3554" s="1" t="s">
        <v>23</v>
      </c>
      <c r="D3554" s="1" t="s">
        <v>24</v>
      </c>
      <c r="E3554" s="1" t="s">
        <v>25</v>
      </c>
      <c r="F3554" s="1" t="s">
        <v>19</v>
      </c>
      <c r="G3554" s="1" t="s">
        <v>20</v>
      </c>
      <c r="H3554" t="s">
        <v>21</v>
      </c>
      <c r="I3554" s="1" t="s">
        <v>22</v>
      </c>
      <c r="J3554" s="2">
        <v>43537.260729166665</v>
      </c>
      <c r="K3554" s="2">
        <v>43541.260729166665</v>
      </c>
      <c r="L3554" s="2">
        <v>43540.260729166665</v>
      </c>
      <c r="M3554" s="1">
        <f>_xlfn.DAYS(Table1[[#This Row],[actual_delivery_date]],Table1[[#This Row],[dispatch_date]])</f>
        <v>4</v>
      </c>
      <c r="N3554">
        <v>44</v>
      </c>
      <c r="O3554">
        <f>Table1[[#This Row],[transit_storage_cost]] * (1-'What -if Analysis'!$D$26)</f>
        <v>44</v>
      </c>
      <c r="P3554">
        <v>123</v>
      </c>
      <c r="Q3554">
        <v>3705.9256759586729</v>
      </c>
    </row>
    <row r="3555" spans="1:17" x14ac:dyDescent="0.3">
      <c r="A3555">
        <v>944201</v>
      </c>
      <c r="B3555" s="1" t="s">
        <v>38</v>
      </c>
      <c r="C3555" s="1" t="s">
        <v>16</v>
      </c>
      <c r="D3555" s="1" t="s">
        <v>17</v>
      </c>
      <c r="E3555" s="1" t="s">
        <v>18</v>
      </c>
      <c r="F3555" s="1" t="s">
        <v>29</v>
      </c>
      <c r="G3555" s="1" t="s">
        <v>20</v>
      </c>
      <c r="H3555" t="s">
        <v>30</v>
      </c>
      <c r="I3555" s="1" t="s">
        <v>22</v>
      </c>
      <c r="J3555" s="2">
        <v>43537.263298611113</v>
      </c>
      <c r="K3555" s="2">
        <v>43541.263298611113</v>
      </c>
      <c r="L3555" s="2">
        <v>43544.263298611113</v>
      </c>
      <c r="M3555" s="1">
        <f>_xlfn.DAYS(Table1[[#This Row],[actual_delivery_date]],Table1[[#This Row],[dispatch_date]])</f>
        <v>4</v>
      </c>
      <c r="N3555">
        <v>36</v>
      </c>
      <c r="O3555">
        <f>Table1[[#This Row],[transit_storage_cost]] * (1-'What -if Analysis'!$D$26)</f>
        <v>36</v>
      </c>
      <c r="P3555">
        <v>111</v>
      </c>
      <c r="Q3555">
        <v>459</v>
      </c>
    </row>
    <row r="3556" spans="1:17" x14ac:dyDescent="0.3">
      <c r="A3556">
        <v>287343</v>
      </c>
      <c r="B3556" s="1" t="s">
        <v>38</v>
      </c>
      <c r="C3556" s="1" t="s">
        <v>23</v>
      </c>
      <c r="D3556" s="1" t="s">
        <v>16</v>
      </c>
      <c r="E3556" s="1" t="s">
        <v>27</v>
      </c>
      <c r="F3556" s="1" t="s">
        <v>29</v>
      </c>
      <c r="G3556" s="1" t="s">
        <v>20</v>
      </c>
      <c r="H3556" t="s">
        <v>34</v>
      </c>
      <c r="I3556" s="1" t="s">
        <v>26</v>
      </c>
      <c r="J3556" s="2">
        <v>43537.265949074077</v>
      </c>
      <c r="K3556" s="2">
        <v>43541.265949074077</v>
      </c>
      <c r="L3556" s="2">
        <v>43544.265949074077</v>
      </c>
      <c r="M3556" s="1">
        <f>_xlfn.DAYS(Table1[[#This Row],[actual_delivery_date]],Table1[[#This Row],[dispatch_date]])</f>
        <v>4</v>
      </c>
      <c r="N3556">
        <v>28</v>
      </c>
      <c r="O3556">
        <f>Table1[[#This Row],[transit_storage_cost]] * (1-'What -if Analysis'!$D$26)</f>
        <v>28</v>
      </c>
      <c r="P3556">
        <v>130</v>
      </c>
      <c r="Q3556">
        <v>3710.6579313908505</v>
      </c>
    </row>
    <row r="3557" spans="1:17" x14ac:dyDescent="0.3">
      <c r="A3557">
        <v>537249</v>
      </c>
      <c r="B3557" s="1" t="s">
        <v>38</v>
      </c>
      <c r="C3557" s="1" t="s">
        <v>23</v>
      </c>
      <c r="D3557" s="1" t="s">
        <v>17</v>
      </c>
      <c r="E3557" s="1" t="s">
        <v>18</v>
      </c>
      <c r="F3557" s="1" t="s">
        <v>29</v>
      </c>
      <c r="G3557" s="1" t="s">
        <v>20</v>
      </c>
      <c r="H3557" t="s">
        <v>30</v>
      </c>
      <c r="I3557" s="1" t="s">
        <v>26</v>
      </c>
      <c r="J3557" s="2">
        <v>43532.266365740739</v>
      </c>
      <c r="K3557" s="2">
        <v>43541.266365740739</v>
      </c>
      <c r="L3557" s="2">
        <v>43538.266365740739</v>
      </c>
      <c r="M3557" s="1">
        <f>_xlfn.DAYS(Table1[[#This Row],[actual_delivery_date]],Table1[[#This Row],[dispatch_date]])</f>
        <v>9</v>
      </c>
      <c r="N3557">
        <v>50</v>
      </c>
      <c r="O3557">
        <f>Table1[[#This Row],[transit_storage_cost]] * (1-'What -if Analysis'!$D$26)</f>
        <v>50</v>
      </c>
      <c r="P3557">
        <v>115</v>
      </c>
      <c r="Q3557">
        <v>1059</v>
      </c>
    </row>
    <row r="3558" spans="1:17" x14ac:dyDescent="0.3">
      <c r="A3558">
        <v>726083</v>
      </c>
      <c r="B3558" s="1" t="s">
        <v>40</v>
      </c>
      <c r="C3558" s="1" t="s">
        <v>16</v>
      </c>
      <c r="D3558" s="1" t="s">
        <v>23</v>
      </c>
      <c r="E3558" s="1" t="s">
        <v>28</v>
      </c>
      <c r="F3558" s="1" t="s">
        <v>29</v>
      </c>
      <c r="G3558" s="1" t="s">
        <v>20</v>
      </c>
      <c r="H3558" t="s">
        <v>30</v>
      </c>
      <c r="I3558" s="1" t="s">
        <v>22</v>
      </c>
      <c r="J3558" s="2">
        <v>43531.292372685188</v>
      </c>
      <c r="K3558" s="2">
        <v>43541.292372685188</v>
      </c>
      <c r="L3558" s="2">
        <v>43538.292372685188</v>
      </c>
      <c r="M3558" s="1">
        <f>_xlfn.DAYS(Table1[[#This Row],[actual_delivery_date]],Table1[[#This Row],[dispatch_date]])</f>
        <v>10</v>
      </c>
      <c r="N3558">
        <v>47</v>
      </c>
      <c r="O3558">
        <f>Table1[[#This Row],[transit_storage_cost]] * (1-'What -if Analysis'!$D$26)</f>
        <v>47</v>
      </c>
      <c r="P3558">
        <v>122</v>
      </c>
      <c r="Q3558">
        <v>3300</v>
      </c>
    </row>
    <row r="3559" spans="1:17" x14ac:dyDescent="0.3">
      <c r="A3559">
        <v>351015</v>
      </c>
      <c r="B3559" s="1" t="s">
        <v>38</v>
      </c>
      <c r="C3559" s="1" t="s">
        <v>16</v>
      </c>
      <c r="D3559" s="1" t="s">
        <v>17</v>
      </c>
      <c r="E3559" s="1" t="s">
        <v>18</v>
      </c>
      <c r="F3559" s="1" t="s">
        <v>29</v>
      </c>
      <c r="G3559" s="1" t="s">
        <v>20</v>
      </c>
      <c r="H3559" t="s">
        <v>34</v>
      </c>
      <c r="I3559" s="1" t="s">
        <v>26</v>
      </c>
      <c r="J3559" s="2">
        <v>43534.292858796296</v>
      </c>
      <c r="K3559" s="2">
        <v>43541.292858796296</v>
      </c>
      <c r="L3559" s="2">
        <v>43538.292858796296</v>
      </c>
      <c r="M3559" s="1">
        <f>_xlfn.DAYS(Table1[[#This Row],[actual_delivery_date]],Table1[[#This Row],[dispatch_date]])</f>
        <v>7</v>
      </c>
      <c r="N3559">
        <v>41</v>
      </c>
      <c r="O3559">
        <f>Table1[[#This Row],[transit_storage_cost]] * (1-'What -if Analysis'!$D$26)</f>
        <v>41</v>
      </c>
      <c r="P3559">
        <v>106</v>
      </c>
      <c r="Q3559">
        <v>531</v>
      </c>
    </row>
    <row r="3560" spans="1:17" x14ac:dyDescent="0.3">
      <c r="A3560">
        <v>929811</v>
      </c>
      <c r="B3560" s="1" t="s">
        <v>37</v>
      </c>
      <c r="C3560" s="1" t="s">
        <v>23</v>
      </c>
      <c r="D3560" s="1" t="s">
        <v>16</v>
      </c>
      <c r="E3560" s="1" t="s">
        <v>27</v>
      </c>
      <c r="F3560" s="1" t="s">
        <v>19</v>
      </c>
      <c r="G3560" s="1" t="s">
        <v>20</v>
      </c>
      <c r="H3560" t="s">
        <v>30</v>
      </c>
      <c r="I3560" s="1" t="s">
        <v>26</v>
      </c>
      <c r="J3560" s="2">
        <v>43537.301388888889</v>
      </c>
      <c r="K3560" s="2">
        <v>43541.301388888889</v>
      </c>
      <c r="L3560" s="2">
        <v>43540.301388888889</v>
      </c>
      <c r="M3560" s="1">
        <f>_xlfn.DAYS(Table1[[#This Row],[actual_delivery_date]],Table1[[#This Row],[dispatch_date]])</f>
        <v>4</v>
      </c>
      <c r="N3560">
        <v>70</v>
      </c>
      <c r="O3560">
        <f>Table1[[#This Row],[transit_storage_cost]] * (1-'What -if Analysis'!$D$26)</f>
        <v>70</v>
      </c>
      <c r="P3560">
        <v>109</v>
      </c>
      <c r="Q3560">
        <v>1429.416648670928</v>
      </c>
    </row>
    <row r="3561" spans="1:17" x14ac:dyDescent="0.3">
      <c r="A3561">
        <v>353911</v>
      </c>
      <c r="B3561" s="1" t="s">
        <v>40</v>
      </c>
      <c r="C3561" s="1" t="s">
        <v>16</v>
      </c>
      <c r="D3561" s="1" t="s">
        <v>17</v>
      </c>
      <c r="E3561" s="1" t="s">
        <v>18</v>
      </c>
      <c r="F3561" s="1" t="s">
        <v>29</v>
      </c>
      <c r="G3561" s="1" t="s">
        <v>20</v>
      </c>
      <c r="H3561" t="s">
        <v>30</v>
      </c>
      <c r="I3561" s="1" t="s">
        <v>22</v>
      </c>
      <c r="J3561" s="2">
        <v>43536.302129629628</v>
      </c>
      <c r="K3561" s="2">
        <v>43541.302129629628</v>
      </c>
      <c r="L3561" s="2">
        <v>43542.302129629628</v>
      </c>
      <c r="M3561" s="1">
        <f>_xlfn.DAYS(Table1[[#This Row],[actual_delivery_date]],Table1[[#This Row],[dispatch_date]])</f>
        <v>5</v>
      </c>
      <c r="N3561">
        <v>45</v>
      </c>
      <c r="O3561">
        <f>Table1[[#This Row],[transit_storage_cost]] * (1-'What -if Analysis'!$D$26)</f>
        <v>45</v>
      </c>
      <c r="P3561">
        <v>113</v>
      </c>
      <c r="Q3561">
        <v>2153</v>
      </c>
    </row>
    <row r="3562" spans="1:17" x14ac:dyDescent="0.3">
      <c r="A3562">
        <v>927842</v>
      </c>
      <c r="B3562" s="1" t="s">
        <v>39</v>
      </c>
      <c r="C3562" s="1" t="s">
        <v>23</v>
      </c>
      <c r="D3562" s="1" t="s">
        <v>17</v>
      </c>
      <c r="E3562" s="1" t="s">
        <v>18</v>
      </c>
      <c r="F3562" s="1" t="s">
        <v>31</v>
      </c>
      <c r="G3562" s="1" t="s">
        <v>20</v>
      </c>
      <c r="H3562" t="s">
        <v>21</v>
      </c>
      <c r="I3562" s="1" t="s">
        <v>22</v>
      </c>
      <c r="J3562" s="2">
        <v>43538.305879629632</v>
      </c>
      <c r="K3562" s="2">
        <v>43541.305879629632</v>
      </c>
      <c r="L3562" s="2">
        <v>43543.305879629632</v>
      </c>
      <c r="M3562" s="1">
        <f>_xlfn.DAYS(Table1[[#This Row],[actual_delivery_date]],Table1[[#This Row],[dispatch_date]])</f>
        <v>3</v>
      </c>
      <c r="N3562">
        <v>35</v>
      </c>
      <c r="O3562">
        <f>Table1[[#This Row],[transit_storage_cost]] * (1-'What -if Analysis'!$D$26)</f>
        <v>35</v>
      </c>
      <c r="P3562">
        <v>114</v>
      </c>
      <c r="Q3562">
        <v>3447.3451769656417</v>
      </c>
    </row>
    <row r="3563" spans="1:17" x14ac:dyDescent="0.3">
      <c r="A3563">
        <v>801858</v>
      </c>
      <c r="B3563" s="1" t="s">
        <v>38</v>
      </c>
      <c r="C3563" s="1" t="s">
        <v>16</v>
      </c>
      <c r="D3563" s="1" t="s">
        <v>17</v>
      </c>
      <c r="E3563" s="1" t="s">
        <v>18</v>
      </c>
      <c r="F3563" s="1" t="s">
        <v>31</v>
      </c>
      <c r="G3563" s="1" t="s">
        <v>20</v>
      </c>
      <c r="H3563" t="s">
        <v>21</v>
      </c>
      <c r="I3563" s="1" t="s">
        <v>26</v>
      </c>
      <c r="J3563" s="2">
        <v>43534.307511574072</v>
      </c>
      <c r="K3563" s="2">
        <v>43541.307511574072</v>
      </c>
      <c r="L3563" s="2">
        <v>43537.307511574072</v>
      </c>
      <c r="M3563" s="1">
        <f>_xlfn.DAYS(Table1[[#This Row],[actual_delivery_date]],Table1[[#This Row],[dispatch_date]])</f>
        <v>7</v>
      </c>
      <c r="N3563">
        <v>35</v>
      </c>
      <c r="O3563">
        <f>Table1[[#This Row],[transit_storage_cost]] * (1-'What -if Analysis'!$D$26)</f>
        <v>35</v>
      </c>
      <c r="P3563">
        <v>110</v>
      </c>
      <c r="Q3563">
        <v>851</v>
      </c>
    </row>
    <row r="3564" spans="1:17" x14ac:dyDescent="0.3">
      <c r="A3564">
        <v>17512</v>
      </c>
      <c r="B3564" s="1" t="s">
        <v>39</v>
      </c>
      <c r="C3564" s="1" t="s">
        <v>23</v>
      </c>
      <c r="D3564" s="1" t="s">
        <v>32</v>
      </c>
      <c r="E3564" s="1" t="s">
        <v>33</v>
      </c>
      <c r="F3564" s="1" t="s">
        <v>19</v>
      </c>
      <c r="G3564" s="1" t="s">
        <v>20</v>
      </c>
      <c r="H3564" t="s">
        <v>21</v>
      </c>
      <c r="I3564" s="1" t="s">
        <v>22</v>
      </c>
      <c r="J3564" s="2">
        <v>43538.312037037038</v>
      </c>
      <c r="K3564" s="2">
        <v>43541.312037037038</v>
      </c>
      <c r="L3564" s="2">
        <v>43544.312037037038</v>
      </c>
      <c r="M3564" s="1">
        <f>_xlfn.DAYS(Table1[[#This Row],[actual_delivery_date]],Table1[[#This Row],[dispatch_date]])</f>
        <v>3</v>
      </c>
      <c r="N3564">
        <v>28</v>
      </c>
      <c r="O3564">
        <f>Table1[[#This Row],[transit_storage_cost]] * (1-'What -if Analysis'!$D$26)</f>
        <v>28</v>
      </c>
      <c r="P3564">
        <v>105</v>
      </c>
      <c r="Q3564">
        <v>3286.8549635603654</v>
      </c>
    </row>
    <row r="3565" spans="1:17" x14ac:dyDescent="0.3">
      <c r="A3565">
        <v>398630</v>
      </c>
      <c r="B3565" s="1" t="s">
        <v>39</v>
      </c>
      <c r="C3565" s="1" t="s">
        <v>16</v>
      </c>
      <c r="D3565" s="1" t="s">
        <v>23</v>
      </c>
      <c r="E3565" s="1" t="s">
        <v>28</v>
      </c>
      <c r="F3565" s="1" t="s">
        <v>31</v>
      </c>
      <c r="G3565" s="1" t="s">
        <v>20</v>
      </c>
      <c r="H3565" t="s">
        <v>21</v>
      </c>
      <c r="I3565" s="1" t="s">
        <v>22</v>
      </c>
      <c r="J3565" s="2">
        <v>43533.317824074074</v>
      </c>
      <c r="K3565" s="2">
        <v>43541.317824074074</v>
      </c>
      <c r="L3565" s="2">
        <v>43539.317824074074</v>
      </c>
      <c r="M3565" s="1">
        <f>_xlfn.DAYS(Table1[[#This Row],[actual_delivery_date]],Table1[[#This Row],[dispatch_date]])</f>
        <v>8</v>
      </c>
      <c r="N3565">
        <v>41</v>
      </c>
      <c r="O3565">
        <f>Table1[[#This Row],[transit_storage_cost]] * (1-'What -if Analysis'!$D$26)</f>
        <v>41</v>
      </c>
      <c r="P3565">
        <v>129</v>
      </c>
      <c r="Q3565">
        <v>399</v>
      </c>
    </row>
    <row r="3566" spans="1:17" x14ac:dyDescent="0.3">
      <c r="A3566">
        <v>276359</v>
      </c>
      <c r="B3566" s="1" t="s">
        <v>38</v>
      </c>
      <c r="C3566" s="1" t="s">
        <v>16</v>
      </c>
      <c r="D3566" s="1" t="s">
        <v>24</v>
      </c>
      <c r="E3566" s="1" t="s">
        <v>25</v>
      </c>
      <c r="F3566" s="1" t="s">
        <v>19</v>
      </c>
      <c r="G3566" s="1" t="s">
        <v>20</v>
      </c>
      <c r="H3566" t="s">
        <v>30</v>
      </c>
      <c r="I3566" s="1" t="s">
        <v>22</v>
      </c>
      <c r="J3566" s="2">
        <v>43531.319953703707</v>
      </c>
      <c r="K3566" s="2">
        <v>43541.319953703707</v>
      </c>
      <c r="L3566" s="2">
        <v>43536.319953703707</v>
      </c>
      <c r="M3566" s="1">
        <f>_xlfn.DAYS(Table1[[#This Row],[actual_delivery_date]],Table1[[#This Row],[dispatch_date]])</f>
        <v>10</v>
      </c>
      <c r="N3566">
        <v>67</v>
      </c>
      <c r="O3566">
        <f>Table1[[#This Row],[transit_storage_cost]] * (1-'What -if Analysis'!$D$26)</f>
        <v>67</v>
      </c>
      <c r="P3566">
        <v>106</v>
      </c>
      <c r="Q3566">
        <v>826.68667358761036</v>
      </c>
    </row>
    <row r="3567" spans="1:17" x14ac:dyDescent="0.3">
      <c r="A3567">
        <v>585971</v>
      </c>
      <c r="B3567" s="1" t="s">
        <v>41</v>
      </c>
      <c r="C3567" s="1" t="s">
        <v>16</v>
      </c>
      <c r="D3567" s="1" t="s">
        <v>23</v>
      </c>
      <c r="E3567" s="1" t="s">
        <v>28</v>
      </c>
      <c r="F3567" s="1" t="s">
        <v>29</v>
      </c>
      <c r="G3567" s="1" t="s">
        <v>20</v>
      </c>
      <c r="H3567" t="s">
        <v>30</v>
      </c>
      <c r="I3567" s="1" t="s">
        <v>22</v>
      </c>
      <c r="J3567" s="2">
        <v>43532.321030092593</v>
      </c>
      <c r="K3567" s="2">
        <v>43541.321030092593</v>
      </c>
      <c r="L3567" s="2">
        <v>43536.321030092593</v>
      </c>
      <c r="M3567" s="1">
        <f>_xlfn.DAYS(Table1[[#This Row],[actual_delivery_date]],Table1[[#This Row],[dispatch_date]])</f>
        <v>9</v>
      </c>
      <c r="N3567">
        <v>42</v>
      </c>
      <c r="O3567">
        <f>Table1[[#This Row],[transit_storage_cost]] * (1-'What -if Analysis'!$D$26)</f>
        <v>42</v>
      </c>
      <c r="P3567">
        <v>124</v>
      </c>
      <c r="Q3567">
        <v>2326.0916412013435</v>
      </c>
    </row>
    <row r="3568" spans="1:17" x14ac:dyDescent="0.3">
      <c r="A3568">
        <v>28186</v>
      </c>
      <c r="B3568" s="1" t="s">
        <v>38</v>
      </c>
      <c r="C3568" s="1" t="s">
        <v>23</v>
      </c>
      <c r="D3568" s="1" t="s">
        <v>16</v>
      </c>
      <c r="E3568" s="1" t="s">
        <v>27</v>
      </c>
      <c r="F3568" s="1" t="s">
        <v>31</v>
      </c>
      <c r="G3568" s="1" t="s">
        <v>20</v>
      </c>
      <c r="H3568" t="s">
        <v>21</v>
      </c>
      <c r="I3568" s="1" t="s">
        <v>22</v>
      </c>
      <c r="J3568" s="2">
        <v>43538.33216435185</v>
      </c>
      <c r="K3568" s="2">
        <v>43541.33216435185</v>
      </c>
      <c r="L3568" s="2">
        <v>43543.33216435185</v>
      </c>
      <c r="M3568" s="1">
        <f>_xlfn.DAYS(Table1[[#This Row],[actual_delivery_date]],Table1[[#This Row],[dispatch_date]])</f>
        <v>3</v>
      </c>
      <c r="N3568">
        <v>32</v>
      </c>
      <c r="O3568">
        <f>Table1[[#This Row],[transit_storage_cost]] * (1-'What -if Analysis'!$D$26)</f>
        <v>32</v>
      </c>
      <c r="P3568">
        <v>120</v>
      </c>
      <c r="Q3568">
        <v>1279.1039665554081</v>
      </c>
    </row>
    <row r="3569" spans="1:17" x14ac:dyDescent="0.3">
      <c r="A3569">
        <v>974133</v>
      </c>
      <c r="B3569" s="1" t="s">
        <v>38</v>
      </c>
      <c r="C3569" s="1" t="s">
        <v>16</v>
      </c>
      <c r="D3569" s="1" t="s">
        <v>17</v>
      </c>
      <c r="E3569" s="1" t="s">
        <v>18</v>
      </c>
      <c r="F3569" s="1" t="s">
        <v>19</v>
      </c>
      <c r="G3569" s="1" t="s">
        <v>20</v>
      </c>
      <c r="H3569" t="s">
        <v>30</v>
      </c>
      <c r="I3569" s="1" t="s">
        <v>26</v>
      </c>
      <c r="J3569" s="2">
        <v>43537.332592592589</v>
      </c>
      <c r="K3569" s="2">
        <v>43541.332592592589</v>
      </c>
      <c r="L3569" s="2">
        <v>43544.332592592589</v>
      </c>
      <c r="M3569" s="1">
        <f>_xlfn.DAYS(Table1[[#This Row],[actual_delivery_date]],Table1[[#This Row],[dispatch_date]])</f>
        <v>4</v>
      </c>
      <c r="N3569">
        <v>81</v>
      </c>
      <c r="O3569">
        <f>Table1[[#This Row],[transit_storage_cost]] * (1-'What -if Analysis'!$D$26)</f>
        <v>81</v>
      </c>
      <c r="P3569">
        <v>86</v>
      </c>
      <c r="Q3569">
        <v>2743</v>
      </c>
    </row>
    <row r="3570" spans="1:17" x14ac:dyDescent="0.3">
      <c r="A3570">
        <v>325260</v>
      </c>
      <c r="B3570" s="1" t="s">
        <v>41</v>
      </c>
      <c r="C3570" s="1" t="s">
        <v>23</v>
      </c>
      <c r="D3570" s="1" t="s">
        <v>32</v>
      </c>
      <c r="E3570" s="1" t="s">
        <v>33</v>
      </c>
      <c r="F3570" s="1" t="s">
        <v>19</v>
      </c>
      <c r="G3570" s="1" t="s">
        <v>20</v>
      </c>
      <c r="H3570" t="s">
        <v>21</v>
      </c>
      <c r="I3570" s="1" t="s">
        <v>26</v>
      </c>
      <c r="J3570" s="2">
        <v>43533.33697916667</v>
      </c>
      <c r="K3570" s="2">
        <v>43541.33697916667</v>
      </c>
      <c r="L3570" s="2">
        <v>43536.33697916667</v>
      </c>
      <c r="M3570" s="1">
        <f>_xlfn.DAYS(Table1[[#This Row],[actual_delivery_date]],Table1[[#This Row],[dispatch_date]])</f>
        <v>8</v>
      </c>
      <c r="N3570">
        <v>25</v>
      </c>
      <c r="O3570">
        <f>Table1[[#This Row],[transit_storage_cost]] * (1-'What -if Analysis'!$D$26)</f>
        <v>25</v>
      </c>
      <c r="P3570">
        <v>107</v>
      </c>
      <c r="Q3570">
        <v>2808.0884348769514</v>
      </c>
    </row>
    <row r="3571" spans="1:17" x14ac:dyDescent="0.3">
      <c r="A3571">
        <v>882701</v>
      </c>
      <c r="B3571" s="1" t="s">
        <v>37</v>
      </c>
      <c r="C3571" s="1" t="s">
        <v>16</v>
      </c>
      <c r="D3571" s="1" t="s">
        <v>24</v>
      </c>
      <c r="E3571" s="1" t="s">
        <v>25</v>
      </c>
      <c r="F3571" s="1" t="s">
        <v>29</v>
      </c>
      <c r="G3571" s="1" t="s">
        <v>20</v>
      </c>
      <c r="H3571" t="s">
        <v>30</v>
      </c>
      <c r="I3571" s="1" t="s">
        <v>22</v>
      </c>
      <c r="J3571" s="2">
        <v>43538.337222222224</v>
      </c>
      <c r="K3571" s="2">
        <v>43541.337222222224</v>
      </c>
      <c r="L3571" s="2">
        <v>43544.337222222224</v>
      </c>
      <c r="M3571" s="1">
        <f>_xlfn.DAYS(Table1[[#This Row],[actual_delivery_date]],Table1[[#This Row],[dispatch_date]])</f>
        <v>3</v>
      </c>
      <c r="N3571">
        <v>45</v>
      </c>
      <c r="O3571">
        <f>Table1[[#This Row],[transit_storage_cost]] * (1-'What -if Analysis'!$D$26)</f>
        <v>45</v>
      </c>
      <c r="P3571">
        <v>125</v>
      </c>
      <c r="Q3571">
        <v>1474.0669769471981</v>
      </c>
    </row>
    <row r="3572" spans="1:17" x14ac:dyDescent="0.3">
      <c r="A3572">
        <v>42153</v>
      </c>
      <c r="B3572" s="1" t="s">
        <v>38</v>
      </c>
      <c r="C3572" s="1" t="s">
        <v>16</v>
      </c>
      <c r="D3572" s="1" t="s">
        <v>32</v>
      </c>
      <c r="E3572" s="1" t="s">
        <v>33</v>
      </c>
      <c r="F3572" s="1" t="s">
        <v>29</v>
      </c>
      <c r="G3572" s="1" t="s">
        <v>20</v>
      </c>
      <c r="H3572" t="s">
        <v>30</v>
      </c>
      <c r="I3572" s="1" t="s">
        <v>26</v>
      </c>
      <c r="J3572" s="2">
        <v>43534.338067129633</v>
      </c>
      <c r="K3572" s="2">
        <v>43541.338067129633</v>
      </c>
      <c r="L3572" s="2">
        <v>43540.338067129633</v>
      </c>
      <c r="M3572" s="1">
        <f>_xlfn.DAYS(Table1[[#This Row],[actual_delivery_date]],Table1[[#This Row],[dispatch_date]])</f>
        <v>7</v>
      </c>
      <c r="N3572">
        <v>32</v>
      </c>
      <c r="O3572">
        <f>Table1[[#This Row],[transit_storage_cost]] * (1-'What -if Analysis'!$D$26)</f>
        <v>32</v>
      </c>
      <c r="P3572">
        <v>115</v>
      </c>
      <c r="Q3572">
        <v>858.10962639998957</v>
      </c>
    </row>
    <row r="3573" spans="1:17" x14ac:dyDescent="0.3">
      <c r="A3573">
        <v>315058</v>
      </c>
      <c r="B3573" s="1" t="s">
        <v>37</v>
      </c>
      <c r="C3573" s="1" t="s">
        <v>16</v>
      </c>
      <c r="D3573" s="1" t="s">
        <v>17</v>
      </c>
      <c r="E3573" s="1" t="s">
        <v>18</v>
      </c>
      <c r="F3573" s="1" t="s">
        <v>31</v>
      </c>
      <c r="G3573" s="1" t="s">
        <v>20</v>
      </c>
      <c r="H3573" t="s">
        <v>21</v>
      </c>
      <c r="I3573" s="1" t="s">
        <v>22</v>
      </c>
      <c r="J3573" s="2">
        <v>43535.344039351854</v>
      </c>
      <c r="K3573" s="2">
        <v>43541.344039351854</v>
      </c>
      <c r="L3573" s="2">
        <v>43542.344039351854</v>
      </c>
      <c r="M3573" s="1">
        <f>_xlfn.DAYS(Table1[[#This Row],[actual_delivery_date]],Table1[[#This Row],[dispatch_date]])</f>
        <v>6</v>
      </c>
      <c r="N3573">
        <v>27</v>
      </c>
      <c r="O3573">
        <f>Table1[[#This Row],[transit_storage_cost]] * (1-'What -if Analysis'!$D$26)</f>
        <v>27</v>
      </c>
      <c r="P3573">
        <v>106</v>
      </c>
      <c r="Q3573">
        <v>1682.8108442219411</v>
      </c>
    </row>
    <row r="3574" spans="1:17" x14ac:dyDescent="0.3">
      <c r="A3574">
        <v>352215</v>
      </c>
      <c r="B3574" s="1" t="s">
        <v>40</v>
      </c>
      <c r="C3574" s="1" t="s">
        <v>16</v>
      </c>
      <c r="D3574" s="1" t="s">
        <v>23</v>
      </c>
      <c r="E3574" s="1" t="s">
        <v>28</v>
      </c>
      <c r="F3574" s="1" t="s">
        <v>29</v>
      </c>
      <c r="G3574" s="1" t="s">
        <v>20</v>
      </c>
      <c r="H3574" t="s">
        <v>30</v>
      </c>
      <c r="I3574" s="1" t="s">
        <v>26</v>
      </c>
      <c r="J3574" s="2">
        <v>43535.344722222224</v>
      </c>
      <c r="K3574" s="2">
        <v>43541.344722222224</v>
      </c>
      <c r="L3574" s="2">
        <v>43542.344722222224</v>
      </c>
      <c r="M3574" s="1">
        <f>_xlfn.DAYS(Table1[[#This Row],[actual_delivery_date]],Table1[[#This Row],[dispatch_date]])</f>
        <v>6</v>
      </c>
      <c r="N3574">
        <v>45</v>
      </c>
      <c r="O3574">
        <f>Table1[[#This Row],[transit_storage_cost]] * (1-'What -if Analysis'!$D$26)</f>
        <v>45</v>
      </c>
      <c r="P3574">
        <v>127</v>
      </c>
      <c r="Q3574">
        <v>1773.5289399983023</v>
      </c>
    </row>
    <row r="3575" spans="1:17" x14ac:dyDescent="0.3">
      <c r="A3575">
        <v>744945</v>
      </c>
      <c r="B3575" s="1" t="s">
        <v>39</v>
      </c>
      <c r="C3575" s="1" t="s">
        <v>16</v>
      </c>
      <c r="D3575" s="1" t="s">
        <v>17</v>
      </c>
      <c r="E3575" s="1" t="s">
        <v>18</v>
      </c>
      <c r="F3575" s="1" t="s">
        <v>29</v>
      </c>
      <c r="G3575" s="1" t="s">
        <v>20</v>
      </c>
      <c r="H3575" t="s">
        <v>30</v>
      </c>
      <c r="I3575" s="1" t="s">
        <v>26</v>
      </c>
      <c r="J3575" s="2">
        <v>43538.348587962966</v>
      </c>
      <c r="K3575" s="2">
        <v>43541.348587962966</v>
      </c>
      <c r="L3575" s="2">
        <v>43544.348587962966</v>
      </c>
      <c r="M3575" s="1">
        <f>_xlfn.DAYS(Table1[[#This Row],[actual_delivery_date]],Table1[[#This Row],[dispatch_date]])</f>
        <v>3</v>
      </c>
      <c r="N3575">
        <v>36</v>
      </c>
      <c r="O3575">
        <f>Table1[[#This Row],[transit_storage_cost]] * (1-'What -if Analysis'!$D$26)</f>
        <v>36</v>
      </c>
      <c r="P3575">
        <v>110</v>
      </c>
      <c r="Q3575">
        <v>1450</v>
      </c>
    </row>
    <row r="3576" spans="1:17" x14ac:dyDescent="0.3">
      <c r="A3576">
        <v>268045</v>
      </c>
      <c r="B3576" s="1" t="s">
        <v>15</v>
      </c>
      <c r="C3576" s="1" t="s">
        <v>23</v>
      </c>
      <c r="D3576" s="1" t="s">
        <v>23</v>
      </c>
      <c r="E3576" s="1" t="s">
        <v>28</v>
      </c>
      <c r="F3576" s="1" t="s">
        <v>29</v>
      </c>
      <c r="G3576" s="1" t="s">
        <v>20</v>
      </c>
      <c r="H3576" t="s">
        <v>30</v>
      </c>
      <c r="I3576" s="1" t="s">
        <v>22</v>
      </c>
      <c r="J3576" s="2">
        <v>43535.357395833336</v>
      </c>
      <c r="K3576" s="2">
        <v>43541.357395833336</v>
      </c>
      <c r="L3576" s="2">
        <v>43538.357395833336</v>
      </c>
      <c r="M3576" s="1">
        <f>_xlfn.DAYS(Table1[[#This Row],[actual_delivery_date]],Table1[[#This Row],[dispatch_date]])</f>
        <v>6</v>
      </c>
      <c r="N3576">
        <v>0</v>
      </c>
      <c r="O3576">
        <f>Table1[[#This Row],[transit_storage_cost]] * (1-'What -if Analysis'!$D$26)</f>
        <v>0</v>
      </c>
      <c r="P3576">
        <v>130</v>
      </c>
      <c r="Q3576">
        <v>1015</v>
      </c>
    </row>
    <row r="3577" spans="1:17" x14ac:dyDescent="0.3">
      <c r="A3577">
        <v>946613</v>
      </c>
      <c r="B3577" s="1" t="s">
        <v>37</v>
      </c>
      <c r="C3577" s="1" t="s">
        <v>23</v>
      </c>
      <c r="D3577" s="1" t="s">
        <v>23</v>
      </c>
      <c r="E3577" s="1" t="s">
        <v>28</v>
      </c>
      <c r="F3577" s="1" t="s">
        <v>29</v>
      </c>
      <c r="G3577" s="1" t="s">
        <v>20</v>
      </c>
      <c r="H3577" t="s">
        <v>30</v>
      </c>
      <c r="I3577" s="1" t="s">
        <v>22</v>
      </c>
      <c r="J3577" s="2">
        <v>43535.359895833331</v>
      </c>
      <c r="K3577" s="2">
        <v>43541.359895833331</v>
      </c>
      <c r="L3577" s="2">
        <v>43542.359895833331</v>
      </c>
      <c r="M3577" s="1">
        <f>_xlfn.DAYS(Table1[[#This Row],[actual_delivery_date]],Table1[[#This Row],[dispatch_date]])</f>
        <v>6</v>
      </c>
      <c r="N3577">
        <v>0</v>
      </c>
      <c r="O3577">
        <f>Table1[[#This Row],[transit_storage_cost]] * (1-'What -if Analysis'!$D$26)</f>
        <v>0</v>
      </c>
      <c r="P3577">
        <v>120</v>
      </c>
      <c r="Q3577">
        <v>817.03797749137141</v>
      </c>
    </row>
    <row r="3578" spans="1:17" x14ac:dyDescent="0.3">
      <c r="A3578">
        <v>859483</v>
      </c>
      <c r="B3578" s="1" t="s">
        <v>37</v>
      </c>
      <c r="C3578" s="1" t="s">
        <v>16</v>
      </c>
      <c r="D3578" s="1" t="s">
        <v>32</v>
      </c>
      <c r="E3578" s="1" t="s">
        <v>33</v>
      </c>
      <c r="F3578" s="1" t="s">
        <v>29</v>
      </c>
      <c r="G3578" s="1" t="s">
        <v>20</v>
      </c>
      <c r="H3578" t="s">
        <v>30</v>
      </c>
      <c r="I3578" s="1" t="s">
        <v>22</v>
      </c>
      <c r="J3578" s="2">
        <v>43534.370717592596</v>
      </c>
      <c r="K3578" s="2">
        <v>43541.370717592596</v>
      </c>
      <c r="L3578" s="2">
        <v>43541.370717592596</v>
      </c>
      <c r="M3578" s="1">
        <f>_xlfn.DAYS(Table1[[#This Row],[actual_delivery_date]],Table1[[#This Row],[dispatch_date]])</f>
        <v>7</v>
      </c>
      <c r="N3578">
        <v>39</v>
      </c>
      <c r="O3578">
        <f>Table1[[#This Row],[transit_storage_cost]] * (1-'What -if Analysis'!$D$26)</f>
        <v>39</v>
      </c>
      <c r="P3578">
        <v>110</v>
      </c>
      <c r="Q3578">
        <v>2479.7253503996408</v>
      </c>
    </row>
    <row r="3579" spans="1:17" x14ac:dyDescent="0.3">
      <c r="A3579">
        <v>874292</v>
      </c>
      <c r="B3579" s="1" t="s">
        <v>15</v>
      </c>
      <c r="C3579" s="1" t="s">
        <v>16</v>
      </c>
      <c r="D3579" s="1" t="s">
        <v>16</v>
      </c>
      <c r="E3579" s="1" t="s">
        <v>27</v>
      </c>
      <c r="F3579" s="1" t="s">
        <v>19</v>
      </c>
      <c r="G3579" s="1" t="s">
        <v>20</v>
      </c>
      <c r="H3579" t="s">
        <v>21</v>
      </c>
      <c r="I3579" s="1" t="s">
        <v>22</v>
      </c>
      <c r="J3579" s="2">
        <v>43538.372291666667</v>
      </c>
      <c r="K3579" s="2">
        <v>43541.372291666667</v>
      </c>
      <c r="L3579" s="2">
        <v>43541.372291666667</v>
      </c>
      <c r="M3579" s="1">
        <f>_xlfn.DAYS(Table1[[#This Row],[actual_delivery_date]],Table1[[#This Row],[dispatch_date]])</f>
        <v>3</v>
      </c>
      <c r="N3579">
        <v>0</v>
      </c>
      <c r="O3579">
        <f>Table1[[#This Row],[transit_storage_cost]] * (1-'What -if Analysis'!$D$26)</f>
        <v>0</v>
      </c>
      <c r="P3579">
        <v>128</v>
      </c>
      <c r="Q3579">
        <v>2020.6877831732288</v>
      </c>
    </row>
    <row r="3580" spans="1:17" x14ac:dyDescent="0.3">
      <c r="A3580">
        <v>898725</v>
      </c>
      <c r="B3580" s="1" t="s">
        <v>39</v>
      </c>
      <c r="C3580" s="1" t="s">
        <v>16</v>
      </c>
      <c r="D3580" s="1" t="s">
        <v>17</v>
      </c>
      <c r="E3580" s="1" t="s">
        <v>18</v>
      </c>
      <c r="F3580" s="1" t="s">
        <v>29</v>
      </c>
      <c r="G3580" s="1" t="s">
        <v>20</v>
      </c>
      <c r="H3580" t="s">
        <v>30</v>
      </c>
      <c r="I3580" s="1" t="s">
        <v>26</v>
      </c>
      <c r="J3580" s="2">
        <v>43535.37672453704</v>
      </c>
      <c r="K3580" s="2">
        <v>43541.37672453704</v>
      </c>
      <c r="L3580" s="2">
        <v>43538.37672453704</v>
      </c>
      <c r="M3580" s="1">
        <f>_xlfn.DAYS(Table1[[#This Row],[actual_delivery_date]],Table1[[#This Row],[dispatch_date]])</f>
        <v>6</v>
      </c>
      <c r="N3580">
        <v>38</v>
      </c>
      <c r="O3580">
        <f>Table1[[#This Row],[transit_storage_cost]] * (1-'What -if Analysis'!$D$26)</f>
        <v>38</v>
      </c>
      <c r="P3580">
        <v>112</v>
      </c>
      <c r="Q3580">
        <v>3409.4309693647483</v>
      </c>
    </row>
    <row r="3581" spans="1:17" x14ac:dyDescent="0.3">
      <c r="A3581">
        <v>451628</v>
      </c>
      <c r="B3581" s="1" t="s">
        <v>39</v>
      </c>
      <c r="C3581" s="1" t="s">
        <v>16</v>
      </c>
      <c r="D3581" s="1" t="s">
        <v>23</v>
      </c>
      <c r="E3581" s="1" t="s">
        <v>28</v>
      </c>
      <c r="F3581" s="1" t="s">
        <v>19</v>
      </c>
      <c r="G3581" s="1" t="s">
        <v>36</v>
      </c>
      <c r="H3581" t="s">
        <v>21</v>
      </c>
      <c r="I3581" s="1" t="s">
        <v>22</v>
      </c>
      <c r="J3581" s="2">
        <v>43535.379178240742</v>
      </c>
      <c r="K3581" s="2">
        <v>43541.379178240742</v>
      </c>
      <c r="L3581" s="2">
        <v>43540.379178240742</v>
      </c>
      <c r="M3581" s="1">
        <f>_xlfn.DAYS(Table1[[#This Row],[actual_delivery_date]],Table1[[#This Row],[dispatch_date]])</f>
        <v>6</v>
      </c>
      <c r="N3581">
        <v>43</v>
      </c>
      <c r="O3581">
        <f>Table1[[#This Row],[transit_storage_cost]] * (1-'What -if Analysis'!$D$26)</f>
        <v>43</v>
      </c>
      <c r="P3581">
        <v>121</v>
      </c>
      <c r="Q3581">
        <v>3622.7887945477505</v>
      </c>
    </row>
    <row r="3582" spans="1:17" x14ac:dyDescent="0.3">
      <c r="A3582">
        <v>286687</v>
      </c>
      <c r="B3582" s="1" t="s">
        <v>38</v>
      </c>
      <c r="C3582" s="1" t="s">
        <v>23</v>
      </c>
      <c r="D3582" s="1" t="s">
        <v>16</v>
      </c>
      <c r="E3582" s="1" t="s">
        <v>27</v>
      </c>
      <c r="F3582" s="1" t="s">
        <v>29</v>
      </c>
      <c r="G3582" s="1" t="s">
        <v>20</v>
      </c>
      <c r="H3582" t="s">
        <v>30</v>
      </c>
      <c r="I3582" s="1" t="s">
        <v>22</v>
      </c>
      <c r="J3582" s="2">
        <v>43535.380416666667</v>
      </c>
      <c r="K3582" s="2">
        <v>43541.380416666667</v>
      </c>
      <c r="L3582" s="2">
        <v>43540.380416666667</v>
      </c>
      <c r="M3582" s="1">
        <f>_xlfn.DAYS(Table1[[#This Row],[actual_delivery_date]],Table1[[#This Row],[dispatch_date]])</f>
        <v>6</v>
      </c>
      <c r="N3582">
        <v>31</v>
      </c>
      <c r="O3582">
        <f>Table1[[#This Row],[transit_storage_cost]] * (1-'What -if Analysis'!$D$26)</f>
        <v>31</v>
      </c>
      <c r="P3582">
        <v>123</v>
      </c>
      <c r="Q3582">
        <v>1381.2844865566069</v>
      </c>
    </row>
    <row r="3583" spans="1:17" x14ac:dyDescent="0.3">
      <c r="A3583">
        <v>480909</v>
      </c>
      <c r="B3583" s="1" t="s">
        <v>37</v>
      </c>
      <c r="C3583" s="1" t="s">
        <v>16</v>
      </c>
      <c r="D3583" s="1" t="s">
        <v>23</v>
      </c>
      <c r="E3583" s="1" t="s">
        <v>28</v>
      </c>
      <c r="F3583" s="1" t="s">
        <v>29</v>
      </c>
      <c r="G3583" s="1" t="s">
        <v>20</v>
      </c>
      <c r="H3583" t="s">
        <v>30</v>
      </c>
      <c r="I3583" s="1" t="s">
        <v>26</v>
      </c>
      <c r="J3583" s="2">
        <v>43533.381527777776</v>
      </c>
      <c r="K3583" s="2">
        <v>43541.381527777776</v>
      </c>
      <c r="L3583" s="2">
        <v>43539.381527777776</v>
      </c>
      <c r="M3583" s="1">
        <f>_xlfn.DAYS(Table1[[#This Row],[actual_delivery_date]],Table1[[#This Row],[dispatch_date]])</f>
        <v>8</v>
      </c>
      <c r="N3583">
        <v>38</v>
      </c>
      <c r="O3583">
        <f>Table1[[#This Row],[transit_storage_cost]] * (1-'What -if Analysis'!$D$26)</f>
        <v>38</v>
      </c>
      <c r="P3583">
        <v>127</v>
      </c>
      <c r="Q3583">
        <v>1844</v>
      </c>
    </row>
    <row r="3584" spans="1:17" x14ac:dyDescent="0.3">
      <c r="A3584">
        <v>424126</v>
      </c>
      <c r="B3584" s="1" t="s">
        <v>38</v>
      </c>
      <c r="C3584" s="1" t="s">
        <v>23</v>
      </c>
      <c r="D3584" s="1" t="s">
        <v>32</v>
      </c>
      <c r="E3584" s="1" t="s">
        <v>33</v>
      </c>
      <c r="F3584" s="1" t="s">
        <v>19</v>
      </c>
      <c r="G3584" s="1" t="s">
        <v>20</v>
      </c>
      <c r="H3584" t="s">
        <v>21</v>
      </c>
      <c r="I3584" s="1" t="s">
        <v>22</v>
      </c>
      <c r="J3584" s="2">
        <v>43533.382337962961</v>
      </c>
      <c r="K3584" s="2">
        <v>43541.382337962961</v>
      </c>
      <c r="L3584" s="2">
        <v>43539.382337962961</v>
      </c>
      <c r="M3584" s="1">
        <f>_xlfn.DAYS(Table1[[#This Row],[actual_delivery_date]],Table1[[#This Row],[dispatch_date]])</f>
        <v>8</v>
      </c>
      <c r="N3584">
        <v>77</v>
      </c>
      <c r="O3584">
        <f>Table1[[#This Row],[transit_storage_cost]] * (1-'What -if Analysis'!$D$26)</f>
        <v>77</v>
      </c>
      <c r="P3584">
        <v>89</v>
      </c>
      <c r="Q3584">
        <v>488</v>
      </c>
    </row>
    <row r="3585" spans="1:17" x14ac:dyDescent="0.3">
      <c r="A3585">
        <v>893506</v>
      </c>
      <c r="B3585" s="1" t="s">
        <v>37</v>
      </c>
      <c r="C3585" s="1" t="s">
        <v>16</v>
      </c>
      <c r="D3585" s="1" t="s">
        <v>17</v>
      </c>
      <c r="E3585" s="1" t="s">
        <v>18</v>
      </c>
      <c r="F3585" s="1" t="s">
        <v>31</v>
      </c>
      <c r="G3585" s="1" t="s">
        <v>20</v>
      </c>
      <c r="H3585" t="s">
        <v>21</v>
      </c>
      <c r="I3585" s="1" t="s">
        <v>22</v>
      </c>
      <c r="J3585" s="2">
        <v>43536.386087962965</v>
      </c>
      <c r="K3585" s="2">
        <v>43541.386087962965</v>
      </c>
      <c r="L3585" s="2">
        <v>43540.386087962965</v>
      </c>
      <c r="M3585" s="1">
        <f>_xlfn.DAYS(Table1[[#This Row],[actual_delivery_date]],Table1[[#This Row],[dispatch_date]])</f>
        <v>5</v>
      </c>
      <c r="N3585">
        <v>50</v>
      </c>
      <c r="O3585">
        <f>Table1[[#This Row],[transit_storage_cost]] * (1-'What -if Analysis'!$D$26)</f>
        <v>50</v>
      </c>
      <c r="P3585">
        <v>111</v>
      </c>
      <c r="Q3585">
        <v>2267.8300853026453</v>
      </c>
    </row>
    <row r="3586" spans="1:17" x14ac:dyDescent="0.3">
      <c r="A3586">
        <v>744966</v>
      </c>
      <c r="B3586" s="1" t="s">
        <v>37</v>
      </c>
      <c r="C3586" s="1" t="s">
        <v>16</v>
      </c>
      <c r="D3586" s="1" t="s">
        <v>23</v>
      </c>
      <c r="E3586" s="1" t="s">
        <v>28</v>
      </c>
      <c r="F3586" s="1" t="s">
        <v>31</v>
      </c>
      <c r="G3586" s="1" t="s">
        <v>20</v>
      </c>
      <c r="H3586" t="s">
        <v>21</v>
      </c>
      <c r="I3586" s="1" t="s">
        <v>26</v>
      </c>
      <c r="J3586" s="2">
        <v>43535.394814814812</v>
      </c>
      <c r="K3586" s="2">
        <v>43541.394814814812</v>
      </c>
      <c r="L3586" s="2">
        <v>43542.394814814812</v>
      </c>
      <c r="M3586" s="1">
        <f>_xlfn.DAYS(Table1[[#This Row],[actual_delivery_date]],Table1[[#This Row],[dispatch_date]])</f>
        <v>6</v>
      </c>
      <c r="N3586">
        <v>42</v>
      </c>
      <c r="O3586">
        <f>Table1[[#This Row],[transit_storage_cost]] * (1-'What -if Analysis'!$D$26)</f>
        <v>42</v>
      </c>
      <c r="P3586">
        <v>123</v>
      </c>
      <c r="Q3586">
        <v>704.30688090665581</v>
      </c>
    </row>
    <row r="3587" spans="1:17" x14ac:dyDescent="0.3">
      <c r="A3587">
        <v>618076</v>
      </c>
      <c r="B3587" s="1" t="s">
        <v>38</v>
      </c>
      <c r="C3587" s="1" t="s">
        <v>16</v>
      </c>
      <c r="D3587" s="1" t="s">
        <v>16</v>
      </c>
      <c r="E3587" s="1" t="s">
        <v>27</v>
      </c>
      <c r="F3587" s="1" t="s">
        <v>19</v>
      </c>
      <c r="G3587" s="1" t="s">
        <v>20</v>
      </c>
      <c r="H3587" t="s">
        <v>21</v>
      </c>
      <c r="I3587" s="1" t="s">
        <v>22</v>
      </c>
      <c r="J3587" s="2">
        <v>43537.399965277778</v>
      </c>
      <c r="K3587" s="2">
        <v>43541.399965277778</v>
      </c>
      <c r="L3587" s="2">
        <v>43544.399965277778</v>
      </c>
      <c r="M3587" s="1">
        <f>_xlfn.DAYS(Table1[[#This Row],[actual_delivery_date]],Table1[[#This Row],[dispatch_date]])</f>
        <v>4</v>
      </c>
      <c r="N3587">
        <v>0</v>
      </c>
      <c r="O3587">
        <f>Table1[[#This Row],[transit_storage_cost]] * (1-'What -if Analysis'!$D$26)</f>
        <v>0</v>
      </c>
      <c r="P3587">
        <v>107</v>
      </c>
      <c r="Q3587">
        <v>1267.9073464171493</v>
      </c>
    </row>
    <row r="3588" spans="1:17" x14ac:dyDescent="0.3">
      <c r="A3588">
        <v>936392</v>
      </c>
      <c r="B3588" s="1" t="s">
        <v>41</v>
      </c>
      <c r="C3588" s="1" t="s">
        <v>16</v>
      </c>
      <c r="D3588" s="1" t="s">
        <v>16</v>
      </c>
      <c r="E3588" s="1" t="s">
        <v>27</v>
      </c>
      <c r="F3588" s="1" t="s">
        <v>19</v>
      </c>
      <c r="G3588" s="1" t="s">
        <v>20</v>
      </c>
      <c r="H3588" t="s">
        <v>21</v>
      </c>
      <c r="I3588" s="1" t="s">
        <v>22</v>
      </c>
      <c r="J3588" s="2">
        <v>43536.405104166668</v>
      </c>
      <c r="K3588" s="2">
        <v>43541.405104166668</v>
      </c>
      <c r="L3588" s="2">
        <v>43540.405104166668</v>
      </c>
      <c r="M3588" s="1">
        <f>_xlfn.DAYS(Table1[[#This Row],[actual_delivery_date]],Table1[[#This Row],[dispatch_date]])</f>
        <v>5</v>
      </c>
      <c r="N3588">
        <v>0</v>
      </c>
      <c r="O3588">
        <f>Table1[[#This Row],[transit_storage_cost]] * (1-'What -if Analysis'!$D$26)</f>
        <v>0</v>
      </c>
      <c r="P3588">
        <v>101</v>
      </c>
      <c r="Q3588">
        <v>2154.2971538732854</v>
      </c>
    </row>
    <row r="3589" spans="1:17" x14ac:dyDescent="0.3">
      <c r="A3589">
        <v>619517</v>
      </c>
      <c r="B3589" s="1" t="s">
        <v>40</v>
      </c>
      <c r="C3589" s="1" t="s">
        <v>16</v>
      </c>
      <c r="D3589" s="1" t="s">
        <v>16</v>
      </c>
      <c r="E3589" s="1" t="s">
        <v>27</v>
      </c>
      <c r="F3589" s="1" t="s">
        <v>29</v>
      </c>
      <c r="G3589" s="1" t="s">
        <v>20</v>
      </c>
      <c r="H3589" t="s">
        <v>30</v>
      </c>
      <c r="I3589" s="1" t="s">
        <v>22</v>
      </c>
      <c r="J3589" s="2">
        <v>43534.416550925926</v>
      </c>
      <c r="K3589" s="2">
        <v>43541.416550925926</v>
      </c>
      <c r="L3589" s="2">
        <v>43538.416550925926</v>
      </c>
      <c r="M3589" s="1">
        <f>_xlfn.DAYS(Table1[[#This Row],[actual_delivery_date]],Table1[[#This Row],[dispatch_date]])</f>
        <v>7</v>
      </c>
      <c r="N3589">
        <v>0</v>
      </c>
      <c r="O3589">
        <f>Table1[[#This Row],[transit_storage_cost]] * (1-'What -if Analysis'!$D$26)</f>
        <v>0</v>
      </c>
      <c r="P3589">
        <v>122</v>
      </c>
      <c r="Q3589">
        <v>406.2337359522212</v>
      </c>
    </row>
    <row r="3590" spans="1:17" x14ac:dyDescent="0.3">
      <c r="A3590">
        <v>93541</v>
      </c>
      <c r="B3590" s="1" t="s">
        <v>41</v>
      </c>
      <c r="C3590" s="1" t="s">
        <v>16</v>
      </c>
      <c r="D3590" s="1" t="s">
        <v>17</v>
      </c>
      <c r="E3590" s="1" t="s">
        <v>18</v>
      </c>
      <c r="F3590" s="1" t="s">
        <v>29</v>
      </c>
      <c r="G3590" s="1" t="s">
        <v>20</v>
      </c>
      <c r="H3590" t="s">
        <v>34</v>
      </c>
      <c r="I3590" s="1" t="s">
        <v>22</v>
      </c>
      <c r="J3590" s="2">
        <v>43535.41673611111</v>
      </c>
      <c r="K3590" s="2">
        <v>43541.41673611111</v>
      </c>
      <c r="L3590" s="2">
        <v>43538.41673611111</v>
      </c>
      <c r="M3590" s="1">
        <f>_xlfn.DAYS(Table1[[#This Row],[actual_delivery_date]],Table1[[#This Row],[dispatch_date]])</f>
        <v>6</v>
      </c>
      <c r="N3590">
        <v>45</v>
      </c>
      <c r="O3590">
        <f>Table1[[#This Row],[transit_storage_cost]] * (1-'What -if Analysis'!$D$26)</f>
        <v>45</v>
      </c>
      <c r="P3590">
        <v>107</v>
      </c>
      <c r="Q3590">
        <v>2340</v>
      </c>
    </row>
    <row r="3591" spans="1:17" x14ac:dyDescent="0.3">
      <c r="A3591">
        <v>220930</v>
      </c>
      <c r="B3591" s="1" t="s">
        <v>38</v>
      </c>
      <c r="C3591" s="1" t="s">
        <v>16</v>
      </c>
      <c r="D3591" s="1" t="s">
        <v>23</v>
      </c>
      <c r="E3591" s="1" t="s">
        <v>28</v>
      </c>
      <c r="F3591" s="1" t="s">
        <v>31</v>
      </c>
      <c r="G3591" s="1" t="s">
        <v>20</v>
      </c>
      <c r="H3591" t="s">
        <v>21</v>
      </c>
      <c r="I3591" s="1" t="s">
        <v>22</v>
      </c>
      <c r="J3591" s="2">
        <v>43537.417372685188</v>
      </c>
      <c r="K3591" s="2">
        <v>43541.417372685188</v>
      </c>
      <c r="L3591" s="2">
        <v>43543.417372685188</v>
      </c>
      <c r="M3591" s="1">
        <f>_xlfn.DAYS(Table1[[#This Row],[actual_delivery_date]],Table1[[#This Row],[dispatch_date]])</f>
        <v>4</v>
      </c>
      <c r="N3591">
        <v>46</v>
      </c>
      <c r="O3591">
        <f>Table1[[#This Row],[transit_storage_cost]] * (1-'What -if Analysis'!$D$26)</f>
        <v>46</v>
      </c>
      <c r="P3591">
        <v>124</v>
      </c>
      <c r="Q3591">
        <v>3309</v>
      </c>
    </row>
    <row r="3592" spans="1:17" x14ac:dyDescent="0.3">
      <c r="A3592">
        <v>390520</v>
      </c>
      <c r="B3592" s="1" t="s">
        <v>40</v>
      </c>
      <c r="C3592" s="1" t="s">
        <v>16</v>
      </c>
      <c r="D3592" s="1" t="s">
        <v>23</v>
      </c>
      <c r="E3592" s="1" t="s">
        <v>28</v>
      </c>
      <c r="F3592" s="1" t="s">
        <v>19</v>
      </c>
      <c r="G3592" s="1" t="s">
        <v>20</v>
      </c>
      <c r="H3592" t="s">
        <v>21</v>
      </c>
      <c r="I3592" s="1" t="s">
        <v>22</v>
      </c>
      <c r="J3592" s="2">
        <v>43538.421597222223</v>
      </c>
      <c r="K3592" s="2">
        <v>43541.421597222223</v>
      </c>
      <c r="L3592" s="2">
        <v>43543.421597222223</v>
      </c>
      <c r="M3592" s="1">
        <f>_xlfn.DAYS(Table1[[#This Row],[actual_delivery_date]],Table1[[#This Row],[dispatch_date]])</f>
        <v>3</v>
      </c>
      <c r="N3592">
        <v>47</v>
      </c>
      <c r="O3592">
        <f>Table1[[#This Row],[transit_storage_cost]] * (1-'What -if Analysis'!$D$26)</f>
        <v>47</v>
      </c>
      <c r="P3592">
        <v>128</v>
      </c>
      <c r="Q3592">
        <v>1210.3273888666961</v>
      </c>
    </row>
    <row r="3593" spans="1:17" x14ac:dyDescent="0.3">
      <c r="A3593">
        <v>489423</v>
      </c>
      <c r="B3593" s="1" t="s">
        <v>37</v>
      </c>
      <c r="C3593" s="1" t="s">
        <v>23</v>
      </c>
      <c r="D3593" s="1" t="s">
        <v>17</v>
      </c>
      <c r="E3593" s="1" t="s">
        <v>18</v>
      </c>
      <c r="F3593" s="1" t="s">
        <v>29</v>
      </c>
      <c r="G3593" s="1" t="s">
        <v>20</v>
      </c>
      <c r="H3593" t="s">
        <v>30</v>
      </c>
      <c r="I3593" s="1" t="s">
        <v>26</v>
      </c>
      <c r="J3593" s="2">
        <v>43535.432685185187</v>
      </c>
      <c r="K3593" s="2">
        <v>43541.432685185187</v>
      </c>
      <c r="L3593" s="2">
        <v>43538.432685185187</v>
      </c>
      <c r="M3593" s="1">
        <f>_xlfn.DAYS(Table1[[#This Row],[actual_delivery_date]],Table1[[#This Row],[dispatch_date]])</f>
        <v>6</v>
      </c>
      <c r="N3593">
        <v>42</v>
      </c>
      <c r="O3593">
        <f>Table1[[#This Row],[transit_storage_cost]] * (1-'What -if Analysis'!$D$26)</f>
        <v>42</v>
      </c>
      <c r="P3593">
        <v>114</v>
      </c>
      <c r="Q3593">
        <v>2062</v>
      </c>
    </row>
    <row r="3594" spans="1:17" x14ac:dyDescent="0.3">
      <c r="A3594">
        <v>688132</v>
      </c>
      <c r="B3594" s="1" t="s">
        <v>41</v>
      </c>
      <c r="C3594" s="1" t="s">
        <v>16</v>
      </c>
      <c r="D3594" s="1" t="s">
        <v>32</v>
      </c>
      <c r="E3594" s="1" t="s">
        <v>33</v>
      </c>
      <c r="F3594" s="1" t="s">
        <v>19</v>
      </c>
      <c r="G3594" s="1" t="s">
        <v>20</v>
      </c>
      <c r="H3594" t="s">
        <v>21</v>
      </c>
      <c r="I3594" s="1" t="s">
        <v>22</v>
      </c>
      <c r="J3594" s="2">
        <v>43534.43550925926</v>
      </c>
      <c r="K3594" s="2">
        <v>43541.43550925926</v>
      </c>
      <c r="L3594" s="2">
        <v>43538.43550925926</v>
      </c>
      <c r="M3594" s="1">
        <f>_xlfn.DAYS(Table1[[#This Row],[actual_delivery_date]],Table1[[#This Row],[dispatch_date]])</f>
        <v>7</v>
      </c>
      <c r="N3594">
        <v>77</v>
      </c>
      <c r="O3594">
        <f>Table1[[#This Row],[transit_storage_cost]] * (1-'What -if Analysis'!$D$26)</f>
        <v>77</v>
      </c>
      <c r="P3594">
        <v>93</v>
      </c>
      <c r="Q3594">
        <v>709.80470292905943</v>
      </c>
    </row>
    <row r="3595" spans="1:17" x14ac:dyDescent="0.3">
      <c r="A3595">
        <v>6148</v>
      </c>
      <c r="B3595" s="1" t="s">
        <v>40</v>
      </c>
      <c r="C3595" s="1" t="s">
        <v>16</v>
      </c>
      <c r="D3595" s="1" t="s">
        <v>32</v>
      </c>
      <c r="E3595" s="1" t="s">
        <v>33</v>
      </c>
      <c r="F3595" s="1" t="s">
        <v>19</v>
      </c>
      <c r="G3595" s="1" t="s">
        <v>20</v>
      </c>
      <c r="H3595" t="s">
        <v>21</v>
      </c>
      <c r="I3595" s="1" t="s">
        <v>22</v>
      </c>
      <c r="J3595" s="2">
        <v>43537.437893518516</v>
      </c>
      <c r="K3595" s="2">
        <v>43541.437893518516</v>
      </c>
      <c r="L3595" s="2">
        <v>43544.437893518516</v>
      </c>
      <c r="M3595" s="1">
        <f>_xlfn.DAYS(Table1[[#This Row],[actual_delivery_date]],Table1[[#This Row],[dispatch_date]])</f>
        <v>4</v>
      </c>
      <c r="N3595">
        <v>71</v>
      </c>
      <c r="O3595">
        <f>Table1[[#This Row],[transit_storage_cost]] * (1-'What -if Analysis'!$D$26)</f>
        <v>71</v>
      </c>
      <c r="P3595">
        <v>90</v>
      </c>
      <c r="Q3595">
        <v>2188.280030509512</v>
      </c>
    </row>
    <row r="3596" spans="1:17" x14ac:dyDescent="0.3">
      <c r="A3596">
        <v>285898</v>
      </c>
      <c r="B3596" s="1" t="s">
        <v>40</v>
      </c>
      <c r="C3596" s="1" t="s">
        <v>16</v>
      </c>
      <c r="D3596" s="1" t="s">
        <v>17</v>
      </c>
      <c r="E3596" s="1" t="s">
        <v>18</v>
      </c>
      <c r="F3596" s="1" t="s">
        <v>31</v>
      </c>
      <c r="G3596" s="1" t="s">
        <v>20</v>
      </c>
      <c r="H3596" t="s">
        <v>21</v>
      </c>
      <c r="I3596" s="1" t="s">
        <v>22</v>
      </c>
      <c r="J3596" s="2">
        <v>43535.438587962963</v>
      </c>
      <c r="K3596" s="2">
        <v>43541.438587962963</v>
      </c>
      <c r="L3596" s="2">
        <v>43539.438587962963</v>
      </c>
      <c r="M3596" s="1">
        <f>_xlfn.DAYS(Table1[[#This Row],[actual_delivery_date]],Table1[[#This Row],[dispatch_date]])</f>
        <v>6</v>
      </c>
      <c r="N3596">
        <v>37</v>
      </c>
      <c r="O3596">
        <f>Table1[[#This Row],[transit_storage_cost]] * (1-'What -if Analysis'!$D$26)</f>
        <v>37</v>
      </c>
      <c r="P3596">
        <v>106</v>
      </c>
      <c r="Q3596">
        <v>3400.1878269997278</v>
      </c>
    </row>
    <row r="3597" spans="1:17" x14ac:dyDescent="0.3">
      <c r="A3597">
        <v>201775</v>
      </c>
      <c r="B3597" s="1" t="s">
        <v>37</v>
      </c>
      <c r="C3597" s="1" t="s">
        <v>23</v>
      </c>
      <c r="D3597" s="1" t="s">
        <v>17</v>
      </c>
      <c r="E3597" s="1" t="s">
        <v>18</v>
      </c>
      <c r="F3597" s="1" t="s">
        <v>29</v>
      </c>
      <c r="G3597" s="1" t="s">
        <v>20</v>
      </c>
      <c r="H3597" t="s">
        <v>34</v>
      </c>
      <c r="I3597" s="1" t="s">
        <v>22</v>
      </c>
      <c r="J3597" s="2">
        <v>43533.439571759256</v>
      </c>
      <c r="K3597" s="2">
        <v>43541.439571759256</v>
      </c>
      <c r="L3597" s="2">
        <v>43536.439571759256</v>
      </c>
      <c r="M3597" s="1">
        <f>_xlfn.DAYS(Table1[[#This Row],[actual_delivery_date]],Table1[[#This Row],[dispatch_date]])</f>
        <v>8</v>
      </c>
      <c r="N3597">
        <v>41</v>
      </c>
      <c r="O3597">
        <f>Table1[[#This Row],[transit_storage_cost]] * (1-'What -if Analysis'!$D$26)</f>
        <v>41</v>
      </c>
      <c r="P3597">
        <v>105</v>
      </c>
      <c r="Q3597">
        <v>1752.452129387055</v>
      </c>
    </row>
    <row r="3598" spans="1:17" x14ac:dyDescent="0.3">
      <c r="A3598">
        <v>511468</v>
      </c>
      <c r="B3598" s="1" t="s">
        <v>15</v>
      </c>
      <c r="C3598" s="1" t="s">
        <v>16</v>
      </c>
      <c r="D3598" s="1" t="s">
        <v>17</v>
      </c>
      <c r="E3598" s="1" t="s">
        <v>18</v>
      </c>
      <c r="F3598" s="1" t="s">
        <v>19</v>
      </c>
      <c r="G3598" s="1" t="s">
        <v>20</v>
      </c>
      <c r="H3598" t="s">
        <v>21</v>
      </c>
      <c r="I3598" s="1" t="s">
        <v>22</v>
      </c>
      <c r="J3598" s="2">
        <v>43538.456041666665</v>
      </c>
      <c r="K3598" s="2">
        <v>43541.456041666665</v>
      </c>
      <c r="L3598" s="2">
        <v>43544.456041666665</v>
      </c>
      <c r="M3598" s="1">
        <f>_xlfn.DAYS(Table1[[#This Row],[actual_delivery_date]],Table1[[#This Row],[dispatch_date]])</f>
        <v>3</v>
      </c>
      <c r="N3598">
        <v>40</v>
      </c>
      <c r="O3598">
        <f>Table1[[#This Row],[transit_storage_cost]] * (1-'What -if Analysis'!$D$26)</f>
        <v>40</v>
      </c>
      <c r="P3598">
        <v>107</v>
      </c>
      <c r="Q3598">
        <v>1330</v>
      </c>
    </row>
    <row r="3599" spans="1:17" x14ac:dyDescent="0.3">
      <c r="A3599">
        <v>723763</v>
      </c>
      <c r="B3599" s="1" t="s">
        <v>37</v>
      </c>
      <c r="C3599" s="1" t="s">
        <v>16</v>
      </c>
      <c r="D3599" s="1" t="s">
        <v>23</v>
      </c>
      <c r="E3599" s="1" t="s">
        <v>28</v>
      </c>
      <c r="F3599" s="1" t="s">
        <v>29</v>
      </c>
      <c r="G3599" s="1" t="s">
        <v>20</v>
      </c>
      <c r="H3599" t="s">
        <v>30</v>
      </c>
      <c r="I3599" s="1" t="s">
        <v>22</v>
      </c>
      <c r="J3599" s="2">
        <v>43534.463125000002</v>
      </c>
      <c r="K3599" s="2">
        <v>43541.463125000002</v>
      </c>
      <c r="L3599" s="2">
        <v>43539.463125000002</v>
      </c>
      <c r="M3599" s="1">
        <f>_xlfn.DAYS(Table1[[#This Row],[actual_delivery_date]],Table1[[#This Row],[dispatch_date]])</f>
        <v>7</v>
      </c>
      <c r="N3599">
        <v>38</v>
      </c>
      <c r="O3599">
        <f>Table1[[#This Row],[transit_storage_cost]] * (1-'What -if Analysis'!$D$26)</f>
        <v>38</v>
      </c>
      <c r="P3599">
        <v>123</v>
      </c>
      <c r="Q3599">
        <v>652.72058071927825</v>
      </c>
    </row>
    <row r="3600" spans="1:17" x14ac:dyDescent="0.3">
      <c r="A3600">
        <v>903277</v>
      </c>
      <c r="B3600" s="1" t="s">
        <v>39</v>
      </c>
      <c r="C3600" s="1" t="s">
        <v>16</v>
      </c>
      <c r="D3600" s="1" t="s">
        <v>23</v>
      </c>
      <c r="E3600" s="1" t="s">
        <v>28</v>
      </c>
      <c r="F3600" s="1" t="s">
        <v>29</v>
      </c>
      <c r="G3600" s="1" t="s">
        <v>20</v>
      </c>
      <c r="H3600" t="s">
        <v>30</v>
      </c>
      <c r="I3600" s="1" t="s">
        <v>22</v>
      </c>
      <c r="J3600" s="2">
        <v>43533.469270833331</v>
      </c>
      <c r="K3600" s="2">
        <v>43541.469270833331</v>
      </c>
      <c r="L3600" s="2">
        <v>43538.469270833331</v>
      </c>
      <c r="M3600" s="1">
        <f>_xlfn.DAYS(Table1[[#This Row],[actual_delivery_date]],Table1[[#This Row],[dispatch_date]])</f>
        <v>8</v>
      </c>
      <c r="N3600">
        <v>36</v>
      </c>
      <c r="O3600">
        <f>Table1[[#This Row],[transit_storage_cost]] * (1-'What -if Analysis'!$D$26)</f>
        <v>36</v>
      </c>
      <c r="P3600">
        <v>128</v>
      </c>
      <c r="Q3600">
        <v>1994.2474524984725</v>
      </c>
    </row>
    <row r="3601" spans="1:17" x14ac:dyDescent="0.3">
      <c r="A3601">
        <v>81536</v>
      </c>
      <c r="B3601" s="1" t="s">
        <v>40</v>
      </c>
      <c r="C3601" s="1" t="s">
        <v>16</v>
      </c>
      <c r="D3601" s="1" t="s">
        <v>17</v>
      </c>
      <c r="E3601" s="1" t="s">
        <v>18</v>
      </c>
      <c r="F3601" s="1" t="s">
        <v>19</v>
      </c>
      <c r="G3601" s="1" t="s">
        <v>20</v>
      </c>
      <c r="H3601" t="s">
        <v>21</v>
      </c>
      <c r="I3601" s="1" t="s">
        <v>22</v>
      </c>
      <c r="J3601" s="2">
        <v>43536.471585648149</v>
      </c>
      <c r="K3601" s="2">
        <v>43541.471585648149</v>
      </c>
      <c r="L3601" s="2">
        <v>43541.471585648149</v>
      </c>
      <c r="M3601" s="1">
        <f>_xlfn.DAYS(Table1[[#This Row],[actual_delivery_date]],Table1[[#This Row],[dispatch_date]])</f>
        <v>5</v>
      </c>
      <c r="N3601">
        <v>77</v>
      </c>
      <c r="O3601">
        <f>Table1[[#This Row],[transit_storage_cost]] * (1-'What -if Analysis'!$D$26)</f>
        <v>77</v>
      </c>
      <c r="P3601">
        <v>90</v>
      </c>
      <c r="Q3601">
        <v>1280.4058039987144</v>
      </c>
    </row>
    <row r="3602" spans="1:17" x14ac:dyDescent="0.3">
      <c r="A3602">
        <v>589275</v>
      </c>
      <c r="B3602" s="1" t="s">
        <v>37</v>
      </c>
      <c r="C3602" s="1" t="s">
        <v>23</v>
      </c>
      <c r="D3602" s="1" t="s">
        <v>17</v>
      </c>
      <c r="E3602" s="1" t="s">
        <v>18</v>
      </c>
      <c r="F3602" s="1" t="s">
        <v>29</v>
      </c>
      <c r="G3602" s="1" t="s">
        <v>20</v>
      </c>
      <c r="H3602" t="s">
        <v>30</v>
      </c>
      <c r="I3602" s="1" t="s">
        <v>26</v>
      </c>
      <c r="J3602" s="2">
        <v>43535.472361111111</v>
      </c>
      <c r="K3602" s="2">
        <v>43541.472361111111</v>
      </c>
      <c r="L3602" s="2">
        <v>43542.472361111111</v>
      </c>
      <c r="M3602" s="1">
        <f>_xlfn.DAYS(Table1[[#This Row],[actual_delivery_date]],Table1[[#This Row],[dispatch_date]])</f>
        <v>6</v>
      </c>
      <c r="N3602">
        <v>34</v>
      </c>
      <c r="O3602">
        <f>Table1[[#This Row],[transit_storage_cost]] * (1-'What -if Analysis'!$D$26)</f>
        <v>34</v>
      </c>
      <c r="P3602">
        <v>115</v>
      </c>
      <c r="Q3602">
        <v>602</v>
      </c>
    </row>
    <row r="3603" spans="1:17" x14ac:dyDescent="0.3">
      <c r="A3603">
        <v>466418</v>
      </c>
      <c r="B3603" s="1" t="s">
        <v>41</v>
      </c>
      <c r="C3603" s="1" t="s">
        <v>23</v>
      </c>
      <c r="D3603" s="1" t="s">
        <v>24</v>
      </c>
      <c r="E3603" s="1" t="s">
        <v>25</v>
      </c>
      <c r="F3603" s="1" t="s">
        <v>31</v>
      </c>
      <c r="G3603" s="1" t="s">
        <v>20</v>
      </c>
      <c r="H3603" t="s">
        <v>21</v>
      </c>
      <c r="I3603" s="1" t="s">
        <v>22</v>
      </c>
      <c r="J3603" s="2">
        <v>43537.475243055553</v>
      </c>
      <c r="K3603" s="2">
        <v>43541.475243055553</v>
      </c>
      <c r="L3603" s="2">
        <v>43543.475243055553</v>
      </c>
      <c r="M3603" s="1">
        <f>_xlfn.DAYS(Table1[[#This Row],[actual_delivery_date]],Table1[[#This Row],[dispatch_date]])</f>
        <v>4</v>
      </c>
      <c r="N3603">
        <v>34</v>
      </c>
      <c r="O3603">
        <f>Table1[[#This Row],[transit_storage_cost]] * (1-'What -if Analysis'!$D$26)</f>
        <v>34</v>
      </c>
      <c r="P3603">
        <v>120</v>
      </c>
      <c r="Q3603">
        <v>664.38468201179171</v>
      </c>
    </row>
    <row r="3604" spans="1:17" x14ac:dyDescent="0.3">
      <c r="A3604">
        <v>746254</v>
      </c>
      <c r="B3604" s="1" t="s">
        <v>41</v>
      </c>
      <c r="C3604" s="1" t="s">
        <v>16</v>
      </c>
      <c r="D3604" s="1" t="s">
        <v>23</v>
      </c>
      <c r="E3604" s="1" t="s">
        <v>28</v>
      </c>
      <c r="F3604" s="1" t="s">
        <v>19</v>
      </c>
      <c r="G3604" s="1" t="s">
        <v>20</v>
      </c>
      <c r="H3604" t="s">
        <v>21</v>
      </c>
      <c r="I3604" s="1" t="s">
        <v>22</v>
      </c>
      <c r="J3604" s="2">
        <v>43538.482499999998</v>
      </c>
      <c r="K3604" s="2">
        <v>43541.482499999998</v>
      </c>
      <c r="L3604" s="2">
        <v>43545.482499999998</v>
      </c>
      <c r="M3604" s="1">
        <f>_xlfn.DAYS(Table1[[#This Row],[actual_delivery_date]],Table1[[#This Row],[dispatch_date]])</f>
        <v>3</v>
      </c>
      <c r="N3604">
        <v>66</v>
      </c>
      <c r="O3604">
        <f>Table1[[#This Row],[transit_storage_cost]] * (1-'What -if Analysis'!$D$26)</f>
        <v>66</v>
      </c>
      <c r="P3604">
        <v>107</v>
      </c>
      <c r="Q3604">
        <v>885.40277255582146</v>
      </c>
    </row>
    <row r="3605" spans="1:17" x14ac:dyDescent="0.3">
      <c r="A3605">
        <v>608703</v>
      </c>
      <c r="B3605" s="1" t="s">
        <v>38</v>
      </c>
      <c r="C3605" s="1" t="s">
        <v>23</v>
      </c>
      <c r="D3605" s="1" t="s">
        <v>32</v>
      </c>
      <c r="E3605" s="1" t="s">
        <v>33</v>
      </c>
      <c r="F3605" s="1" t="s">
        <v>29</v>
      </c>
      <c r="G3605" s="1" t="s">
        <v>20</v>
      </c>
      <c r="H3605" t="s">
        <v>30</v>
      </c>
      <c r="I3605" s="1" t="s">
        <v>26</v>
      </c>
      <c r="J3605" s="2">
        <v>43534.484317129631</v>
      </c>
      <c r="K3605" s="2">
        <v>43541.484317129631</v>
      </c>
      <c r="L3605" s="2">
        <v>43538.484317129631</v>
      </c>
      <c r="M3605" s="1">
        <f>_xlfn.DAYS(Table1[[#This Row],[actual_delivery_date]],Table1[[#This Row],[dispatch_date]])</f>
        <v>7</v>
      </c>
      <c r="N3605">
        <v>47</v>
      </c>
      <c r="O3605">
        <f>Table1[[#This Row],[transit_storage_cost]] * (1-'What -if Analysis'!$D$26)</f>
        <v>47</v>
      </c>
      <c r="P3605">
        <v>113</v>
      </c>
      <c r="Q3605">
        <v>2133.8312728013648</v>
      </c>
    </row>
    <row r="3606" spans="1:17" x14ac:dyDescent="0.3">
      <c r="A3606">
        <v>661279</v>
      </c>
      <c r="B3606" s="1" t="s">
        <v>40</v>
      </c>
      <c r="C3606" s="1" t="s">
        <v>23</v>
      </c>
      <c r="D3606" s="1" t="s">
        <v>16</v>
      </c>
      <c r="E3606" s="1" t="s">
        <v>27</v>
      </c>
      <c r="F3606" s="1" t="s">
        <v>19</v>
      </c>
      <c r="G3606" s="1" t="s">
        <v>20</v>
      </c>
      <c r="H3606" t="s">
        <v>30</v>
      </c>
      <c r="I3606" s="1" t="s">
        <v>22</v>
      </c>
      <c r="J3606" s="2">
        <v>43537.495671296296</v>
      </c>
      <c r="K3606" s="2">
        <v>43541.495671296296</v>
      </c>
      <c r="L3606" s="2">
        <v>43540.495671296296</v>
      </c>
      <c r="M3606" s="1">
        <f>_xlfn.DAYS(Table1[[#This Row],[actual_delivery_date]],Table1[[#This Row],[dispatch_date]])</f>
        <v>4</v>
      </c>
      <c r="N3606">
        <v>63</v>
      </c>
      <c r="O3606">
        <f>Table1[[#This Row],[transit_storage_cost]] * (1-'What -if Analysis'!$D$26)</f>
        <v>63</v>
      </c>
      <c r="P3606">
        <v>104</v>
      </c>
      <c r="Q3606">
        <v>688.99617630437638</v>
      </c>
    </row>
    <row r="3607" spans="1:17" x14ac:dyDescent="0.3">
      <c r="A3607">
        <v>600703</v>
      </c>
      <c r="B3607" s="1" t="s">
        <v>38</v>
      </c>
      <c r="C3607" s="1" t="s">
        <v>16</v>
      </c>
      <c r="D3607" s="1" t="s">
        <v>16</v>
      </c>
      <c r="E3607" s="1" t="s">
        <v>27</v>
      </c>
      <c r="F3607" s="1" t="s">
        <v>29</v>
      </c>
      <c r="G3607" s="1" t="s">
        <v>20</v>
      </c>
      <c r="H3607" t="s">
        <v>30</v>
      </c>
      <c r="I3607" s="1" t="s">
        <v>22</v>
      </c>
      <c r="J3607" s="2">
        <v>43535.496840277781</v>
      </c>
      <c r="K3607" s="2">
        <v>43541.496840277781</v>
      </c>
      <c r="L3607" s="2">
        <v>43538.496840277781</v>
      </c>
      <c r="M3607" s="1">
        <f>_xlfn.DAYS(Table1[[#This Row],[actual_delivery_date]],Table1[[#This Row],[dispatch_date]])</f>
        <v>6</v>
      </c>
      <c r="N3607">
        <v>0</v>
      </c>
      <c r="O3607">
        <f>Table1[[#This Row],[transit_storage_cost]] * (1-'What -if Analysis'!$D$26)</f>
        <v>0</v>
      </c>
      <c r="P3607">
        <v>122</v>
      </c>
      <c r="Q3607">
        <v>1293.1579029827783</v>
      </c>
    </row>
    <row r="3608" spans="1:17" x14ac:dyDescent="0.3">
      <c r="A3608">
        <v>803843</v>
      </c>
      <c r="B3608" s="1" t="s">
        <v>39</v>
      </c>
      <c r="C3608" s="1" t="s">
        <v>16</v>
      </c>
      <c r="D3608" s="1" t="s">
        <v>23</v>
      </c>
      <c r="E3608" s="1" t="s">
        <v>28</v>
      </c>
      <c r="F3608" s="1" t="s">
        <v>29</v>
      </c>
      <c r="G3608" s="1" t="s">
        <v>20</v>
      </c>
      <c r="H3608" t="s">
        <v>30</v>
      </c>
      <c r="I3608" s="1" t="s">
        <v>22</v>
      </c>
      <c r="J3608" s="2">
        <v>43531.500925925924</v>
      </c>
      <c r="K3608" s="2">
        <v>43541.500925925924</v>
      </c>
      <c r="L3608" s="2">
        <v>43536.500925925924</v>
      </c>
      <c r="M3608" s="1">
        <f>_xlfn.DAYS(Table1[[#This Row],[actual_delivery_date]],Table1[[#This Row],[dispatch_date]])</f>
        <v>10</v>
      </c>
      <c r="N3608">
        <v>35</v>
      </c>
      <c r="O3608">
        <f>Table1[[#This Row],[transit_storage_cost]] * (1-'What -if Analysis'!$D$26)</f>
        <v>35</v>
      </c>
      <c r="P3608">
        <v>121</v>
      </c>
      <c r="Q3608">
        <v>2199</v>
      </c>
    </row>
    <row r="3609" spans="1:17" x14ac:dyDescent="0.3">
      <c r="A3609">
        <v>828707</v>
      </c>
      <c r="B3609" s="1" t="s">
        <v>38</v>
      </c>
      <c r="C3609" s="1" t="s">
        <v>16</v>
      </c>
      <c r="D3609" s="1" t="s">
        <v>23</v>
      </c>
      <c r="E3609" s="1" t="s">
        <v>28</v>
      </c>
      <c r="F3609" s="1" t="s">
        <v>29</v>
      </c>
      <c r="G3609" s="1" t="s">
        <v>20</v>
      </c>
      <c r="H3609" t="s">
        <v>30</v>
      </c>
      <c r="I3609" s="1" t="s">
        <v>22</v>
      </c>
      <c r="J3609" s="2">
        <v>43536.504907407405</v>
      </c>
      <c r="K3609" s="2">
        <v>43541.504907407405</v>
      </c>
      <c r="L3609" s="2">
        <v>43540.504907407405</v>
      </c>
      <c r="M3609" s="1">
        <f>_xlfn.DAYS(Table1[[#This Row],[actual_delivery_date]],Table1[[#This Row],[dispatch_date]])</f>
        <v>5</v>
      </c>
      <c r="N3609">
        <v>32</v>
      </c>
      <c r="O3609">
        <f>Table1[[#This Row],[transit_storage_cost]] * (1-'What -if Analysis'!$D$26)</f>
        <v>32</v>
      </c>
      <c r="P3609">
        <v>126</v>
      </c>
      <c r="Q3609">
        <v>1976.9071457683792</v>
      </c>
    </row>
    <row r="3610" spans="1:17" x14ac:dyDescent="0.3">
      <c r="A3610">
        <v>875687</v>
      </c>
      <c r="B3610" s="1" t="s">
        <v>37</v>
      </c>
      <c r="C3610" s="1" t="s">
        <v>23</v>
      </c>
      <c r="D3610" s="1" t="s">
        <v>24</v>
      </c>
      <c r="E3610" s="1" t="s">
        <v>25</v>
      </c>
      <c r="F3610" s="1" t="s">
        <v>29</v>
      </c>
      <c r="G3610" s="1" t="s">
        <v>20</v>
      </c>
      <c r="H3610" t="s">
        <v>30</v>
      </c>
      <c r="I3610" s="1" t="s">
        <v>22</v>
      </c>
      <c r="J3610" s="2">
        <v>43535.508287037039</v>
      </c>
      <c r="K3610" s="2">
        <v>43541.508287037039</v>
      </c>
      <c r="L3610" s="2">
        <v>43538.508287037039</v>
      </c>
      <c r="M3610" s="1">
        <f>_xlfn.DAYS(Table1[[#This Row],[actual_delivery_date]],Table1[[#This Row],[dispatch_date]])</f>
        <v>6</v>
      </c>
      <c r="N3610">
        <v>32</v>
      </c>
      <c r="O3610">
        <f>Table1[[#This Row],[transit_storage_cost]] * (1-'What -if Analysis'!$D$26)</f>
        <v>32</v>
      </c>
      <c r="P3610">
        <v>129</v>
      </c>
      <c r="Q3610">
        <v>1125.4414164735715</v>
      </c>
    </row>
    <row r="3611" spans="1:17" x14ac:dyDescent="0.3">
      <c r="A3611">
        <v>414172</v>
      </c>
      <c r="B3611" s="1" t="s">
        <v>38</v>
      </c>
      <c r="C3611" s="1" t="s">
        <v>23</v>
      </c>
      <c r="D3611" s="1" t="s">
        <v>16</v>
      </c>
      <c r="E3611" s="1" t="s">
        <v>27</v>
      </c>
      <c r="F3611" s="1" t="s">
        <v>19</v>
      </c>
      <c r="G3611" s="1" t="s">
        <v>20</v>
      </c>
      <c r="H3611" t="s">
        <v>21</v>
      </c>
      <c r="I3611" s="1" t="s">
        <v>22</v>
      </c>
      <c r="J3611" s="2">
        <v>43536.522094907406</v>
      </c>
      <c r="K3611" s="2">
        <v>43541.522094907406</v>
      </c>
      <c r="L3611" s="2">
        <v>43539.522094907406</v>
      </c>
      <c r="M3611" s="1">
        <f>_xlfn.DAYS(Table1[[#This Row],[actual_delivery_date]],Table1[[#This Row],[dispatch_date]])</f>
        <v>5</v>
      </c>
      <c r="N3611">
        <v>26</v>
      </c>
      <c r="O3611">
        <f>Table1[[#This Row],[transit_storage_cost]] * (1-'What -if Analysis'!$D$26)</f>
        <v>26</v>
      </c>
      <c r="P3611">
        <v>124</v>
      </c>
      <c r="Q3611">
        <v>373</v>
      </c>
    </row>
    <row r="3612" spans="1:17" x14ac:dyDescent="0.3">
      <c r="A3612">
        <v>981903</v>
      </c>
      <c r="B3612" s="1" t="s">
        <v>37</v>
      </c>
      <c r="C3612" s="1" t="s">
        <v>16</v>
      </c>
      <c r="D3612" s="1" t="s">
        <v>23</v>
      </c>
      <c r="E3612" s="1" t="s">
        <v>28</v>
      </c>
      <c r="F3612" s="1" t="s">
        <v>29</v>
      </c>
      <c r="G3612" s="1" t="s">
        <v>20</v>
      </c>
      <c r="H3612" t="s">
        <v>30</v>
      </c>
      <c r="I3612" s="1" t="s">
        <v>26</v>
      </c>
      <c r="J3612" s="2">
        <v>43531.524340277778</v>
      </c>
      <c r="K3612" s="2">
        <v>43541.524340277778</v>
      </c>
      <c r="L3612" s="2">
        <v>43537.524340277778</v>
      </c>
      <c r="M3612" s="1">
        <f>_xlfn.DAYS(Table1[[#This Row],[actual_delivery_date]],Table1[[#This Row],[dispatch_date]])</f>
        <v>10</v>
      </c>
      <c r="N3612">
        <v>33</v>
      </c>
      <c r="O3612">
        <f>Table1[[#This Row],[transit_storage_cost]] * (1-'What -if Analysis'!$D$26)</f>
        <v>33</v>
      </c>
      <c r="P3612">
        <v>126</v>
      </c>
      <c r="Q3612">
        <v>1916</v>
      </c>
    </row>
    <row r="3613" spans="1:17" x14ac:dyDescent="0.3">
      <c r="A3613">
        <v>88052</v>
      </c>
      <c r="B3613" s="1" t="s">
        <v>41</v>
      </c>
      <c r="C3613" s="1" t="s">
        <v>16</v>
      </c>
      <c r="D3613" s="1" t="s">
        <v>32</v>
      </c>
      <c r="E3613" s="1" t="s">
        <v>33</v>
      </c>
      <c r="F3613" s="1" t="s">
        <v>19</v>
      </c>
      <c r="G3613" s="1" t="s">
        <v>20</v>
      </c>
      <c r="H3613" t="s">
        <v>21</v>
      </c>
      <c r="I3613" s="1" t="s">
        <v>22</v>
      </c>
      <c r="J3613" s="2">
        <v>43534.543819444443</v>
      </c>
      <c r="K3613" s="2">
        <v>43541.543819444443</v>
      </c>
      <c r="L3613" s="2">
        <v>43537.543819444443</v>
      </c>
      <c r="M3613" s="1">
        <f>_xlfn.DAYS(Table1[[#This Row],[actual_delivery_date]],Table1[[#This Row],[dispatch_date]])</f>
        <v>7</v>
      </c>
      <c r="N3613">
        <v>31</v>
      </c>
      <c r="O3613">
        <f>Table1[[#This Row],[transit_storage_cost]] * (1-'What -if Analysis'!$D$26)</f>
        <v>31</v>
      </c>
      <c r="P3613">
        <v>113</v>
      </c>
      <c r="Q3613">
        <v>2792.367789536584</v>
      </c>
    </row>
    <row r="3614" spans="1:17" x14ac:dyDescent="0.3">
      <c r="A3614">
        <v>885054</v>
      </c>
      <c r="B3614" s="1" t="s">
        <v>38</v>
      </c>
      <c r="C3614" s="1" t="s">
        <v>16</v>
      </c>
      <c r="D3614" s="1" t="s">
        <v>23</v>
      </c>
      <c r="E3614" s="1" t="s">
        <v>28</v>
      </c>
      <c r="F3614" s="1" t="s">
        <v>31</v>
      </c>
      <c r="G3614" s="1" t="s">
        <v>20</v>
      </c>
      <c r="H3614" t="s">
        <v>21</v>
      </c>
      <c r="I3614" s="1" t="s">
        <v>26</v>
      </c>
      <c r="J3614" s="2">
        <v>43535.543958333335</v>
      </c>
      <c r="K3614" s="2">
        <v>43541.543958333335</v>
      </c>
      <c r="L3614" s="2">
        <v>43538.543958333335</v>
      </c>
      <c r="M3614" s="1">
        <f>_xlfn.DAYS(Table1[[#This Row],[actual_delivery_date]],Table1[[#This Row],[dispatch_date]])</f>
        <v>6</v>
      </c>
      <c r="N3614">
        <v>29</v>
      </c>
      <c r="O3614">
        <f>Table1[[#This Row],[transit_storage_cost]] * (1-'What -if Analysis'!$D$26)</f>
        <v>29</v>
      </c>
      <c r="P3614">
        <v>120</v>
      </c>
      <c r="Q3614">
        <v>1032.651708147783</v>
      </c>
    </row>
    <row r="3615" spans="1:17" x14ac:dyDescent="0.3">
      <c r="A3615">
        <v>111356</v>
      </c>
      <c r="B3615" s="1" t="s">
        <v>40</v>
      </c>
      <c r="C3615" s="1" t="s">
        <v>23</v>
      </c>
      <c r="D3615" s="1" t="s">
        <v>16</v>
      </c>
      <c r="E3615" s="1" t="s">
        <v>27</v>
      </c>
      <c r="F3615" s="1" t="s">
        <v>19</v>
      </c>
      <c r="G3615" s="1" t="s">
        <v>20</v>
      </c>
      <c r="H3615" t="s">
        <v>21</v>
      </c>
      <c r="I3615" s="1" t="s">
        <v>22</v>
      </c>
      <c r="J3615" s="2">
        <v>43538.545752314814</v>
      </c>
      <c r="K3615" s="2">
        <v>43541.545752314814</v>
      </c>
      <c r="L3615" s="2">
        <v>43545.545752314814</v>
      </c>
      <c r="M3615" s="1">
        <f>_xlfn.DAYS(Table1[[#This Row],[actual_delivery_date]],Table1[[#This Row],[dispatch_date]])</f>
        <v>3</v>
      </c>
      <c r="N3615">
        <v>25</v>
      </c>
      <c r="O3615">
        <f>Table1[[#This Row],[transit_storage_cost]] * (1-'What -if Analysis'!$D$26)</f>
        <v>25</v>
      </c>
      <c r="P3615">
        <v>121</v>
      </c>
      <c r="Q3615">
        <v>1234.0563849037624</v>
      </c>
    </row>
    <row r="3616" spans="1:17" x14ac:dyDescent="0.3">
      <c r="A3616">
        <v>636124</v>
      </c>
      <c r="B3616" s="1" t="s">
        <v>37</v>
      </c>
      <c r="C3616" s="1" t="s">
        <v>23</v>
      </c>
      <c r="D3616" s="1" t="s">
        <v>17</v>
      </c>
      <c r="E3616" s="1" t="s">
        <v>18</v>
      </c>
      <c r="F3616" s="1" t="s">
        <v>19</v>
      </c>
      <c r="G3616" s="1" t="s">
        <v>20</v>
      </c>
      <c r="H3616" t="s">
        <v>21</v>
      </c>
      <c r="I3616" s="1" t="s">
        <v>22</v>
      </c>
      <c r="J3616" s="2">
        <v>43535.547002314815</v>
      </c>
      <c r="K3616" s="2">
        <v>43541.547002314815</v>
      </c>
      <c r="L3616" s="2">
        <v>43540.547002314815</v>
      </c>
      <c r="M3616" s="1">
        <f>_xlfn.DAYS(Table1[[#This Row],[actual_delivery_date]],Table1[[#This Row],[dispatch_date]])</f>
        <v>6</v>
      </c>
      <c r="N3616">
        <v>39</v>
      </c>
      <c r="O3616">
        <f>Table1[[#This Row],[transit_storage_cost]] * (1-'What -if Analysis'!$D$26)</f>
        <v>39</v>
      </c>
      <c r="P3616">
        <v>110</v>
      </c>
      <c r="Q3616">
        <v>3482.9765488001831</v>
      </c>
    </row>
    <row r="3617" spans="1:17" x14ac:dyDescent="0.3">
      <c r="A3617">
        <v>941282</v>
      </c>
      <c r="B3617" s="1" t="s">
        <v>38</v>
      </c>
      <c r="C3617" s="1" t="s">
        <v>23</v>
      </c>
      <c r="D3617" s="1" t="s">
        <v>16</v>
      </c>
      <c r="E3617" s="1" t="s">
        <v>27</v>
      </c>
      <c r="F3617" s="1" t="s">
        <v>31</v>
      </c>
      <c r="G3617" s="1" t="s">
        <v>20</v>
      </c>
      <c r="H3617" t="s">
        <v>21</v>
      </c>
      <c r="I3617" s="1" t="s">
        <v>22</v>
      </c>
      <c r="J3617" s="2">
        <v>43534.548113425924</v>
      </c>
      <c r="K3617" s="2">
        <v>43541.548113425924</v>
      </c>
      <c r="L3617" s="2">
        <v>43539.548113425924</v>
      </c>
      <c r="M3617" s="1">
        <f>_xlfn.DAYS(Table1[[#This Row],[actual_delivery_date]],Table1[[#This Row],[dispatch_date]])</f>
        <v>7</v>
      </c>
      <c r="N3617">
        <v>33</v>
      </c>
      <c r="O3617">
        <f>Table1[[#This Row],[transit_storage_cost]] * (1-'What -if Analysis'!$D$26)</f>
        <v>33</v>
      </c>
      <c r="P3617">
        <v>123</v>
      </c>
      <c r="Q3617">
        <v>1526.7094993501339</v>
      </c>
    </row>
    <row r="3618" spans="1:17" x14ac:dyDescent="0.3">
      <c r="A3618">
        <v>534664</v>
      </c>
      <c r="B3618" s="1" t="s">
        <v>38</v>
      </c>
      <c r="C3618" s="1" t="s">
        <v>16</v>
      </c>
      <c r="D3618" s="1" t="s">
        <v>17</v>
      </c>
      <c r="E3618" s="1" t="s">
        <v>18</v>
      </c>
      <c r="F3618" s="1" t="s">
        <v>19</v>
      </c>
      <c r="G3618" s="1" t="s">
        <v>20</v>
      </c>
      <c r="H3618" t="s">
        <v>21</v>
      </c>
      <c r="I3618" s="1" t="s">
        <v>22</v>
      </c>
      <c r="J3618" s="2">
        <v>43535.557013888887</v>
      </c>
      <c r="K3618" s="2">
        <v>43541.557013888887</v>
      </c>
      <c r="L3618" s="2">
        <v>43540.557013888887</v>
      </c>
      <c r="M3618" s="1">
        <f>_xlfn.DAYS(Table1[[#This Row],[actual_delivery_date]],Table1[[#This Row],[dispatch_date]])</f>
        <v>6</v>
      </c>
      <c r="N3618">
        <v>49</v>
      </c>
      <c r="O3618">
        <f>Table1[[#This Row],[transit_storage_cost]] * (1-'What -if Analysis'!$D$26)</f>
        <v>49</v>
      </c>
      <c r="P3618">
        <v>113</v>
      </c>
      <c r="Q3618">
        <v>1240.361299895578</v>
      </c>
    </row>
    <row r="3619" spans="1:17" x14ac:dyDescent="0.3">
      <c r="A3619">
        <v>978578</v>
      </c>
      <c r="B3619" s="1" t="s">
        <v>39</v>
      </c>
      <c r="C3619" s="1" t="s">
        <v>16</v>
      </c>
      <c r="D3619" s="1" t="s">
        <v>17</v>
      </c>
      <c r="E3619" s="1" t="s">
        <v>18</v>
      </c>
      <c r="F3619" s="1" t="s">
        <v>31</v>
      </c>
      <c r="G3619" s="1" t="s">
        <v>20</v>
      </c>
      <c r="H3619" t="s">
        <v>21</v>
      </c>
      <c r="I3619" s="1" t="s">
        <v>22</v>
      </c>
      <c r="J3619" s="2">
        <v>43537.564583333333</v>
      </c>
      <c r="K3619" s="2">
        <v>43541.564583333333</v>
      </c>
      <c r="L3619" s="2">
        <v>43541.564583333333</v>
      </c>
      <c r="M3619" s="1">
        <f>_xlfn.DAYS(Table1[[#This Row],[actual_delivery_date]],Table1[[#This Row],[dispatch_date]])</f>
        <v>4</v>
      </c>
      <c r="N3619">
        <v>29</v>
      </c>
      <c r="O3619">
        <f>Table1[[#This Row],[transit_storage_cost]] * (1-'What -if Analysis'!$D$26)</f>
        <v>29</v>
      </c>
      <c r="P3619">
        <v>110</v>
      </c>
      <c r="Q3619">
        <v>2728.0247491762416</v>
      </c>
    </row>
    <row r="3620" spans="1:17" x14ac:dyDescent="0.3">
      <c r="A3620">
        <v>554773</v>
      </c>
      <c r="B3620" s="1" t="s">
        <v>40</v>
      </c>
      <c r="C3620" s="1" t="s">
        <v>16</v>
      </c>
      <c r="D3620" s="1" t="s">
        <v>17</v>
      </c>
      <c r="E3620" s="1" t="s">
        <v>18</v>
      </c>
      <c r="F3620" s="1" t="s">
        <v>29</v>
      </c>
      <c r="G3620" s="1" t="s">
        <v>20</v>
      </c>
      <c r="H3620" t="s">
        <v>30</v>
      </c>
      <c r="I3620" s="1" t="s">
        <v>22</v>
      </c>
      <c r="J3620" s="2">
        <v>43536.577407407407</v>
      </c>
      <c r="K3620" s="2">
        <v>43541.577407407407</v>
      </c>
      <c r="L3620" s="2">
        <v>43539.577407407407</v>
      </c>
      <c r="M3620" s="1">
        <f>_xlfn.DAYS(Table1[[#This Row],[actual_delivery_date]],Table1[[#This Row],[dispatch_date]])</f>
        <v>5</v>
      </c>
      <c r="N3620">
        <v>43</v>
      </c>
      <c r="O3620">
        <f>Table1[[#This Row],[transit_storage_cost]] * (1-'What -if Analysis'!$D$26)</f>
        <v>43</v>
      </c>
      <c r="P3620">
        <v>112</v>
      </c>
      <c r="Q3620">
        <v>3437.3596887215522</v>
      </c>
    </row>
    <row r="3621" spans="1:17" x14ac:dyDescent="0.3">
      <c r="A3621">
        <v>109506</v>
      </c>
      <c r="B3621" s="1" t="s">
        <v>38</v>
      </c>
      <c r="C3621" s="1" t="s">
        <v>16</v>
      </c>
      <c r="D3621" s="1" t="s">
        <v>23</v>
      </c>
      <c r="E3621" s="1" t="s">
        <v>28</v>
      </c>
      <c r="F3621" s="1" t="s">
        <v>31</v>
      </c>
      <c r="G3621" s="1" t="s">
        <v>20</v>
      </c>
      <c r="H3621" t="s">
        <v>21</v>
      </c>
      <c r="I3621" s="1" t="s">
        <v>26</v>
      </c>
      <c r="J3621" s="2">
        <v>43534.592673611114</v>
      </c>
      <c r="K3621" s="2">
        <v>43541.592673611114</v>
      </c>
      <c r="L3621" s="2">
        <v>43537.592673611114</v>
      </c>
      <c r="M3621" s="1">
        <f>_xlfn.DAYS(Table1[[#This Row],[actual_delivery_date]],Table1[[#This Row],[dispatch_date]])</f>
        <v>7</v>
      </c>
      <c r="N3621">
        <v>38</v>
      </c>
      <c r="O3621">
        <f>Table1[[#This Row],[transit_storage_cost]] * (1-'What -if Analysis'!$D$26)</f>
        <v>38</v>
      </c>
      <c r="P3621">
        <v>128</v>
      </c>
      <c r="Q3621">
        <v>762</v>
      </c>
    </row>
    <row r="3622" spans="1:17" x14ac:dyDescent="0.3">
      <c r="A3622">
        <v>739226</v>
      </c>
      <c r="B3622" s="1" t="s">
        <v>40</v>
      </c>
      <c r="C3622" s="1" t="s">
        <v>23</v>
      </c>
      <c r="D3622" s="1" t="s">
        <v>24</v>
      </c>
      <c r="E3622" s="1" t="s">
        <v>25</v>
      </c>
      <c r="F3622" s="1" t="s">
        <v>31</v>
      </c>
      <c r="G3622" s="1" t="s">
        <v>20</v>
      </c>
      <c r="H3622" t="s">
        <v>21</v>
      </c>
      <c r="I3622" s="1" t="s">
        <v>22</v>
      </c>
      <c r="J3622" s="2">
        <v>43538.593946759262</v>
      </c>
      <c r="K3622" s="2">
        <v>43541.593946759262</v>
      </c>
      <c r="L3622" s="2">
        <v>43545.593946759262</v>
      </c>
      <c r="M3622" s="1">
        <f>_xlfn.DAYS(Table1[[#This Row],[actual_delivery_date]],Table1[[#This Row],[dispatch_date]])</f>
        <v>3</v>
      </c>
      <c r="N3622">
        <v>26</v>
      </c>
      <c r="O3622">
        <f>Table1[[#This Row],[transit_storage_cost]] * (1-'What -if Analysis'!$D$26)</f>
        <v>26</v>
      </c>
      <c r="P3622">
        <v>125</v>
      </c>
      <c r="Q3622">
        <v>2272.3024935905155</v>
      </c>
    </row>
    <row r="3623" spans="1:17" x14ac:dyDescent="0.3">
      <c r="A3623">
        <v>193683</v>
      </c>
      <c r="B3623" s="1" t="s">
        <v>38</v>
      </c>
      <c r="C3623" s="1" t="s">
        <v>16</v>
      </c>
      <c r="D3623" s="1" t="s">
        <v>32</v>
      </c>
      <c r="E3623" s="1" t="s">
        <v>33</v>
      </c>
      <c r="F3623" s="1" t="s">
        <v>19</v>
      </c>
      <c r="G3623" s="1" t="s">
        <v>20</v>
      </c>
      <c r="H3623" t="s">
        <v>34</v>
      </c>
      <c r="I3623" s="1" t="s">
        <v>26</v>
      </c>
      <c r="J3623" s="2">
        <v>43535.619525462964</v>
      </c>
      <c r="K3623" s="2">
        <v>43541.619525462964</v>
      </c>
      <c r="L3623" s="2">
        <v>43542.619525462964</v>
      </c>
      <c r="M3623" s="1">
        <f>_xlfn.DAYS(Table1[[#This Row],[actual_delivery_date]],Table1[[#This Row],[dispatch_date]])</f>
        <v>6</v>
      </c>
      <c r="N3623">
        <v>70</v>
      </c>
      <c r="O3623">
        <f>Table1[[#This Row],[transit_storage_cost]] * (1-'What -if Analysis'!$D$26)</f>
        <v>70</v>
      </c>
      <c r="P3623">
        <v>93</v>
      </c>
      <c r="Q3623">
        <v>1881.4188218650513</v>
      </c>
    </row>
    <row r="3624" spans="1:17" x14ac:dyDescent="0.3">
      <c r="A3624">
        <v>904441</v>
      </c>
      <c r="B3624" s="1" t="s">
        <v>40</v>
      </c>
      <c r="C3624" s="1" t="s">
        <v>16</v>
      </c>
      <c r="D3624" s="1" t="s">
        <v>23</v>
      </c>
      <c r="E3624" s="1" t="s">
        <v>28</v>
      </c>
      <c r="F3624" s="1" t="s">
        <v>29</v>
      </c>
      <c r="G3624" s="1" t="s">
        <v>20</v>
      </c>
      <c r="H3624" t="s">
        <v>30</v>
      </c>
      <c r="I3624" s="1" t="s">
        <v>22</v>
      </c>
      <c r="J3624" s="2">
        <v>43534.620428240742</v>
      </c>
      <c r="K3624" s="2">
        <v>43541.620428240742</v>
      </c>
      <c r="L3624" s="2">
        <v>43538.620428240742</v>
      </c>
      <c r="M3624" s="1">
        <f>_xlfn.DAYS(Table1[[#This Row],[actual_delivery_date]],Table1[[#This Row],[dispatch_date]])</f>
        <v>7</v>
      </c>
      <c r="N3624">
        <v>47</v>
      </c>
      <c r="O3624">
        <f>Table1[[#This Row],[transit_storage_cost]] * (1-'What -if Analysis'!$D$26)</f>
        <v>47</v>
      </c>
      <c r="P3624">
        <v>122</v>
      </c>
      <c r="Q3624">
        <v>3628.9235292086578</v>
      </c>
    </row>
    <row r="3625" spans="1:17" x14ac:dyDescent="0.3">
      <c r="A3625">
        <v>34991</v>
      </c>
      <c r="B3625" s="1" t="s">
        <v>41</v>
      </c>
      <c r="C3625" s="1" t="s">
        <v>16</v>
      </c>
      <c r="D3625" s="1" t="s">
        <v>17</v>
      </c>
      <c r="E3625" s="1" t="s">
        <v>18</v>
      </c>
      <c r="F3625" s="1" t="s">
        <v>29</v>
      </c>
      <c r="G3625" s="1" t="s">
        <v>20</v>
      </c>
      <c r="H3625" t="s">
        <v>30</v>
      </c>
      <c r="I3625" s="1" t="s">
        <v>22</v>
      </c>
      <c r="J3625" s="2">
        <v>43535.620439814818</v>
      </c>
      <c r="K3625" s="2">
        <v>43541.620439814818</v>
      </c>
      <c r="L3625" s="2">
        <v>43542.620439814818</v>
      </c>
      <c r="M3625" s="1">
        <f>_xlfn.DAYS(Table1[[#This Row],[actual_delivery_date]],Table1[[#This Row],[dispatch_date]])</f>
        <v>6</v>
      </c>
      <c r="N3625">
        <v>34</v>
      </c>
      <c r="O3625">
        <f>Table1[[#This Row],[transit_storage_cost]] * (1-'What -if Analysis'!$D$26)</f>
        <v>34</v>
      </c>
      <c r="P3625">
        <v>106</v>
      </c>
      <c r="Q3625">
        <v>416</v>
      </c>
    </row>
    <row r="3626" spans="1:17" x14ac:dyDescent="0.3">
      <c r="A3626">
        <v>373430</v>
      </c>
      <c r="B3626" s="1" t="s">
        <v>37</v>
      </c>
      <c r="C3626" s="1" t="s">
        <v>23</v>
      </c>
      <c r="D3626" s="1" t="s">
        <v>17</v>
      </c>
      <c r="E3626" s="1" t="s">
        <v>18</v>
      </c>
      <c r="F3626" s="1" t="s">
        <v>31</v>
      </c>
      <c r="G3626" s="1" t="s">
        <v>20</v>
      </c>
      <c r="H3626" t="s">
        <v>21</v>
      </c>
      <c r="I3626" s="1" t="s">
        <v>22</v>
      </c>
      <c r="J3626" s="2">
        <v>43536.623495370368</v>
      </c>
      <c r="K3626" s="2">
        <v>43541.623495370368</v>
      </c>
      <c r="L3626" s="2">
        <v>43543.623495370368</v>
      </c>
      <c r="M3626" s="1">
        <f>_xlfn.DAYS(Table1[[#This Row],[actual_delivery_date]],Table1[[#This Row],[dispatch_date]])</f>
        <v>5</v>
      </c>
      <c r="N3626">
        <v>26</v>
      </c>
      <c r="O3626">
        <f>Table1[[#This Row],[transit_storage_cost]] * (1-'What -if Analysis'!$D$26)</f>
        <v>26</v>
      </c>
      <c r="P3626">
        <v>111</v>
      </c>
      <c r="Q3626">
        <v>3052</v>
      </c>
    </row>
    <row r="3627" spans="1:17" x14ac:dyDescent="0.3">
      <c r="A3627">
        <v>848050</v>
      </c>
      <c r="B3627" s="1" t="s">
        <v>41</v>
      </c>
      <c r="C3627" s="1" t="s">
        <v>16</v>
      </c>
      <c r="D3627" s="1" t="s">
        <v>24</v>
      </c>
      <c r="E3627" s="1" t="s">
        <v>25</v>
      </c>
      <c r="F3627" s="1" t="s">
        <v>31</v>
      </c>
      <c r="G3627" s="1" t="s">
        <v>20</v>
      </c>
      <c r="H3627" t="s">
        <v>21</v>
      </c>
      <c r="I3627" s="1" t="s">
        <v>22</v>
      </c>
      <c r="J3627" s="2">
        <v>43534.63082175926</v>
      </c>
      <c r="K3627" s="2">
        <v>43541.63082175926</v>
      </c>
      <c r="L3627" s="2">
        <v>43541.63082175926</v>
      </c>
      <c r="M3627" s="1">
        <f>_xlfn.DAYS(Table1[[#This Row],[actual_delivery_date]],Table1[[#This Row],[dispatch_date]])</f>
        <v>7</v>
      </c>
      <c r="N3627">
        <v>46</v>
      </c>
      <c r="O3627">
        <f>Table1[[#This Row],[transit_storage_cost]] * (1-'What -if Analysis'!$D$26)</f>
        <v>46</v>
      </c>
      <c r="P3627">
        <v>122</v>
      </c>
      <c r="Q3627">
        <v>1224</v>
      </c>
    </row>
    <row r="3628" spans="1:17" x14ac:dyDescent="0.3">
      <c r="A3628">
        <v>901462</v>
      </c>
      <c r="B3628" s="1" t="s">
        <v>39</v>
      </c>
      <c r="C3628" s="1" t="s">
        <v>16</v>
      </c>
      <c r="D3628" s="1" t="s">
        <v>32</v>
      </c>
      <c r="E3628" s="1" t="s">
        <v>33</v>
      </c>
      <c r="F3628" s="1" t="s">
        <v>31</v>
      </c>
      <c r="G3628" s="1" t="s">
        <v>20</v>
      </c>
      <c r="H3628" t="s">
        <v>21</v>
      </c>
      <c r="I3628" s="1" t="s">
        <v>22</v>
      </c>
      <c r="J3628" s="2">
        <v>43534.631469907406</v>
      </c>
      <c r="K3628" s="2">
        <v>43541.631469907406</v>
      </c>
      <c r="L3628" s="2">
        <v>43539.631469907406</v>
      </c>
      <c r="M3628" s="1">
        <f>_xlfn.DAYS(Table1[[#This Row],[actual_delivery_date]],Table1[[#This Row],[dispatch_date]])</f>
        <v>7</v>
      </c>
      <c r="N3628">
        <v>48</v>
      </c>
      <c r="O3628">
        <f>Table1[[#This Row],[transit_storage_cost]] * (1-'What -if Analysis'!$D$26)</f>
        <v>48</v>
      </c>
      <c r="P3628">
        <v>115</v>
      </c>
      <c r="Q3628">
        <v>3636.4762366928826</v>
      </c>
    </row>
    <row r="3629" spans="1:17" x14ac:dyDescent="0.3">
      <c r="A3629">
        <v>544151</v>
      </c>
      <c r="B3629" s="1" t="s">
        <v>41</v>
      </c>
      <c r="C3629" s="1" t="s">
        <v>23</v>
      </c>
      <c r="D3629" s="1" t="s">
        <v>23</v>
      </c>
      <c r="E3629" s="1" t="s">
        <v>28</v>
      </c>
      <c r="F3629" s="1" t="s">
        <v>19</v>
      </c>
      <c r="G3629" s="1" t="s">
        <v>20</v>
      </c>
      <c r="H3629" t="s">
        <v>30</v>
      </c>
      <c r="I3629" s="1" t="s">
        <v>22</v>
      </c>
      <c r="J3629" s="2">
        <v>43538.631736111114</v>
      </c>
      <c r="K3629" s="2">
        <v>43541.631736111114</v>
      </c>
      <c r="L3629" s="2">
        <v>43545.631736111114</v>
      </c>
      <c r="M3629" s="1">
        <f>_xlfn.DAYS(Table1[[#This Row],[actual_delivery_date]],Table1[[#This Row],[dispatch_date]])</f>
        <v>3</v>
      </c>
      <c r="N3629">
        <v>0</v>
      </c>
      <c r="O3629">
        <f>Table1[[#This Row],[transit_storage_cost]] * (1-'What -if Analysis'!$D$26)</f>
        <v>0</v>
      </c>
      <c r="P3629">
        <v>107</v>
      </c>
      <c r="Q3629">
        <v>412</v>
      </c>
    </row>
    <row r="3630" spans="1:17" x14ac:dyDescent="0.3">
      <c r="A3630">
        <v>990141</v>
      </c>
      <c r="B3630" s="1" t="s">
        <v>41</v>
      </c>
      <c r="C3630" s="1" t="s">
        <v>23</v>
      </c>
      <c r="D3630" s="1" t="s">
        <v>17</v>
      </c>
      <c r="E3630" s="1" t="s">
        <v>18</v>
      </c>
      <c r="F3630" s="1" t="s">
        <v>29</v>
      </c>
      <c r="G3630" s="1" t="s">
        <v>20</v>
      </c>
      <c r="H3630" t="s">
        <v>30</v>
      </c>
      <c r="I3630" s="1" t="s">
        <v>26</v>
      </c>
      <c r="J3630" s="2">
        <v>43537.632847222223</v>
      </c>
      <c r="K3630" s="2">
        <v>43541.632847222223</v>
      </c>
      <c r="L3630" s="2">
        <v>43540.632847222223</v>
      </c>
      <c r="M3630" s="1">
        <f>_xlfn.DAYS(Table1[[#This Row],[actual_delivery_date]],Table1[[#This Row],[dispatch_date]])</f>
        <v>4</v>
      </c>
      <c r="N3630">
        <v>31</v>
      </c>
      <c r="O3630">
        <f>Table1[[#This Row],[transit_storage_cost]] * (1-'What -if Analysis'!$D$26)</f>
        <v>31</v>
      </c>
      <c r="P3630">
        <v>106</v>
      </c>
      <c r="Q3630">
        <v>686.64477006723757</v>
      </c>
    </row>
    <row r="3631" spans="1:17" x14ac:dyDescent="0.3">
      <c r="A3631">
        <v>472603</v>
      </c>
      <c r="B3631" s="1" t="s">
        <v>41</v>
      </c>
      <c r="C3631" s="1" t="s">
        <v>23</v>
      </c>
      <c r="D3631" s="1" t="s">
        <v>23</v>
      </c>
      <c r="E3631" s="1" t="s">
        <v>28</v>
      </c>
      <c r="F3631" s="1" t="s">
        <v>29</v>
      </c>
      <c r="G3631" s="1" t="s">
        <v>20</v>
      </c>
      <c r="H3631" t="s">
        <v>30</v>
      </c>
      <c r="I3631" s="1" t="s">
        <v>22</v>
      </c>
      <c r="J3631" s="2">
        <v>43538.641921296294</v>
      </c>
      <c r="K3631" s="2">
        <v>43541.641921296294</v>
      </c>
      <c r="L3631" s="2">
        <v>43543.641921296294</v>
      </c>
      <c r="M3631" s="1">
        <f>_xlfn.DAYS(Table1[[#This Row],[actual_delivery_date]],Table1[[#This Row],[dispatch_date]])</f>
        <v>3</v>
      </c>
      <c r="N3631">
        <v>0</v>
      </c>
      <c r="O3631">
        <f>Table1[[#This Row],[transit_storage_cost]] * (1-'What -if Analysis'!$D$26)</f>
        <v>0</v>
      </c>
      <c r="P3631">
        <v>122</v>
      </c>
      <c r="Q3631">
        <v>3478</v>
      </c>
    </row>
    <row r="3632" spans="1:17" x14ac:dyDescent="0.3">
      <c r="A3632">
        <v>696418</v>
      </c>
      <c r="B3632" s="1" t="s">
        <v>39</v>
      </c>
      <c r="C3632" s="1" t="s">
        <v>23</v>
      </c>
      <c r="D3632" s="1" t="s">
        <v>16</v>
      </c>
      <c r="E3632" s="1" t="s">
        <v>27</v>
      </c>
      <c r="F3632" s="1" t="s">
        <v>31</v>
      </c>
      <c r="G3632" s="1" t="s">
        <v>20</v>
      </c>
      <c r="H3632" t="s">
        <v>21</v>
      </c>
      <c r="I3632" s="1" t="s">
        <v>22</v>
      </c>
      <c r="J3632" s="2">
        <v>43536.642500000002</v>
      </c>
      <c r="K3632" s="2">
        <v>43541.642500000002</v>
      </c>
      <c r="L3632" s="2">
        <v>43543.642500000002</v>
      </c>
      <c r="M3632" s="1">
        <f>_xlfn.DAYS(Table1[[#This Row],[actual_delivery_date]],Table1[[#This Row],[dispatch_date]])</f>
        <v>5</v>
      </c>
      <c r="N3632">
        <v>29</v>
      </c>
      <c r="O3632">
        <f>Table1[[#This Row],[transit_storage_cost]] * (1-'What -if Analysis'!$D$26)</f>
        <v>29</v>
      </c>
      <c r="P3632">
        <v>121</v>
      </c>
      <c r="Q3632">
        <v>1928</v>
      </c>
    </row>
    <row r="3633" spans="1:17" x14ac:dyDescent="0.3">
      <c r="A3633">
        <v>372892</v>
      </c>
      <c r="B3633" s="1" t="s">
        <v>37</v>
      </c>
      <c r="C3633" s="1" t="s">
        <v>16</v>
      </c>
      <c r="D3633" s="1" t="s">
        <v>24</v>
      </c>
      <c r="E3633" s="1" t="s">
        <v>25</v>
      </c>
      <c r="F3633" s="1" t="s">
        <v>19</v>
      </c>
      <c r="G3633" s="1" t="s">
        <v>20</v>
      </c>
      <c r="H3633" t="s">
        <v>21</v>
      </c>
      <c r="I3633" s="1" t="s">
        <v>22</v>
      </c>
      <c r="J3633" s="2">
        <v>43537.646655092591</v>
      </c>
      <c r="K3633" s="2">
        <v>43541.646655092591</v>
      </c>
      <c r="L3633" s="2">
        <v>43541.646655092591</v>
      </c>
      <c r="M3633" s="1">
        <f>_xlfn.DAYS(Table1[[#This Row],[actual_delivery_date]],Table1[[#This Row],[dispatch_date]])</f>
        <v>4</v>
      </c>
      <c r="N3633">
        <v>31</v>
      </c>
      <c r="O3633">
        <f>Table1[[#This Row],[transit_storage_cost]] * (1-'What -if Analysis'!$D$26)</f>
        <v>31</v>
      </c>
      <c r="P3633">
        <v>129</v>
      </c>
      <c r="Q3633">
        <v>1356</v>
      </c>
    </row>
    <row r="3634" spans="1:17" x14ac:dyDescent="0.3">
      <c r="A3634">
        <v>466025</v>
      </c>
      <c r="B3634" s="1" t="s">
        <v>37</v>
      </c>
      <c r="C3634" s="1" t="s">
        <v>16</v>
      </c>
      <c r="D3634" s="1" t="s">
        <v>24</v>
      </c>
      <c r="E3634" s="1" t="s">
        <v>25</v>
      </c>
      <c r="F3634" s="1" t="s">
        <v>29</v>
      </c>
      <c r="G3634" s="1" t="s">
        <v>20</v>
      </c>
      <c r="H3634" t="s">
        <v>34</v>
      </c>
      <c r="I3634" s="1" t="s">
        <v>22</v>
      </c>
      <c r="J3634" s="2">
        <v>43537.648263888892</v>
      </c>
      <c r="K3634" s="2">
        <v>43541.648263888892</v>
      </c>
      <c r="L3634" s="2">
        <v>43540.648263888892</v>
      </c>
      <c r="M3634" s="1">
        <f>_xlfn.DAYS(Table1[[#This Row],[actual_delivery_date]],Table1[[#This Row],[dispatch_date]])</f>
        <v>4</v>
      </c>
      <c r="N3634">
        <v>28</v>
      </c>
      <c r="O3634">
        <f>Table1[[#This Row],[transit_storage_cost]] * (1-'What -if Analysis'!$D$26)</f>
        <v>28</v>
      </c>
      <c r="P3634">
        <v>128</v>
      </c>
      <c r="Q3634">
        <v>1430</v>
      </c>
    </row>
    <row r="3635" spans="1:17" x14ac:dyDescent="0.3">
      <c r="A3635">
        <v>659844</v>
      </c>
      <c r="B3635" s="1" t="s">
        <v>39</v>
      </c>
      <c r="C3635" s="1" t="s">
        <v>16</v>
      </c>
      <c r="D3635" s="1" t="s">
        <v>17</v>
      </c>
      <c r="E3635" s="1" t="s">
        <v>18</v>
      </c>
      <c r="F3635" s="1" t="s">
        <v>19</v>
      </c>
      <c r="G3635" s="1" t="s">
        <v>20</v>
      </c>
      <c r="H3635" t="s">
        <v>21</v>
      </c>
      <c r="I3635" s="1" t="s">
        <v>26</v>
      </c>
      <c r="J3635" s="2">
        <v>43536.654768518521</v>
      </c>
      <c r="K3635" s="2">
        <v>43541.654768518521</v>
      </c>
      <c r="L3635" s="2">
        <v>43540.654768518521</v>
      </c>
      <c r="M3635" s="1">
        <f>_xlfn.DAYS(Table1[[#This Row],[actual_delivery_date]],Table1[[#This Row],[dispatch_date]])</f>
        <v>5</v>
      </c>
      <c r="N3635">
        <v>44</v>
      </c>
      <c r="O3635">
        <f>Table1[[#This Row],[transit_storage_cost]] * (1-'What -if Analysis'!$D$26)</f>
        <v>44</v>
      </c>
      <c r="P3635">
        <v>106</v>
      </c>
      <c r="Q3635">
        <v>3329.7912395265334</v>
      </c>
    </row>
    <row r="3636" spans="1:17" x14ac:dyDescent="0.3">
      <c r="A3636">
        <v>37457</v>
      </c>
      <c r="B3636" s="1" t="s">
        <v>41</v>
      </c>
      <c r="C3636" s="1" t="s">
        <v>23</v>
      </c>
      <c r="D3636" s="1" t="s">
        <v>23</v>
      </c>
      <c r="E3636" s="1" t="s">
        <v>28</v>
      </c>
      <c r="F3636" s="1" t="s">
        <v>29</v>
      </c>
      <c r="G3636" s="1" t="s">
        <v>20</v>
      </c>
      <c r="H3636" t="s">
        <v>34</v>
      </c>
      <c r="I3636" s="1" t="s">
        <v>22</v>
      </c>
      <c r="J3636" s="2">
        <v>43537.660532407404</v>
      </c>
      <c r="K3636" s="2">
        <v>43541.660532407404</v>
      </c>
      <c r="L3636" s="2">
        <v>43540.660532407404</v>
      </c>
      <c r="M3636" s="1">
        <f>_xlfn.DAYS(Table1[[#This Row],[actual_delivery_date]],Table1[[#This Row],[dispatch_date]])</f>
        <v>4</v>
      </c>
      <c r="N3636">
        <v>0</v>
      </c>
      <c r="O3636">
        <f>Table1[[#This Row],[transit_storage_cost]] * (1-'What -if Analysis'!$D$26)</f>
        <v>0</v>
      </c>
      <c r="P3636">
        <v>125</v>
      </c>
      <c r="Q3636">
        <v>2902.3409633975557</v>
      </c>
    </row>
    <row r="3637" spans="1:17" x14ac:dyDescent="0.3">
      <c r="A3637">
        <v>920509</v>
      </c>
      <c r="B3637" s="1" t="s">
        <v>37</v>
      </c>
      <c r="C3637" s="1" t="s">
        <v>16</v>
      </c>
      <c r="D3637" s="1" t="s">
        <v>24</v>
      </c>
      <c r="E3637" s="1" t="s">
        <v>25</v>
      </c>
      <c r="F3637" s="1" t="s">
        <v>29</v>
      </c>
      <c r="G3637" s="1" t="s">
        <v>20</v>
      </c>
      <c r="H3637" t="s">
        <v>30</v>
      </c>
      <c r="I3637" s="1" t="s">
        <v>22</v>
      </c>
      <c r="J3637" s="2">
        <v>43534.662754629629</v>
      </c>
      <c r="K3637" s="2">
        <v>43541.662754629629</v>
      </c>
      <c r="L3637" s="2">
        <v>43538.662754629629</v>
      </c>
      <c r="M3637" s="1">
        <f>_xlfn.DAYS(Table1[[#This Row],[actual_delivery_date]],Table1[[#This Row],[dispatch_date]])</f>
        <v>7</v>
      </c>
      <c r="N3637">
        <v>44</v>
      </c>
      <c r="O3637">
        <f>Table1[[#This Row],[transit_storage_cost]] * (1-'What -if Analysis'!$D$26)</f>
        <v>44</v>
      </c>
      <c r="P3637">
        <v>129</v>
      </c>
      <c r="Q3637">
        <v>461</v>
      </c>
    </row>
    <row r="3638" spans="1:17" x14ac:dyDescent="0.3">
      <c r="A3638">
        <v>741184</v>
      </c>
      <c r="B3638" s="1" t="s">
        <v>40</v>
      </c>
      <c r="C3638" s="1" t="s">
        <v>23</v>
      </c>
      <c r="D3638" s="1" t="s">
        <v>24</v>
      </c>
      <c r="E3638" s="1" t="s">
        <v>25</v>
      </c>
      <c r="F3638" s="1" t="s">
        <v>19</v>
      </c>
      <c r="G3638" s="1" t="s">
        <v>20</v>
      </c>
      <c r="H3638" t="s">
        <v>21</v>
      </c>
      <c r="I3638" s="1" t="s">
        <v>22</v>
      </c>
      <c r="J3638" s="2">
        <v>43532.663321759261</v>
      </c>
      <c r="K3638" s="2">
        <v>43541.663321759261</v>
      </c>
      <c r="L3638" s="2">
        <v>43538.663321759261</v>
      </c>
      <c r="M3638" s="1">
        <f>_xlfn.DAYS(Table1[[#This Row],[actual_delivery_date]],Table1[[#This Row],[dispatch_date]])</f>
        <v>9</v>
      </c>
      <c r="N3638">
        <v>40</v>
      </c>
      <c r="O3638">
        <f>Table1[[#This Row],[transit_storage_cost]] * (1-'What -if Analysis'!$D$26)</f>
        <v>40</v>
      </c>
      <c r="P3638">
        <v>121</v>
      </c>
      <c r="Q3638">
        <v>3224</v>
      </c>
    </row>
    <row r="3639" spans="1:17" x14ac:dyDescent="0.3">
      <c r="A3639">
        <v>727728</v>
      </c>
      <c r="B3639" s="1" t="s">
        <v>15</v>
      </c>
      <c r="C3639" s="1" t="s">
        <v>16</v>
      </c>
      <c r="D3639" s="1" t="s">
        <v>16</v>
      </c>
      <c r="E3639" s="1" t="s">
        <v>27</v>
      </c>
      <c r="F3639" s="1" t="s">
        <v>19</v>
      </c>
      <c r="G3639" s="1" t="s">
        <v>20</v>
      </c>
      <c r="H3639" t="s">
        <v>21</v>
      </c>
      <c r="I3639" s="1" t="s">
        <v>26</v>
      </c>
      <c r="J3639" s="2">
        <v>43536.664050925923</v>
      </c>
      <c r="K3639" s="2">
        <v>43541.664050925923</v>
      </c>
      <c r="L3639" s="2">
        <v>43542.664050925923</v>
      </c>
      <c r="M3639" s="1">
        <f>_xlfn.DAYS(Table1[[#This Row],[actual_delivery_date]],Table1[[#This Row],[dispatch_date]])</f>
        <v>5</v>
      </c>
      <c r="N3639">
        <v>0</v>
      </c>
      <c r="O3639">
        <f>Table1[[#This Row],[transit_storage_cost]] * (1-'What -if Analysis'!$D$26)</f>
        <v>0</v>
      </c>
      <c r="P3639">
        <v>128</v>
      </c>
      <c r="Q3639">
        <v>836</v>
      </c>
    </row>
    <row r="3640" spans="1:17" x14ac:dyDescent="0.3">
      <c r="A3640">
        <v>367466</v>
      </c>
      <c r="B3640" s="1" t="s">
        <v>39</v>
      </c>
      <c r="C3640" s="1" t="s">
        <v>23</v>
      </c>
      <c r="D3640" s="1" t="s">
        <v>16</v>
      </c>
      <c r="E3640" s="1" t="s">
        <v>27</v>
      </c>
      <c r="F3640" s="1" t="s">
        <v>31</v>
      </c>
      <c r="G3640" s="1" t="s">
        <v>20</v>
      </c>
      <c r="H3640" t="s">
        <v>21</v>
      </c>
      <c r="I3640" s="1" t="s">
        <v>22</v>
      </c>
      <c r="J3640" s="2">
        <v>43535.667500000003</v>
      </c>
      <c r="K3640" s="2">
        <v>43541.667500000003</v>
      </c>
      <c r="L3640" s="2">
        <v>43538.667500000003</v>
      </c>
      <c r="M3640" s="1">
        <f>_xlfn.DAYS(Table1[[#This Row],[actual_delivery_date]],Table1[[#This Row],[dispatch_date]])</f>
        <v>6</v>
      </c>
      <c r="N3640">
        <v>27</v>
      </c>
      <c r="O3640">
        <f>Table1[[#This Row],[transit_storage_cost]] * (1-'What -if Analysis'!$D$26)</f>
        <v>27</v>
      </c>
      <c r="P3640">
        <v>125</v>
      </c>
      <c r="Q3640">
        <v>1062.5849235107653</v>
      </c>
    </row>
    <row r="3641" spans="1:17" x14ac:dyDescent="0.3">
      <c r="A3641">
        <v>265239</v>
      </c>
      <c r="B3641" s="1" t="s">
        <v>15</v>
      </c>
      <c r="C3641" s="1" t="s">
        <v>16</v>
      </c>
      <c r="D3641" s="1" t="s">
        <v>16</v>
      </c>
      <c r="E3641" s="1" t="s">
        <v>27</v>
      </c>
      <c r="F3641" s="1" t="s">
        <v>19</v>
      </c>
      <c r="G3641" s="1" t="s">
        <v>20</v>
      </c>
      <c r="H3641" t="s">
        <v>30</v>
      </c>
      <c r="I3641" s="1" t="s">
        <v>26</v>
      </c>
      <c r="J3641" s="2">
        <v>43538.668807870374</v>
      </c>
      <c r="K3641" s="2">
        <v>43541.668807870374</v>
      </c>
      <c r="L3641" s="2">
        <v>43543.668807870374</v>
      </c>
      <c r="M3641" s="1">
        <f>_xlfn.DAYS(Table1[[#This Row],[actual_delivery_date]],Table1[[#This Row],[dispatch_date]])</f>
        <v>3</v>
      </c>
      <c r="N3641">
        <v>0</v>
      </c>
      <c r="O3641">
        <f>Table1[[#This Row],[transit_storage_cost]] * (1-'What -if Analysis'!$D$26)</f>
        <v>0</v>
      </c>
      <c r="P3641">
        <v>104</v>
      </c>
      <c r="Q3641">
        <v>1988</v>
      </c>
    </row>
    <row r="3642" spans="1:17" x14ac:dyDescent="0.3">
      <c r="A3642">
        <v>993838</v>
      </c>
      <c r="B3642" s="1" t="s">
        <v>15</v>
      </c>
      <c r="C3642" s="1" t="s">
        <v>23</v>
      </c>
      <c r="D3642" s="1" t="s">
        <v>17</v>
      </c>
      <c r="E3642" s="1" t="s">
        <v>18</v>
      </c>
      <c r="F3642" s="1" t="s">
        <v>19</v>
      </c>
      <c r="G3642" s="1" t="s">
        <v>20</v>
      </c>
      <c r="H3642" t="s">
        <v>21</v>
      </c>
      <c r="I3642" s="1" t="s">
        <v>22</v>
      </c>
      <c r="J3642" s="2">
        <v>43538.679826388892</v>
      </c>
      <c r="K3642" s="2">
        <v>43541.679826388892</v>
      </c>
      <c r="L3642" s="2">
        <v>43543.679826388892</v>
      </c>
      <c r="M3642" s="1">
        <f>_xlfn.DAYS(Table1[[#This Row],[actual_delivery_date]],Table1[[#This Row],[dispatch_date]])</f>
        <v>3</v>
      </c>
      <c r="N3642">
        <v>83</v>
      </c>
      <c r="O3642">
        <f>Table1[[#This Row],[transit_storage_cost]] * (1-'What -if Analysis'!$D$26)</f>
        <v>83</v>
      </c>
      <c r="P3642">
        <v>89</v>
      </c>
      <c r="Q3642">
        <v>3671.3919065554001</v>
      </c>
    </row>
    <row r="3643" spans="1:17" x14ac:dyDescent="0.3">
      <c r="A3643">
        <v>618741</v>
      </c>
      <c r="B3643" s="1" t="s">
        <v>37</v>
      </c>
      <c r="C3643" s="1" t="s">
        <v>23</v>
      </c>
      <c r="D3643" s="1" t="s">
        <v>32</v>
      </c>
      <c r="E3643" s="1" t="s">
        <v>33</v>
      </c>
      <c r="F3643" s="1" t="s">
        <v>29</v>
      </c>
      <c r="G3643" s="1" t="s">
        <v>20</v>
      </c>
      <c r="H3643" t="s">
        <v>30</v>
      </c>
      <c r="I3643" s="1" t="s">
        <v>26</v>
      </c>
      <c r="J3643" s="2">
        <v>43536.680115740739</v>
      </c>
      <c r="K3643" s="2">
        <v>43541.680115740739</v>
      </c>
      <c r="L3643" s="2">
        <v>43541.680115740739</v>
      </c>
      <c r="M3643" s="1">
        <f>_xlfn.DAYS(Table1[[#This Row],[actual_delivery_date]],Table1[[#This Row],[dispatch_date]])</f>
        <v>5</v>
      </c>
      <c r="N3643">
        <v>39</v>
      </c>
      <c r="O3643">
        <f>Table1[[#This Row],[transit_storage_cost]] * (1-'What -if Analysis'!$D$26)</f>
        <v>39</v>
      </c>
      <c r="P3643">
        <v>105</v>
      </c>
      <c r="Q3643">
        <v>1115.1095612217412</v>
      </c>
    </row>
    <row r="3644" spans="1:17" x14ac:dyDescent="0.3">
      <c r="A3644">
        <v>599432</v>
      </c>
      <c r="B3644" s="1" t="s">
        <v>37</v>
      </c>
      <c r="C3644" s="1" t="s">
        <v>23</v>
      </c>
      <c r="D3644" s="1" t="s">
        <v>17</v>
      </c>
      <c r="E3644" s="1" t="s">
        <v>18</v>
      </c>
      <c r="F3644" s="1" t="s">
        <v>19</v>
      </c>
      <c r="G3644" s="1" t="s">
        <v>20</v>
      </c>
      <c r="H3644" t="s">
        <v>21</v>
      </c>
      <c r="I3644" s="1" t="s">
        <v>22</v>
      </c>
      <c r="J3644" s="2">
        <v>43536.680636574078</v>
      </c>
      <c r="K3644" s="2">
        <v>43541.680636574078</v>
      </c>
      <c r="L3644" s="2">
        <v>43542.680636574078</v>
      </c>
      <c r="M3644" s="1">
        <f>_xlfn.DAYS(Table1[[#This Row],[actual_delivery_date]],Table1[[#This Row],[dispatch_date]])</f>
        <v>5</v>
      </c>
      <c r="N3644">
        <v>65</v>
      </c>
      <c r="O3644">
        <f>Table1[[#This Row],[transit_storage_cost]] * (1-'What -if Analysis'!$D$26)</f>
        <v>65</v>
      </c>
      <c r="P3644">
        <v>93</v>
      </c>
      <c r="Q3644">
        <v>3708.709242445861</v>
      </c>
    </row>
    <row r="3645" spans="1:17" x14ac:dyDescent="0.3">
      <c r="A3645">
        <v>783237</v>
      </c>
      <c r="B3645" s="1" t="s">
        <v>38</v>
      </c>
      <c r="C3645" s="1" t="s">
        <v>23</v>
      </c>
      <c r="D3645" s="1" t="s">
        <v>16</v>
      </c>
      <c r="E3645" s="1" t="s">
        <v>27</v>
      </c>
      <c r="F3645" s="1" t="s">
        <v>29</v>
      </c>
      <c r="G3645" s="1" t="s">
        <v>20</v>
      </c>
      <c r="H3645" t="s">
        <v>34</v>
      </c>
      <c r="I3645" s="1" t="s">
        <v>26</v>
      </c>
      <c r="J3645" s="2">
        <v>43533.68172453704</v>
      </c>
      <c r="K3645" s="2">
        <v>43541.68172453704</v>
      </c>
      <c r="L3645" s="2">
        <v>43536.68172453704</v>
      </c>
      <c r="M3645" s="1">
        <f>_xlfn.DAYS(Table1[[#This Row],[actual_delivery_date]],Table1[[#This Row],[dispatch_date]])</f>
        <v>8</v>
      </c>
      <c r="N3645">
        <v>48</v>
      </c>
      <c r="O3645">
        <f>Table1[[#This Row],[transit_storage_cost]] * (1-'What -if Analysis'!$D$26)</f>
        <v>48</v>
      </c>
      <c r="P3645">
        <v>120</v>
      </c>
      <c r="Q3645">
        <v>352</v>
      </c>
    </row>
    <row r="3646" spans="1:17" x14ac:dyDescent="0.3">
      <c r="A3646">
        <v>251007</v>
      </c>
      <c r="B3646" s="1" t="s">
        <v>37</v>
      </c>
      <c r="C3646" s="1" t="s">
        <v>23</v>
      </c>
      <c r="D3646" s="1" t="s">
        <v>17</v>
      </c>
      <c r="E3646" s="1" t="s">
        <v>18</v>
      </c>
      <c r="F3646" s="1" t="s">
        <v>29</v>
      </c>
      <c r="G3646" s="1" t="s">
        <v>20</v>
      </c>
      <c r="H3646" t="s">
        <v>30</v>
      </c>
      <c r="I3646" s="1" t="s">
        <v>26</v>
      </c>
      <c r="J3646" s="2">
        <v>43534.682118055556</v>
      </c>
      <c r="K3646" s="2">
        <v>43541.682118055556</v>
      </c>
      <c r="L3646" s="2">
        <v>43541.682118055556</v>
      </c>
      <c r="M3646" s="1">
        <f>_xlfn.DAYS(Table1[[#This Row],[actual_delivery_date]],Table1[[#This Row],[dispatch_date]])</f>
        <v>7</v>
      </c>
      <c r="N3646">
        <v>27</v>
      </c>
      <c r="O3646">
        <f>Table1[[#This Row],[transit_storage_cost]] * (1-'What -if Analysis'!$D$26)</f>
        <v>27</v>
      </c>
      <c r="P3646">
        <v>114</v>
      </c>
      <c r="Q3646">
        <v>1168.1610064271331</v>
      </c>
    </row>
    <row r="3647" spans="1:17" x14ac:dyDescent="0.3">
      <c r="A3647">
        <v>765191</v>
      </c>
      <c r="B3647" s="1" t="s">
        <v>37</v>
      </c>
      <c r="C3647" s="1" t="s">
        <v>16</v>
      </c>
      <c r="D3647" s="1" t="s">
        <v>17</v>
      </c>
      <c r="E3647" s="1" t="s">
        <v>18</v>
      </c>
      <c r="F3647" s="1" t="s">
        <v>29</v>
      </c>
      <c r="G3647" s="1" t="s">
        <v>20</v>
      </c>
      <c r="H3647" t="s">
        <v>34</v>
      </c>
      <c r="I3647" s="1" t="s">
        <v>22</v>
      </c>
      <c r="J3647" s="2">
        <v>43537.688043981485</v>
      </c>
      <c r="K3647" s="2">
        <v>43541.688043981485</v>
      </c>
      <c r="L3647" s="2">
        <v>43543.688043981485</v>
      </c>
      <c r="M3647" s="1">
        <f>_xlfn.DAYS(Table1[[#This Row],[actual_delivery_date]],Table1[[#This Row],[dispatch_date]])</f>
        <v>4</v>
      </c>
      <c r="N3647">
        <v>45</v>
      </c>
      <c r="O3647">
        <f>Table1[[#This Row],[transit_storage_cost]] * (1-'What -if Analysis'!$D$26)</f>
        <v>45</v>
      </c>
      <c r="P3647">
        <v>111</v>
      </c>
      <c r="Q3647">
        <v>2312</v>
      </c>
    </row>
    <row r="3648" spans="1:17" x14ac:dyDescent="0.3">
      <c r="A3648">
        <v>160276</v>
      </c>
      <c r="B3648" s="1" t="s">
        <v>40</v>
      </c>
      <c r="C3648" s="1" t="s">
        <v>23</v>
      </c>
      <c r="D3648" s="1" t="s">
        <v>24</v>
      </c>
      <c r="E3648" s="1" t="s">
        <v>25</v>
      </c>
      <c r="F3648" s="1" t="s">
        <v>19</v>
      </c>
      <c r="G3648" s="1" t="s">
        <v>20</v>
      </c>
      <c r="H3648" t="s">
        <v>21</v>
      </c>
      <c r="I3648" s="1" t="s">
        <v>22</v>
      </c>
      <c r="J3648" s="2">
        <v>43536.688634259262</v>
      </c>
      <c r="K3648" s="2">
        <v>43541.688634259262</v>
      </c>
      <c r="L3648" s="2">
        <v>43542.688634259262</v>
      </c>
      <c r="M3648" s="1">
        <f>_xlfn.DAYS(Table1[[#This Row],[actual_delivery_date]],Table1[[#This Row],[dispatch_date]])</f>
        <v>5</v>
      </c>
      <c r="N3648">
        <v>69</v>
      </c>
      <c r="O3648">
        <f>Table1[[#This Row],[transit_storage_cost]] * (1-'What -if Analysis'!$D$26)</f>
        <v>69</v>
      </c>
      <c r="P3648">
        <v>100</v>
      </c>
      <c r="Q3648">
        <v>3153</v>
      </c>
    </row>
    <row r="3649" spans="1:17" x14ac:dyDescent="0.3">
      <c r="A3649">
        <v>361245</v>
      </c>
      <c r="B3649" s="1" t="s">
        <v>39</v>
      </c>
      <c r="C3649" s="1" t="s">
        <v>16</v>
      </c>
      <c r="D3649" s="1" t="s">
        <v>16</v>
      </c>
      <c r="E3649" s="1" t="s">
        <v>27</v>
      </c>
      <c r="F3649" s="1" t="s">
        <v>29</v>
      </c>
      <c r="G3649" s="1" t="s">
        <v>20</v>
      </c>
      <c r="H3649" t="s">
        <v>30</v>
      </c>
      <c r="I3649" s="1" t="s">
        <v>26</v>
      </c>
      <c r="J3649" s="2">
        <v>43534.694386574076</v>
      </c>
      <c r="K3649" s="2">
        <v>43541.694386574076</v>
      </c>
      <c r="L3649" s="2">
        <v>43541.694386574076</v>
      </c>
      <c r="M3649" s="1">
        <f>_xlfn.DAYS(Table1[[#This Row],[actual_delivery_date]],Table1[[#This Row],[dispatch_date]])</f>
        <v>7</v>
      </c>
      <c r="N3649">
        <v>0</v>
      </c>
      <c r="O3649">
        <f>Table1[[#This Row],[transit_storage_cost]] * (1-'What -if Analysis'!$D$26)</f>
        <v>0</v>
      </c>
      <c r="P3649">
        <v>122</v>
      </c>
      <c r="Q3649">
        <v>3149.2012016360018</v>
      </c>
    </row>
    <row r="3650" spans="1:17" x14ac:dyDescent="0.3">
      <c r="A3650">
        <v>575680</v>
      </c>
      <c r="B3650" s="1" t="s">
        <v>37</v>
      </c>
      <c r="C3650" s="1" t="s">
        <v>23</v>
      </c>
      <c r="D3650" s="1" t="s">
        <v>24</v>
      </c>
      <c r="E3650" s="1" t="s">
        <v>25</v>
      </c>
      <c r="F3650" s="1" t="s">
        <v>19</v>
      </c>
      <c r="G3650" s="1" t="s">
        <v>20</v>
      </c>
      <c r="H3650" t="s">
        <v>21</v>
      </c>
      <c r="I3650" s="1" t="s">
        <v>22</v>
      </c>
      <c r="J3650" s="2">
        <v>43536.702546296299</v>
      </c>
      <c r="K3650" s="2">
        <v>43541.702546296299</v>
      </c>
      <c r="L3650" s="2">
        <v>43542.702546296299</v>
      </c>
      <c r="M3650" s="1">
        <f>_xlfn.DAYS(Table1[[#This Row],[actual_delivery_date]],Table1[[#This Row],[dispatch_date]])</f>
        <v>5</v>
      </c>
      <c r="N3650">
        <v>45</v>
      </c>
      <c r="O3650">
        <f>Table1[[#This Row],[transit_storage_cost]] * (1-'What -if Analysis'!$D$26)</f>
        <v>45</v>
      </c>
      <c r="P3650">
        <v>123</v>
      </c>
      <c r="Q3650">
        <v>2714.4480129187536</v>
      </c>
    </row>
    <row r="3651" spans="1:17" x14ac:dyDescent="0.3">
      <c r="A3651">
        <v>321376</v>
      </c>
      <c r="B3651" s="1" t="s">
        <v>38</v>
      </c>
      <c r="C3651" s="1" t="s">
        <v>23</v>
      </c>
      <c r="D3651" s="1" t="s">
        <v>17</v>
      </c>
      <c r="E3651" s="1" t="s">
        <v>18</v>
      </c>
      <c r="F3651" s="1" t="s">
        <v>19</v>
      </c>
      <c r="G3651" s="1" t="s">
        <v>20</v>
      </c>
      <c r="H3651" t="s">
        <v>21</v>
      </c>
      <c r="I3651" s="1" t="s">
        <v>22</v>
      </c>
      <c r="J3651" s="2">
        <v>43536.704791666663</v>
      </c>
      <c r="K3651" s="2">
        <v>43541.704791666663</v>
      </c>
      <c r="L3651" s="2">
        <v>43540.704791666663</v>
      </c>
      <c r="M3651" s="1">
        <f>_xlfn.DAYS(Table1[[#This Row],[actual_delivery_date]],Table1[[#This Row],[dispatch_date]])</f>
        <v>5</v>
      </c>
      <c r="N3651">
        <v>29</v>
      </c>
      <c r="O3651">
        <f>Table1[[#This Row],[transit_storage_cost]] * (1-'What -if Analysis'!$D$26)</f>
        <v>29</v>
      </c>
      <c r="P3651">
        <v>107</v>
      </c>
      <c r="Q3651">
        <v>525.19294128978947</v>
      </c>
    </row>
    <row r="3652" spans="1:17" x14ac:dyDescent="0.3">
      <c r="A3652">
        <v>41669</v>
      </c>
      <c r="B3652" s="1" t="s">
        <v>15</v>
      </c>
      <c r="C3652" s="1" t="s">
        <v>23</v>
      </c>
      <c r="D3652" s="1" t="s">
        <v>17</v>
      </c>
      <c r="E3652" s="1" t="s">
        <v>18</v>
      </c>
      <c r="F3652" s="1" t="s">
        <v>29</v>
      </c>
      <c r="G3652" s="1" t="s">
        <v>20</v>
      </c>
      <c r="H3652" t="s">
        <v>30</v>
      </c>
      <c r="I3652" s="1" t="s">
        <v>22</v>
      </c>
      <c r="J3652" s="2">
        <v>43538.707939814813</v>
      </c>
      <c r="K3652" s="2">
        <v>43541.707939814813</v>
      </c>
      <c r="L3652" s="2">
        <v>43541.707939814813</v>
      </c>
      <c r="M3652" s="1">
        <f>_xlfn.DAYS(Table1[[#This Row],[actual_delivery_date]],Table1[[#This Row],[dispatch_date]])</f>
        <v>3</v>
      </c>
      <c r="N3652">
        <v>32</v>
      </c>
      <c r="O3652">
        <f>Table1[[#This Row],[transit_storage_cost]] * (1-'What -if Analysis'!$D$26)</f>
        <v>32</v>
      </c>
      <c r="P3652">
        <v>113</v>
      </c>
      <c r="Q3652">
        <v>2733.6491311732116</v>
      </c>
    </row>
    <row r="3653" spans="1:17" x14ac:dyDescent="0.3">
      <c r="A3653">
        <v>979684</v>
      </c>
      <c r="B3653" s="1" t="s">
        <v>38</v>
      </c>
      <c r="C3653" s="1" t="s">
        <v>16</v>
      </c>
      <c r="D3653" s="1" t="s">
        <v>23</v>
      </c>
      <c r="E3653" s="1" t="s">
        <v>28</v>
      </c>
      <c r="F3653" s="1" t="s">
        <v>19</v>
      </c>
      <c r="G3653" s="1" t="s">
        <v>20</v>
      </c>
      <c r="H3653" t="s">
        <v>21</v>
      </c>
      <c r="I3653" s="1" t="s">
        <v>22</v>
      </c>
      <c r="J3653" s="2">
        <v>43536.711111111108</v>
      </c>
      <c r="K3653" s="2">
        <v>43541.711111111108</v>
      </c>
      <c r="L3653" s="2">
        <v>43541.711111111108</v>
      </c>
      <c r="M3653" s="1">
        <f>_xlfn.DAYS(Table1[[#This Row],[actual_delivery_date]],Table1[[#This Row],[dispatch_date]])</f>
        <v>5</v>
      </c>
      <c r="N3653">
        <v>49</v>
      </c>
      <c r="O3653">
        <f>Table1[[#This Row],[transit_storage_cost]] * (1-'What -if Analysis'!$D$26)</f>
        <v>49</v>
      </c>
      <c r="P3653">
        <v>127</v>
      </c>
      <c r="Q3653">
        <v>428.6111083862001</v>
      </c>
    </row>
    <row r="3654" spans="1:17" x14ac:dyDescent="0.3">
      <c r="A3654">
        <v>343350</v>
      </c>
      <c r="B3654" s="1" t="s">
        <v>38</v>
      </c>
      <c r="C3654" s="1" t="s">
        <v>23</v>
      </c>
      <c r="D3654" s="1" t="s">
        <v>16</v>
      </c>
      <c r="E3654" s="1" t="s">
        <v>27</v>
      </c>
      <c r="F3654" s="1" t="s">
        <v>31</v>
      </c>
      <c r="G3654" s="1" t="s">
        <v>20</v>
      </c>
      <c r="H3654" t="s">
        <v>21</v>
      </c>
      <c r="I3654" s="1" t="s">
        <v>26</v>
      </c>
      <c r="J3654" s="2">
        <v>43534.715729166666</v>
      </c>
      <c r="K3654" s="2">
        <v>43541.715729166666</v>
      </c>
      <c r="L3654" s="2">
        <v>43537.715729166666</v>
      </c>
      <c r="M3654" s="1">
        <f>_xlfn.DAYS(Table1[[#This Row],[actual_delivery_date]],Table1[[#This Row],[dispatch_date]])</f>
        <v>7</v>
      </c>
      <c r="N3654">
        <v>36</v>
      </c>
      <c r="O3654">
        <f>Table1[[#This Row],[transit_storage_cost]] * (1-'What -if Analysis'!$D$26)</f>
        <v>36</v>
      </c>
      <c r="P3654">
        <v>127</v>
      </c>
      <c r="Q3654">
        <v>2180.8538322276686</v>
      </c>
    </row>
    <row r="3655" spans="1:17" x14ac:dyDescent="0.3">
      <c r="A3655">
        <v>644457</v>
      </c>
      <c r="B3655" s="1" t="s">
        <v>40</v>
      </c>
      <c r="C3655" s="1" t="s">
        <v>16</v>
      </c>
      <c r="D3655" s="1" t="s">
        <v>16</v>
      </c>
      <c r="E3655" s="1" t="s">
        <v>27</v>
      </c>
      <c r="F3655" s="1" t="s">
        <v>29</v>
      </c>
      <c r="G3655" s="1" t="s">
        <v>20</v>
      </c>
      <c r="H3655" t="s">
        <v>30</v>
      </c>
      <c r="I3655" s="1" t="s">
        <v>26</v>
      </c>
      <c r="J3655" s="2">
        <v>43538.716307870367</v>
      </c>
      <c r="K3655" s="2">
        <v>43541.716307870367</v>
      </c>
      <c r="L3655" s="2">
        <v>43544.716307870367</v>
      </c>
      <c r="M3655" s="1">
        <f>_xlfn.DAYS(Table1[[#This Row],[actual_delivery_date]],Table1[[#This Row],[dispatch_date]])</f>
        <v>3</v>
      </c>
      <c r="N3655">
        <v>0</v>
      </c>
      <c r="O3655">
        <f>Table1[[#This Row],[transit_storage_cost]] * (1-'What -if Analysis'!$D$26)</f>
        <v>0</v>
      </c>
      <c r="P3655">
        <v>122</v>
      </c>
      <c r="Q3655">
        <v>626</v>
      </c>
    </row>
    <row r="3656" spans="1:17" x14ac:dyDescent="0.3">
      <c r="A3656">
        <v>803551</v>
      </c>
      <c r="B3656" s="1" t="s">
        <v>37</v>
      </c>
      <c r="C3656" s="1" t="s">
        <v>16</v>
      </c>
      <c r="D3656" s="1" t="s">
        <v>23</v>
      </c>
      <c r="E3656" s="1" t="s">
        <v>28</v>
      </c>
      <c r="F3656" s="1" t="s">
        <v>19</v>
      </c>
      <c r="G3656" s="1" t="s">
        <v>20</v>
      </c>
      <c r="H3656" t="s">
        <v>34</v>
      </c>
      <c r="I3656" s="1" t="s">
        <v>22</v>
      </c>
      <c r="J3656" s="2">
        <v>43538.725868055553</v>
      </c>
      <c r="K3656" s="2">
        <v>43541.725868055553</v>
      </c>
      <c r="L3656" s="2">
        <v>43543.725868055553</v>
      </c>
      <c r="M3656" s="1">
        <f>_xlfn.DAYS(Table1[[#This Row],[actual_delivery_date]],Table1[[#This Row],[dispatch_date]])</f>
        <v>3</v>
      </c>
      <c r="N3656">
        <v>90</v>
      </c>
      <c r="O3656">
        <f>Table1[[#This Row],[transit_storage_cost]] * (1-'What -if Analysis'!$D$26)</f>
        <v>90</v>
      </c>
      <c r="P3656">
        <v>105</v>
      </c>
      <c r="Q3656">
        <v>473.17080412412719</v>
      </c>
    </row>
    <row r="3657" spans="1:17" x14ac:dyDescent="0.3">
      <c r="A3657">
        <v>830217</v>
      </c>
      <c r="B3657" s="1" t="s">
        <v>41</v>
      </c>
      <c r="C3657" s="1" t="s">
        <v>23</v>
      </c>
      <c r="D3657" s="1" t="s">
        <v>23</v>
      </c>
      <c r="E3657" s="1" t="s">
        <v>28</v>
      </c>
      <c r="F3657" s="1" t="s">
        <v>19</v>
      </c>
      <c r="G3657" s="1" t="s">
        <v>20</v>
      </c>
      <c r="H3657" t="s">
        <v>30</v>
      </c>
      <c r="I3657" s="1" t="s">
        <v>26</v>
      </c>
      <c r="J3657" s="2">
        <v>43537.736041666663</v>
      </c>
      <c r="K3657" s="2">
        <v>43541.736041666663</v>
      </c>
      <c r="L3657" s="2">
        <v>43543.736041666663</v>
      </c>
      <c r="M3657" s="1">
        <f>_xlfn.DAYS(Table1[[#This Row],[actual_delivery_date]],Table1[[#This Row],[dispatch_date]])</f>
        <v>4</v>
      </c>
      <c r="N3657">
        <v>0</v>
      </c>
      <c r="O3657">
        <f>Table1[[#This Row],[transit_storage_cost]] * (1-'What -if Analysis'!$D$26)</f>
        <v>0</v>
      </c>
      <c r="P3657">
        <v>108</v>
      </c>
      <c r="Q3657">
        <v>1572</v>
      </c>
    </row>
    <row r="3658" spans="1:17" x14ac:dyDescent="0.3">
      <c r="A3658">
        <v>639121</v>
      </c>
      <c r="B3658" s="1" t="s">
        <v>40</v>
      </c>
      <c r="C3658" s="1" t="s">
        <v>16</v>
      </c>
      <c r="D3658" s="1" t="s">
        <v>17</v>
      </c>
      <c r="E3658" s="1" t="s">
        <v>18</v>
      </c>
      <c r="F3658" s="1" t="s">
        <v>19</v>
      </c>
      <c r="G3658" s="1" t="s">
        <v>20</v>
      </c>
      <c r="H3658" t="s">
        <v>34</v>
      </c>
      <c r="I3658" s="1" t="s">
        <v>22</v>
      </c>
      <c r="J3658" s="2">
        <v>43535.736261574071</v>
      </c>
      <c r="K3658" s="2">
        <v>43541.736261574071</v>
      </c>
      <c r="L3658" s="2">
        <v>43539.736261574071</v>
      </c>
      <c r="M3658" s="1">
        <f>_xlfn.DAYS(Table1[[#This Row],[actual_delivery_date]],Table1[[#This Row],[dispatch_date]])</f>
        <v>6</v>
      </c>
      <c r="N3658">
        <v>87</v>
      </c>
      <c r="O3658">
        <f>Table1[[#This Row],[transit_storage_cost]] * (1-'What -if Analysis'!$D$26)</f>
        <v>87</v>
      </c>
      <c r="P3658">
        <v>86</v>
      </c>
      <c r="Q3658">
        <v>751</v>
      </c>
    </row>
    <row r="3659" spans="1:17" x14ac:dyDescent="0.3">
      <c r="A3659">
        <v>517745</v>
      </c>
      <c r="B3659" s="1" t="s">
        <v>38</v>
      </c>
      <c r="C3659" s="1" t="s">
        <v>23</v>
      </c>
      <c r="D3659" s="1" t="s">
        <v>16</v>
      </c>
      <c r="E3659" s="1" t="s">
        <v>27</v>
      </c>
      <c r="F3659" s="1" t="s">
        <v>29</v>
      </c>
      <c r="G3659" s="1" t="s">
        <v>20</v>
      </c>
      <c r="H3659" t="s">
        <v>30</v>
      </c>
      <c r="I3659" s="1" t="s">
        <v>22</v>
      </c>
      <c r="J3659" s="2">
        <v>43532.736979166664</v>
      </c>
      <c r="K3659" s="2">
        <v>43541.736979166664</v>
      </c>
      <c r="L3659" s="2">
        <v>43539.736979166664</v>
      </c>
      <c r="M3659" s="1">
        <f>_xlfn.DAYS(Table1[[#This Row],[actual_delivery_date]],Table1[[#This Row],[dispatch_date]])</f>
        <v>9</v>
      </c>
      <c r="N3659">
        <v>40</v>
      </c>
      <c r="O3659">
        <f>Table1[[#This Row],[transit_storage_cost]] * (1-'What -if Analysis'!$D$26)</f>
        <v>40</v>
      </c>
      <c r="P3659">
        <v>128</v>
      </c>
      <c r="Q3659">
        <v>2607.1050390206447</v>
      </c>
    </row>
    <row r="3660" spans="1:17" x14ac:dyDescent="0.3">
      <c r="A3660">
        <v>327624</v>
      </c>
      <c r="B3660" s="1" t="s">
        <v>41</v>
      </c>
      <c r="C3660" s="1" t="s">
        <v>23</v>
      </c>
      <c r="D3660" s="1" t="s">
        <v>32</v>
      </c>
      <c r="E3660" s="1" t="s">
        <v>33</v>
      </c>
      <c r="F3660" s="1" t="s">
        <v>19</v>
      </c>
      <c r="G3660" s="1" t="s">
        <v>20</v>
      </c>
      <c r="H3660" t="s">
        <v>21</v>
      </c>
      <c r="I3660" s="1" t="s">
        <v>26</v>
      </c>
      <c r="J3660" s="2">
        <v>43533.738854166666</v>
      </c>
      <c r="K3660" s="2">
        <v>43541.738854166666</v>
      </c>
      <c r="L3660" s="2">
        <v>43536.738854166666</v>
      </c>
      <c r="M3660" s="1">
        <f>_xlfn.DAYS(Table1[[#This Row],[actual_delivery_date]],Table1[[#This Row],[dispatch_date]])</f>
        <v>8</v>
      </c>
      <c r="N3660">
        <v>64</v>
      </c>
      <c r="O3660">
        <f>Table1[[#This Row],[transit_storage_cost]] * (1-'What -if Analysis'!$D$26)</f>
        <v>64</v>
      </c>
      <c r="P3660">
        <v>90</v>
      </c>
      <c r="Q3660">
        <v>2034.1995888023569</v>
      </c>
    </row>
    <row r="3661" spans="1:17" x14ac:dyDescent="0.3">
      <c r="A3661">
        <v>54785</v>
      </c>
      <c r="B3661" s="1" t="s">
        <v>38</v>
      </c>
      <c r="C3661" s="1" t="s">
        <v>23</v>
      </c>
      <c r="D3661" s="1" t="s">
        <v>32</v>
      </c>
      <c r="E3661" s="1" t="s">
        <v>33</v>
      </c>
      <c r="F3661" s="1" t="s">
        <v>29</v>
      </c>
      <c r="G3661" s="1" t="s">
        <v>20</v>
      </c>
      <c r="H3661" t="s">
        <v>30</v>
      </c>
      <c r="I3661" s="1" t="s">
        <v>22</v>
      </c>
      <c r="J3661" s="2">
        <v>43537.74145833333</v>
      </c>
      <c r="K3661" s="2">
        <v>43541.74145833333</v>
      </c>
      <c r="L3661" s="2">
        <v>43541.74145833333</v>
      </c>
      <c r="M3661" s="1">
        <f>_xlfn.DAYS(Table1[[#This Row],[actual_delivery_date]],Table1[[#This Row],[dispatch_date]])</f>
        <v>4</v>
      </c>
      <c r="N3661">
        <v>44</v>
      </c>
      <c r="O3661">
        <f>Table1[[#This Row],[transit_storage_cost]] * (1-'What -if Analysis'!$D$26)</f>
        <v>44</v>
      </c>
      <c r="P3661">
        <v>111</v>
      </c>
      <c r="Q3661">
        <v>2776.1120466241882</v>
      </c>
    </row>
    <row r="3662" spans="1:17" x14ac:dyDescent="0.3">
      <c r="A3662">
        <v>744279</v>
      </c>
      <c r="B3662" s="1" t="s">
        <v>40</v>
      </c>
      <c r="C3662" s="1" t="s">
        <v>16</v>
      </c>
      <c r="D3662" s="1" t="s">
        <v>23</v>
      </c>
      <c r="E3662" s="1" t="s">
        <v>28</v>
      </c>
      <c r="F3662" s="1" t="s">
        <v>29</v>
      </c>
      <c r="G3662" s="1" t="s">
        <v>20</v>
      </c>
      <c r="H3662" t="s">
        <v>30</v>
      </c>
      <c r="I3662" s="1" t="s">
        <v>26</v>
      </c>
      <c r="J3662" s="2">
        <v>43537.748599537037</v>
      </c>
      <c r="K3662" s="2">
        <v>43541.748599537037</v>
      </c>
      <c r="L3662" s="2">
        <v>43540.748599537037</v>
      </c>
      <c r="M3662" s="1">
        <f>_xlfn.DAYS(Table1[[#This Row],[actual_delivery_date]],Table1[[#This Row],[dispatch_date]])</f>
        <v>4</v>
      </c>
      <c r="N3662">
        <v>33</v>
      </c>
      <c r="O3662">
        <f>Table1[[#This Row],[transit_storage_cost]] * (1-'What -if Analysis'!$D$26)</f>
        <v>33</v>
      </c>
      <c r="P3662">
        <v>129</v>
      </c>
      <c r="Q3662">
        <v>2496.3102190900854</v>
      </c>
    </row>
    <row r="3663" spans="1:17" x14ac:dyDescent="0.3">
      <c r="A3663">
        <v>951029</v>
      </c>
      <c r="B3663" s="1" t="s">
        <v>41</v>
      </c>
      <c r="C3663" s="1" t="s">
        <v>16</v>
      </c>
      <c r="D3663" s="1" t="s">
        <v>17</v>
      </c>
      <c r="E3663" s="1" t="s">
        <v>18</v>
      </c>
      <c r="F3663" s="1" t="s">
        <v>29</v>
      </c>
      <c r="G3663" s="1" t="s">
        <v>20</v>
      </c>
      <c r="H3663" t="s">
        <v>30</v>
      </c>
      <c r="I3663" s="1" t="s">
        <v>22</v>
      </c>
      <c r="J3663" s="2">
        <v>43533.75545138889</v>
      </c>
      <c r="K3663" s="2">
        <v>43541.75545138889</v>
      </c>
      <c r="L3663" s="2">
        <v>43540.75545138889</v>
      </c>
      <c r="M3663" s="1">
        <f>_xlfn.DAYS(Table1[[#This Row],[actual_delivery_date]],Table1[[#This Row],[dispatch_date]])</f>
        <v>8</v>
      </c>
      <c r="N3663">
        <v>43</v>
      </c>
      <c r="O3663">
        <f>Table1[[#This Row],[transit_storage_cost]] * (1-'What -if Analysis'!$D$26)</f>
        <v>43</v>
      </c>
      <c r="P3663">
        <v>114</v>
      </c>
      <c r="Q3663">
        <v>584.31747826197488</v>
      </c>
    </row>
    <row r="3664" spans="1:17" x14ac:dyDescent="0.3">
      <c r="A3664">
        <v>468332</v>
      </c>
      <c r="B3664" s="1" t="s">
        <v>38</v>
      </c>
      <c r="C3664" s="1" t="s">
        <v>16</v>
      </c>
      <c r="D3664" s="1" t="s">
        <v>24</v>
      </c>
      <c r="E3664" s="1" t="s">
        <v>25</v>
      </c>
      <c r="F3664" s="1" t="s">
        <v>19</v>
      </c>
      <c r="G3664" s="1" t="s">
        <v>20</v>
      </c>
      <c r="H3664" t="s">
        <v>21</v>
      </c>
      <c r="I3664" s="1" t="s">
        <v>22</v>
      </c>
      <c r="J3664" s="2">
        <v>43535.756793981483</v>
      </c>
      <c r="K3664" s="2">
        <v>43541.756793981483</v>
      </c>
      <c r="L3664" s="2">
        <v>43540.756793981483</v>
      </c>
      <c r="M3664" s="1">
        <f>_xlfn.DAYS(Table1[[#This Row],[actual_delivery_date]],Table1[[#This Row],[dispatch_date]])</f>
        <v>6</v>
      </c>
      <c r="N3664">
        <v>48</v>
      </c>
      <c r="O3664">
        <f>Table1[[#This Row],[transit_storage_cost]] * (1-'What -if Analysis'!$D$26)</f>
        <v>48</v>
      </c>
      <c r="P3664">
        <v>125</v>
      </c>
      <c r="Q3664">
        <v>3758.3593314615855</v>
      </c>
    </row>
    <row r="3665" spans="1:17" x14ac:dyDescent="0.3">
      <c r="A3665">
        <v>237278</v>
      </c>
      <c r="B3665" s="1" t="s">
        <v>38</v>
      </c>
      <c r="C3665" s="1" t="s">
        <v>16</v>
      </c>
      <c r="D3665" s="1" t="s">
        <v>24</v>
      </c>
      <c r="E3665" s="1" t="s">
        <v>25</v>
      </c>
      <c r="F3665" s="1" t="s">
        <v>31</v>
      </c>
      <c r="G3665" s="1" t="s">
        <v>20</v>
      </c>
      <c r="H3665" t="s">
        <v>21</v>
      </c>
      <c r="I3665" s="1" t="s">
        <v>22</v>
      </c>
      <c r="J3665" s="2">
        <v>43536.756979166668</v>
      </c>
      <c r="K3665" s="2">
        <v>43541.756979166668</v>
      </c>
      <c r="L3665" s="2">
        <v>43539.756979166668</v>
      </c>
      <c r="M3665" s="1">
        <f>_xlfn.DAYS(Table1[[#This Row],[actual_delivery_date]],Table1[[#This Row],[dispatch_date]])</f>
        <v>5</v>
      </c>
      <c r="N3665">
        <v>28</v>
      </c>
      <c r="O3665">
        <f>Table1[[#This Row],[transit_storage_cost]] * (1-'What -if Analysis'!$D$26)</f>
        <v>28</v>
      </c>
      <c r="P3665">
        <v>122</v>
      </c>
      <c r="Q3665">
        <v>2849</v>
      </c>
    </row>
    <row r="3666" spans="1:17" x14ac:dyDescent="0.3">
      <c r="A3666">
        <v>118567</v>
      </c>
      <c r="B3666" s="1" t="s">
        <v>38</v>
      </c>
      <c r="C3666" s="1" t="s">
        <v>16</v>
      </c>
      <c r="D3666" s="1" t="s">
        <v>16</v>
      </c>
      <c r="E3666" s="1" t="s">
        <v>27</v>
      </c>
      <c r="F3666" s="1" t="s">
        <v>19</v>
      </c>
      <c r="G3666" s="1" t="s">
        <v>20</v>
      </c>
      <c r="H3666" t="s">
        <v>30</v>
      </c>
      <c r="I3666" s="1" t="s">
        <v>22</v>
      </c>
      <c r="J3666" s="2">
        <v>43538.75880787037</v>
      </c>
      <c r="K3666" s="2">
        <v>43541.75880787037</v>
      </c>
      <c r="L3666" s="2">
        <v>43544.75880787037</v>
      </c>
      <c r="M3666" s="1">
        <f>_xlfn.DAYS(Table1[[#This Row],[actual_delivery_date]],Table1[[#This Row],[dispatch_date]])</f>
        <v>3</v>
      </c>
      <c r="N3666">
        <v>0</v>
      </c>
      <c r="O3666">
        <f>Table1[[#This Row],[transit_storage_cost]] * (1-'What -if Analysis'!$D$26)</f>
        <v>0</v>
      </c>
      <c r="P3666">
        <v>104</v>
      </c>
      <c r="Q3666">
        <v>1521.1004453551791</v>
      </c>
    </row>
    <row r="3667" spans="1:17" x14ac:dyDescent="0.3">
      <c r="A3667">
        <v>866648</v>
      </c>
      <c r="B3667" s="1" t="s">
        <v>40</v>
      </c>
      <c r="C3667" s="1" t="s">
        <v>23</v>
      </c>
      <c r="D3667" s="1" t="s">
        <v>23</v>
      </c>
      <c r="E3667" s="1" t="s">
        <v>28</v>
      </c>
      <c r="F3667" s="1" t="s">
        <v>19</v>
      </c>
      <c r="G3667" s="1" t="s">
        <v>20</v>
      </c>
      <c r="H3667" t="s">
        <v>21</v>
      </c>
      <c r="I3667" s="1" t="s">
        <v>22</v>
      </c>
      <c r="J3667" s="2">
        <v>43536.761342592596</v>
      </c>
      <c r="K3667" s="2">
        <v>43541.761342592596</v>
      </c>
      <c r="L3667" s="2">
        <v>43543.761342592596</v>
      </c>
      <c r="M3667" s="1">
        <f>_xlfn.DAYS(Table1[[#This Row],[actual_delivery_date]],Table1[[#This Row],[dispatch_date]])</f>
        <v>5</v>
      </c>
      <c r="N3667">
        <v>0</v>
      </c>
      <c r="O3667">
        <f>Table1[[#This Row],[transit_storage_cost]] * (1-'What -if Analysis'!$D$26)</f>
        <v>0</v>
      </c>
      <c r="P3667">
        <v>126</v>
      </c>
      <c r="Q3667">
        <v>2410.6718325773218</v>
      </c>
    </row>
    <row r="3668" spans="1:17" x14ac:dyDescent="0.3">
      <c r="A3668">
        <v>47273</v>
      </c>
      <c r="B3668" s="1" t="s">
        <v>38</v>
      </c>
      <c r="C3668" s="1" t="s">
        <v>16</v>
      </c>
      <c r="D3668" s="1" t="s">
        <v>17</v>
      </c>
      <c r="E3668" s="1" t="s">
        <v>18</v>
      </c>
      <c r="F3668" s="1" t="s">
        <v>29</v>
      </c>
      <c r="G3668" s="1" t="s">
        <v>20</v>
      </c>
      <c r="H3668" t="s">
        <v>30</v>
      </c>
      <c r="I3668" s="1" t="s">
        <v>22</v>
      </c>
      <c r="J3668" s="2">
        <v>43535.767939814818</v>
      </c>
      <c r="K3668" s="2">
        <v>43541.767939814818</v>
      </c>
      <c r="L3668" s="2">
        <v>43540.767939814818</v>
      </c>
      <c r="M3668" s="1">
        <f>_xlfn.DAYS(Table1[[#This Row],[actual_delivery_date]],Table1[[#This Row],[dispatch_date]])</f>
        <v>6</v>
      </c>
      <c r="N3668">
        <v>25</v>
      </c>
      <c r="O3668">
        <f>Table1[[#This Row],[transit_storage_cost]] * (1-'What -if Analysis'!$D$26)</f>
        <v>25</v>
      </c>
      <c r="P3668">
        <v>106</v>
      </c>
      <c r="Q3668">
        <v>902.25264815934781</v>
      </c>
    </row>
    <row r="3669" spans="1:17" x14ac:dyDescent="0.3">
      <c r="A3669">
        <v>222381</v>
      </c>
      <c r="B3669" s="1" t="s">
        <v>39</v>
      </c>
      <c r="C3669" s="1" t="s">
        <v>16</v>
      </c>
      <c r="D3669" s="1" t="s">
        <v>32</v>
      </c>
      <c r="E3669" s="1" t="s">
        <v>33</v>
      </c>
      <c r="F3669" s="1" t="s">
        <v>19</v>
      </c>
      <c r="G3669" s="1" t="s">
        <v>20</v>
      </c>
      <c r="H3669" t="s">
        <v>30</v>
      </c>
      <c r="I3669" s="1" t="s">
        <v>26</v>
      </c>
      <c r="J3669" s="2">
        <v>43534.772685185184</v>
      </c>
      <c r="K3669" s="2">
        <v>43541.772685185184</v>
      </c>
      <c r="L3669" s="2">
        <v>43538.772685185184</v>
      </c>
      <c r="M3669" s="1">
        <f>_xlfn.DAYS(Table1[[#This Row],[actual_delivery_date]],Table1[[#This Row],[dispatch_date]])</f>
        <v>7</v>
      </c>
      <c r="N3669">
        <v>70</v>
      </c>
      <c r="O3669">
        <f>Table1[[#This Row],[transit_storage_cost]] * (1-'What -if Analysis'!$D$26)</f>
        <v>70</v>
      </c>
      <c r="P3669">
        <v>87</v>
      </c>
      <c r="Q3669">
        <v>358.85104690373947</v>
      </c>
    </row>
    <row r="3670" spans="1:17" x14ac:dyDescent="0.3">
      <c r="A3670">
        <v>632569</v>
      </c>
      <c r="B3670" s="1" t="s">
        <v>38</v>
      </c>
      <c r="C3670" s="1" t="s">
        <v>23</v>
      </c>
      <c r="D3670" s="1" t="s">
        <v>16</v>
      </c>
      <c r="E3670" s="1" t="s">
        <v>27</v>
      </c>
      <c r="F3670" s="1" t="s">
        <v>19</v>
      </c>
      <c r="G3670" s="1" t="s">
        <v>20</v>
      </c>
      <c r="H3670" t="s">
        <v>34</v>
      </c>
      <c r="I3670" s="1" t="s">
        <v>22</v>
      </c>
      <c r="J3670" s="2">
        <v>43535.775543981479</v>
      </c>
      <c r="K3670" s="2">
        <v>43541.775543981479</v>
      </c>
      <c r="L3670" s="2">
        <v>43542.775543981479</v>
      </c>
      <c r="M3670" s="1">
        <f>_xlfn.DAYS(Table1[[#This Row],[actual_delivery_date]],Table1[[#This Row],[dispatch_date]])</f>
        <v>6</v>
      </c>
      <c r="N3670">
        <v>71</v>
      </c>
      <c r="O3670">
        <f>Table1[[#This Row],[transit_storage_cost]] * (1-'What -if Analysis'!$D$26)</f>
        <v>71</v>
      </c>
      <c r="P3670">
        <v>100</v>
      </c>
      <c r="Q3670">
        <v>667.43789787785124</v>
      </c>
    </row>
    <row r="3671" spans="1:17" x14ac:dyDescent="0.3">
      <c r="A3671">
        <v>667138</v>
      </c>
      <c r="B3671" s="1" t="s">
        <v>38</v>
      </c>
      <c r="C3671" s="1" t="s">
        <v>16</v>
      </c>
      <c r="D3671" s="1" t="s">
        <v>16</v>
      </c>
      <c r="E3671" s="1" t="s">
        <v>27</v>
      </c>
      <c r="F3671" s="1" t="s">
        <v>31</v>
      </c>
      <c r="G3671" s="1" t="s">
        <v>20</v>
      </c>
      <c r="H3671" t="s">
        <v>21</v>
      </c>
      <c r="I3671" s="1" t="s">
        <v>22</v>
      </c>
      <c r="J3671" s="2">
        <v>43535.785370370373</v>
      </c>
      <c r="K3671" s="2">
        <v>43541.785370370373</v>
      </c>
      <c r="L3671" s="2">
        <v>43542.785370370373</v>
      </c>
      <c r="M3671" s="1">
        <f>_xlfn.DAYS(Table1[[#This Row],[actual_delivery_date]],Table1[[#This Row],[dispatch_date]])</f>
        <v>6</v>
      </c>
      <c r="N3671">
        <v>0</v>
      </c>
      <c r="O3671">
        <f>Table1[[#This Row],[transit_storage_cost]] * (1-'What -if Analysis'!$D$26)</f>
        <v>0</v>
      </c>
      <c r="P3671">
        <v>127</v>
      </c>
      <c r="Q3671">
        <v>3063</v>
      </c>
    </row>
    <row r="3672" spans="1:17" x14ac:dyDescent="0.3">
      <c r="A3672">
        <v>156726</v>
      </c>
      <c r="B3672" s="1" t="s">
        <v>38</v>
      </c>
      <c r="C3672" s="1" t="s">
        <v>23</v>
      </c>
      <c r="D3672" s="1" t="s">
        <v>32</v>
      </c>
      <c r="E3672" s="1" t="s">
        <v>33</v>
      </c>
      <c r="F3672" s="1" t="s">
        <v>31</v>
      </c>
      <c r="G3672" s="1" t="s">
        <v>36</v>
      </c>
      <c r="H3672" t="s">
        <v>21</v>
      </c>
      <c r="I3672" s="1" t="s">
        <v>26</v>
      </c>
      <c r="J3672" s="2">
        <v>43537.791354166664</v>
      </c>
      <c r="K3672" s="2">
        <v>43541.791354166664</v>
      </c>
      <c r="L3672" s="2">
        <v>43540.791354166664</v>
      </c>
      <c r="M3672" s="1">
        <f>_xlfn.DAYS(Table1[[#This Row],[actual_delivery_date]],Table1[[#This Row],[dispatch_date]])</f>
        <v>4</v>
      </c>
      <c r="N3672">
        <v>47</v>
      </c>
      <c r="O3672">
        <f>Table1[[#This Row],[transit_storage_cost]] * (1-'What -if Analysis'!$D$26)</f>
        <v>47</v>
      </c>
      <c r="P3672">
        <v>107</v>
      </c>
      <c r="Q3672">
        <v>3756.7474650414911</v>
      </c>
    </row>
    <row r="3673" spans="1:17" x14ac:dyDescent="0.3">
      <c r="A3673">
        <v>594470</v>
      </c>
      <c r="B3673" s="1" t="s">
        <v>39</v>
      </c>
      <c r="C3673" s="1" t="s">
        <v>16</v>
      </c>
      <c r="D3673" s="1" t="s">
        <v>24</v>
      </c>
      <c r="E3673" s="1" t="s">
        <v>25</v>
      </c>
      <c r="F3673" s="1" t="s">
        <v>31</v>
      </c>
      <c r="G3673" s="1" t="s">
        <v>20</v>
      </c>
      <c r="H3673" t="s">
        <v>21</v>
      </c>
      <c r="I3673" s="1" t="s">
        <v>22</v>
      </c>
      <c r="J3673" s="2">
        <v>43536.792766203704</v>
      </c>
      <c r="K3673" s="2">
        <v>43541.792766203704</v>
      </c>
      <c r="L3673" s="2">
        <v>43539.792766203704</v>
      </c>
      <c r="M3673" s="1">
        <f>_xlfn.DAYS(Table1[[#This Row],[actual_delivery_date]],Table1[[#This Row],[dispatch_date]])</f>
        <v>5</v>
      </c>
      <c r="N3673">
        <v>50</v>
      </c>
      <c r="O3673">
        <f>Table1[[#This Row],[transit_storage_cost]] * (1-'What -if Analysis'!$D$26)</f>
        <v>50</v>
      </c>
      <c r="P3673">
        <v>122</v>
      </c>
      <c r="Q3673">
        <v>2705.0492496298621</v>
      </c>
    </row>
    <row r="3674" spans="1:17" x14ac:dyDescent="0.3">
      <c r="A3674">
        <v>467222</v>
      </c>
      <c r="B3674" s="1" t="s">
        <v>41</v>
      </c>
      <c r="C3674" s="1" t="s">
        <v>16</v>
      </c>
      <c r="D3674" s="1" t="s">
        <v>24</v>
      </c>
      <c r="E3674" s="1" t="s">
        <v>25</v>
      </c>
      <c r="F3674" s="1" t="s">
        <v>31</v>
      </c>
      <c r="G3674" s="1" t="s">
        <v>20</v>
      </c>
      <c r="H3674" t="s">
        <v>21</v>
      </c>
      <c r="I3674" s="1" t="s">
        <v>22</v>
      </c>
      <c r="J3674" s="2">
        <v>43537.798136574071</v>
      </c>
      <c r="K3674" s="2">
        <v>43541.798136574071</v>
      </c>
      <c r="L3674" s="2">
        <v>43541.798136574071</v>
      </c>
      <c r="M3674" s="1">
        <f>_xlfn.DAYS(Table1[[#This Row],[actual_delivery_date]],Table1[[#This Row],[dispatch_date]])</f>
        <v>4</v>
      </c>
      <c r="N3674">
        <v>28</v>
      </c>
      <c r="O3674">
        <f>Table1[[#This Row],[transit_storage_cost]] * (1-'What -if Analysis'!$D$26)</f>
        <v>28</v>
      </c>
      <c r="P3674">
        <v>124</v>
      </c>
      <c r="Q3674">
        <v>965.40976021914412</v>
      </c>
    </row>
    <row r="3675" spans="1:17" x14ac:dyDescent="0.3">
      <c r="A3675">
        <v>788790</v>
      </c>
      <c r="B3675" s="1" t="s">
        <v>37</v>
      </c>
      <c r="C3675" s="1" t="s">
        <v>16</v>
      </c>
      <c r="D3675" s="1" t="s">
        <v>32</v>
      </c>
      <c r="E3675" s="1" t="s">
        <v>33</v>
      </c>
      <c r="F3675" s="1" t="s">
        <v>19</v>
      </c>
      <c r="G3675" s="1" t="s">
        <v>20</v>
      </c>
      <c r="H3675" t="s">
        <v>21</v>
      </c>
      <c r="I3675" s="1" t="s">
        <v>26</v>
      </c>
      <c r="J3675" s="2">
        <v>43537.80164351852</v>
      </c>
      <c r="K3675" s="2">
        <v>43541.80164351852</v>
      </c>
      <c r="L3675" s="2">
        <v>43543.80164351852</v>
      </c>
      <c r="M3675" s="1">
        <f>_xlfn.DAYS(Table1[[#This Row],[actual_delivery_date]],Table1[[#This Row],[dispatch_date]])</f>
        <v>4</v>
      </c>
      <c r="N3675">
        <v>79</v>
      </c>
      <c r="O3675">
        <f>Table1[[#This Row],[transit_storage_cost]] * (1-'What -if Analysis'!$D$26)</f>
        <v>79</v>
      </c>
      <c r="P3675">
        <v>92</v>
      </c>
      <c r="Q3675">
        <v>1160.0039530296433</v>
      </c>
    </row>
    <row r="3676" spans="1:17" x14ac:dyDescent="0.3">
      <c r="A3676">
        <v>768742</v>
      </c>
      <c r="B3676" s="1" t="s">
        <v>15</v>
      </c>
      <c r="C3676" s="1" t="s">
        <v>23</v>
      </c>
      <c r="D3676" s="1" t="s">
        <v>17</v>
      </c>
      <c r="E3676" s="1" t="s">
        <v>18</v>
      </c>
      <c r="F3676" s="1" t="s">
        <v>31</v>
      </c>
      <c r="G3676" s="1" t="s">
        <v>20</v>
      </c>
      <c r="H3676" t="s">
        <v>21</v>
      </c>
      <c r="I3676" s="1" t="s">
        <v>22</v>
      </c>
      <c r="J3676" s="2">
        <v>43533.801678240743</v>
      </c>
      <c r="K3676" s="2">
        <v>43541.801678240743</v>
      </c>
      <c r="L3676" s="2">
        <v>43537.801678240743</v>
      </c>
      <c r="M3676" s="1">
        <f>_xlfn.DAYS(Table1[[#This Row],[actual_delivery_date]],Table1[[#This Row],[dispatch_date]])</f>
        <v>8</v>
      </c>
      <c r="N3676">
        <v>25</v>
      </c>
      <c r="O3676">
        <f>Table1[[#This Row],[transit_storage_cost]] * (1-'What -if Analysis'!$D$26)</f>
        <v>25</v>
      </c>
      <c r="P3676">
        <v>106</v>
      </c>
      <c r="Q3676">
        <v>3302.7540685774611</v>
      </c>
    </row>
    <row r="3677" spans="1:17" x14ac:dyDescent="0.3">
      <c r="A3677">
        <v>35111</v>
      </c>
      <c r="B3677" s="1" t="s">
        <v>37</v>
      </c>
      <c r="C3677" s="1" t="s">
        <v>16</v>
      </c>
      <c r="D3677" s="1" t="s">
        <v>32</v>
      </c>
      <c r="E3677" s="1" t="s">
        <v>33</v>
      </c>
      <c r="F3677" s="1" t="s">
        <v>29</v>
      </c>
      <c r="G3677" s="1" t="s">
        <v>20</v>
      </c>
      <c r="H3677" t="s">
        <v>30</v>
      </c>
      <c r="I3677" s="1" t="s">
        <v>22</v>
      </c>
      <c r="J3677" s="2">
        <v>43535.804398148146</v>
      </c>
      <c r="K3677" s="2">
        <v>43541.804398148146</v>
      </c>
      <c r="L3677" s="2">
        <v>43538.804398148146</v>
      </c>
      <c r="M3677" s="1">
        <f>_xlfn.DAYS(Table1[[#This Row],[actual_delivery_date]],Table1[[#This Row],[dispatch_date]])</f>
        <v>6</v>
      </c>
      <c r="N3677">
        <v>32</v>
      </c>
      <c r="O3677">
        <f>Table1[[#This Row],[transit_storage_cost]] * (1-'What -if Analysis'!$D$26)</f>
        <v>32</v>
      </c>
      <c r="P3677">
        <v>108</v>
      </c>
      <c r="Q3677">
        <v>687.68965894255575</v>
      </c>
    </row>
    <row r="3678" spans="1:17" x14ac:dyDescent="0.3">
      <c r="A3678">
        <v>579703</v>
      </c>
      <c r="B3678" s="1" t="s">
        <v>41</v>
      </c>
      <c r="C3678" s="1" t="s">
        <v>16</v>
      </c>
      <c r="D3678" s="1" t="s">
        <v>23</v>
      </c>
      <c r="E3678" s="1" t="s">
        <v>28</v>
      </c>
      <c r="F3678" s="1" t="s">
        <v>29</v>
      </c>
      <c r="G3678" s="1" t="s">
        <v>20</v>
      </c>
      <c r="H3678" t="s">
        <v>30</v>
      </c>
      <c r="I3678" s="1" t="s">
        <v>22</v>
      </c>
      <c r="J3678" s="2">
        <v>43531.80846064815</v>
      </c>
      <c r="K3678" s="2">
        <v>43541.80846064815</v>
      </c>
      <c r="L3678" s="2">
        <v>43538.80846064815</v>
      </c>
      <c r="M3678" s="1">
        <f>_xlfn.DAYS(Table1[[#This Row],[actual_delivery_date]],Table1[[#This Row],[dispatch_date]])</f>
        <v>10</v>
      </c>
      <c r="N3678">
        <v>45</v>
      </c>
      <c r="O3678">
        <f>Table1[[#This Row],[transit_storage_cost]] * (1-'What -if Analysis'!$D$26)</f>
        <v>45</v>
      </c>
      <c r="P3678">
        <v>125</v>
      </c>
      <c r="Q3678">
        <v>2462.5860573131636</v>
      </c>
    </row>
    <row r="3679" spans="1:17" x14ac:dyDescent="0.3">
      <c r="A3679">
        <v>71397</v>
      </c>
      <c r="B3679" s="1" t="s">
        <v>38</v>
      </c>
      <c r="C3679" s="1" t="s">
        <v>16</v>
      </c>
      <c r="D3679" s="1" t="s">
        <v>17</v>
      </c>
      <c r="E3679" s="1" t="s">
        <v>18</v>
      </c>
      <c r="F3679" s="1" t="s">
        <v>29</v>
      </c>
      <c r="G3679" s="1" t="s">
        <v>20</v>
      </c>
      <c r="H3679" t="s">
        <v>30</v>
      </c>
      <c r="I3679" s="1" t="s">
        <v>26</v>
      </c>
      <c r="J3679" s="2">
        <v>43533.815671296295</v>
      </c>
      <c r="K3679" s="2">
        <v>43541.815671296295</v>
      </c>
      <c r="L3679" s="2">
        <v>43537.815671296295</v>
      </c>
      <c r="M3679" s="1">
        <f>_xlfn.DAYS(Table1[[#This Row],[actual_delivery_date]],Table1[[#This Row],[dispatch_date]])</f>
        <v>8</v>
      </c>
      <c r="N3679">
        <v>42</v>
      </c>
      <c r="O3679">
        <f>Table1[[#This Row],[transit_storage_cost]] * (1-'What -if Analysis'!$D$26)</f>
        <v>42</v>
      </c>
      <c r="P3679">
        <v>109</v>
      </c>
      <c r="Q3679">
        <v>506.55952377968742</v>
      </c>
    </row>
    <row r="3680" spans="1:17" x14ac:dyDescent="0.3">
      <c r="A3680">
        <v>535992</v>
      </c>
      <c r="B3680" s="1" t="s">
        <v>40</v>
      </c>
      <c r="C3680" s="1" t="s">
        <v>23</v>
      </c>
      <c r="D3680" s="1" t="s">
        <v>17</v>
      </c>
      <c r="E3680" s="1" t="s">
        <v>18</v>
      </c>
      <c r="F3680" s="1" t="s">
        <v>19</v>
      </c>
      <c r="G3680" s="1" t="s">
        <v>20</v>
      </c>
      <c r="H3680" t="s">
        <v>21</v>
      </c>
      <c r="I3680" s="1" t="s">
        <v>26</v>
      </c>
      <c r="J3680" s="2">
        <v>43537.828692129631</v>
      </c>
      <c r="K3680" s="2">
        <v>43541.828692129631</v>
      </c>
      <c r="L3680" s="2">
        <v>43542.828692129631</v>
      </c>
      <c r="M3680" s="1">
        <f>_xlfn.DAYS(Table1[[#This Row],[actual_delivery_date]],Table1[[#This Row],[dispatch_date]])</f>
        <v>4</v>
      </c>
      <c r="N3680">
        <v>81</v>
      </c>
      <c r="O3680">
        <f>Table1[[#This Row],[transit_storage_cost]] * (1-'What -if Analysis'!$D$26)</f>
        <v>81</v>
      </c>
      <c r="P3680">
        <v>90</v>
      </c>
      <c r="Q3680">
        <v>2328.0522778647619</v>
      </c>
    </row>
    <row r="3681" spans="1:17" x14ac:dyDescent="0.3">
      <c r="A3681">
        <v>464231</v>
      </c>
      <c r="B3681" s="1" t="s">
        <v>15</v>
      </c>
      <c r="C3681" s="1" t="s">
        <v>16</v>
      </c>
      <c r="D3681" s="1" t="s">
        <v>23</v>
      </c>
      <c r="E3681" s="1" t="s">
        <v>28</v>
      </c>
      <c r="F3681" s="1" t="s">
        <v>29</v>
      </c>
      <c r="G3681" s="1" t="s">
        <v>20</v>
      </c>
      <c r="H3681" t="s">
        <v>30</v>
      </c>
      <c r="I3681" s="1" t="s">
        <v>22</v>
      </c>
      <c r="J3681" s="2">
        <v>43533.828796296293</v>
      </c>
      <c r="K3681" s="2">
        <v>43541.828796296293</v>
      </c>
      <c r="L3681" s="2">
        <v>43539.828796296293</v>
      </c>
      <c r="M3681" s="1">
        <f>_xlfn.DAYS(Table1[[#This Row],[actual_delivery_date]],Table1[[#This Row],[dispatch_date]])</f>
        <v>8</v>
      </c>
      <c r="N3681">
        <v>29</v>
      </c>
      <c r="O3681">
        <f>Table1[[#This Row],[transit_storage_cost]] * (1-'What -if Analysis'!$D$26)</f>
        <v>29</v>
      </c>
      <c r="P3681">
        <v>122</v>
      </c>
      <c r="Q3681">
        <v>3570</v>
      </c>
    </row>
    <row r="3682" spans="1:17" x14ac:dyDescent="0.3">
      <c r="A3682">
        <v>886094</v>
      </c>
      <c r="B3682" s="1" t="s">
        <v>41</v>
      </c>
      <c r="C3682" s="1" t="s">
        <v>23</v>
      </c>
      <c r="D3682" s="1" t="s">
        <v>17</v>
      </c>
      <c r="E3682" s="1" t="s">
        <v>18</v>
      </c>
      <c r="F3682" s="1" t="s">
        <v>19</v>
      </c>
      <c r="G3682" s="1" t="s">
        <v>20</v>
      </c>
      <c r="H3682" t="s">
        <v>21</v>
      </c>
      <c r="I3682" s="1" t="s">
        <v>22</v>
      </c>
      <c r="J3682" s="2">
        <v>43535.829409722224</v>
      </c>
      <c r="K3682" s="2">
        <v>43541.829409722224</v>
      </c>
      <c r="L3682" s="2">
        <v>43540.829409722224</v>
      </c>
      <c r="M3682" s="1">
        <f>_xlfn.DAYS(Table1[[#This Row],[actual_delivery_date]],Table1[[#This Row],[dispatch_date]])</f>
        <v>6</v>
      </c>
      <c r="N3682">
        <v>67</v>
      </c>
      <c r="O3682">
        <f>Table1[[#This Row],[transit_storage_cost]] * (1-'What -if Analysis'!$D$26)</f>
        <v>67</v>
      </c>
      <c r="P3682">
        <v>94</v>
      </c>
      <c r="Q3682">
        <v>1287.2094935068762</v>
      </c>
    </row>
    <row r="3683" spans="1:17" x14ac:dyDescent="0.3">
      <c r="A3683">
        <v>402094</v>
      </c>
      <c r="B3683" s="1" t="s">
        <v>37</v>
      </c>
      <c r="C3683" s="1" t="s">
        <v>16</v>
      </c>
      <c r="D3683" s="1" t="s">
        <v>23</v>
      </c>
      <c r="E3683" s="1" t="s">
        <v>28</v>
      </c>
      <c r="F3683" s="1" t="s">
        <v>31</v>
      </c>
      <c r="G3683" s="1" t="s">
        <v>20</v>
      </c>
      <c r="H3683" t="s">
        <v>21</v>
      </c>
      <c r="I3683" s="1" t="s">
        <v>22</v>
      </c>
      <c r="J3683" s="2">
        <v>43533.830763888887</v>
      </c>
      <c r="K3683" s="2">
        <v>43541.830763888887</v>
      </c>
      <c r="L3683" s="2">
        <v>43540.830763888887</v>
      </c>
      <c r="M3683" s="1">
        <f>_xlfn.DAYS(Table1[[#This Row],[actual_delivery_date]],Table1[[#This Row],[dispatch_date]])</f>
        <v>8</v>
      </c>
      <c r="N3683">
        <v>35</v>
      </c>
      <c r="O3683">
        <f>Table1[[#This Row],[transit_storage_cost]] * (1-'What -if Analysis'!$D$26)</f>
        <v>35</v>
      </c>
      <c r="P3683">
        <v>130</v>
      </c>
      <c r="Q3683">
        <v>2442</v>
      </c>
    </row>
    <row r="3684" spans="1:17" x14ac:dyDescent="0.3">
      <c r="A3684">
        <v>632644</v>
      </c>
      <c r="B3684" s="1" t="s">
        <v>38</v>
      </c>
      <c r="C3684" s="1" t="s">
        <v>16</v>
      </c>
      <c r="D3684" s="1" t="s">
        <v>23</v>
      </c>
      <c r="E3684" s="1" t="s">
        <v>28</v>
      </c>
      <c r="F3684" s="1" t="s">
        <v>19</v>
      </c>
      <c r="G3684" s="1" t="s">
        <v>20</v>
      </c>
      <c r="H3684" t="s">
        <v>21</v>
      </c>
      <c r="I3684" s="1" t="s">
        <v>22</v>
      </c>
      <c r="J3684" s="2">
        <v>43535.838506944441</v>
      </c>
      <c r="K3684" s="2">
        <v>43541.838506944441</v>
      </c>
      <c r="L3684" s="2">
        <v>43538.838506944441</v>
      </c>
      <c r="M3684" s="1">
        <f>_xlfn.DAYS(Table1[[#This Row],[actual_delivery_date]],Table1[[#This Row],[dispatch_date]])</f>
        <v>6</v>
      </c>
      <c r="N3684">
        <v>39</v>
      </c>
      <c r="O3684">
        <f>Table1[[#This Row],[transit_storage_cost]] * (1-'What -if Analysis'!$D$26)</f>
        <v>39</v>
      </c>
      <c r="P3684">
        <v>125</v>
      </c>
      <c r="Q3684">
        <v>2477</v>
      </c>
    </row>
    <row r="3685" spans="1:17" x14ac:dyDescent="0.3">
      <c r="A3685">
        <v>984951</v>
      </c>
      <c r="B3685" s="1" t="s">
        <v>38</v>
      </c>
      <c r="C3685" s="1" t="s">
        <v>16</v>
      </c>
      <c r="D3685" s="1" t="s">
        <v>23</v>
      </c>
      <c r="E3685" s="1" t="s">
        <v>28</v>
      </c>
      <c r="F3685" s="1" t="s">
        <v>29</v>
      </c>
      <c r="G3685" s="1" t="s">
        <v>20</v>
      </c>
      <c r="H3685" t="s">
        <v>30</v>
      </c>
      <c r="I3685" s="1" t="s">
        <v>26</v>
      </c>
      <c r="J3685" s="2">
        <v>43533.842488425929</v>
      </c>
      <c r="K3685" s="2">
        <v>43541.842488425929</v>
      </c>
      <c r="L3685" s="2">
        <v>43538.842488425929</v>
      </c>
      <c r="M3685" s="1">
        <f>_xlfn.DAYS(Table1[[#This Row],[actual_delivery_date]],Table1[[#This Row],[dispatch_date]])</f>
        <v>8</v>
      </c>
      <c r="N3685">
        <v>50</v>
      </c>
      <c r="O3685">
        <f>Table1[[#This Row],[transit_storage_cost]] * (1-'What -if Analysis'!$D$26)</f>
        <v>50</v>
      </c>
      <c r="P3685">
        <v>120</v>
      </c>
      <c r="Q3685">
        <v>3148.6733968514363</v>
      </c>
    </row>
    <row r="3686" spans="1:17" x14ac:dyDescent="0.3">
      <c r="A3686">
        <v>652408</v>
      </c>
      <c r="B3686" s="1" t="s">
        <v>40</v>
      </c>
      <c r="C3686" s="1" t="s">
        <v>16</v>
      </c>
      <c r="D3686" s="1" t="s">
        <v>23</v>
      </c>
      <c r="E3686" s="1" t="s">
        <v>28</v>
      </c>
      <c r="F3686" s="1" t="s">
        <v>19</v>
      </c>
      <c r="G3686" s="1" t="s">
        <v>20</v>
      </c>
      <c r="H3686" t="s">
        <v>21</v>
      </c>
      <c r="I3686" s="1" t="s">
        <v>22</v>
      </c>
      <c r="J3686" s="2">
        <v>43537.843495370369</v>
      </c>
      <c r="K3686" s="2">
        <v>43541.843495370369</v>
      </c>
      <c r="L3686" s="2">
        <v>43544.843495370369</v>
      </c>
      <c r="M3686" s="1">
        <f>_xlfn.DAYS(Table1[[#This Row],[actual_delivery_date]],Table1[[#This Row],[dispatch_date]])</f>
        <v>4</v>
      </c>
      <c r="N3686">
        <v>38</v>
      </c>
      <c r="O3686">
        <f>Table1[[#This Row],[transit_storage_cost]] * (1-'What -if Analysis'!$D$26)</f>
        <v>38</v>
      </c>
      <c r="P3686">
        <v>125</v>
      </c>
      <c r="Q3686">
        <v>2186.6105082521071</v>
      </c>
    </row>
    <row r="3687" spans="1:17" x14ac:dyDescent="0.3">
      <c r="A3687">
        <v>748474</v>
      </c>
      <c r="B3687" s="1" t="s">
        <v>39</v>
      </c>
      <c r="C3687" s="1" t="s">
        <v>23</v>
      </c>
      <c r="D3687" s="1" t="s">
        <v>23</v>
      </c>
      <c r="E3687" s="1" t="s">
        <v>28</v>
      </c>
      <c r="F3687" s="1" t="s">
        <v>31</v>
      </c>
      <c r="G3687" s="1" t="s">
        <v>20</v>
      </c>
      <c r="H3687" t="s">
        <v>21</v>
      </c>
      <c r="I3687" s="1" t="s">
        <v>22</v>
      </c>
      <c r="J3687" s="2">
        <v>43535.861400462964</v>
      </c>
      <c r="K3687" s="2">
        <v>43541.861400462964</v>
      </c>
      <c r="L3687" s="2">
        <v>43538.861400462964</v>
      </c>
      <c r="M3687" s="1">
        <f>_xlfn.DAYS(Table1[[#This Row],[actual_delivery_date]],Table1[[#This Row],[dispatch_date]])</f>
        <v>6</v>
      </c>
      <c r="N3687">
        <v>0</v>
      </c>
      <c r="O3687">
        <f>Table1[[#This Row],[transit_storage_cost]] * (1-'What -if Analysis'!$D$26)</f>
        <v>0</v>
      </c>
      <c r="P3687">
        <v>120</v>
      </c>
      <c r="Q3687">
        <v>3104.3918582465521</v>
      </c>
    </row>
    <row r="3688" spans="1:17" x14ac:dyDescent="0.3">
      <c r="A3688">
        <v>196921</v>
      </c>
      <c r="B3688" s="1" t="s">
        <v>40</v>
      </c>
      <c r="C3688" s="1" t="s">
        <v>16</v>
      </c>
      <c r="D3688" s="1" t="s">
        <v>24</v>
      </c>
      <c r="E3688" s="1" t="s">
        <v>25</v>
      </c>
      <c r="F3688" s="1" t="s">
        <v>19</v>
      </c>
      <c r="G3688" s="1" t="s">
        <v>20</v>
      </c>
      <c r="H3688" t="s">
        <v>30</v>
      </c>
      <c r="I3688" s="1" t="s">
        <v>22</v>
      </c>
      <c r="J3688" s="2">
        <v>43531.867650462962</v>
      </c>
      <c r="K3688" s="2">
        <v>43541.867650462962</v>
      </c>
      <c r="L3688" s="2">
        <v>43537.867650462962</v>
      </c>
      <c r="M3688" s="1">
        <f>_xlfn.DAYS(Table1[[#This Row],[actual_delivery_date]],Table1[[#This Row],[dispatch_date]])</f>
        <v>10</v>
      </c>
      <c r="N3688">
        <v>73</v>
      </c>
      <c r="O3688">
        <f>Table1[[#This Row],[transit_storage_cost]] * (1-'What -if Analysis'!$D$26)</f>
        <v>73</v>
      </c>
      <c r="P3688">
        <v>104</v>
      </c>
      <c r="Q3688">
        <v>2777.0848538156019</v>
      </c>
    </row>
    <row r="3689" spans="1:17" x14ac:dyDescent="0.3">
      <c r="A3689">
        <v>458558</v>
      </c>
      <c r="B3689" s="1" t="s">
        <v>15</v>
      </c>
      <c r="C3689" s="1" t="s">
        <v>16</v>
      </c>
      <c r="D3689" s="1" t="s">
        <v>17</v>
      </c>
      <c r="E3689" s="1" t="s">
        <v>18</v>
      </c>
      <c r="F3689" s="1" t="s">
        <v>31</v>
      </c>
      <c r="G3689" s="1" t="s">
        <v>20</v>
      </c>
      <c r="H3689" t="s">
        <v>21</v>
      </c>
      <c r="I3689" s="1" t="s">
        <v>22</v>
      </c>
      <c r="J3689" s="2">
        <v>43538.872175925928</v>
      </c>
      <c r="K3689" s="2">
        <v>43541.872175925928</v>
      </c>
      <c r="L3689" s="2">
        <v>43545.872175925928</v>
      </c>
      <c r="M3689" s="1">
        <f>_xlfn.DAYS(Table1[[#This Row],[actual_delivery_date]],Table1[[#This Row],[dispatch_date]])</f>
        <v>3</v>
      </c>
      <c r="N3689">
        <v>31</v>
      </c>
      <c r="O3689">
        <f>Table1[[#This Row],[transit_storage_cost]] * (1-'What -if Analysis'!$D$26)</f>
        <v>31</v>
      </c>
      <c r="P3689">
        <v>109</v>
      </c>
      <c r="Q3689">
        <v>3459</v>
      </c>
    </row>
    <row r="3690" spans="1:17" x14ac:dyDescent="0.3">
      <c r="A3690">
        <v>213097</v>
      </c>
      <c r="B3690" s="1" t="s">
        <v>38</v>
      </c>
      <c r="C3690" s="1" t="s">
        <v>23</v>
      </c>
      <c r="D3690" s="1" t="s">
        <v>17</v>
      </c>
      <c r="E3690" s="1" t="s">
        <v>18</v>
      </c>
      <c r="F3690" s="1" t="s">
        <v>29</v>
      </c>
      <c r="G3690" s="1" t="s">
        <v>20</v>
      </c>
      <c r="H3690" t="s">
        <v>30</v>
      </c>
      <c r="I3690" s="1" t="s">
        <v>22</v>
      </c>
      <c r="J3690" s="2">
        <v>43537.872881944444</v>
      </c>
      <c r="K3690" s="2">
        <v>43541.872881944444</v>
      </c>
      <c r="L3690" s="2">
        <v>43544.872881944444</v>
      </c>
      <c r="M3690" s="1">
        <f>_xlfn.DAYS(Table1[[#This Row],[actual_delivery_date]],Table1[[#This Row],[dispatch_date]])</f>
        <v>4</v>
      </c>
      <c r="N3690">
        <v>27</v>
      </c>
      <c r="O3690">
        <f>Table1[[#This Row],[transit_storage_cost]] * (1-'What -if Analysis'!$D$26)</f>
        <v>27</v>
      </c>
      <c r="P3690">
        <v>113</v>
      </c>
      <c r="Q3690">
        <v>1782.9071541729741</v>
      </c>
    </row>
    <row r="3691" spans="1:17" x14ac:dyDescent="0.3">
      <c r="A3691">
        <v>101532</v>
      </c>
      <c r="B3691" s="1" t="s">
        <v>38</v>
      </c>
      <c r="C3691" s="1" t="s">
        <v>23</v>
      </c>
      <c r="D3691" s="1" t="s">
        <v>17</v>
      </c>
      <c r="E3691" s="1" t="s">
        <v>18</v>
      </c>
      <c r="F3691" s="1" t="s">
        <v>19</v>
      </c>
      <c r="G3691" s="1" t="s">
        <v>20</v>
      </c>
      <c r="H3691" t="s">
        <v>21</v>
      </c>
      <c r="I3691" s="1" t="s">
        <v>26</v>
      </c>
      <c r="J3691" s="2">
        <v>43537.875092592592</v>
      </c>
      <c r="K3691" s="2">
        <v>43541.875092592592</v>
      </c>
      <c r="L3691" s="2">
        <v>43543.875092592592</v>
      </c>
      <c r="M3691" s="1">
        <f>_xlfn.DAYS(Table1[[#This Row],[actual_delivery_date]],Table1[[#This Row],[dispatch_date]])</f>
        <v>4</v>
      </c>
      <c r="N3691">
        <v>46</v>
      </c>
      <c r="O3691">
        <f>Table1[[#This Row],[transit_storage_cost]] * (1-'What -if Analysis'!$D$26)</f>
        <v>46</v>
      </c>
      <c r="P3691">
        <v>111</v>
      </c>
      <c r="Q3691">
        <v>1842</v>
      </c>
    </row>
    <row r="3692" spans="1:17" x14ac:dyDescent="0.3">
      <c r="A3692">
        <v>444029</v>
      </c>
      <c r="B3692" s="1" t="s">
        <v>41</v>
      </c>
      <c r="C3692" s="1" t="s">
        <v>23</v>
      </c>
      <c r="D3692" s="1" t="s">
        <v>16</v>
      </c>
      <c r="E3692" s="1" t="s">
        <v>27</v>
      </c>
      <c r="F3692" s="1" t="s">
        <v>29</v>
      </c>
      <c r="G3692" s="1" t="s">
        <v>20</v>
      </c>
      <c r="H3692" t="s">
        <v>30</v>
      </c>
      <c r="I3692" s="1" t="s">
        <v>22</v>
      </c>
      <c r="J3692" s="2">
        <v>43536.877766203703</v>
      </c>
      <c r="K3692" s="2">
        <v>43541.877766203703</v>
      </c>
      <c r="L3692" s="2">
        <v>43542.877766203703</v>
      </c>
      <c r="M3692" s="1">
        <f>_xlfn.DAYS(Table1[[#This Row],[actual_delivery_date]],Table1[[#This Row],[dispatch_date]])</f>
        <v>5</v>
      </c>
      <c r="N3692">
        <v>40</v>
      </c>
      <c r="O3692">
        <f>Table1[[#This Row],[transit_storage_cost]] * (1-'What -if Analysis'!$D$26)</f>
        <v>40</v>
      </c>
      <c r="P3692">
        <v>121</v>
      </c>
      <c r="Q3692">
        <v>1377.9487318774768</v>
      </c>
    </row>
    <row r="3693" spans="1:17" x14ac:dyDescent="0.3">
      <c r="A3693">
        <v>810528</v>
      </c>
      <c r="B3693" s="1" t="s">
        <v>40</v>
      </c>
      <c r="C3693" s="1" t="s">
        <v>23</v>
      </c>
      <c r="D3693" s="1" t="s">
        <v>17</v>
      </c>
      <c r="E3693" s="1" t="s">
        <v>18</v>
      </c>
      <c r="F3693" s="1" t="s">
        <v>19</v>
      </c>
      <c r="G3693" s="1" t="s">
        <v>20</v>
      </c>
      <c r="H3693" t="s">
        <v>21</v>
      </c>
      <c r="I3693" s="1" t="s">
        <v>26</v>
      </c>
      <c r="J3693" s="2">
        <v>43538.886342592596</v>
      </c>
      <c r="K3693" s="2">
        <v>43541.886342592596</v>
      </c>
      <c r="L3693" s="2">
        <v>43545.886342592596</v>
      </c>
      <c r="M3693" s="1">
        <f>_xlfn.DAYS(Table1[[#This Row],[actual_delivery_date]],Table1[[#This Row],[dispatch_date]])</f>
        <v>3</v>
      </c>
      <c r="N3693">
        <v>86</v>
      </c>
      <c r="O3693">
        <f>Table1[[#This Row],[transit_storage_cost]] * (1-'What -if Analysis'!$D$26)</f>
        <v>86</v>
      </c>
      <c r="P3693">
        <v>90</v>
      </c>
      <c r="Q3693">
        <v>639.55782291223841</v>
      </c>
    </row>
    <row r="3694" spans="1:17" x14ac:dyDescent="0.3">
      <c r="A3694">
        <v>392933</v>
      </c>
      <c r="B3694" s="1" t="s">
        <v>39</v>
      </c>
      <c r="C3694" s="1" t="s">
        <v>23</v>
      </c>
      <c r="D3694" s="1" t="s">
        <v>17</v>
      </c>
      <c r="E3694" s="1" t="s">
        <v>18</v>
      </c>
      <c r="F3694" s="1" t="s">
        <v>29</v>
      </c>
      <c r="G3694" s="1" t="s">
        <v>20</v>
      </c>
      <c r="H3694" t="s">
        <v>30</v>
      </c>
      <c r="I3694" s="1" t="s">
        <v>22</v>
      </c>
      <c r="J3694" s="2">
        <v>43533.894849537035</v>
      </c>
      <c r="K3694" s="2">
        <v>43541.894849537035</v>
      </c>
      <c r="L3694" s="2">
        <v>43540.894849537035</v>
      </c>
      <c r="M3694" s="1">
        <f>_xlfn.DAYS(Table1[[#This Row],[actual_delivery_date]],Table1[[#This Row],[dispatch_date]])</f>
        <v>8</v>
      </c>
      <c r="N3694">
        <v>49</v>
      </c>
      <c r="O3694">
        <f>Table1[[#This Row],[transit_storage_cost]] * (1-'What -if Analysis'!$D$26)</f>
        <v>49</v>
      </c>
      <c r="P3694">
        <v>115</v>
      </c>
      <c r="Q3694">
        <v>466</v>
      </c>
    </row>
    <row r="3695" spans="1:17" x14ac:dyDescent="0.3">
      <c r="A3695">
        <v>476171</v>
      </c>
      <c r="B3695" s="1" t="s">
        <v>37</v>
      </c>
      <c r="C3695" s="1" t="s">
        <v>23</v>
      </c>
      <c r="D3695" s="1" t="s">
        <v>24</v>
      </c>
      <c r="E3695" s="1" t="s">
        <v>25</v>
      </c>
      <c r="F3695" s="1" t="s">
        <v>19</v>
      </c>
      <c r="G3695" s="1" t="s">
        <v>20</v>
      </c>
      <c r="H3695" t="s">
        <v>30</v>
      </c>
      <c r="I3695" s="1" t="s">
        <v>22</v>
      </c>
      <c r="J3695" s="2">
        <v>43534.901342592595</v>
      </c>
      <c r="K3695" s="2">
        <v>43541.901342592595</v>
      </c>
      <c r="L3695" s="2">
        <v>43539.901342592595</v>
      </c>
      <c r="M3695" s="1">
        <f>_xlfn.DAYS(Table1[[#This Row],[actual_delivery_date]],Table1[[#This Row],[dispatch_date]])</f>
        <v>7</v>
      </c>
      <c r="N3695">
        <v>79</v>
      </c>
      <c r="O3695">
        <f>Table1[[#This Row],[transit_storage_cost]] * (1-'What -if Analysis'!$D$26)</f>
        <v>79</v>
      </c>
      <c r="P3695">
        <v>101</v>
      </c>
      <c r="Q3695">
        <v>2888</v>
      </c>
    </row>
    <row r="3696" spans="1:17" x14ac:dyDescent="0.3">
      <c r="A3696">
        <v>470237</v>
      </c>
      <c r="B3696" s="1" t="s">
        <v>38</v>
      </c>
      <c r="C3696" s="1" t="s">
        <v>16</v>
      </c>
      <c r="D3696" s="1" t="s">
        <v>17</v>
      </c>
      <c r="E3696" s="1" t="s">
        <v>18</v>
      </c>
      <c r="F3696" s="1" t="s">
        <v>19</v>
      </c>
      <c r="G3696" s="1" t="s">
        <v>20</v>
      </c>
      <c r="H3696" t="s">
        <v>30</v>
      </c>
      <c r="I3696" s="1" t="s">
        <v>22</v>
      </c>
      <c r="J3696" s="2">
        <v>43537.904479166667</v>
      </c>
      <c r="K3696" s="2">
        <v>43541.904479166667</v>
      </c>
      <c r="L3696" s="2">
        <v>43541.904479166667</v>
      </c>
      <c r="M3696" s="1">
        <f>_xlfn.DAYS(Table1[[#This Row],[actual_delivery_date]],Table1[[#This Row],[dispatch_date]])</f>
        <v>4</v>
      </c>
      <c r="N3696">
        <v>67</v>
      </c>
      <c r="O3696">
        <f>Table1[[#This Row],[transit_storage_cost]] * (1-'What -if Analysis'!$D$26)</f>
        <v>67</v>
      </c>
      <c r="P3696">
        <v>88</v>
      </c>
      <c r="Q3696">
        <v>1078</v>
      </c>
    </row>
    <row r="3697" spans="1:17" x14ac:dyDescent="0.3">
      <c r="A3697">
        <v>354472</v>
      </c>
      <c r="B3697" s="1" t="s">
        <v>15</v>
      </c>
      <c r="C3697" s="1" t="s">
        <v>23</v>
      </c>
      <c r="D3697" s="1" t="s">
        <v>24</v>
      </c>
      <c r="E3697" s="1" t="s">
        <v>25</v>
      </c>
      <c r="F3697" s="1" t="s">
        <v>19</v>
      </c>
      <c r="G3697" s="1" t="s">
        <v>20</v>
      </c>
      <c r="H3697" t="s">
        <v>21</v>
      </c>
      <c r="I3697" s="1" t="s">
        <v>22</v>
      </c>
      <c r="J3697" s="2">
        <v>43535.904618055552</v>
      </c>
      <c r="K3697" s="2">
        <v>43541.904618055552</v>
      </c>
      <c r="L3697" s="2">
        <v>43539.904618055552</v>
      </c>
      <c r="M3697" s="1">
        <f>_xlfn.DAYS(Table1[[#This Row],[actual_delivery_date]],Table1[[#This Row],[dispatch_date]])</f>
        <v>6</v>
      </c>
      <c r="N3697">
        <v>85</v>
      </c>
      <c r="O3697">
        <f>Table1[[#This Row],[transit_storage_cost]] * (1-'What -if Analysis'!$D$26)</f>
        <v>85</v>
      </c>
      <c r="P3697">
        <v>105</v>
      </c>
      <c r="Q3697">
        <v>3366</v>
      </c>
    </row>
    <row r="3698" spans="1:17" x14ac:dyDescent="0.3">
      <c r="A3698">
        <v>888514</v>
      </c>
      <c r="B3698" s="1" t="s">
        <v>39</v>
      </c>
      <c r="C3698" s="1" t="s">
        <v>16</v>
      </c>
      <c r="D3698" s="1" t="s">
        <v>16</v>
      </c>
      <c r="E3698" s="1" t="s">
        <v>27</v>
      </c>
      <c r="F3698" s="1" t="s">
        <v>31</v>
      </c>
      <c r="G3698" s="1" t="s">
        <v>20</v>
      </c>
      <c r="H3698" t="s">
        <v>21</v>
      </c>
      <c r="I3698" s="1" t="s">
        <v>22</v>
      </c>
      <c r="J3698" s="2">
        <v>43535.909641203703</v>
      </c>
      <c r="K3698" s="2">
        <v>43541.909641203703</v>
      </c>
      <c r="L3698" s="2">
        <v>43539.909641203703</v>
      </c>
      <c r="M3698" s="1">
        <f>_xlfn.DAYS(Table1[[#This Row],[actual_delivery_date]],Table1[[#This Row],[dispatch_date]])</f>
        <v>6</v>
      </c>
      <c r="N3698">
        <v>0</v>
      </c>
      <c r="O3698">
        <f>Table1[[#This Row],[transit_storage_cost]] * (1-'What -if Analysis'!$D$26)</f>
        <v>0</v>
      </c>
      <c r="P3698">
        <v>128</v>
      </c>
      <c r="Q3698">
        <v>429.02603027477721</v>
      </c>
    </row>
    <row r="3699" spans="1:17" x14ac:dyDescent="0.3">
      <c r="A3699">
        <v>444472</v>
      </c>
      <c r="B3699" s="1" t="s">
        <v>15</v>
      </c>
      <c r="C3699" s="1" t="s">
        <v>16</v>
      </c>
      <c r="D3699" s="1" t="s">
        <v>24</v>
      </c>
      <c r="E3699" s="1" t="s">
        <v>25</v>
      </c>
      <c r="F3699" s="1" t="s">
        <v>19</v>
      </c>
      <c r="G3699" s="1" t="s">
        <v>20</v>
      </c>
      <c r="H3699" t="s">
        <v>21</v>
      </c>
      <c r="I3699" s="1" t="s">
        <v>22</v>
      </c>
      <c r="J3699" s="2">
        <v>43533.913298611114</v>
      </c>
      <c r="K3699" s="2">
        <v>43541.913298611114</v>
      </c>
      <c r="L3699" s="2">
        <v>43538.913298611114</v>
      </c>
      <c r="M3699" s="1">
        <f>_xlfn.DAYS(Table1[[#This Row],[actual_delivery_date]],Table1[[#This Row],[dispatch_date]])</f>
        <v>8</v>
      </c>
      <c r="N3699">
        <v>47</v>
      </c>
      <c r="O3699">
        <f>Table1[[#This Row],[transit_storage_cost]] * (1-'What -if Analysis'!$D$26)</f>
        <v>47</v>
      </c>
      <c r="P3699">
        <v>126</v>
      </c>
      <c r="Q3699">
        <v>2390</v>
      </c>
    </row>
    <row r="3700" spans="1:17" x14ac:dyDescent="0.3">
      <c r="A3700">
        <v>306484</v>
      </c>
      <c r="B3700" s="1" t="s">
        <v>38</v>
      </c>
      <c r="C3700" s="1" t="s">
        <v>16</v>
      </c>
      <c r="D3700" s="1" t="s">
        <v>23</v>
      </c>
      <c r="E3700" s="1" t="s">
        <v>28</v>
      </c>
      <c r="F3700" s="1" t="s">
        <v>19</v>
      </c>
      <c r="G3700" s="1" t="s">
        <v>20</v>
      </c>
      <c r="H3700" t="s">
        <v>21</v>
      </c>
      <c r="I3700" s="1" t="s">
        <v>22</v>
      </c>
      <c r="J3700" s="2">
        <v>43538.920231481483</v>
      </c>
      <c r="K3700" s="2">
        <v>43541.920231481483</v>
      </c>
      <c r="L3700" s="2">
        <v>43542.920231481483</v>
      </c>
      <c r="M3700" s="1">
        <f>_xlfn.DAYS(Table1[[#This Row],[actual_delivery_date]],Table1[[#This Row],[dispatch_date]])</f>
        <v>3</v>
      </c>
      <c r="N3700">
        <v>61</v>
      </c>
      <c r="O3700">
        <f>Table1[[#This Row],[transit_storage_cost]] * (1-'What -if Analysis'!$D$26)</f>
        <v>61</v>
      </c>
      <c r="P3700">
        <v>103</v>
      </c>
      <c r="Q3700">
        <v>3181.9386240451058</v>
      </c>
    </row>
    <row r="3701" spans="1:17" x14ac:dyDescent="0.3">
      <c r="A3701">
        <v>88045</v>
      </c>
      <c r="B3701" s="1" t="s">
        <v>15</v>
      </c>
      <c r="C3701" s="1" t="s">
        <v>16</v>
      </c>
      <c r="D3701" s="1" t="s">
        <v>17</v>
      </c>
      <c r="E3701" s="1" t="s">
        <v>18</v>
      </c>
      <c r="F3701" s="1" t="s">
        <v>29</v>
      </c>
      <c r="G3701" s="1" t="s">
        <v>20</v>
      </c>
      <c r="H3701" t="s">
        <v>30</v>
      </c>
      <c r="I3701" s="1" t="s">
        <v>22</v>
      </c>
      <c r="J3701" s="2">
        <v>43538.921469907407</v>
      </c>
      <c r="K3701" s="2">
        <v>43541.921469907407</v>
      </c>
      <c r="L3701" s="2">
        <v>43543.921469907407</v>
      </c>
      <c r="M3701" s="1">
        <f>_xlfn.DAYS(Table1[[#This Row],[actual_delivery_date]],Table1[[#This Row],[dispatch_date]])</f>
        <v>3</v>
      </c>
      <c r="N3701">
        <v>48</v>
      </c>
      <c r="O3701">
        <f>Table1[[#This Row],[transit_storage_cost]] * (1-'What -if Analysis'!$D$26)</f>
        <v>48</v>
      </c>
      <c r="P3701">
        <v>108</v>
      </c>
      <c r="Q3701">
        <v>2013</v>
      </c>
    </row>
    <row r="3702" spans="1:17" x14ac:dyDescent="0.3">
      <c r="A3702">
        <v>562147</v>
      </c>
      <c r="B3702" s="1" t="s">
        <v>38</v>
      </c>
      <c r="C3702" s="1" t="s">
        <v>23</v>
      </c>
      <c r="D3702" s="1" t="s">
        <v>17</v>
      </c>
      <c r="E3702" s="1" t="s">
        <v>18</v>
      </c>
      <c r="F3702" s="1" t="s">
        <v>19</v>
      </c>
      <c r="G3702" s="1" t="s">
        <v>36</v>
      </c>
      <c r="H3702" t="s">
        <v>30</v>
      </c>
      <c r="I3702" s="1" t="s">
        <v>22</v>
      </c>
      <c r="J3702" s="2">
        <v>43536.925127314818</v>
      </c>
      <c r="K3702" s="2">
        <v>43541.925127314818</v>
      </c>
      <c r="L3702" s="2">
        <v>43541.925127314818</v>
      </c>
      <c r="M3702" s="1">
        <f>_xlfn.DAYS(Table1[[#This Row],[actual_delivery_date]],Table1[[#This Row],[dispatch_date]])</f>
        <v>5</v>
      </c>
      <c r="N3702">
        <v>74</v>
      </c>
      <c r="O3702">
        <f>Table1[[#This Row],[transit_storage_cost]] * (1-'What -if Analysis'!$D$26)</f>
        <v>74</v>
      </c>
      <c r="P3702">
        <v>89</v>
      </c>
      <c r="Q3702">
        <v>1821.6628570497512</v>
      </c>
    </row>
    <row r="3703" spans="1:17" x14ac:dyDescent="0.3">
      <c r="A3703">
        <v>604867</v>
      </c>
      <c r="B3703" s="1" t="s">
        <v>37</v>
      </c>
      <c r="C3703" s="1" t="s">
        <v>23</v>
      </c>
      <c r="D3703" s="1" t="s">
        <v>17</v>
      </c>
      <c r="E3703" s="1" t="s">
        <v>18</v>
      </c>
      <c r="F3703" s="1" t="s">
        <v>29</v>
      </c>
      <c r="G3703" s="1" t="s">
        <v>20</v>
      </c>
      <c r="H3703" t="s">
        <v>30</v>
      </c>
      <c r="I3703" s="1" t="s">
        <v>22</v>
      </c>
      <c r="J3703" s="2">
        <v>43535.92690972222</v>
      </c>
      <c r="K3703" s="2">
        <v>43541.92690972222</v>
      </c>
      <c r="L3703" s="2">
        <v>43540.92690972222</v>
      </c>
      <c r="M3703" s="1">
        <f>_xlfn.DAYS(Table1[[#This Row],[actual_delivery_date]],Table1[[#This Row],[dispatch_date]])</f>
        <v>6</v>
      </c>
      <c r="N3703">
        <v>40</v>
      </c>
      <c r="O3703">
        <f>Table1[[#This Row],[transit_storage_cost]] * (1-'What -if Analysis'!$D$26)</f>
        <v>40</v>
      </c>
      <c r="P3703">
        <v>113</v>
      </c>
      <c r="Q3703">
        <v>541.91054022427056</v>
      </c>
    </row>
    <row r="3704" spans="1:17" x14ac:dyDescent="0.3">
      <c r="A3704">
        <v>749257</v>
      </c>
      <c r="B3704" s="1" t="s">
        <v>37</v>
      </c>
      <c r="C3704" s="1" t="s">
        <v>16</v>
      </c>
      <c r="D3704" s="1" t="s">
        <v>32</v>
      </c>
      <c r="E3704" s="1" t="s">
        <v>33</v>
      </c>
      <c r="F3704" s="1" t="s">
        <v>19</v>
      </c>
      <c r="G3704" s="1" t="s">
        <v>20</v>
      </c>
      <c r="H3704" t="s">
        <v>30</v>
      </c>
      <c r="I3704" s="1" t="s">
        <v>22</v>
      </c>
      <c r="J3704" s="2">
        <v>43535.929479166669</v>
      </c>
      <c r="K3704" s="2">
        <v>43541.929479166669</v>
      </c>
      <c r="L3704" s="2">
        <v>43540.929479166669</v>
      </c>
      <c r="M3704" s="1">
        <f>_xlfn.DAYS(Table1[[#This Row],[actual_delivery_date]],Table1[[#This Row],[dispatch_date]])</f>
        <v>6</v>
      </c>
      <c r="N3704">
        <v>60</v>
      </c>
      <c r="O3704">
        <f>Table1[[#This Row],[transit_storage_cost]] * (1-'What -if Analysis'!$D$26)</f>
        <v>60</v>
      </c>
      <c r="P3704">
        <v>95</v>
      </c>
      <c r="Q3704">
        <v>2069.9865423559595</v>
      </c>
    </row>
    <row r="3705" spans="1:17" x14ac:dyDescent="0.3">
      <c r="A3705">
        <v>701298</v>
      </c>
      <c r="B3705" s="1" t="s">
        <v>15</v>
      </c>
      <c r="C3705" s="1" t="s">
        <v>16</v>
      </c>
      <c r="D3705" s="1" t="s">
        <v>16</v>
      </c>
      <c r="E3705" s="1" t="s">
        <v>27</v>
      </c>
      <c r="F3705" s="1" t="s">
        <v>31</v>
      </c>
      <c r="G3705" s="1" t="s">
        <v>20</v>
      </c>
      <c r="H3705" t="s">
        <v>21</v>
      </c>
      <c r="I3705" s="1" t="s">
        <v>26</v>
      </c>
      <c r="J3705" s="2">
        <v>43537.938599537039</v>
      </c>
      <c r="K3705" s="2">
        <v>43541.938599537039</v>
      </c>
      <c r="L3705" s="2">
        <v>43543.938599537039</v>
      </c>
      <c r="M3705" s="1">
        <f>_xlfn.DAYS(Table1[[#This Row],[actual_delivery_date]],Table1[[#This Row],[dispatch_date]])</f>
        <v>4</v>
      </c>
      <c r="N3705">
        <v>0</v>
      </c>
      <c r="O3705">
        <f>Table1[[#This Row],[transit_storage_cost]] * (1-'What -if Analysis'!$D$26)</f>
        <v>0</v>
      </c>
      <c r="P3705">
        <v>126</v>
      </c>
      <c r="Q3705">
        <v>1468.4982797058287</v>
      </c>
    </row>
    <row r="3706" spans="1:17" x14ac:dyDescent="0.3">
      <c r="A3706">
        <v>161561</v>
      </c>
      <c r="B3706" s="1" t="s">
        <v>39</v>
      </c>
      <c r="C3706" s="1" t="s">
        <v>16</v>
      </c>
      <c r="D3706" s="1" t="s">
        <v>16</v>
      </c>
      <c r="E3706" s="1" t="s">
        <v>27</v>
      </c>
      <c r="F3706" s="1" t="s">
        <v>29</v>
      </c>
      <c r="G3706" s="1" t="s">
        <v>20</v>
      </c>
      <c r="H3706" t="s">
        <v>30</v>
      </c>
      <c r="I3706" s="1" t="s">
        <v>22</v>
      </c>
      <c r="J3706" s="2">
        <v>43534.943935185183</v>
      </c>
      <c r="K3706" s="2">
        <v>43541.943935185183</v>
      </c>
      <c r="L3706" s="2">
        <v>43538.943935185183</v>
      </c>
      <c r="M3706" s="1">
        <f>_xlfn.DAYS(Table1[[#This Row],[actual_delivery_date]],Table1[[#This Row],[dispatch_date]])</f>
        <v>7</v>
      </c>
      <c r="N3706">
        <v>0</v>
      </c>
      <c r="O3706">
        <f>Table1[[#This Row],[transit_storage_cost]] * (1-'What -if Analysis'!$D$26)</f>
        <v>0</v>
      </c>
      <c r="P3706">
        <v>127</v>
      </c>
      <c r="Q3706">
        <v>3010</v>
      </c>
    </row>
    <row r="3707" spans="1:17" x14ac:dyDescent="0.3">
      <c r="A3707">
        <v>131387</v>
      </c>
      <c r="B3707" s="1" t="s">
        <v>37</v>
      </c>
      <c r="C3707" s="1" t="s">
        <v>16</v>
      </c>
      <c r="D3707" s="1" t="s">
        <v>16</v>
      </c>
      <c r="E3707" s="1" t="s">
        <v>27</v>
      </c>
      <c r="F3707" s="1" t="s">
        <v>29</v>
      </c>
      <c r="G3707" s="1" t="s">
        <v>20</v>
      </c>
      <c r="H3707" t="s">
        <v>30</v>
      </c>
      <c r="I3707" s="1" t="s">
        <v>22</v>
      </c>
      <c r="J3707" s="2">
        <v>43536.945590277777</v>
      </c>
      <c r="K3707" s="2">
        <v>43541.945590277777</v>
      </c>
      <c r="L3707" s="2">
        <v>43539.945590277777</v>
      </c>
      <c r="M3707" s="1">
        <f>_xlfn.DAYS(Table1[[#This Row],[actual_delivery_date]],Table1[[#This Row],[dispatch_date]])</f>
        <v>5</v>
      </c>
      <c r="N3707">
        <v>0</v>
      </c>
      <c r="O3707">
        <f>Table1[[#This Row],[transit_storage_cost]] * (1-'What -if Analysis'!$D$26)</f>
        <v>0</v>
      </c>
      <c r="P3707">
        <v>123</v>
      </c>
      <c r="Q3707">
        <v>2642.7446101459082</v>
      </c>
    </row>
    <row r="3708" spans="1:17" x14ac:dyDescent="0.3">
      <c r="A3708">
        <v>904219</v>
      </c>
      <c r="B3708" s="1" t="s">
        <v>41</v>
      </c>
      <c r="C3708" s="1" t="s">
        <v>23</v>
      </c>
      <c r="D3708" s="1" t="s">
        <v>16</v>
      </c>
      <c r="E3708" s="1" t="s">
        <v>27</v>
      </c>
      <c r="F3708" s="1" t="s">
        <v>29</v>
      </c>
      <c r="G3708" s="1" t="s">
        <v>20</v>
      </c>
      <c r="H3708" t="s">
        <v>30</v>
      </c>
      <c r="I3708" s="1" t="s">
        <v>22</v>
      </c>
      <c r="J3708" s="2">
        <v>43533.947500000002</v>
      </c>
      <c r="K3708" s="2">
        <v>43541.947500000002</v>
      </c>
      <c r="L3708" s="2">
        <v>43537.947500000002</v>
      </c>
      <c r="M3708" s="1">
        <f>_xlfn.DAYS(Table1[[#This Row],[actual_delivery_date]],Table1[[#This Row],[dispatch_date]])</f>
        <v>8</v>
      </c>
      <c r="N3708">
        <v>42</v>
      </c>
      <c r="O3708">
        <f>Table1[[#This Row],[transit_storage_cost]] * (1-'What -if Analysis'!$D$26)</f>
        <v>42</v>
      </c>
      <c r="P3708">
        <v>126</v>
      </c>
      <c r="Q3708">
        <v>966.76899098588797</v>
      </c>
    </row>
    <row r="3709" spans="1:17" x14ac:dyDescent="0.3">
      <c r="A3709">
        <v>42998</v>
      </c>
      <c r="B3709" s="1" t="s">
        <v>40</v>
      </c>
      <c r="C3709" s="1" t="s">
        <v>16</v>
      </c>
      <c r="D3709" s="1" t="s">
        <v>32</v>
      </c>
      <c r="E3709" s="1" t="s">
        <v>33</v>
      </c>
      <c r="F3709" s="1" t="s">
        <v>19</v>
      </c>
      <c r="G3709" s="1" t="s">
        <v>20</v>
      </c>
      <c r="H3709" t="s">
        <v>21</v>
      </c>
      <c r="I3709" s="1" t="s">
        <v>22</v>
      </c>
      <c r="J3709" s="2">
        <v>43536.947743055556</v>
      </c>
      <c r="K3709" s="2">
        <v>43541.947743055556</v>
      </c>
      <c r="L3709" s="2">
        <v>43543.947743055556</v>
      </c>
      <c r="M3709" s="1">
        <f>_xlfn.DAYS(Table1[[#This Row],[actual_delivery_date]],Table1[[#This Row],[dispatch_date]])</f>
        <v>5</v>
      </c>
      <c r="N3709">
        <v>77</v>
      </c>
      <c r="O3709">
        <f>Table1[[#This Row],[transit_storage_cost]] * (1-'What -if Analysis'!$D$26)</f>
        <v>77</v>
      </c>
      <c r="P3709">
        <v>89</v>
      </c>
      <c r="Q3709">
        <v>2788.5876473375401</v>
      </c>
    </row>
    <row r="3710" spans="1:17" x14ac:dyDescent="0.3">
      <c r="A3710">
        <v>277969</v>
      </c>
      <c r="B3710" s="1" t="s">
        <v>39</v>
      </c>
      <c r="C3710" s="1" t="s">
        <v>23</v>
      </c>
      <c r="D3710" s="1" t="s">
        <v>16</v>
      </c>
      <c r="E3710" s="1" t="s">
        <v>27</v>
      </c>
      <c r="F3710" s="1" t="s">
        <v>29</v>
      </c>
      <c r="G3710" s="1" t="s">
        <v>20</v>
      </c>
      <c r="H3710" t="s">
        <v>30</v>
      </c>
      <c r="I3710" s="1" t="s">
        <v>22</v>
      </c>
      <c r="J3710" s="2">
        <v>43538.948703703703</v>
      </c>
      <c r="K3710" s="2">
        <v>43541.948703703703</v>
      </c>
      <c r="L3710" s="2">
        <v>43541.948703703703</v>
      </c>
      <c r="M3710" s="1">
        <f>_xlfn.DAYS(Table1[[#This Row],[actual_delivery_date]],Table1[[#This Row],[dispatch_date]])</f>
        <v>3</v>
      </c>
      <c r="N3710">
        <v>39</v>
      </c>
      <c r="O3710">
        <f>Table1[[#This Row],[transit_storage_cost]] * (1-'What -if Analysis'!$D$26)</f>
        <v>39</v>
      </c>
      <c r="P3710">
        <v>121</v>
      </c>
      <c r="Q3710">
        <v>2346</v>
      </c>
    </row>
    <row r="3711" spans="1:17" x14ac:dyDescent="0.3">
      <c r="A3711">
        <v>907850</v>
      </c>
      <c r="B3711" s="1" t="s">
        <v>38</v>
      </c>
      <c r="C3711" s="1" t="s">
        <v>23</v>
      </c>
      <c r="D3711" s="1" t="s">
        <v>17</v>
      </c>
      <c r="E3711" s="1" t="s">
        <v>18</v>
      </c>
      <c r="F3711" s="1" t="s">
        <v>19</v>
      </c>
      <c r="G3711" s="1" t="s">
        <v>20</v>
      </c>
      <c r="H3711" t="s">
        <v>21</v>
      </c>
      <c r="I3711" s="1" t="s">
        <v>22</v>
      </c>
      <c r="J3711" s="2">
        <v>43535.949004629627</v>
      </c>
      <c r="K3711" s="2">
        <v>43541.949004629627</v>
      </c>
      <c r="L3711" s="2">
        <v>43541.949004629627</v>
      </c>
      <c r="M3711" s="1">
        <f>_xlfn.DAYS(Table1[[#This Row],[actual_delivery_date]],Table1[[#This Row],[dispatch_date]])</f>
        <v>6</v>
      </c>
      <c r="N3711">
        <v>86</v>
      </c>
      <c r="O3711">
        <f>Table1[[#This Row],[transit_storage_cost]] * (1-'What -if Analysis'!$D$26)</f>
        <v>86</v>
      </c>
      <c r="P3711">
        <v>88</v>
      </c>
      <c r="Q3711">
        <v>2602.9426755000791</v>
      </c>
    </row>
    <row r="3712" spans="1:17" x14ac:dyDescent="0.3">
      <c r="A3712">
        <v>779650</v>
      </c>
      <c r="B3712" s="1" t="s">
        <v>37</v>
      </c>
      <c r="C3712" s="1" t="s">
        <v>16</v>
      </c>
      <c r="D3712" s="1" t="s">
        <v>16</v>
      </c>
      <c r="E3712" s="1" t="s">
        <v>27</v>
      </c>
      <c r="F3712" s="1" t="s">
        <v>31</v>
      </c>
      <c r="G3712" s="1" t="s">
        <v>20</v>
      </c>
      <c r="H3712" t="s">
        <v>21</v>
      </c>
      <c r="I3712" s="1" t="s">
        <v>22</v>
      </c>
      <c r="J3712" s="2">
        <v>43535.957905092589</v>
      </c>
      <c r="K3712" s="2">
        <v>43541.957905092589</v>
      </c>
      <c r="L3712" s="2">
        <v>43539.957905092589</v>
      </c>
      <c r="M3712" s="1">
        <f>_xlfn.DAYS(Table1[[#This Row],[actual_delivery_date]],Table1[[#This Row],[dispatch_date]])</f>
        <v>6</v>
      </c>
      <c r="N3712">
        <v>0</v>
      </c>
      <c r="O3712">
        <f>Table1[[#This Row],[transit_storage_cost]] * (1-'What -if Analysis'!$D$26)</f>
        <v>0</v>
      </c>
      <c r="P3712">
        <v>122</v>
      </c>
      <c r="Q3712">
        <v>1089.8944967647155</v>
      </c>
    </row>
    <row r="3713" spans="1:17" x14ac:dyDescent="0.3">
      <c r="A3713">
        <v>512253</v>
      </c>
      <c r="B3713" s="1" t="s">
        <v>39</v>
      </c>
      <c r="C3713" s="1" t="s">
        <v>23</v>
      </c>
      <c r="D3713" s="1" t="s">
        <v>16</v>
      </c>
      <c r="E3713" s="1" t="s">
        <v>27</v>
      </c>
      <c r="F3713" s="1" t="s">
        <v>19</v>
      </c>
      <c r="G3713" s="1" t="s">
        <v>20</v>
      </c>
      <c r="H3713" t="s">
        <v>34</v>
      </c>
      <c r="I3713" s="1" t="s">
        <v>26</v>
      </c>
      <c r="J3713" s="2">
        <v>43538.960092592592</v>
      </c>
      <c r="K3713" s="2">
        <v>43541.960092592592</v>
      </c>
      <c r="L3713" s="2">
        <v>43544.960092592592</v>
      </c>
      <c r="M3713" s="1">
        <f>_xlfn.DAYS(Table1[[#This Row],[actual_delivery_date]],Table1[[#This Row],[dispatch_date]])</f>
        <v>3</v>
      </c>
      <c r="N3713">
        <v>55</v>
      </c>
      <c r="O3713">
        <f>Table1[[#This Row],[transit_storage_cost]] * (1-'What -if Analysis'!$D$26)</f>
        <v>55</v>
      </c>
      <c r="P3713">
        <v>103</v>
      </c>
      <c r="Q3713">
        <v>189.85904108871313</v>
      </c>
    </row>
    <row r="3714" spans="1:17" x14ac:dyDescent="0.3">
      <c r="A3714">
        <v>68058</v>
      </c>
      <c r="B3714" s="1" t="s">
        <v>38</v>
      </c>
      <c r="C3714" s="1" t="s">
        <v>16</v>
      </c>
      <c r="D3714" s="1" t="s">
        <v>16</v>
      </c>
      <c r="E3714" s="1" t="s">
        <v>27</v>
      </c>
      <c r="F3714" s="1" t="s">
        <v>31</v>
      </c>
      <c r="G3714" s="1" t="s">
        <v>20</v>
      </c>
      <c r="H3714" t="s">
        <v>21</v>
      </c>
      <c r="I3714" s="1" t="s">
        <v>26</v>
      </c>
      <c r="J3714" s="2">
        <v>43537.961944444447</v>
      </c>
      <c r="K3714" s="2">
        <v>43541.961944444447</v>
      </c>
      <c r="L3714" s="2">
        <v>43544.961944444447</v>
      </c>
      <c r="M3714" s="1">
        <f>_xlfn.DAYS(Table1[[#This Row],[actual_delivery_date]],Table1[[#This Row],[dispatch_date]])</f>
        <v>4</v>
      </c>
      <c r="N3714">
        <v>0</v>
      </c>
      <c r="O3714">
        <f>Table1[[#This Row],[transit_storage_cost]] * (1-'What -if Analysis'!$D$26)</f>
        <v>0</v>
      </c>
      <c r="P3714">
        <v>123</v>
      </c>
      <c r="Q3714">
        <v>1823.4700129355681</v>
      </c>
    </row>
    <row r="3715" spans="1:17" x14ac:dyDescent="0.3">
      <c r="A3715">
        <v>467789</v>
      </c>
      <c r="B3715" s="1" t="s">
        <v>41</v>
      </c>
      <c r="C3715" s="1" t="s">
        <v>23</v>
      </c>
      <c r="D3715" s="1" t="s">
        <v>24</v>
      </c>
      <c r="E3715" s="1" t="s">
        <v>25</v>
      </c>
      <c r="F3715" s="1" t="s">
        <v>19</v>
      </c>
      <c r="G3715" s="1" t="s">
        <v>20</v>
      </c>
      <c r="H3715" t="s">
        <v>34</v>
      </c>
      <c r="I3715" s="1" t="s">
        <v>22</v>
      </c>
      <c r="J3715" s="2">
        <v>43537.964965277781</v>
      </c>
      <c r="K3715" s="2">
        <v>43541.964965277781</v>
      </c>
      <c r="L3715" s="2">
        <v>43543.964965277781</v>
      </c>
      <c r="M3715" s="1">
        <f>_xlfn.DAYS(Table1[[#This Row],[actual_delivery_date]],Table1[[#This Row],[dispatch_date]])</f>
        <v>4</v>
      </c>
      <c r="N3715">
        <v>88</v>
      </c>
      <c r="O3715">
        <f>Table1[[#This Row],[transit_storage_cost]] * (1-'What -if Analysis'!$D$26)</f>
        <v>88</v>
      </c>
      <c r="P3715">
        <v>101</v>
      </c>
      <c r="Q3715">
        <v>3304.1196606287103</v>
      </c>
    </row>
    <row r="3716" spans="1:17" x14ac:dyDescent="0.3">
      <c r="A3716">
        <v>984555</v>
      </c>
      <c r="B3716" s="1" t="s">
        <v>41</v>
      </c>
      <c r="C3716" s="1" t="s">
        <v>16</v>
      </c>
      <c r="D3716" s="1" t="s">
        <v>23</v>
      </c>
      <c r="E3716" s="1" t="s">
        <v>28</v>
      </c>
      <c r="F3716" s="1" t="s">
        <v>29</v>
      </c>
      <c r="G3716" s="1" t="s">
        <v>20</v>
      </c>
      <c r="H3716" t="s">
        <v>30</v>
      </c>
      <c r="I3716" s="1" t="s">
        <v>26</v>
      </c>
      <c r="J3716" s="2">
        <v>43537.969930555555</v>
      </c>
      <c r="K3716" s="2">
        <v>43541.969930555555</v>
      </c>
      <c r="L3716" s="2">
        <v>43541.969930555555</v>
      </c>
      <c r="M3716" s="1">
        <f>_xlfn.DAYS(Table1[[#This Row],[actual_delivery_date]],Table1[[#This Row],[dispatch_date]])</f>
        <v>4</v>
      </c>
      <c r="N3716">
        <v>45</v>
      </c>
      <c r="O3716">
        <f>Table1[[#This Row],[transit_storage_cost]] * (1-'What -if Analysis'!$D$26)</f>
        <v>45</v>
      </c>
      <c r="P3716">
        <v>126</v>
      </c>
      <c r="Q3716">
        <v>291.47568620604994</v>
      </c>
    </row>
    <row r="3717" spans="1:17" x14ac:dyDescent="0.3">
      <c r="A3717">
        <v>632717</v>
      </c>
      <c r="B3717" s="1" t="s">
        <v>15</v>
      </c>
      <c r="C3717" s="1" t="s">
        <v>16</v>
      </c>
      <c r="D3717" s="1" t="s">
        <v>23</v>
      </c>
      <c r="E3717" s="1" t="s">
        <v>28</v>
      </c>
      <c r="F3717" s="1" t="s">
        <v>29</v>
      </c>
      <c r="G3717" s="1" t="s">
        <v>20</v>
      </c>
      <c r="H3717" t="s">
        <v>30</v>
      </c>
      <c r="I3717" s="1" t="s">
        <v>22</v>
      </c>
      <c r="J3717" s="2">
        <v>43531.973344907405</v>
      </c>
      <c r="K3717" s="2">
        <v>43541.973344907405</v>
      </c>
      <c r="L3717" s="2">
        <v>43538.973344907405</v>
      </c>
      <c r="M3717" s="1">
        <f>_xlfn.DAYS(Table1[[#This Row],[actual_delivery_date]],Table1[[#This Row],[dispatch_date]])</f>
        <v>10</v>
      </c>
      <c r="N3717">
        <v>42</v>
      </c>
      <c r="O3717">
        <f>Table1[[#This Row],[transit_storage_cost]] * (1-'What -if Analysis'!$D$26)</f>
        <v>42</v>
      </c>
      <c r="P3717">
        <v>128</v>
      </c>
      <c r="Q3717">
        <v>449.27400341845231</v>
      </c>
    </row>
    <row r="3718" spans="1:17" x14ac:dyDescent="0.3">
      <c r="A3718">
        <v>981925</v>
      </c>
      <c r="B3718" s="1" t="s">
        <v>37</v>
      </c>
      <c r="C3718" s="1" t="s">
        <v>16</v>
      </c>
      <c r="D3718" s="1" t="s">
        <v>24</v>
      </c>
      <c r="E3718" s="1" t="s">
        <v>25</v>
      </c>
      <c r="F3718" s="1" t="s">
        <v>19</v>
      </c>
      <c r="G3718" s="1" t="s">
        <v>20</v>
      </c>
      <c r="H3718" t="s">
        <v>34</v>
      </c>
      <c r="I3718" s="1" t="s">
        <v>22</v>
      </c>
      <c r="J3718" s="2">
        <v>43534.979039351849</v>
      </c>
      <c r="K3718" s="2">
        <v>43541.979039351849</v>
      </c>
      <c r="L3718" s="2">
        <v>43541.979039351849</v>
      </c>
      <c r="M3718" s="1">
        <f>_xlfn.DAYS(Table1[[#This Row],[actual_delivery_date]],Table1[[#This Row],[dispatch_date]])</f>
        <v>7</v>
      </c>
      <c r="N3718">
        <v>72</v>
      </c>
      <c r="O3718">
        <f>Table1[[#This Row],[transit_storage_cost]] * (1-'What -if Analysis'!$D$26)</f>
        <v>72</v>
      </c>
      <c r="P3718">
        <v>105</v>
      </c>
      <c r="Q3718">
        <v>1977</v>
      </c>
    </row>
    <row r="3719" spans="1:17" x14ac:dyDescent="0.3">
      <c r="A3719">
        <v>7095</v>
      </c>
      <c r="B3719" s="1" t="s">
        <v>41</v>
      </c>
      <c r="C3719" s="1" t="s">
        <v>16</v>
      </c>
      <c r="D3719" s="1" t="s">
        <v>23</v>
      </c>
      <c r="E3719" s="1" t="s">
        <v>28</v>
      </c>
      <c r="F3719" s="1" t="s">
        <v>29</v>
      </c>
      <c r="G3719" s="1" t="s">
        <v>20</v>
      </c>
      <c r="H3719" t="s">
        <v>30</v>
      </c>
      <c r="I3719" s="1" t="s">
        <v>26</v>
      </c>
      <c r="J3719" s="2">
        <v>43531.979074074072</v>
      </c>
      <c r="K3719" s="2">
        <v>43541.979074074072</v>
      </c>
      <c r="L3719" s="2">
        <v>43537.979074074072</v>
      </c>
      <c r="M3719" s="1">
        <f>_xlfn.DAYS(Table1[[#This Row],[actual_delivery_date]],Table1[[#This Row],[dispatch_date]])</f>
        <v>10</v>
      </c>
      <c r="N3719">
        <v>31</v>
      </c>
      <c r="O3719">
        <f>Table1[[#This Row],[transit_storage_cost]] * (1-'What -if Analysis'!$D$26)</f>
        <v>31</v>
      </c>
      <c r="P3719">
        <v>129</v>
      </c>
      <c r="Q3719">
        <v>3672.575843197088</v>
      </c>
    </row>
    <row r="3720" spans="1:17" x14ac:dyDescent="0.3">
      <c r="A3720">
        <v>394994</v>
      </c>
      <c r="B3720" s="1" t="s">
        <v>37</v>
      </c>
      <c r="C3720" s="1" t="s">
        <v>16</v>
      </c>
      <c r="D3720" s="1" t="s">
        <v>23</v>
      </c>
      <c r="E3720" s="1" t="s">
        <v>28</v>
      </c>
      <c r="F3720" s="1" t="s">
        <v>19</v>
      </c>
      <c r="G3720" s="1" t="s">
        <v>36</v>
      </c>
      <c r="H3720" t="s">
        <v>21</v>
      </c>
      <c r="I3720" s="1" t="s">
        <v>22</v>
      </c>
      <c r="J3720" s="2">
        <v>43535.981851851851</v>
      </c>
      <c r="K3720" s="2">
        <v>43541.981851851851</v>
      </c>
      <c r="L3720" s="2">
        <v>43538.981851851851</v>
      </c>
      <c r="M3720" s="1">
        <f>_xlfn.DAYS(Table1[[#This Row],[actual_delivery_date]],Table1[[#This Row],[dispatch_date]])</f>
        <v>6</v>
      </c>
      <c r="N3720">
        <v>81</v>
      </c>
      <c r="O3720">
        <f>Table1[[#This Row],[transit_storage_cost]] * (1-'What -if Analysis'!$D$26)</f>
        <v>81</v>
      </c>
      <c r="P3720">
        <v>101</v>
      </c>
      <c r="Q3720">
        <v>1085.8414794920996</v>
      </c>
    </row>
    <row r="3721" spans="1:17" x14ac:dyDescent="0.3">
      <c r="A3721">
        <v>949378</v>
      </c>
      <c r="B3721" s="1" t="s">
        <v>15</v>
      </c>
      <c r="C3721" s="1" t="s">
        <v>16</v>
      </c>
      <c r="D3721" s="1" t="s">
        <v>32</v>
      </c>
      <c r="E3721" s="1" t="s">
        <v>33</v>
      </c>
      <c r="F3721" s="1" t="s">
        <v>31</v>
      </c>
      <c r="G3721" s="1" t="s">
        <v>20</v>
      </c>
      <c r="H3721" t="s">
        <v>21</v>
      </c>
      <c r="I3721" s="1" t="s">
        <v>22</v>
      </c>
      <c r="J3721" s="2">
        <v>43537.987766203703</v>
      </c>
      <c r="K3721" s="2">
        <v>43541.987766203703</v>
      </c>
      <c r="L3721" s="2">
        <v>43541.987766203703</v>
      </c>
      <c r="M3721" s="1">
        <f>_xlfn.DAYS(Table1[[#This Row],[actual_delivery_date]],Table1[[#This Row],[dispatch_date]])</f>
        <v>4</v>
      </c>
      <c r="N3721">
        <v>31</v>
      </c>
      <c r="O3721">
        <f>Table1[[#This Row],[transit_storage_cost]] * (1-'What -if Analysis'!$D$26)</f>
        <v>31</v>
      </c>
      <c r="P3721">
        <v>110</v>
      </c>
      <c r="Q3721">
        <v>772.65871677287987</v>
      </c>
    </row>
    <row r="3722" spans="1:17" x14ac:dyDescent="0.3">
      <c r="A3722">
        <v>138145</v>
      </c>
      <c r="B3722" s="1" t="s">
        <v>41</v>
      </c>
      <c r="C3722" s="1" t="s">
        <v>23</v>
      </c>
      <c r="D3722" s="1" t="s">
        <v>17</v>
      </c>
      <c r="E3722" s="1" t="s">
        <v>18</v>
      </c>
      <c r="F3722" s="1" t="s">
        <v>29</v>
      </c>
      <c r="G3722" s="1" t="s">
        <v>20</v>
      </c>
      <c r="H3722" t="s">
        <v>34</v>
      </c>
      <c r="I3722" s="1" t="s">
        <v>22</v>
      </c>
      <c r="J3722" s="2">
        <v>43536.988796296297</v>
      </c>
      <c r="K3722" s="2">
        <v>43541.988796296297</v>
      </c>
      <c r="L3722" s="2">
        <v>43543.988796296297</v>
      </c>
      <c r="M3722" s="1">
        <f>_xlfn.DAYS(Table1[[#This Row],[actual_delivery_date]],Table1[[#This Row],[dispatch_date]])</f>
        <v>5</v>
      </c>
      <c r="N3722">
        <v>35</v>
      </c>
      <c r="O3722">
        <f>Table1[[#This Row],[transit_storage_cost]] * (1-'What -if Analysis'!$D$26)</f>
        <v>35</v>
      </c>
      <c r="P3722">
        <v>114</v>
      </c>
      <c r="Q3722">
        <v>1215.5477821444822</v>
      </c>
    </row>
    <row r="3723" spans="1:17" x14ac:dyDescent="0.3">
      <c r="A3723">
        <v>346700</v>
      </c>
      <c r="B3723" s="1" t="s">
        <v>40</v>
      </c>
      <c r="C3723" s="1" t="s">
        <v>16</v>
      </c>
      <c r="D3723" s="1" t="s">
        <v>32</v>
      </c>
      <c r="E3723" s="1" t="s">
        <v>33</v>
      </c>
      <c r="F3723" s="1" t="s">
        <v>19</v>
      </c>
      <c r="G3723" s="1" t="s">
        <v>20</v>
      </c>
      <c r="H3723" t="s">
        <v>21</v>
      </c>
      <c r="I3723" s="1" t="s">
        <v>22</v>
      </c>
      <c r="J3723" s="2">
        <v>43533.992997685185</v>
      </c>
      <c r="K3723" s="2">
        <v>43541.992997685185</v>
      </c>
      <c r="L3723" s="2">
        <v>43536.992997685185</v>
      </c>
      <c r="M3723" s="1">
        <f>_xlfn.DAYS(Table1[[#This Row],[actual_delivery_date]],Table1[[#This Row],[dispatch_date]])</f>
        <v>8</v>
      </c>
      <c r="N3723">
        <v>32</v>
      </c>
      <c r="O3723">
        <f>Table1[[#This Row],[transit_storage_cost]] * (1-'What -if Analysis'!$D$26)</f>
        <v>32</v>
      </c>
      <c r="P3723">
        <v>113</v>
      </c>
      <c r="Q3723">
        <v>1539.8764458531955</v>
      </c>
    </row>
    <row r="3724" spans="1:17" x14ac:dyDescent="0.3">
      <c r="A3724">
        <v>127246</v>
      </c>
      <c r="B3724" s="1" t="s">
        <v>37</v>
      </c>
      <c r="C3724" s="1" t="s">
        <v>23</v>
      </c>
      <c r="D3724" s="1" t="s">
        <v>23</v>
      </c>
      <c r="E3724" s="1" t="s">
        <v>28</v>
      </c>
      <c r="F3724" s="1" t="s">
        <v>31</v>
      </c>
      <c r="G3724" s="1" t="s">
        <v>20</v>
      </c>
      <c r="H3724" t="s">
        <v>21</v>
      </c>
      <c r="I3724" s="1" t="s">
        <v>22</v>
      </c>
      <c r="J3724" s="2">
        <v>43535.994872685187</v>
      </c>
      <c r="K3724" s="2">
        <v>43541.994872685187</v>
      </c>
      <c r="L3724" s="2">
        <v>43539.994872685187</v>
      </c>
      <c r="M3724" s="1">
        <f>_xlfn.DAYS(Table1[[#This Row],[actual_delivery_date]],Table1[[#This Row],[dispatch_date]])</f>
        <v>6</v>
      </c>
      <c r="N3724">
        <v>0</v>
      </c>
      <c r="O3724">
        <f>Table1[[#This Row],[transit_storage_cost]] * (1-'What -if Analysis'!$D$26)</f>
        <v>0</v>
      </c>
      <c r="P3724">
        <v>122</v>
      </c>
      <c r="Q3724">
        <v>1959</v>
      </c>
    </row>
    <row r="3725" spans="1:17" x14ac:dyDescent="0.3">
      <c r="A3725">
        <v>796848</v>
      </c>
      <c r="B3725" s="1" t="s">
        <v>41</v>
      </c>
      <c r="C3725" s="1" t="s">
        <v>23</v>
      </c>
      <c r="D3725" s="1" t="s">
        <v>23</v>
      </c>
      <c r="E3725" s="1" t="s">
        <v>28</v>
      </c>
      <c r="F3725" s="1" t="s">
        <v>19</v>
      </c>
      <c r="G3725" s="1" t="s">
        <v>20</v>
      </c>
      <c r="H3725" t="s">
        <v>21</v>
      </c>
      <c r="I3725" s="1" t="s">
        <v>26</v>
      </c>
      <c r="J3725" s="2">
        <v>43536.999189814815</v>
      </c>
      <c r="K3725" s="2">
        <v>43541.999189814815</v>
      </c>
      <c r="L3725" s="2">
        <v>43539.999189814815</v>
      </c>
      <c r="M3725" s="1">
        <f>_xlfn.DAYS(Table1[[#This Row],[actual_delivery_date]],Table1[[#This Row],[dispatch_date]])</f>
        <v>5</v>
      </c>
      <c r="N3725">
        <v>0</v>
      </c>
      <c r="O3725">
        <f>Table1[[#This Row],[transit_storage_cost]] * (1-'What -if Analysis'!$D$26)</f>
        <v>0</v>
      </c>
      <c r="P3725">
        <v>105</v>
      </c>
      <c r="Q3725">
        <v>362.7290278430313</v>
      </c>
    </row>
    <row r="3726" spans="1:17" x14ac:dyDescent="0.3">
      <c r="A3726">
        <v>341837</v>
      </c>
      <c r="B3726" s="1" t="s">
        <v>38</v>
      </c>
      <c r="C3726" s="1" t="s">
        <v>23</v>
      </c>
      <c r="D3726" s="1" t="s">
        <v>23</v>
      </c>
      <c r="E3726" s="1" t="s">
        <v>28</v>
      </c>
      <c r="F3726" s="1" t="s">
        <v>29</v>
      </c>
      <c r="G3726" s="1" t="s">
        <v>20</v>
      </c>
      <c r="H3726" t="s">
        <v>30</v>
      </c>
      <c r="I3726" s="1" t="s">
        <v>22</v>
      </c>
      <c r="J3726" s="2">
        <v>43539</v>
      </c>
      <c r="K3726" s="2">
        <v>43542</v>
      </c>
      <c r="L3726" s="2">
        <v>43545</v>
      </c>
      <c r="M3726" s="1">
        <f>_xlfn.DAYS(Table1[[#This Row],[actual_delivery_date]],Table1[[#This Row],[dispatch_date]])</f>
        <v>3</v>
      </c>
      <c r="N3726">
        <v>0</v>
      </c>
      <c r="O3726">
        <f>Table1[[#This Row],[transit_storage_cost]] * (1-'What -if Analysis'!$D$26)</f>
        <v>0</v>
      </c>
      <c r="P3726">
        <v>124</v>
      </c>
      <c r="Q3726">
        <v>2984.3970946445661</v>
      </c>
    </row>
    <row r="3727" spans="1:17" x14ac:dyDescent="0.3">
      <c r="A3727">
        <v>785185</v>
      </c>
      <c r="B3727" s="1" t="s">
        <v>38</v>
      </c>
      <c r="C3727" s="1" t="s">
        <v>16</v>
      </c>
      <c r="D3727" s="1" t="s">
        <v>24</v>
      </c>
      <c r="E3727" s="1" t="s">
        <v>25</v>
      </c>
      <c r="F3727" s="1" t="s">
        <v>29</v>
      </c>
      <c r="G3727" s="1" t="s">
        <v>36</v>
      </c>
      <c r="H3727" t="s">
        <v>30</v>
      </c>
      <c r="I3727" s="1" t="s">
        <v>22</v>
      </c>
      <c r="J3727" s="2">
        <v>43537.011736111112</v>
      </c>
      <c r="K3727" s="2">
        <v>43542.011736111112</v>
      </c>
      <c r="L3727" s="2">
        <v>43543.011736111112</v>
      </c>
      <c r="M3727" s="1">
        <f>_xlfn.DAYS(Table1[[#This Row],[actual_delivery_date]],Table1[[#This Row],[dispatch_date]])</f>
        <v>5</v>
      </c>
      <c r="N3727">
        <v>49</v>
      </c>
      <c r="O3727">
        <f>Table1[[#This Row],[transit_storage_cost]] * (1-'What -if Analysis'!$D$26)</f>
        <v>49</v>
      </c>
      <c r="P3727">
        <v>123</v>
      </c>
      <c r="Q3727">
        <v>1134.9519673214666</v>
      </c>
    </row>
    <row r="3728" spans="1:17" x14ac:dyDescent="0.3">
      <c r="A3728">
        <v>83748</v>
      </c>
      <c r="B3728" s="1" t="s">
        <v>41</v>
      </c>
      <c r="C3728" s="1" t="s">
        <v>23</v>
      </c>
      <c r="D3728" s="1" t="s">
        <v>32</v>
      </c>
      <c r="E3728" s="1" t="s">
        <v>33</v>
      </c>
      <c r="F3728" s="1" t="s">
        <v>19</v>
      </c>
      <c r="G3728" s="1" t="s">
        <v>20</v>
      </c>
      <c r="H3728" t="s">
        <v>21</v>
      </c>
      <c r="I3728" s="1" t="s">
        <v>26</v>
      </c>
      <c r="J3728" s="2">
        <v>43534.012499999997</v>
      </c>
      <c r="K3728" s="2">
        <v>43542.012499999997</v>
      </c>
      <c r="L3728" s="2">
        <v>43537.012499999997</v>
      </c>
      <c r="M3728" s="1">
        <f>_xlfn.DAYS(Table1[[#This Row],[actual_delivery_date]],Table1[[#This Row],[dispatch_date]])</f>
        <v>8</v>
      </c>
      <c r="N3728">
        <v>27</v>
      </c>
      <c r="O3728">
        <f>Table1[[#This Row],[transit_storage_cost]] * (1-'What -if Analysis'!$D$26)</f>
        <v>27</v>
      </c>
      <c r="P3728">
        <v>110</v>
      </c>
      <c r="Q3728">
        <v>806.97468975144284</v>
      </c>
    </row>
    <row r="3729" spans="1:17" x14ac:dyDescent="0.3">
      <c r="A3729">
        <v>511460</v>
      </c>
      <c r="B3729" s="1" t="s">
        <v>38</v>
      </c>
      <c r="C3729" s="1" t="s">
        <v>16</v>
      </c>
      <c r="D3729" s="1" t="s">
        <v>32</v>
      </c>
      <c r="E3729" s="1" t="s">
        <v>33</v>
      </c>
      <c r="F3729" s="1" t="s">
        <v>19</v>
      </c>
      <c r="G3729" s="1" t="s">
        <v>20</v>
      </c>
      <c r="H3729" t="s">
        <v>21</v>
      </c>
      <c r="I3729" s="1" t="s">
        <v>22</v>
      </c>
      <c r="J3729" s="2">
        <v>43533.014641203707</v>
      </c>
      <c r="K3729" s="2">
        <v>43542.014641203707</v>
      </c>
      <c r="L3729" s="2">
        <v>43536.014641203707</v>
      </c>
      <c r="M3729" s="1">
        <f>_xlfn.DAYS(Table1[[#This Row],[actual_delivery_date]],Table1[[#This Row],[dispatch_date]])</f>
        <v>9</v>
      </c>
      <c r="N3729">
        <v>76</v>
      </c>
      <c r="O3729">
        <f>Table1[[#This Row],[transit_storage_cost]] * (1-'What -if Analysis'!$D$26)</f>
        <v>76</v>
      </c>
      <c r="P3729">
        <v>91</v>
      </c>
      <c r="Q3729">
        <v>2111.2609534544786</v>
      </c>
    </row>
    <row r="3730" spans="1:17" x14ac:dyDescent="0.3">
      <c r="A3730">
        <v>121518</v>
      </c>
      <c r="B3730" s="1" t="s">
        <v>37</v>
      </c>
      <c r="C3730" s="1" t="s">
        <v>23</v>
      </c>
      <c r="D3730" s="1" t="s">
        <v>16</v>
      </c>
      <c r="E3730" s="1" t="s">
        <v>27</v>
      </c>
      <c r="F3730" s="1" t="s">
        <v>31</v>
      </c>
      <c r="G3730" s="1" t="s">
        <v>20</v>
      </c>
      <c r="H3730" t="s">
        <v>21</v>
      </c>
      <c r="I3730" s="1" t="s">
        <v>26</v>
      </c>
      <c r="J3730" s="2">
        <v>43538.019803240742</v>
      </c>
      <c r="K3730" s="2">
        <v>43542.019803240742</v>
      </c>
      <c r="L3730" s="2">
        <v>43543.019803240742</v>
      </c>
      <c r="M3730" s="1">
        <f>_xlfn.DAYS(Table1[[#This Row],[actual_delivery_date]],Table1[[#This Row],[dispatch_date]])</f>
        <v>4</v>
      </c>
      <c r="N3730">
        <v>46</v>
      </c>
      <c r="O3730">
        <f>Table1[[#This Row],[transit_storage_cost]] * (1-'What -if Analysis'!$D$26)</f>
        <v>46</v>
      </c>
      <c r="P3730">
        <v>121</v>
      </c>
      <c r="Q3730">
        <v>1748.0401041869577</v>
      </c>
    </row>
    <row r="3731" spans="1:17" x14ac:dyDescent="0.3">
      <c r="A3731">
        <v>213122</v>
      </c>
      <c r="B3731" s="1" t="s">
        <v>38</v>
      </c>
      <c r="C3731" s="1" t="s">
        <v>16</v>
      </c>
      <c r="D3731" s="1" t="s">
        <v>32</v>
      </c>
      <c r="E3731" s="1" t="s">
        <v>33</v>
      </c>
      <c r="F3731" s="1" t="s">
        <v>31</v>
      </c>
      <c r="G3731" s="1" t="s">
        <v>20</v>
      </c>
      <c r="H3731" t="s">
        <v>21</v>
      </c>
      <c r="I3731" s="1" t="s">
        <v>22</v>
      </c>
      <c r="J3731" s="2">
        <v>43538.022951388892</v>
      </c>
      <c r="K3731" s="2">
        <v>43542.022951388892</v>
      </c>
      <c r="L3731" s="2">
        <v>43544.022951388892</v>
      </c>
      <c r="M3731" s="1">
        <f>_xlfn.DAYS(Table1[[#This Row],[actual_delivery_date]],Table1[[#This Row],[dispatch_date]])</f>
        <v>4</v>
      </c>
      <c r="N3731">
        <v>41</v>
      </c>
      <c r="O3731">
        <f>Table1[[#This Row],[transit_storage_cost]] * (1-'What -if Analysis'!$D$26)</f>
        <v>41</v>
      </c>
      <c r="P3731">
        <v>106</v>
      </c>
      <c r="Q3731">
        <v>2500.3668246866946</v>
      </c>
    </row>
    <row r="3732" spans="1:17" x14ac:dyDescent="0.3">
      <c r="A3732">
        <v>402949</v>
      </c>
      <c r="B3732" s="1" t="s">
        <v>37</v>
      </c>
      <c r="C3732" s="1" t="s">
        <v>16</v>
      </c>
      <c r="D3732" s="1" t="s">
        <v>24</v>
      </c>
      <c r="E3732" s="1" t="s">
        <v>25</v>
      </c>
      <c r="F3732" s="1" t="s">
        <v>29</v>
      </c>
      <c r="G3732" s="1" t="s">
        <v>20</v>
      </c>
      <c r="H3732" t="s">
        <v>30</v>
      </c>
      <c r="I3732" s="1" t="s">
        <v>22</v>
      </c>
      <c r="J3732" s="2">
        <v>43536.023310185185</v>
      </c>
      <c r="K3732" s="2">
        <v>43542.023310185185</v>
      </c>
      <c r="L3732" s="2">
        <v>43541.023310185185</v>
      </c>
      <c r="M3732" s="1">
        <f>_xlfn.DAYS(Table1[[#This Row],[actual_delivery_date]],Table1[[#This Row],[dispatch_date]])</f>
        <v>6</v>
      </c>
      <c r="N3732">
        <v>28</v>
      </c>
      <c r="O3732">
        <f>Table1[[#This Row],[transit_storage_cost]] * (1-'What -if Analysis'!$D$26)</f>
        <v>28</v>
      </c>
      <c r="P3732">
        <v>128</v>
      </c>
      <c r="Q3732">
        <v>3522</v>
      </c>
    </row>
    <row r="3733" spans="1:17" x14ac:dyDescent="0.3">
      <c r="A3733">
        <v>438923</v>
      </c>
      <c r="B3733" s="1" t="s">
        <v>15</v>
      </c>
      <c r="C3733" s="1" t="s">
        <v>16</v>
      </c>
      <c r="D3733" s="1" t="s">
        <v>16</v>
      </c>
      <c r="E3733" s="1" t="s">
        <v>27</v>
      </c>
      <c r="F3733" s="1" t="s">
        <v>29</v>
      </c>
      <c r="G3733" s="1" t="s">
        <v>20</v>
      </c>
      <c r="H3733" t="s">
        <v>30</v>
      </c>
      <c r="I3733" s="1" t="s">
        <v>22</v>
      </c>
      <c r="J3733" s="2">
        <v>43537.024629629632</v>
      </c>
      <c r="K3733" s="2">
        <v>43542.024629629632</v>
      </c>
      <c r="L3733" s="2">
        <v>43542.024629629632</v>
      </c>
      <c r="M3733" s="1">
        <f>_xlfn.DAYS(Table1[[#This Row],[actual_delivery_date]],Table1[[#This Row],[dispatch_date]])</f>
        <v>5</v>
      </c>
      <c r="N3733">
        <v>0</v>
      </c>
      <c r="O3733">
        <f>Table1[[#This Row],[transit_storage_cost]] * (1-'What -if Analysis'!$D$26)</f>
        <v>0</v>
      </c>
      <c r="P3733">
        <v>124</v>
      </c>
      <c r="Q3733">
        <v>778</v>
      </c>
    </row>
    <row r="3734" spans="1:17" x14ac:dyDescent="0.3">
      <c r="A3734">
        <v>62812</v>
      </c>
      <c r="B3734" s="1" t="s">
        <v>37</v>
      </c>
      <c r="C3734" s="1" t="s">
        <v>16</v>
      </c>
      <c r="D3734" s="1" t="s">
        <v>24</v>
      </c>
      <c r="E3734" s="1" t="s">
        <v>25</v>
      </c>
      <c r="F3734" s="1" t="s">
        <v>19</v>
      </c>
      <c r="G3734" s="1" t="s">
        <v>20</v>
      </c>
      <c r="H3734" t="s">
        <v>21</v>
      </c>
      <c r="I3734" s="1" t="s">
        <v>22</v>
      </c>
      <c r="J3734" s="2">
        <v>43532.031944444447</v>
      </c>
      <c r="K3734" s="2">
        <v>43542.031944444447</v>
      </c>
      <c r="L3734" s="2">
        <v>43535.031944444447</v>
      </c>
      <c r="M3734" s="1">
        <f>_xlfn.DAYS(Table1[[#This Row],[actual_delivery_date]],Table1[[#This Row],[dispatch_date]])</f>
        <v>10</v>
      </c>
      <c r="N3734">
        <v>49</v>
      </c>
      <c r="O3734">
        <f>Table1[[#This Row],[transit_storage_cost]] * (1-'What -if Analysis'!$D$26)</f>
        <v>49</v>
      </c>
      <c r="P3734">
        <v>127</v>
      </c>
      <c r="Q3734">
        <v>616.91054585147572</v>
      </c>
    </row>
    <row r="3735" spans="1:17" x14ac:dyDescent="0.3">
      <c r="A3735">
        <v>535971</v>
      </c>
      <c r="B3735" s="1" t="s">
        <v>38</v>
      </c>
      <c r="C3735" s="1" t="s">
        <v>23</v>
      </c>
      <c r="D3735" s="1" t="s">
        <v>17</v>
      </c>
      <c r="E3735" s="1" t="s">
        <v>18</v>
      </c>
      <c r="F3735" s="1" t="s">
        <v>29</v>
      </c>
      <c r="G3735" s="1" t="s">
        <v>20</v>
      </c>
      <c r="H3735" t="s">
        <v>30</v>
      </c>
      <c r="I3735" s="1" t="s">
        <v>26</v>
      </c>
      <c r="J3735" s="2">
        <v>43536.032546296294</v>
      </c>
      <c r="K3735" s="2">
        <v>43542.032546296294</v>
      </c>
      <c r="L3735" s="2">
        <v>43540.032546296294</v>
      </c>
      <c r="M3735" s="1">
        <f>_xlfn.DAYS(Table1[[#This Row],[actual_delivery_date]],Table1[[#This Row],[dispatch_date]])</f>
        <v>6</v>
      </c>
      <c r="N3735">
        <v>29</v>
      </c>
      <c r="O3735">
        <f>Table1[[#This Row],[transit_storage_cost]] * (1-'What -if Analysis'!$D$26)</f>
        <v>29</v>
      </c>
      <c r="P3735">
        <v>113</v>
      </c>
      <c r="Q3735">
        <v>2481</v>
      </c>
    </row>
    <row r="3736" spans="1:17" x14ac:dyDescent="0.3">
      <c r="A3736">
        <v>23895</v>
      </c>
      <c r="B3736" s="1" t="s">
        <v>39</v>
      </c>
      <c r="C3736" s="1" t="s">
        <v>23</v>
      </c>
      <c r="D3736" s="1" t="s">
        <v>17</v>
      </c>
      <c r="E3736" s="1" t="s">
        <v>18</v>
      </c>
      <c r="F3736" s="1" t="s">
        <v>19</v>
      </c>
      <c r="G3736" s="1" t="s">
        <v>20</v>
      </c>
      <c r="H3736" t="s">
        <v>30</v>
      </c>
      <c r="I3736" s="1" t="s">
        <v>26</v>
      </c>
      <c r="J3736" s="2">
        <v>43538.032719907409</v>
      </c>
      <c r="K3736" s="2">
        <v>43542.032719907409</v>
      </c>
      <c r="L3736" s="2">
        <v>43544.032719907409</v>
      </c>
      <c r="M3736" s="1">
        <f>_xlfn.DAYS(Table1[[#This Row],[actual_delivery_date]],Table1[[#This Row],[dispatch_date]])</f>
        <v>4</v>
      </c>
      <c r="N3736">
        <v>82</v>
      </c>
      <c r="O3736">
        <f>Table1[[#This Row],[transit_storage_cost]] * (1-'What -if Analysis'!$D$26)</f>
        <v>82</v>
      </c>
      <c r="P3736">
        <v>86</v>
      </c>
      <c r="Q3736">
        <v>2570.8209725012348</v>
      </c>
    </row>
    <row r="3737" spans="1:17" x14ac:dyDescent="0.3">
      <c r="A3737">
        <v>277721</v>
      </c>
      <c r="B3737" s="1" t="s">
        <v>40</v>
      </c>
      <c r="C3737" s="1" t="s">
        <v>23</v>
      </c>
      <c r="D3737" s="1" t="s">
        <v>16</v>
      </c>
      <c r="E3737" s="1" t="s">
        <v>27</v>
      </c>
      <c r="F3737" s="1" t="s">
        <v>19</v>
      </c>
      <c r="G3737" s="1" t="s">
        <v>20</v>
      </c>
      <c r="H3737" t="s">
        <v>30</v>
      </c>
      <c r="I3737" s="1" t="s">
        <v>22</v>
      </c>
      <c r="J3737" s="2">
        <v>43537.033668981479</v>
      </c>
      <c r="K3737" s="2">
        <v>43542.033668981479</v>
      </c>
      <c r="L3737" s="2">
        <v>43541.033668981479</v>
      </c>
      <c r="M3737" s="1">
        <f>_xlfn.DAYS(Table1[[#This Row],[actual_delivery_date]],Table1[[#This Row],[dispatch_date]])</f>
        <v>5</v>
      </c>
      <c r="N3737">
        <v>82</v>
      </c>
      <c r="O3737">
        <f>Table1[[#This Row],[transit_storage_cost]] * (1-'What -if Analysis'!$D$26)</f>
        <v>82</v>
      </c>
      <c r="P3737">
        <v>110</v>
      </c>
      <c r="Q3737">
        <v>1052</v>
      </c>
    </row>
    <row r="3738" spans="1:17" x14ac:dyDescent="0.3">
      <c r="A3738">
        <v>575210</v>
      </c>
      <c r="B3738" s="1" t="s">
        <v>37</v>
      </c>
      <c r="C3738" s="1" t="s">
        <v>16</v>
      </c>
      <c r="D3738" s="1" t="s">
        <v>23</v>
      </c>
      <c r="E3738" s="1" t="s">
        <v>28</v>
      </c>
      <c r="F3738" s="1" t="s">
        <v>31</v>
      </c>
      <c r="G3738" s="1" t="s">
        <v>36</v>
      </c>
      <c r="H3738" t="s">
        <v>21</v>
      </c>
      <c r="I3738" s="1" t="s">
        <v>22</v>
      </c>
      <c r="J3738" s="2">
        <v>43532.040717592594</v>
      </c>
      <c r="K3738" s="2">
        <v>43542.040717592594</v>
      </c>
      <c r="L3738" s="2">
        <v>43538.040717592594</v>
      </c>
      <c r="M3738" s="1">
        <f>_xlfn.DAYS(Table1[[#This Row],[actual_delivery_date]],Table1[[#This Row],[dispatch_date]])</f>
        <v>10</v>
      </c>
      <c r="N3738">
        <v>32</v>
      </c>
      <c r="O3738">
        <f>Table1[[#This Row],[transit_storage_cost]] * (1-'What -if Analysis'!$D$26)</f>
        <v>32</v>
      </c>
      <c r="P3738">
        <v>124</v>
      </c>
      <c r="Q3738">
        <v>3393.3876578015697</v>
      </c>
    </row>
    <row r="3739" spans="1:17" x14ac:dyDescent="0.3">
      <c r="A3739">
        <v>421866</v>
      </c>
      <c r="B3739" s="1" t="s">
        <v>40</v>
      </c>
      <c r="C3739" s="1" t="s">
        <v>23</v>
      </c>
      <c r="D3739" s="1" t="s">
        <v>17</v>
      </c>
      <c r="E3739" s="1" t="s">
        <v>18</v>
      </c>
      <c r="F3739" s="1" t="s">
        <v>31</v>
      </c>
      <c r="G3739" s="1" t="s">
        <v>20</v>
      </c>
      <c r="H3739" t="s">
        <v>21</v>
      </c>
      <c r="I3739" s="1" t="s">
        <v>26</v>
      </c>
      <c r="J3739" s="2">
        <v>43534.041203703702</v>
      </c>
      <c r="K3739" s="2">
        <v>43542.041203703702</v>
      </c>
      <c r="L3739" s="2">
        <v>43537.041203703702</v>
      </c>
      <c r="M3739" s="1">
        <f>_xlfn.DAYS(Table1[[#This Row],[actual_delivery_date]],Table1[[#This Row],[dispatch_date]])</f>
        <v>8</v>
      </c>
      <c r="N3739">
        <v>25</v>
      </c>
      <c r="O3739">
        <f>Table1[[#This Row],[transit_storage_cost]] * (1-'What -if Analysis'!$D$26)</f>
        <v>25</v>
      </c>
      <c r="P3739">
        <v>109</v>
      </c>
      <c r="Q3739">
        <v>3035.6555741762904</v>
      </c>
    </row>
    <row r="3740" spans="1:17" x14ac:dyDescent="0.3">
      <c r="A3740">
        <v>246135</v>
      </c>
      <c r="B3740" s="1" t="s">
        <v>39</v>
      </c>
      <c r="C3740" s="1" t="s">
        <v>16</v>
      </c>
      <c r="D3740" s="1" t="s">
        <v>23</v>
      </c>
      <c r="E3740" s="1" t="s">
        <v>28</v>
      </c>
      <c r="F3740" s="1" t="s">
        <v>29</v>
      </c>
      <c r="G3740" s="1" t="s">
        <v>20</v>
      </c>
      <c r="H3740" t="s">
        <v>30</v>
      </c>
      <c r="I3740" s="1" t="s">
        <v>26</v>
      </c>
      <c r="J3740" s="2">
        <v>43532.048043981478</v>
      </c>
      <c r="K3740" s="2">
        <v>43542.048043981478</v>
      </c>
      <c r="L3740" s="2">
        <v>43536.048043981478</v>
      </c>
      <c r="M3740" s="1">
        <f>_xlfn.DAYS(Table1[[#This Row],[actual_delivery_date]],Table1[[#This Row],[dispatch_date]])</f>
        <v>10</v>
      </c>
      <c r="N3740">
        <v>31</v>
      </c>
      <c r="O3740">
        <f>Table1[[#This Row],[transit_storage_cost]] * (1-'What -if Analysis'!$D$26)</f>
        <v>31</v>
      </c>
      <c r="P3740">
        <v>130</v>
      </c>
      <c r="Q3740">
        <v>1771.7300201475605</v>
      </c>
    </row>
    <row r="3741" spans="1:17" x14ac:dyDescent="0.3">
      <c r="A3741">
        <v>775283</v>
      </c>
      <c r="B3741" s="1" t="s">
        <v>38</v>
      </c>
      <c r="C3741" s="1" t="s">
        <v>16</v>
      </c>
      <c r="D3741" s="1" t="s">
        <v>32</v>
      </c>
      <c r="E3741" s="1" t="s">
        <v>33</v>
      </c>
      <c r="F3741" s="1" t="s">
        <v>29</v>
      </c>
      <c r="G3741" s="1" t="s">
        <v>20</v>
      </c>
      <c r="H3741" t="s">
        <v>30</v>
      </c>
      <c r="I3741" s="1" t="s">
        <v>22</v>
      </c>
      <c r="J3741" s="2">
        <v>43535.050092592595</v>
      </c>
      <c r="K3741" s="2">
        <v>43542.050092592595</v>
      </c>
      <c r="L3741" s="2">
        <v>43539.050092592595</v>
      </c>
      <c r="M3741" s="1">
        <f>_xlfn.DAYS(Table1[[#This Row],[actual_delivery_date]],Table1[[#This Row],[dispatch_date]])</f>
        <v>7</v>
      </c>
      <c r="N3741">
        <v>49</v>
      </c>
      <c r="O3741">
        <f>Table1[[#This Row],[transit_storage_cost]] * (1-'What -if Analysis'!$D$26)</f>
        <v>49</v>
      </c>
      <c r="P3741">
        <v>108</v>
      </c>
      <c r="Q3741">
        <v>1070</v>
      </c>
    </row>
    <row r="3742" spans="1:17" x14ac:dyDescent="0.3">
      <c r="A3742">
        <v>817803</v>
      </c>
      <c r="B3742" s="1" t="s">
        <v>38</v>
      </c>
      <c r="C3742" s="1" t="s">
        <v>23</v>
      </c>
      <c r="D3742" s="1" t="s">
        <v>32</v>
      </c>
      <c r="E3742" s="1" t="s">
        <v>33</v>
      </c>
      <c r="F3742" s="1" t="s">
        <v>19</v>
      </c>
      <c r="G3742" s="1" t="s">
        <v>20</v>
      </c>
      <c r="H3742" t="s">
        <v>34</v>
      </c>
      <c r="I3742" s="1" t="s">
        <v>26</v>
      </c>
      <c r="J3742" s="2">
        <v>43535.051712962966</v>
      </c>
      <c r="K3742" s="2">
        <v>43542.051712962966</v>
      </c>
      <c r="L3742" s="2">
        <v>43542.051712962966</v>
      </c>
      <c r="M3742" s="1">
        <f>_xlfn.DAYS(Table1[[#This Row],[actual_delivery_date]],Table1[[#This Row],[dispatch_date]])</f>
        <v>7</v>
      </c>
      <c r="N3742">
        <v>61</v>
      </c>
      <c r="O3742">
        <f>Table1[[#This Row],[transit_storage_cost]] * (1-'What -if Analysis'!$D$26)</f>
        <v>61</v>
      </c>
      <c r="P3742">
        <v>88</v>
      </c>
      <c r="Q3742">
        <v>3550</v>
      </c>
    </row>
    <row r="3743" spans="1:17" x14ac:dyDescent="0.3">
      <c r="A3743">
        <v>49451</v>
      </c>
      <c r="B3743" s="1" t="s">
        <v>39</v>
      </c>
      <c r="C3743" s="1" t="s">
        <v>23</v>
      </c>
      <c r="D3743" s="1" t="s">
        <v>16</v>
      </c>
      <c r="E3743" s="1" t="s">
        <v>27</v>
      </c>
      <c r="F3743" s="1" t="s">
        <v>29</v>
      </c>
      <c r="G3743" s="1" t="s">
        <v>20</v>
      </c>
      <c r="H3743" t="s">
        <v>30</v>
      </c>
      <c r="I3743" s="1" t="s">
        <v>22</v>
      </c>
      <c r="J3743" s="2">
        <v>43534.084016203706</v>
      </c>
      <c r="K3743" s="2">
        <v>43542.084016203706</v>
      </c>
      <c r="L3743" s="2">
        <v>43537.084016203706</v>
      </c>
      <c r="M3743" s="1">
        <f>_xlfn.DAYS(Table1[[#This Row],[actual_delivery_date]],Table1[[#This Row],[dispatch_date]])</f>
        <v>8</v>
      </c>
      <c r="N3743">
        <v>29</v>
      </c>
      <c r="O3743">
        <f>Table1[[#This Row],[transit_storage_cost]] * (1-'What -if Analysis'!$D$26)</f>
        <v>29</v>
      </c>
      <c r="P3743">
        <v>121</v>
      </c>
      <c r="Q3743">
        <v>2411.3017304549421</v>
      </c>
    </row>
    <row r="3744" spans="1:17" x14ac:dyDescent="0.3">
      <c r="A3744">
        <v>55945</v>
      </c>
      <c r="B3744" s="1" t="s">
        <v>37</v>
      </c>
      <c r="C3744" s="1" t="s">
        <v>16</v>
      </c>
      <c r="D3744" s="1" t="s">
        <v>24</v>
      </c>
      <c r="E3744" s="1" t="s">
        <v>25</v>
      </c>
      <c r="F3744" s="1" t="s">
        <v>19</v>
      </c>
      <c r="G3744" s="1" t="s">
        <v>36</v>
      </c>
      <c r="H3744" t="s">
        <v>30</v>
      </c>
      <c r="I3744" s="1" t="s">
        <v>22</v>
      </c>
      <c r="J3744" s="2">
        <v>43536.084305555552</v>
      </c>
      <c r="K3744" s="2">
        <v>43542.084305555552</v>
      </c>
      <c r="L3744" s="2">
        <v>43540.084305555552</v>
      </c>
      <c r="M3744" s="1">
        <f>_xlfn.DAYS(Table1[[#This Row],[actual_delivery_date]],Table1[[#This Row],[dispatch_date]])</f>
        <v>6</v>
      </c>
      <c r="N3744">
        <v>73</v>
      </c>
      <c r="O3744">
        <f>Table1[[#This Row],[transit_storage_cost]] * (1-'What -if Analysis'!$D$26)</f>
        <v>73</v>
      </c>
      <c r="P3744">
        <v>106</v>
      </c>
      <c r="Q3744">
        <v>1554.4077142918727</v>
      </c>
    </row>
    <row r="3745" spans="1:17" x14ac:dyDescent="0.3">
      <c r="A3745">
        <v>597746</v>
      </c>
      <c r="B3745" s="1" t="s">
        <v>15</v>
      </c>
      <c r="C3745" s="1" t="s">
        <v>23</v>
      </c>
      <c r="D3745" s="1" t="s">
        <v>17</v>
      </c>
      <c r="E3745" s="1" t="s">
        <v>18</v>
      </c>
      <c r="F3745" s="1" t="s">
        <v>31</v>
      </c>
      <c r="G3745" s="1" t="s">
        <v>20</v>
      </c>
      <c r="H3745" t="s">
        <v>21</v>
      </c>
      <c r="I3745" s="1" t="s">
        <v>22</v>
      </c>
      <c r="J3745" s="2">
        <v>43535.09107638889</v>
      </c>
      <c r="K3745" s="2">
        <v>43542.09107638889</v>
      </c>
      <c r="L3745" s="2">
        <v>43542.09107638889</v>
      </c>
      <c r="M3745" s="1">
        <f>_xlfn.DAYS(Table1[[#This Row],[actual_delivery_date]],Table1[[#This Row],[dispatch_date]])</f>
        <v>7</v>
      </c>
      <c r="N3745">
        <v>40</v>
      </c>
      <c r="O3745">
        <f>Table1[[#This Row],[transit_storage_cost]] * (1-'What -if Analysis'!$D$26)</f>
        <v>40</v>
      </c>
      <c r="P3745">
        <v>114</v>
      </c>
      <c r="Q3745">
        <v>637.05335995950406</v>
      </c>
    </row>
    <row r="3746" spans="1:17" x14ac:dyDescent="0.3">
      <c r="A3746">
        <v>608425</v>
      </c>
      <c r="B3746" s="1" t="s">
        <v>38</v>
      </c>
      <c r="C3746" s="1" t="s">
        <v>23</v>
      </c>
      <c r="D3746" s="1" t="s">
        <v>17</v>
      </c>
      <c r="E3746" s="1" t="s">
        <v>18</v>
      </c>
      <c r="F3746" s="1" t="s">
        <v>29</v>
      </c>
      <c r="G3746" s="1" t="s">
        <v>20</v>
      </c>
      <c r="H3746" t="s">
        <v>30</v>
      </c>
      <c r="I3746" s="1" t="s">
        <v>22</v>
      </c>
      <c r="J3746" s="2">
        <v>43535.095289351855</v>
      </c>
      <c r="K3746" s="2">
        <v>43542.095289351855</v>
      </c>
      <c r="L3746" s="2">
        <v>43542.095289351855</v>
      </c>
      <c r="M3746" s="1">
        <f>_xlfn.DAYS(Table1[[#This Row],[actual_delivery_date]],Table1[[#This Row],[dispatch_date]])</f>
        <v>7</v>
      </c>
      <c r="N3746">
        <v>39</v>
      </c>
      <c r="O3746">
        <f>Table1[[#This Row],[transit_storage_cost]] * (1-'What -if Analysis'!$D$26)</f>
        <v>39</v>
      </c>
      <c r="P3746">
        <v>108</v>
      </c>
      <c r="Q3746">
        <v>2544.258927991315</v>
      </c>
    </row>
    <row r="3747" spans="1:17" x14ac:dyDescent="0.3">
      <c r="A3747">
        <v>34836</v>
      </c>
      <c r="B3747" s="1" t="s">
        <v>41</v>
      </c>
      <c r="C3747" s="1" t="s">
        <v>23</v>
      </c>
      <c r="D3747" s="1" t="s">
        <v>32</v>
      </c>
      <c r="E3747" s="1" t="s">
        <v>33</v>
      </c>
      <c r="F3747" s="1" t="s">
        <v>19</v>
      </c>
      <c r="G3747" s="1" t="s">
        <v>20</v>
      </c>
      <c r="H3747" t="s">
        <v>21</v>
      </c>
      <c r="I3747" s="1" t="s">
        <v>26</v>
      </c>
      <c r="J3747" s="2">
        <v>43536.099374999998</v>
      </c>
      <c r="K3747" s="2">
        <v>43542.099374999998</v>
      </c>
      <c r="L3747" s="2">
        <v>43541.099374999998</v>
      </c>
      <c r="M3747" s="1">
        <f>_xlfn.DAYS(Table1[[#This Row],[actual_delivery_date]],Table1[[#This Row],[dispatch_date]])</f>
        <v>6</v>
      </c>
      <c r="N3747">
        <v>27</v>
      </c>
      <c r="O3747">
        <f>Table1[[#This Row],[transit_storage_cost]] * (1-'What -if Analysis'!$D$26)</f>
        <v>27</v>
      </c>
      <c r="P3747">
        <v>108</v>
      </c>
      <c r="Q3747">
        <v>1250</v>
      </c>
    </row>
    <row r="3748" spans="1:17" x14ac:dyDescent="0.3">
      <c r="A3748">
        <v>345961</v>
      </c>
      <c r="B3748" s="1" t="s">
        <v>38</v>
      </c>
      <c r="C3748" s="1" t="s">
        <v>23</v>
      </c>
      <c r="D3748" s="1" t="s">
        <v>17</v>
      </c>
      <c r="E3748" s="1" t="s">
        <v>18</v>
      </c>
      <c r="F3748" s="1" t="s">
        <v>29</v>
      </c>
      <c r="G3748" s="1" t="s">
        <v>20</v>
      </c>
      <c r="H3748" t="s">
        <v>34</v>
      </c>
      <c r="I3748" s="1" t="s">
        <v>22</v>
      </c>
      <c r="J3748" s="2">
        <v>43537.104872685188</v>
      </c>
      <c r="K3748" s="2">
        <v>43542.104872685188</v>
      </c>
      <c r="L3748" s="2">
        <v>43542.104872685188</v>
      </c>
      <c r="M3748" s="1">
        <f>_xlfn.DAYS(Table1[[#This Row],[actual_delivery_date]],Table1[[#This Row],[dispatch_date]])</f>
        <v>5</v>
      </c>
      <c r="N3748">
        <v>28</v>
      </c>
      <c r="O3748">
        <f>Table1[[#This Row],[transit_storage_cost]] * (1-'What -if Analysis'!$D$26)</f>
        <v>28</v>
      </c>
      <c r="P3748">
        <v>115</v>
      </c>
      <c r="Q3748">
        <v>297.97649868351169</v>
      </c>
    </row>
    <row r="3749" spans="1:17" x14ac:dyDescent="0.3">
      <c r="A3749">
        <v>624313</v>
      </c>
      <c r="B3749" s="1" t="s">
        <v>15</v>
      </c>
      <c r="C3749" s="1" t="s">
        <v>23</v>
      </c>
      <c r="D3749" s="1" t="s">
        <v>32</v>
      </c>
      <c r="E3749" s="1" t="s">
        <v>33</v>
      </c>
      <c r="F3749" s="1" t="s">
        <v>29</v>
      </c>
      <c r="G3749" s="1" t="s">
        <v>20</v>
      </c>
      <c r="H3749" t="s">
        <v>30</v>
      </c>
      <c r="I3749" s="1" t="s">
        <v>22</v>
      </c>
      <c r="J3749" s="2">
        <v>43535.108414351853</v>
      </c>
      <c r="K3749" s="2">
        <v>43542.108414351853</v>
      </c>
      <c r="L3749" s="2">
        <v>43541.108414351853</v>
      </c>
      <c r="M3749" s="1">
        <f>_xlfn.DAYS(Table1[[#This Row],[actual_delivery_date]],Table1[[#This Row],[dispatch_date]])</f>
        <v>7</v>
      </c>
      <c r="N3749">
        <v>30</v>
      </c>
      <c r="O3749">
        <f>Table1[[#This Row],[transit_storage_cost]] * (1-'What -if Analysis'!$D$26)</f>
        <v>30</v>
      </c>
      <c r="P3749">
        <v>115</v>
      </c>
      <c r="Q3749">
        <v>792</v>
      </c>
    </row>
    <row r="3750" spans="1:17" x14ac:dyDescent="0.3">
      <c r="A3750">
        <v>102690</v>
      </c>
      <c r="B3750" s="1" t="s">
        <v>38</v>
      </c>
      <c r="C3750" s="1" t="s">
        <v>16</v>
      </c>
      <c r="D3750" s="1" t="s">
        <v>32</v>
      </c>
      <c r="E3750" s="1" t="s">
        <v>33</v>
      </c>
      <c r="F3750" s="1" t="s">
        <v>19</v>
      </c>
      <c r="G3750" s="1" t="s">
        <v>20</v>
      </c>
      <c r="H3750" t="s">
        <v>21</v>
      </c>
      <c r="I3750" s="1" t="s">
        <v>26</v>
      </c>
      <c r="J3750" s="2">
        <v>43538.109791666669</v>
      </c>
      <c r="K3750" s="2">
        <v>43542.109791666669</v>
      </c>
      <c r="L3750" s="2">
        <v>43543.109791666669</v>
      </c>
      <c r="M3750" s="1">
        <f>_xlfn.DAYS(Table1[[#This Row],[actual_delivery_date]],Table1[[#This Row],[dispatch_date]])</f>
        <v>4</v>
      </c>
      <c r="N3750">
        <v>78</v>
      </c>
      <c r="O3750">
        <f>Table1[[#This Row],[transit_storage_cost]] * (1-'What -if Analysis'!$D$26)</f>
        <v>78</v>
      </c>
      <c r="P3750">
        <v>88</v>
      </c>
      <c r="Q3750">
        <v>2947</v>
      </c>
    </row>
    <row r="3751" spans="1:17" x14ac:dyDescent="0.3">
      <c r="A3751">
        <v>98839</v>
      </c>
      <c r="B3751" s="1" t="s">
        <v>40</v>
      </c>
      <c r="C3751" s="1" t="s">
        <v>23</v>
      </c>
      <c r="D3751" s="1" t="s">
        <v>23</v>
      </c>
      <c r="E3751" s="1" t="s">
        <v>28</v>
      </c>
      <c r="F3751" s="1" t="s">
        <v>19</v>
      </c>
      <c r="G3751" s="1" t="s">
        <v>20</v>
      </c>
      <c r="H3751" t="s">
        <v>30</v>
      </c>
      <c r="I3751" s="1" t="s">
        <v>22</v>
      </c>
      <c r="J3751" s="2">
        <v>43537.115636574075</v>
      </c>
      <c r="K3751" s="2">
        <v>43542.115636574075</v>
      </c>
      <c r="L3751" s="2">
        <v>43541.115636574075</v>
      </c>
      <c r="M3751" s="1">
        <f>_xlfn.DAYS(Table1[[#This Row],[actual_delivery_date]],Table1[[#This Row],[dispatch_date]])</f>
        <v>5</v>
      </c>
      <c r="N3751">
        <v>0</v>
      </c>
      <c r="O3751">
        <f>Table1[[#This Row],[transit_storage_cost]] * (1-'What -if Analysis'!$D$26)</f>
        <v>0</v>
      </c>
      <c r="P3751">
        <v>102</v>
      </c>
      <c r="Q3751">
        <v>3145.7880468207609</v>
      </c>
    </row>
    <row r="3752" spans="1:17" x14ac:dyDescent="0.3">
      <c r="A3752">
        <v>106695</v>
      </c>
      <c r="B3752" s="1" t="s">
        <v>37</v>
      </c>
      <c r="C3752" s="1" t="s">
        <v>23</v>
      </c>
      <c r="D3752" s="1" t="s">
        <v>32</v>
      </c>
      <c r="E3752" s="1" t="s">
        <v>33</v>
      </c>
      <c r="F3752" s="1" t="s">
        <v>29</v>
      </c>
      <c r="G3752" s="1" t="s">
        <v>20</v>
      </c>
      <c r="H3752" t="s">
        <v>30</v>
      </c>
      <c r="I3752" s="1" t="s">
        <v>26</v>
      </c>
      <c r="J3752" s="2">
        <v>43536.121863425928</v>
      </c>
      <c r="K3752" s="2">
        <v>43542.121863425928</v>
      </c>
      <c r="L3752" s="2">
        <v>43542.121863425928</v>
      </c>
      <c r="M3752" s="1">
        <f>_xlfn.DAYS(Table1[[#This Row],[actual_delivery_date]],Table1[[#This Row],[dispatch_date]])</f>
        <v>6</v>
      </c>
      <c r="N3752">
        <v>31</v>
      </c>
      <c r="O3752">
        <f>Table1[[#This Row],[transit_storage_cost]] * (1-'What -if Analysis'!$D$26)</f>
        <v>31</v>
      </c>
      <c r="P3752">
        <v>111</v>
      </c>
      <c r="Q3752">
        <v>1548.4645561545617</v>
      </c>
    </row>
    <row r="3753" spans="1:17" x14ac:dyDescent="0.3">
      <c r="A3753">
        <v>627743</v>
      </c>
      <c r="B3753" s="1" t="s">
        <v>40</v>
      </c>
      <c r="C3753" s="1" t="s">
        <v>23</v>
      </c>
      <c r="D3753" s="1" t="s">
        <v>24</v>
      </c>
      <c r="E3753" s="1" t="s">
        <v>25</v>
      </c>
      <c r="F3753" s="1" t="s">
        <v>19</v>
      </c>
      <c r="G3753" s="1" t="s">
        <v>20</v>
      </c>
      <c r="H3753" t="s">
        <v>30</v>
      </c>
      <c r="I3753" s="1" t="s">
        <v>22</v>
      </c>
      <c r="J3753" s="2">
        <v>43538.127685185187</v>
      </c>
      <c r="K3753" s="2">
        <v>43542.127685185187</v>
      </c>
      <c r="L3753" s="2">
        <v>43545.127685185187</v>
      </c>
      <c r="M3753" s="1">
        <f>_xlfn.DAYS(Table1[[#This Row],[actual_delivery_date]],Table1[[#This Row],[dispatch_date]])</f>
        <v>4</v>
      </c>
      <c r="N3753">
        <v>64</v>
      </c>
      <c r="O3753">
        <f>Table1[[#This Row],[transit_storage_cost]] * (1-'What -if Analysis'!$D$26)</f>
        <v>64</v>
      </c>
      <c r="P3753">
        <v>100</v>
      </c>
      <c r="Q3753">
        <v>2142.0730588476376</v>
      </c>
    </row>
    <row r="3754" spans="1:17" x14ac:dyDescent="0.3">
      <c r="A3754">
        <v>319481</v>
      </c>
      <c r="B3754" s="1" t="s">
        <v>37</v>
      </c>
      <c r="C3754" s="1" t="s">
        <v>16</v>
      </c>
      <c r="D3754" s="1" t="s">
        <v>32</v>
      </c>
      <c r="E3754" s="1" t="s">
        <v>33</v>
      </c>
      <c r="F3754" s="1" t="s">
        <v>29</v>
      </c>
      <c r="G3754" s="1" t="s">
        <v>20</v>
      </c>
      <c r="H3754" t="s">
        <v>30</v>
      </c>
      <c r="I3754" s="1" t="s">
        <v>22</v>
      </c>
      <c r="J3754" s="2">
        <v>43536.132256944446</v>
      </c>
      <c r="K3754" s="2">
        <v>43542.132256944446</v>
      </c>
      <c r="L3754" s="2">
        <v>43543.132256944446</v>
      </c>
      <c r="M3754" s="1">
        <f>_xlfn.DAYS(Table1[[#This Row],[actual_delivery_date]],Table1[[#This Row],[dispatch_date]])</f>
        <v>6</v>
      </c>
      <c r="N3754">
        <v>26</v>
      </c>
      <c r="O3754">
        <f>Table1[[#This Row],[transit_storage_cost]] * (1-'What -if Analysis'!$D$26)</f>
        <v>26</v>
      </c>
      <c r="P3754">
        <v>110</v>
      </c>
      <c r="Q3754">
        <v>1527</v>
      </c>
    </row>
    <row r="3755" spans="1:17" x14ac:dyDescent="0.3">
      <c r="A3755">
        <v>38289</v>
      </c>
      <c r="B3755" s="1" t="s">
        <v>38</v>
      </c>
      <c r="C3755" s="1" t="s">
        <v>16</v>
      </c>
      <c r="D3755" s="1" t="s">
        <v>32</v>
      </c>
      <c r="E3755" s="1" t="s">
        <v>33</v>
      </c>
      <c r="F3755" s="1" t="s">
        <v>19</v>
      </c>
      <c r="G3755" s="1" t="s">
        <v>20</v>
      </c>
      <c r="H3755" t="s">
        <v>30</v>
      </c>
      <c r="I3755" s="1" t="s">
        <v>26</v>
      </c>
      <c r="J3755" s="2">
        <v>43535.137974537036</v>
      </c>
      <c r="K3755" s="2">
        <v>43542.137974537036</v>
      </c>
      <c r="L3755" s="2">
        <v>43541.137974537036</v>
      </c>
      <c r="M3755" s="1">
        <f>_xlfn.DAYS(Table1[[#This Row],[actual_delivery_date]],Table1[[#This Row],[dispatch_date]])</f>
        <v>7</v>
      </c>
      <c r="N3755">
        <v>81</v>
      </c>
      <c r="O3755">
        <f>Table1[[#This Row],[transit_storage_cost]] * (1-'What -if Analysis'!$D$26)</f>
        <v>81</v>
      </c>
      <c r="P3755">
        <v>94</v>
      </c>
      <c r="Q3755">
        <v>3784.8122660053582</v>
      </c>
    </row>
    <row r="3756" spans="1:17" x14ac:dyDescent="0.3">
      <c r="A3756">
        <v>566038</v>
      </c>
      <c r="B3756" s="1" t="s">
        <v>41</v>
      </c>
      <c r="C3756" s="1" t="s">
        <v>16</v>
      </c>
      <c r="D3756" s="1" t="s">
        <v>23</v>
      </c>
      <c r="E3756" s="1" t="s">
        <v>28</v>
      </c>
      <c r="F3756" s="1" t="s">
        <v>31</v>
      </c>
      <c r="G3756" s="1" t="s">
        <v>20</v>
      </c>
      <c r="H3756" t="s">
        <v>21</v>
      </c>
      <c r="I3756" s="1" t="s">
        <v>22</v>
      </c>
      <c r="J3756" s="2">
        <v>43535.13989583333</v>
      </c>
      <c r="K3756" s="2">
        <v>43542.13989583333</v>
      </c>
      <c r="L3756" s="2">
        <v>43542.13989583333</v>
      </c>
      <c r="M3756" s="1">
        <f>_xlfn.DAYS(Table1[[#This Row],[actual_delivery_date]],Table1[[#This Row],[dispatch_date]])</f>
        <v>7</v>
      </c>
      <c r="N3756">
        <v>39</v>
      </c>
      <c r="O3756">
        <f>Table1[[#This Row],[transit_storage_cost]] * (1-'What -if Analysis'!$D$26)</f>
        <v>39</v>
      </c>
      <c r="P3756">
        <v>128</v>
      </c>
      <c r="Q3756">
        <v>3511.3135420116482</v>
      </c>
    </row>
    <row r="3757" spans="1:17" x14ac:dyDescent="0.3">
      <c r="A3757">
        <v>837263</v>
      </c>
      <c r="B3757" s="1" t="s">
        <v>15</v>
      </c>
      <c r="C3757" s="1" t="s">
        <v>16</v>
      </c>
      <c r="D3757" s="1" t="s">
        <v>17</v>
      </c>
      <c r="E3757" s="1" t="s">
        <v>18</v>
      </c>
      <c r="F3757" s="1" t="s">
        <v>29</v>
      </c>
      <c r="G3757" s="1" t="s">
        <v>20</v>
      </c>
      <c r="H3757" t="s">
        <v>34</v>
      </c>
      <c r="I3757" s="1" t="s">
        <v>22</v>
      </c>
      <c r="J3757" s="2">
        <v>43535.142523148148</v>
      </c>
      <c r="K3757" s="2">
        <v>43542.142523148148</v>
      </c>
      <c r="L3757" s="2">
        <v>43540.142523148148</v>
      </c>
      <c r="M3757" s="1">
        <f>_xlfn.DAYS(Table1[[#This Row],[actual_delivery_date]],Table1[[#This Row],[dispatch_date]])</f>
        <v>7</v>
      </c>
      <c r="N3757">
        <v>29</v>
      </c>
      <c r="O3757">
        <f>Table1[[#This Row],[transit_storage_cost]] * (1-'What -if Analysis'!$D$26)</f>
        <v>29</v>
      </c>
      <c r="P3757">
        <v>111</v>
      </c>
      <c r="Q3757">
        <v>1000</v>
      </c>
    </row>
    <row r="3758" spans="1:17" x14ac:dyDescent="0.3">
      <c r="A3758">
        <v>91146</v>
      </c>
      <c r="B3758" s="1" t="s">
        <v>38</v>
      </c>
      <c r="C3758" s="1" t="s">
        <v>16</v>
      </c>
      <c r="D3758" s="1" t="s">
        <v>17</v>
      </c>
      <c r="E3758" s="1" t="s">
        <v>18</v>
      </c>
      <c r="F3758" s="1" t="s">
        <v>31</v>
      </c>
      <c r="G3758" s="1" t="s">
        <v>20</v>
      </c>
      <c r="H3758" t="s">
        <v>21</v>
      </c>
      <c r="I3758" s="1" t="s">
        <v>26</v>
      </c>
      <c r="J3758" s="2">
        <v>43538.149328703701</v>
      </c>
      <c r="K3758" s="2">
        <v>43542.149328703701</v>
      </c>
      <c r="L3758" s="2">
        <v>43541.149328703701</v>
      </c>
      <c r="M3758" s="1">
        <f>_xlfn.DAYS(Table1[[#This Row],[actual_delivery_date]],Table1[[#This Row],[dispatch_date]])</f>
        <v>4</v>
      </c>
      <c r="N3758">
        <v>40</v>
      </c>
      <c r="O3758">
        <f>Table1[[#This Row],[transit_storage_cost]] * (1-'What -if Analysis'!$D$26)</f>
        <v>40</v>
      </c>
      <c r="P3758">
        <v>112</v>
      </c>
      <c r="Q3758">
        <v>2923.2563367894168</v>
      </c>
    </row>
    <row r="3759" spans="1:17" x14ac:dyDescent="0.3">
      <c r="A3759">
        <v>476249</v>
      </c>
      <c r="B3759" s="1" t="s">
        <v>41</v>
      </c>
      <c r="C3759" s="1" t="s">
        <v>16</v>
      </c>
      <c r="D3759" s="1" t="s">
        <v>16</v>
      </c>
      <c r="E3759" s="1" t="s">
        <v>27</v>
      </c>
      <c r="F3759" s="1" t="s">
        <v>19</v>
      </c>
      <c r="G3759" s="1" t="s">
        <v>20</v>
      </c>
      <c r="H3759" t="s">
        <v>30</v>
      </c>
      <c r="I3759" s="1" t="s">
        <v>22</v>
      </c>
      <c r="J3759" s="2">
        <v>43538.16034722222</v>
      </c>
      <c r="K3759" s="2">
        <v>43542.16034722222</v>
      </c>
      <c r="L3759" s="2">
        <v>43542.16034722222</v>
      </c>
      <c r="M3759" s="1">
        <f>_xlfn.DAYS(Table1[[#This Row],[actual_delivery_date]],Table1[[#This Row],[dispatch_date]])</f>
        <v>4</v>
      </c>
      <c r="N3759">
        <v>0</v>
      </c>
      <c r="O3759">
        <f>Table1[[#This Row],[transit_storage_cost]] * (1-'What -if Analysis'!$D$26)</f>
        <v>0</v>
      </c>
      <c r="P3759">
        <v>106</v>
      </c>
      <c r="Q3759">
        <v>3727.9910555915953</v>
      </c>
    </row>
    <row r="3760" spans="1:17" x14ac:dyDescent="0.3">
      <c r="A3760">
        <v>755465</v>
      </c>
      <c r="B3760" s="1" t="s">
        <v>38</v>
      </c>
      <c r="C3760" s="1" t="s">
        <v>16</v>
      </c>
      <c r="D3760" s="1" t="s">
        <v>16</v>
      </c>
      <c r="E3760" s="1" t="s">
        <v>27</v>
      </c>
      <c r="F3760" s="1" t="s">
        <v>29</v>
      </c>
      <c r="G3760" s="1" t="s">
        <v>20</v>
      </c>
      <c r="H3760" t="s">
        <v>30</v>
      </c>
      <c r="I3760" s="1" t="s">
        <v>22</v>
      </c>
      <c r="J3760" s="2">
        <v>43536.160509259258</v>
      </c>
      <c r="K3760" s="2">
        <v>43542.160509259258</v>
      </c>
      <c r="L3760" s="2">
        <v>43543.160509259258</v>
      </c>
      <c r="M3760" s="1">
        <f>_xlfn.DAYS(Table1[[#This Row],[actual_delivery_date]],Table1[[#This Row],[dispatch_date]])</f>
        <v>6</v>
      </c>
      <c r="N3760">
        <v>0</v>
      </c>
      <c r="O3760">
        <f>Table1[[#This Row],[transit_storage_cost]] * (1-'What -if Analysis'!$D$26)</f>
        <v>0</v>
      </c>
      <c r="P3760">
        <v>120</v>
      </c>
      <c r="Q3760">
        <v>602.19749437417204</v>
      </c>
    </row>
    <row r="3761" spans="1:17" x14ac:dyDescent="0.3">
      <c r="A3761">
        <v>757365</v>
      </c>
      <c r="B3761" s="1" t="s">
        <v>38</v>
      </c>
      <c r="C3761" s="1" t="s">
        <v>16</v>
      </c>
      <c r="D3761" s="1" t="s">
        <v>16</v>
      </c>
      <c r="E3761" s="1" t="s">
        <v>27</v>
      </c>
      <c r="F3761" s="1" t="s">
        <v>29</v>
      </c>
      <c r="G3761" s="1" t="s">
        <v>20</v>
      </c>
      <c r="H3761" t="s">
        <v>34</v>
      </c>
      <c r="I3761" s="1" t="s">
        <v>26</v>
      </c>
      <c r="J3761" s="2">
        <v>43536.162037037036</v>
      </c>
      <c r="K3761" s="2">
        <v>43542.162037037036</v>
      </c>
      <c r="L3761" s="2">
        <v>43542.162037037036</v>
      </c>
      <c r="M3761" s="1">
        <f>_xlfn.DAYS(Table1[[#This Row],[actual_delivery_date]],Table1[[#This Row],[dispatch_date]])</f>
        <v>6</v>
      </c>
      <c r="N3761">
        <v>0</v>
      </c>
      <c r="O3761">
        <f>Table1[[#This Row],[transit_storage_cost]] * (1-'What -if Analysis'!$D$26)</f>
        <v>0</v>
      </c>
      <c r="P3761">
        <v>124</v>
      </c>
      <c r="Q3761">
        <v>2757.1118798706493</v>
      </c>
    </row>
    <row r="3762" spans="1:17" x14ac:dyDescent="0.3">
      <c r="A3762">
        <v>234219</v>
      </c>
      <c r="B3762" s="1" t="s">
        <v>40</v>
      </c>
      <c r="C3762" s="1" t="s">
        <v>16</v>
      </c>
      <c r="D3762" s="1" t="s">
        <v>16</v>
      </c>
      <c r="E3762" s="1" t="s">
        <v>27</v>
      </c>
      <c r="F3762" s="1" t="s">
        <v>29</v>
      </c>
      <c r="G3762" s="1" t="s">
        <v>20</v>
      </c>
      <c r="H3762" t="s">
        <v>30</v>
      </c>
      <c r="I3762" s="1" t="s">
        <v>26</v>
      </c>
      <c r="J3762" s="2">
        <v>43536.162905092591</v>
      </c>
      <c r="K3762" s="2">
        <v>43542.162905092591</v>
      </c>
      <c r="L3762" s="2">
        <v>43541.162905092591</v>
      </c>
      <c r="M3762" s="1">
        <f>_xlfn.DAYS(Table1[[#This Row],[actual_delivery_date]],Table1[[#This Row],[dispatch_date]])</f>
        <v>6</v>
      </c>
      <c r="N3762">
        <v>0</v>
      </c>
      <c r="O3762">
        <f>Table1[[#This Row],[transit_storage_cost]] * (1-'What -if Analysis'!$D$26)</f>
        <v>0</v>
      </c>
      <c r="P3762">
        <v>129</v>
      </c>
      <c r="Q3762">
        <v>2039.7126877385565</v>
      </c>
    </row>
    <row r="3763" spans="1:17" x14ac:dyDescent="0.3">
      <c r="A3763">
        <v>729075</v>
      </c>
      <c r="B3763" s="1" t="s">
        <v>38</v>
      </c>
      <c r="C3763" s="1" t="s">
        <v>16</v>
      </c>
      <c r="D3763" s="1" t="s">
        <v>23</v>
      </c>
      <c r="E3763" s="1" t="s">
        <v>28</v>
      </c>
      <c r="F3763" s="1" t="s">
        <v>29</v>
      </c>
      <c r="G3763" s="1" t="s">
        <v>20</v>
      </c>
      <c r="H3763" t="s">
        <v>30</v>
      </c>
      <c r="I3763" s="1" t="s">
        <v>26</v>
      </c>
      <c r="J3763" s="2">
        <v>43538.167071759257</v>
      </c>
      <c r="K3763" s="2">
        <v>43542.167071759257</v>
      </c>
      <c r="L3763" s="2">
        <v>43541.167071759257</v>
      </c>
      <c r="M3763" s="1">
        <f>_xlfn.DAYS(Table1[[#This Row],[actual_delivery_date]],Table1[[#This Row],[dispatch_date]])</f>
        <v>4</v>
      </c>
      <c r="N3763">
        <v>50</v>
      </c>
      <c r="O3763">
        <f>Table1[[#This Row],[transit_storage_cost]] * (1-'What -if Analysis'!$D$26)</f>
        <v>50</v>
      </c>
      <c r="P3763">
        <v>124</v>
      </c>
      <c r="Q3763">
        <v>2763</v>
      </c>
    </row>
    <row r="3764" spans="1:17" x14ac:dyDescent="0.3">
      <c r="A3764">
        <v>117507</v>
      </c>
      <c r="B3764" s="1" t="s">
        <v>38</v>
      </c>
      <c r="C3764" s="1" t="s">
        <v>16</v>
      </c>
      <c r="D3764" s="1" t="s">
        <v>24</v>
      </c>
      <c r="E3764" s="1" t="s">
        <v>25</v>
      </c>
      <c r="F3764" s="1" t="s">
        <v>19</v>
      </c>
      <c r="G3764" s="1" t="s">
        <v>20</v>
      </c>
      <c r="H3764" t="s">
        <v>30</v>
      </c>
      <c r="I3764" s="1" t="s">
        <v>26</v>
      </c>
      <c r="J3764" s="2">
        <v>43535.169768518521</v>
      </c>
      <c r="K3764" s="2">
        <v>43542.169768518521</v>
      </c>
      <c r="L3764" s="2">
        <v>43539.169768518521</v>
      </c>
      <c r="M3764" s="1">
        <f>_xlfn.DAYS(Table1[[#This Row],[actual_delivery_date]],Table1[[#This Row],[dispatch_date]])</f>
        <v>7</v>
      </c>
      <c r="N3764">
        <v>73</v>
      </c>
      <c r="O3764">
        <f>Table1[[#This Row],[transit_storage_cost]] * (1-'What -if Analysis'!$D$26)</f>
        <v>73</v>
      </c>
      <c r="P3764">
        <v>108</v>
      </c>
      <c r="Q3764">
        <v>600.54645372156517</v>
      </c>
    </row>
    <row r="3765" spans="1:17" x14ac:dyDescent="0.3">
      <c r="A3765">
        <v>333335</v>
      </c>
      <c r="B3765" s="1" t="s">
        <v>37</v>
      </c>
      <c r="C3765" s="1" t="s">
        <v>16</v>
      </c>
      <c r="D3765" s="1" t="s">
        <v>24</v>
      </c>
      <c r="E3765" s="1" t="s">
        <v>25</v>
      </c>
      <c r="F3765" s="1" t="s">
        <v>29</v>
      </c>
      <c r="G3765" s="1" t="s">
        <v>20</v>
      </c>
      <c r="H3765" t="s">
        <v>30</v>
      </c>
      <c r="I3765" s="1" t="s">
        <v>22</v>
      </c>
      <c r="J3765" s="2">
        <v>43537.17292824074</v>
      </c>
      <c r="K3765" s="2">
        <v>43542.17292824074</v>
      </c>
      <c r="L3765" s="2">
        <v>43541.17292824074</v>
      </c>
      <c r="M3765" s="1">
        <f>_xlfn.DAYS(Table1[[#This Row],[actual_delivery_date]],Table1[[#This Row],[dispatch_date]])</f>
        <v>5</v>
      </c>
      <c r="N3765">
        <v>35</v>
      </c>
      <c r="O3765">
        <f>Table1[[#This Row],[transit_storage_cost]] * (1-'What -if Analysis'!$D$26)</f>
        <v>35</v>
      </c>
      <c r="P3765">
        <v>121</v>
      </c>
      <c r="Q3765">
        <v>3284</v>
      </c>
    </row>
    <row r="3766" spans="1:17" x14ac:dyDescent="0.3">
      <c r="A3766">
        <v>787177</v>
      </c>
      <c r="B3766" s="1" t="s">
        <v>37</v>
      </c>
      <c r="C3766" s="1" t="s">
        <v>16</v>
      </c>
      <c r="D3766" s="1" t="s">
        <v>16</v>
      </c>
      <c r="E3766" s="1" t="s">
        <v>27</v>
      </c>
      <c r="F3766" s="1" t="s">
        <v>29</v>
      </c>
      <c r="G3766" s="1" t="s">
        <v>20</v>
      </c>
      <c r="H3766" t="s">
        <v>30</v>
      </c>
      <c r="I3766" s="1" t="s">
        <v>22</v>
      </c>
      <c r="J3766" s="2">
        <v>43535.173680555556</v>
      </c>
      <c r="K3766" s="2">
        <v>43542.173680555556</v>
      </c>
      <c r="L3766" s="2">
        <v>43538.173680555556</v>
      </c>
      <c r="M3766" s="1">
        <f>_xlfn.DAYS(Table1[[#This Row],[actual_delivery_date]],Table1[[#This Row],[dispatch_date]])</f>
        <v>7</v>
      </c>
      <c r="N3766">
        <v>0</v>
      </c>
      <c r="O3766">
        <f>Table1[[#This Row],[transit_storage_cost]] * (1-'What -if Analysis'!$D$26)</f>
        <v>0</v>
      </c>
      <c r="P3766">
        <v>120</v>
      </c>
      <c r="Q3766">
        <v>3068.0246916498245</v>
      </c>
    </row>
    <row r="3767" spans="1:17" x14ac:dyDescent="0.3">
      <c r="A3767">
        <v>549927</v>
      </c>
      <c r="B3767" s="1" t="s">
        <v>37</v>
      </c>
      <c r="C3767" s="1" t="s">
        <v>23</v>
      </c>
      <c r="D3767" s="1" t="s">
        <v>16</v>
      </c>
      <c r="E3767" s="1" t="s">
        <v>27</v>
      </c>
      <c r="F3767" s="1" t="s">
        <v>19</v>
      </c>
      <c r="G3767" s="1" t="s">
        <v>20</v>
      </c>
      <c r="H3767" t="s">
        <v>34</v>
      </c>
      <c r="I3767" s="1" t="s">
        <v>26</v>
      </c>
      <c r="J3767" s="2">
        <v>43537.179247685184</v>
      </c>
      <c r="K3767" s="2">
        <v>43542.179247685184</v>
      </c>
      <c r="L3767" s="2">
        <v>43540.179247685184</v>
      </c>
      <c r="M3767" s="1">
        <f>_xlfn.DAYS(Table1[[#This Row],[actual_delivery_date]],Table1[[#This Row],[dispatch_date]])</f>
        <v>5</v>
      </c>
      <c r="N3767">
        <v>9999</v>
      </c>
      <c r="O3767">
        <f>Table1[[#This Row],[transit_storage_cost]] * (1-'What -if Analysis'!$D$26)</f>
        <v>9999</v>
      </c>
      <c r="P3767">
        <v>107</v>
      </c>
      <c r="Q3767">
        <v>3560.065300316327</v>
      </c>
    </row>
    <row r="3768" spans="1:17" x14ac:dyDescent="0.3">
      <c r="A3768">
        <v>44688</v>
      </c>
      <c r="B3768" s="1" t="s">
        <v>39</v>
      </c>
      <c r="C3768" s="1" t="s">
        <v>16</v>
      </c>
      <c r="D3768" s="1" t="s">
        <v>32</v>
      </c>
      <c r="E3768" s="1" t="s">
        <v>33</v>
      </c>
      <c r="F3768" s="1" t="s">
        <v>19</v>
      </c>
      <c r="G3768" s="1" t="s">
        <v>20</v>
      </c>
      <c r="H3768" t="s">
        <v>21</v>
      </c>
      <c r="I3768" s="1" t="s">
        <v>26</v>
      </c>
      <c r="J3768" s="2">
        <v>43533.183449074073</v>
      </c>
      <c r="K3768" s="2">
        <v>43542.183449074073</v>
      </c>
      <c r="L3768" s="2">
        <v>43537.183449074073</v>
      </c>
      <c r="M3768" s="1">
        <f>_xlfn.DAYS(Table1[[#This Row],[actual_delivery_date]],Table1[[#This Row],[dispatch_date]])</f>
        <v>9</v>
      </c>
      <c r="N3768">
        <v>37</v>
      </c>
      <c r="O3768">
        <f>Table1[[#This Row],[transit_storage_cost]] * (1-'What -if Analysis'!$D$26)</f>
        <v>37</v>
      </c>
      <c r="P3768">
        <v>108</v>
      </c>
      <c r="Q3768">
        <v>1609</v>
      </c>
    </row>
    <row r="3769" spans="1:17" x14ac:dyDescent="0.3">
      <c r="A3769">
        <v>232541</v>
      </c>
      <c r="B3769" s="1" t="s">
        <v>37</v>
      </c>
      <c r="C3769" s="1" t="s">
        <v>16</v>
      </c>
      <c r="D3769" s="1" t="s">
        <v>23</v>
      </c>
      <c r="E3769" s="1" t="s">
        <v>28</v>
      </c>
      <c r="F3769" s="1" t="s">
        <v>29</v>
      </c>
      <c r="G3769" s="1" t="s">
        <v>20</v>
      </c>
      <c r="H3769" t="s">
        <v>30</v>
      </c>
      <c r="I3769" s="1" t="s">
        <v>22</v>
      </c>
      <c r="J3769" s="2">
        <v>43532.1950462963</v>
      </c>
      <c r="K3769" s="2">
        <v>43542.1950462963</v>
      </c>
      <c r="L3769" s="2">
        <v>43538.1950462963</v>
      </c>
      <c r="M3769" s="1">
        <f>_xlfn.DAYS(Table1[[#This Row],[actual_delivery_date]],Table1[[#This Row],[dispatch_date]])</f>
        <v>10</v>
      </c>
      <c r="N3769">
        <v>49</v>
      </c>
      <c r="O3769">
        <f>Table1[[#This Row],[transit_storage_cost]] * (1-'What -if Analysis'!$D$26)</f>
        <v>49</v>
      </c>
      <c r="P3769">
        <v>128</v>
      </c>
      <c r="Q3769">
        <v>3175.8648398184605</v>
      </c>
    </row>
    <row r="3770" spans="1:17" x14ac:dyDescent="0.3">
      <c r="A3770">
        <v>1415</v>
      </c>
      <c r="B3770" s="1" t="s">
        <v>38</v>
      </c>
      <c r="C3770" s="1" t="s">
        <v>16</v>
      </c>
      <c r="D3770" s="1" t="s">
        <v>32</v>
      </c>
      <c r="E3770" s="1" t="s">
        <v>33</v>
      </c>
      <c r="F3770" s="1" t="s">
        <v>19</v>
      </c>
      <c r="G3770" s="1" t="s">
        <v>20</v>
      </c>
      <c r="H3770" t="s">
        <v>30</v>
      </c>
      <c r="I3770" s="1" t="s">
        <v>22</v>
      </c>
      <c r="J3770" s="2">
        <v>43535.20212962963</v>
      </c>
      <c r="K3770" s="2">
        <v>43542.20212962963</v>
      </c>
      <c r="L3770" s="2">
        <v>43542.20212962963</v>
      </c>
      <c r="M3770" s="1">
        <f>_xlfn.DAYS(Table1[[#This Row],[actual_delivery_date]],Table1[[#This Row],[dispatch_date]])</f>
        <v>7</v>
      </c>
      <c r="N3770">
        <v>65</v>
      </c>
      <c r="O3770">
        <f>Table1[[#This Row],[transit_storage_cost]] * (1-'What -if Analysis'!$D$26)</f>
        <v>65</v>
      </c>
      <c r="P3770">
        <v>86</v>
      </c>
      <c r="Q3770">
        <v>2794.644783425344</v>
      </c>
    </row>
    <row r="3771" spans="1:17" x14ac:dyDescent="0.3">
      <c r="A3771">
        <v>431920</v>
      </c>
      <c r="B3771" s="1" t="s">
        <v>41</v>
      </c>
      <c r="C3771" s="1" t="s">
        <v>23</v>
      </c>
      <c r="D3771" s="1" t="s">
        <v>32</v>
      </c>
      <c r="E3771" s="1" t="s">
        <v>33</v>
      </c>
      <c r="F3771" s="1" t="s">
        <v>19</v>
      </c>
      <c r="G3771" s="1" t="s">
        <v>20</v>
      </c>
      <c r="H3771" t="s">
        <v>21</v>
      </c>
      <c r="I3771" s="1" t="s">
        <v>22</v>
      </c>
      <c r="J3771" s="2">
        <v>43535.206053240741</v>
      </c>
      <c r="K3771" s="2">
        <v>43542.206053240741</v>
      </c>
      <c r="L3771" s="2">
        <v>43541.206053240741</v>
      </c>
      <c r="M3771" s="1">
        <f>_xlfn.DAYS(Table1[[#This Row],[actual_delivery_date]],Table1[[#This Row],[dispatch_date]])</f>
        <v>7</v>
      </c>
      <c r="N3771">
        <v>28</v>
      </c>
      <c r="O3771">
        <f>Table1[[#This Row],[transit_storage_cost]] * (1-'What -if Analysis'!$D$26)</f>
        <v>28</v>
      </c>
      <c r="P3771">
        <v>110</v>
      </c>
      <c r="Q3771">
        <v>530.50881735341068</v>
      </c>
    </row>
    <row r="3772" spans="1:17" x14ac:dyDescent="0.3">
      <c r="A3772">
        <v>274327</v>
      </c>
      <c r="B3772" s="1" t="s">
        <v>38</v>
      </c>
      <c r="C3772" s="1" t="s">
        <v>16</v>
      </c>
      <c r="D3772" s="1" t="s">
        <v>23</v>
      </c>
      <c r="E3772" s="1" t="s">
        <v>28</v>
      </c>
      <c r="F3772" s="1" t="s">
        <v>29</v>
      </c>
      <c r="G3772" s="1" t="s">
        <v>20</v>
      </c>
      <c r="H3772" t="s">
        <v>30</v>
      </c>
      <c r="I3772" s="1" t="s">
        <v>22</v>
      </c>
      <c r="J3772" s="2">
        <v>43537.209224537037</v>
      </c>
      <c r="K3772" s="2">
        <v>43542.209224537037</v>
      </c>
      <c r="L3772" s="2">
        <v>43542.209224537037</v>
      </c>
      <c r="M3772" s="1">
        <f>_xlfn.DAYS(Table1[[#This Row],[actual_delivery_date]],Table1[[#This Row],[dispatch_date]])</f>
        <v>5</v>
      </c>
      <c r="N3772">
        <v>43</v>
      </c>
      <c r="O3772">
        <f>Table1[[#This Row],[transit_storage_cost]] * (1-'What -if Analysis'!$D$26)</f>
        <v>43</v>
      </c>
      <c r="P3772">
        <v>121</v>
      </c>
      <c r="Q3772">
        <v>3247.3538454675763</v>
      </c>
    </row>
    <row r="3773" spans="1:17" x14ac:dyDescent="0.3">
      <c r="A3773">
        <v>311430</v>
      </c>
      <c r="B3773" s="1" t="s">
        <v>41</v>
      </c>
      <c r="C3773" s="1" t="s">
        <v>23</v>
      </c>
      <c r="D3773" s="1" t="s">
        <v>16</v>
      </c>
      <c r="E3773" s="1" t="s">
        <v>27</v>
      </c>
      <c r="F3773" s="1" t="s">
        <v>31</v>
      </c>
      <c r="G3773" s="1" t="s">
        <v>20</v>
      </c>
      <c r="H3773" t="s">
        <v>21</v>
      </c>
      <c r="I3773" s="1" t="s">
        <v>26</v>
      </c>
      <c r="J3773" s="2">
        <v>43538.213796296295</v>
      </c>
      <c r="K3773" s="2">
        <v>43542.213796296295</v>
      </c>
      <c r="L3773" s="2">
        <v>43545.213796296295</v>
      </c>
      <c r="M3773" s="1">
        <f>_xlfn.DAYS(Table1[[#This Row],[actual_delivery_date]],Table1[[#This Row],[dispatch_date]])</f>
        <v>4</v>
      </c>
      <c r="N3773">
        <v>36</v>
      </c>
      <c r="O3773">
        <f>Table1[[#This Row],[transit_storage_cost]] * (1-'What -if Analysis'!$D$26)</f>
        <v>36</v>
      </c>
      <c r="P3773">
        <v>126</v>
      </c>
      <c r="Q3773">
        <v>2410.1618140414867</v>
      </c>
    </row>
    <row r="3774" spans="1:17" x14ac:dyDescent="0.3">
      <c r="A3774">
        <v>890196</v>
      </c>
      <c r="B3774" s="1" t="s">
        <v>38</v>
      </c>
      <c r="C3774" s="1" t="s">
        <v>16</v>
      </c>
      <c r="D3774" s="1" t="s">
        <v>32</v>
      </c>
      <c r="E3774" s="1" t="s">
        <v>33</v>
      </c>
      <c r="F3774" s="1" t="s">
        <v>19</v>
      </c>
      <c r="G3774" s="1" t="s">
        <v>20</v>
      </c>
      <c r="H3774" t="s">
        <v>21</v>
      </c>
      <c r="I3774" s="1" t="s">
        <v>26</v>
      </c>
      <c r="J3774" s="2">
        <v>43538.223657407405</v>
      </c>
      <c r="K3774" s="2">
        <v>43542.223657407405</v>
      </c>
      <c r="L3774" s="2">
        <v>43541.223657407405</v>
      </c>
      <c r="M3774" s="1">
        <f>_xlfn.DAYS(Table1[[#This Row],[actual_delivery_date]],Table1[[#This Row],[dispatch_date]])</f>
        <v>4</v>
      </c>
      <c r="N3774">
        <v>46</v>
      </c>
      <c r="O3774">
        <f>Table1[[#This Row],[transit_storage_cost]] * (1-'What -if Analysis'!$D$26)</f>
        <v>46</v>
      </c>
      <c r="P3774">
        <v>112</v>
      </c>
      <c r="Q3774">
        <v>1981.6655717809624</v>
      </c>
    </row>
    <row r="3775" spans="1:17" x14ac:dyDescent="0.3">
      <c r="A3775">
        <v>594814</v>
      </c>
      <c r="B3775" s="1" t="s">
        <v>39</v>
      </c>
      <c r="C3775" s="1" t="s">
        <v>16</v>
      </c>
      <c r="D3775" s="1" t="s">
        <v>17</v>
      </c>
      <c r="E3775" s="1" t="s">
        <v>18</v>
      </c>
      <c r="F3775" s="1" t="s">
        <v>31</v>
      </c>
      <c r="G3775" s="1" t="s">
        <v>20</v>
      </c>
      <c r="H3775" t="s">
        <v>21</v>
      </c>
      <c r="I3775" s="1" t="s">
        <v>22</v>
      </c>
      <c r="J3775" s="2">
        <v>43536.22619212963</v>
      </c>
      <c r="K3775" s="2">
        <v>43542.22619212963</v>
      </c>
      <c r="L3775" s="2">
        <v>43539.22619212963</v>
      </c>
      <c r="M3775" s="1">
        <f>_xlfn.DAYS(Table1[[#This Row],[actual_delivery_date]],Table1[[#This Row],[dispatch_date]])</f>
        <v>6</v>
      </c>
      <c r="N3775">
        <v>38</v>
      </c>
      <c r="O3775">
        <f>Table1[[#This Row],[transit_storage_cost]] * (1-'What -if Analysis'!$D$26)</f>
        <v>38</v>
      </c>
      <c r="P3775">
        <v>114</v>
      </c>
      <c r="Q3775">
        <v>354</v>
      </c>
    </row>
    <row r="3776" spans="1:17" x14ac:dyDescent="0.3">
      <c r="A3776">
        <v>939858</v>
      </c>
      <c r="B3776" s="1" t="s">
        <v>39</v>
      </c>
      <c r="C3776" s="1" t="s">
        <v>16</v>
      </c>
      <c r="D3776" s="1" t="s">
        <v>24</v>
      </c>
      <c r="E3776" s="1" t="s">
        <v>25</v>
      </c>
      <c r="F3776" s="1" t="s">
        <v>31</v>
      </c>
      <c r="G3776" s="1" t="s">
        <v>20</v>
      </c>
      <c r="H3776" t="s">
        <v>21</v>
      </c>
      <c r="I3776" s="1" t="s">
        <v>26</v>
      </c>
      <c r="J3776" s="2">
        <v>43535.236168981479</v>
      </c>
      <c r="K3776" s="2">
        <v>43542.236168981479</v>
      </c>
      <c r="L3776" s="2">
        <v>43540.236168981479</v>
      </c>
      <c r="M3776" s="1">
        <f>_xlfn.DAYS(Table1[[#This Row],[actual_delivery_date]],Table1[[#This Row],[dispatch_date]])</f>
        <v>7</v>
      </c>
      <c r="N3776">
        <v>41</v>
      </c>
      <c r="O3776">
        <f>Table1[[#This Row],[transit_storage_cost]] * (1-'What -if Analysis'!$D$26)</f>
        <v>41</v>
      </c>
      <c r="P3776">
        <v>127</v>
      </c>
      <c r="Q3776">
        <v>2388.6158539135758</v>
      </c>
    </row>
    <row r="3777" spans="1:17" x14ac:dyDescent="0.3">
      <c r="A3777">
        <v>768859</v>
      </c>
      <c r="B3777" s="1" t="s">
        <v>37</v>
      </c>
      <c r="C3777" s="1" t="s">
        <v>16</v>
      </c>
      <c r="D3777" s="1" t="s">
        <v>32</v>
      </c>
      <c r="E3777" s="1" t="s">
        <v>33</v>
      </c>
      <c r="F3777" s="1" t="s">
        <v>29</v>
      </c>
      <c r="G3777" s="1" t="s">
        <v>20</v>
      </c>
      <c r="H3777" t="s">
        <v>34</v>
      </c>
      <c r="I3777" s="1" t="s">
        <v>22</v>
      </c>
      <c r="J3777" s="2">
        <v>43535.247800925928</v>
      </c>
      <c r="K3777" s="2">
        <v>43542.247800925928</v>
      </c>
      <c r="L3777" s="2">
        <v>43540.247800925928</v>
      </c>
      <c r="M3777" s="1">
        <f>_xlfn.DAYS(Table1[[#This Row],[actual_delivery_date]],Table1[[#This Row],[dispatch_date]])</f>
        <v>7</v>
      </c>
      <c r="N3777">
        <v>50</v>
      </c>
      <c r="O3777">
        <f>Table1[[#This Row],[transit_storage_cost]] * (1-'What -if Analysis'!$D$26)</f>
        <v>50</v>
      </c>
      <c r="P3777">
        <v>108</v>
      </c>
      <c r="Q3777">
        <v>505.32842408397926</v>
      </c>
    </row>
    <row r="3778" spans="1:17" x14ac:dyDescent="0.3">
      <c r="A3778">
        <v>139529</v>
      </c>
      <c r="B3778" s="1" t="s">
        <v>15</v>
      </c>
      <c r="C3778" s="1" t="s">
        <v>23</v>
      </c>
      <c r="D3778" s="1" t="s">
        <v>17</v>
      </c>
      <c r="E3778" s="1" t="s">
        <v>18</v>
      </c>
      <c r="F3778" s="1" t="s">
        <v>29</v>
      </c>
      <c r="G3778" s="1" t="s">
        <v>20</v>
      </c>
      <c r="H3778" t="s">
        <v>30</v>
      </c>
      <c r="I3778" s="1" t="s">
        <v>22</v>
      </c>
      <c r="J3778" s="2">
        <v>43535.248969907407</v>
      </c>
      <c r="K3778" s="2">
        <v>43542.248969907407</v>
      </c>
      <c r="L3778" s="2">
        <v>43539.248969907407</v>
      </c>
      <c r="M3778" s="1">
        <f>_xlfn.DAYS(Table1[[#This Row],[actual_delivery_date]],Table1[[#This Row],[dispatch_date]])</f>
        <v>7</v>
      </c>
      <c r="N3778">
        <v>39</v>
      </c>
      <c r="O3778">
        <f>Table1[[#This Row],[transit_storage_cost]] * (1-'What -if Analysis'!$D$26)</f>
        <v>39</v>
      </c>
      <c r="P3778">
        <v>109</v>
      </c>
      <c r="Q3778">
        <v>2974</v>
      </c>
    </row>
    <row r="3779" spans="1:17" x14ac:dyDescent="0.3">
      <c r="A3779">
        <v>875783</v>
      </c>
      <c r="B3779" s="1" t="s">
        <v>41</v>
      </c>
      <c r="C3779" s="1" t="s">
        <v>23</v>
      </c>
      <c r="D3779" s="1" t="s">
        <v>32</v>
      </c>
      <c r="E3779" s="1" t="s">
        <v>33</v>
      </c>
      <c r="F3779" s="1" t="s">
        <v>19</v>
      </c>
      <c r="G3779" s="1" t="s">
        <v>20</v>
      </c>
      <c r="H3779" t="s">
        <v>30</v>
      </c>
      <c r="I3779" s="1" t="s">
        <v>22</v>
      </c>
      <c r="J3779" s="2">
        <v>43534.250439814816</v>
      </c>
      <c r="K3779" s="2">
        <v>43542.250439814816</v>
      </c>
      <c r="L3779" s="2">
        <v>43541.250439814816</v>
      </c>
      <c r="M3779" s="1">
        <f>_xlfn.DAYS(Table1[[#This Row],[actual_delivery_date]],Table1[[#This Row],[dispatch_date]])</f>
        <v>8</v>
      </c>
      <c r="N3779">
        <v>65</v>
      </c>
      <c r="O3779">
        <f>Table1[[#This Row],[transit_storage_cost]] * (1-'What -if Analysis'!$D$26)</f>
        <v>65</v>
      </c>
      <c r="P3779">
        <v>86</v>
      </c>
      <c r="Q3779">
        <v>1383.0802648089434</v>
      </c>
    </row>
    <row r="3780" spans="1:17" x14ac:dyDescent="0.3">
      <c r="A3780">
        <v>475714</v>
      </c>
      <c r="B3780" s="1" t="s">
        <v>38</v>
      </c>
      <c r="C3780" s="1" t="s">
        <v>16</v>
      </c>
      <c r="D3780" s="1" t="s">
        <v>23</v>
      </c>
      <c r="E3780" s="1" t="s">
        <v>28</v>
      </c>
      <c r="F3780" s="1" t="s">
        <v>31</v>
      </c>
      <c r="G3780" s="1" t="s">
        <v>20</v>
      </c>
      <c r="H3780" t="s">
        <v>21</v>
      </c>
      <c r="I3780" s="1" t="s">
        <v>22</v>
      </c>
      <c r="J3780" s="2">
        <v>43538.255902777775</v>
      </c>
      <c r="K3780" s="2">
        <v>43542.255902777775</v>
      </c>
      <c r="L3780" s="2">
        <v>43543.255902777775</v>
      </c>
      <c r="M3780" s="1">
        <f>_xlfn.DAYS(Table1[[#This Row],[actual_delivery_date]],Table1[[#This Row],[dispatch_date]])</f>
        <v>4</v>
      </c>
      <c r="N3780">
        <v>32</v>
      </c>
      <c r="O3780">
        <f>Table1[[#This Row],[transit_storage_cost]] * (1-'What -if Analysis'!$D$26)</f>
        <v>32</v>
      </c>
      <c r="P3780">
        <v>122</v>
      </c>
      <c r="Q3780">
        <v>2607</v>
      </c>
    </row>
    <row r="3781" spans="1:17" x14ac:dyDescent="0.3">
      <c r="A3781">
        <v>319221</v>
      </c>
      <c r="B3781" s="1" t="s">
        <v>41</v>
      </c>
      <c r="C3781" s="1" t="s">
        <v>23</v>
      </c>
      <c r="D3781" s="1" t="s">
        <v>16</v>
      </c>
      <c r="E3781" s="1" t="s">
        <v>27</v>
      </c>
      <c r="F3781" s="1" t="s">
        <v>29</v>
      </c>
      <c r="G3781" s="1" t="s">
        <v>20</v>
      </c>
      <c r="H3781" t="s">
        <v>34</v>
      </c>
      <c r="I3781" s="1" t="s">
        <v>26</v>
      </c>
      <c r="J3781" s="2">
        <v>43538.259675925925</v>
      </c>
      <c r="K3781" s="2">
        <v>43542.259675925925</v>
      </c>
      <c r="L3781" s="2">
        <v>43544.259675925925</v>
      </c>
      <c r="M3781" s="1">
        <f>_xlfn.DAYS(Table1[[#This Row],[actual_delivery_date]],Table1[[#This Row],[dispatch_date]])</f>
        <v>4</v>
      </c>
      <c r="N3781">
        <v>34</v>
      </c>
      <c r="O3781">
        <f>Table1[[#This Row],[transit_storage_cost]] * (1-'What -if Analysis'!$D$26)</f>
        <v>34</v>
      </c>
      <c r="P3781">
        <v>125</v>
      </c>
      <c r="Q3781">
        <v>680.07465723357848</v>
      </c>
    </row>
    <row r="3782" spans="1:17" x14ac:dyDescent="0.3">
      <c r="A3782">
        <v>601854</v>
      </c>
      <c r="B3782" s="1" t="s">
        <v>41</v>
      </c>
      <c r="C3782" s="1" t="s">
        <v>16</v>
      </c>
      <c r="D3782" s="1" t="s">
        <v>16</v>
      </c>
      <c r="E3782" s="1" t="s">
        <v>27</v>
      </c>
      <c r="F3782" s="1" t="s">
        <v>31</v>
      </c>
      <c r="G3782" s="1" t="s">
        <v>20</v>
      </c>
      <c r="H3782" t="s">
        <v>21</v>
      </c>
      <c r="I3782" s="1" t="s">
        <v>26</v>
      </c>
      <c r="J3782" s="2">
        <v>43535.262696759259</v>
      </c>
      <c r="K3782" s="2">
        <v>43542.262696759259</v>
      </c>
      <c r="L3782" s="2">
        <v>43541.262696759259</v>
      </c>
      <c r="M3782" s="1">
        <f>_xlfn.DAYS(Table1[[#This Row],[actual_delivery_date]],Table1[[#This Row],[dispatch_date]])</f>
        <v>7</v>
      </c>
      <c r="N3782">
        <v>0</v>
      </c>
      <c r="O3782">
        <f>Table1[[#This Row],[transit_storage_cost]] * (1-'What -if Analysis'!$D$26)</f>
        <v>0</v>
      </c>
      <c r="P3782">
        <v>124</v>
      </c>
      <c r="Q3782">
        <v>569.86132255770258</v>
      </c>
    </row>
    <row r="3783" spans="1:17" x14ac:dyDescent="0.3">
      <c r="A3783">
        <v>548499</v>
      </c>
      <c r="B3783" s="1" t="s">
        <v>40</v>
      </c>
      <c r="C3783" s="1" t="s">
        <v>23</v>
      </c>
      <c r="D3783" s="1" t="s">
        <v>17</v>
      </c>
      <c r="E3783" s="1" t="s">
        <v>18</v>
      </c>
      <c r="F3783" s="1" t="s">
        <v>19</v>
      </c>
      <c r="G3783" s="1" t="s">
        <v>20</v>
      </c>
      <c r="H3783" t="s">
        <v>34</v>
      </c>
      <c r="I3783" s="1" t="s">
        <v>26</v>
      </c>
      <c r="J3783" s="2">
        <v>43537.264849537038</v>
      </c>
      <c r="K3783" s="2">
        <v>43542.264849537038</v>
      </c>
      <c r="L3783" s="2">
        <v>43544.264849537038</v>
      </c>
      <c r="M3783" s="1">
        <f>_xlfn.DAYS(Table1[[#This Row],[actual_delivery_date]],Table1[[#This Row],[dispatch_date]])</f>
        <v>5</v>
      </c>
      <c r="N3783">
        <v>64</v>
      </c>
      <c r="O3783">
        <f>Table1[[#This Row],[transit_storage_cost]] * (1-'What -if Analysis'!$D$26)</f>
        <v>64</v>
      </c>
      <c r="P3783">
        <v>87</v>
      </c>
      <c r="Q3783">
        <v>2108</v>
      </c>
    </row>
    <row r="3784" spans="1:17" x14ac:dyDescent="0.3">
      <c r="A3784">
        <v>742226</v>
      </c>
      <c r="B3784" s="1" t="s">
        <v>39</v>
      </c>
      <c r="C3784" s="1" t="s">
        <v>23</v>
      </c>
      <c r="D3784" s="1" t="s">
        <v>23</v>
      </c>
      <c r="E3784" s="1" t="s">
        <v>28</v>
      </c>
      <c r="F3784" s="1" t="s">
        <v>19</v>
      </c>
      <c r="G3784" s="1" t="s">
        <v>20</v>
      </c>
      <c r="H3784" t="s">
        <v>21</v>
      </c>
      <c r="I3784" s="1" t="s">
        <v>22</v>
      </c>
      <c r="J3784" s="2">
        <v>43538.267106481479</v>
      </c>
      <c r="K3784" s="2">
        <v>43542.267106481479</v>
      </c>
      <c r="L3784" s="2">
        <v>43541.267106481479</v>
      </c>
      <c r="M3784" s="1">
        <f>_xlfn.DAYS(Table1[[#This Row],[actual_delivery_date]],Table1[[#This Row],[dispatch_date]])</f>
        <v>4</v>
      </c>
      <c r="N3784">
        <v>0</v>
      </c>
      <c r="O3784">
        <f>Table1[[#This Row],[transit_storage_cost]] * (1-'What -if Analysis'!$D$26)</f>
        <v>0</v>
      </c>
      <c r="P3784">
        <v>102</v>
      </c>
      <c r="Q3784">
        <v>326.81225487039421</v>
      </c>
    </row>
    <row r="3785" spans="1:17" x14ac:dyDescent="0.3">
      <c r="A3785">
        <v>394357</v>
      </c>
      <c r="B3785" s="1" t="s">
        <v>37</v>
      </c>
      <c r="C3785" s="1" t="s">
        <v>23</v>
      </c>
      <c r="D3785" s="1" t="s">
        <v>16</v>
      </c>
      <c r="E3785" s="1" t="s">
        <v>27</v>
      </c>
      <c r="F3785" s="1" t="s">
        <v>29</v>
      </c>
      <c r="G3785" s="1" t="s">
        <v>20</v>
      </c>
      <c r="H3785" t="s">
        <v>30</v>
      </c>
      <c r="I3785" s="1" t="s">
        <v>22</v>
      </c>
      <c r="J3785" s="2">
        <v>43534.267291666663</v>
      </c>
      <c r="K3785" s="2">
        <v>43542.267291666663</v>
      </c>
      <c r="L3785" s="2">
        <v>43538.267291666663</v>
      </c>
      <c r="M3785" s="1">
        <f>_xlfn.DAYS(Table1[[#This Row],[actual_delivery_date]],Table1[[#This Row],[dispatch_date]])</f>
        <v>8</v>
      </c>
      <c r="N3785">
        <v>29</v>
      </c>
      <c r="O3785">
        <f>Table1[[#This Row],[transit_storage_cost]] * (1-'What -if Analysis'!$D$26)</f>
        <v>29</v>
      </c>
      <c r="P3785">
        <v>124</v>
      </c>
      <c r="Q3785">
        <v>581</v>
      </c>
    </row>
    <row r="3786" spans="1:17" x14ac:dyDescent="0.3">
      <c r="A3786">
        <v>667954</v>
      </c>
      <c r="B3786" s="1" t="s">
        <v>38</v>
      </c>
      <c r="C3786" s="1" t="s">
        <v>23</v>
      </c>
      <c r="D3786" s="1" t="s">
        <v>17</v>
      </c>
      <c r="E3786" s="1" t="s">
        <v>18</v>
      </c>
      <c r="F3786" s="1" t="s">
        <v>31</v>
      </c>
      <c r="G3786" s="1" t="s">
        <v>20</v>
      </c>
      <c r="H3786" t="s">
        <v>21</v>
      </c>
      <c r="I3786" s="1" t="s">
        <v>22</v>
      </c>
      <c r="J3786" s="2">
        <v>43538.271319444444</v>
      </c>
      <c r="K3786" s="2">
        <v>43542.271319444444</v>
      </c>
      <c r="L3786" s="2">
        <v>43543.271319444444</v>
      </c>
      <c r="M3786" s="1">
        <f>_xlfn.DAYS(Table1[[#This Row],[actual_delivery_date]],Table1[[#This Row],[dispatch_date]])</f>
        <v>4</v>
      </c>
      <c r="N3786">
        <v>47</v>
      </c>
      <c r="O3786">
        <f>Table1[[#This Row],[transit_storage_cost]] * (1-'What -if Analysis'!$D$26)</f>
        <v>47</v>
      </c>
      <c r="P3786">
        <v>111</v>
      </c>
      <c r="Q3786">
        <v>3208.1862129155975</v>
      </c>
    </row>
    <row r="3787" spans="1:17" x14ac:dyDescent="0.3">
      <c r="A3787">
        <v>570438</v>
      </c>
      <c r="B3787" s="1" t="s">
        <v>41</v>
      </c>
      <c r="C3787" s="1" t="s">
        <v>23</v>
      </c>
      <c r="D3787" s="1" t="s">
        <v>17</v>
      </c>
      <c r="E3787" s="1" t="s">
        <v>18</v>
      </c>
      <c r="F3787" s="1" t="s">
        <v>31</v>
      </c>
      <c r="G3787" s="1" t="s">
        <v>20</v>
      </c>
      <c r="H3787" t="s">
        <v>21</v>
      </c>
      <c r="I3787" s="1" t="s">
        <v>26</v>
      </c>
      <c r="J3787" s="2">
        <v>43535.293541666666</v>
      </c>
      <c r="K3787" s="2">
        <v>43542.293541666666</v>
      </c>
      <c r="L3787" s="2">
        <v>43542.293541666666</v>
      </c>
      <c r="M3787" s="1">
        <f>_xlfn.DAYS(Table1[[#This Row],[actual_delivery_date]],Table1[[#This Row],[dispatch_date]])</f>
        <v>7</v>
      </c>
      <c r="N3787">
        <v>0</v>
      </c>
      <c r="O3787">
        <f>Table1[[#This Row],[transit_storage_cost]] * (1-'What -if Analysis'!$D$26)</f>
        <v>0</v>
      </c>
      <c r="P3787">
        <v>106</v>
      </c>
      <c r="Q3787">
        <v>1514.3852044628786</v>
      </c>
    </row>
    <row r="3788" spans="1:17" x14ac:dyDescent="0.3">
      <c r="A3788">
        <v>934090</v>
      </c>
      <c r="B3788" s="1" t="s">
        <v>38</v>
      </c>
      <c r="C3788" s="1" t="s">
        <v>23</v>
      </c>
      <c r="D3788" s="1" t="s">
        <v>16</v>
      </c>
      <c r="E3788" s="1" t="s">
        <v>27</v>
      </c>
      <c r="F3788" s="1" t="s">
        <v>19</v>
      </c>
      <c r="G3788" s="1" t="s">
        <v>20</v>
      </c>
      <c r="H3788" t="s">
        <v>21</v>
      </c>
      <c r="I3788" s="1" t="s">
        <v>22</v>
      </c>
      <c r="J3788" s="2">
        <v>43536.295474537037</v>
      </c>
      <c r="K3788" s="2">
        <v>43542.295474537037</v>
      </c>
      <c r="L3788" s="2">
        <v>43542.295474537037</v>
      </c>
      <c r="M3788" s="1">
        <f>_xlfn.DAYS(Table1[[#This Row],[actual_delivery_date]],Table1[[#This Row],[dispatch_date]])</f>
        <v>6</v>
      </c>
      <c r="N3788">
        <v>79</v>
      </c>
      <c r="O3788">
        <f>Table1[[#This Row],[transit_storage_cost]] * (1-'What -if Analysis'!$D$26)</f>
        <v>79</v>
      </c>
      <c r="P3788">
        <v>107</v>
      </c>
      <c r="Q3788">
        <v>2258</v>
      </c>
    </row>
    <row r="3789" spans="1:17" x14ac:dyDescent="0.3">
      <c r="A3789">
        <v>764402</v>
      </c>
      <c r="B3789" s="1" t="s">
        <v>41</v>
      </c>
      <c r="C3789" s="1" t="s">
        <v>16</v>
      </c>
      <c r="D3789" s="1" t="s">
        <v>32</v>
      </c>
      <c r="E3789" s="1" t="s">
        <v>33</v>
      </c>
      <c r="F3789" s="1" t="s">
        <v>31</v>
      </c>
      <c r="G3789" s="1" t="s">
        <v>20</v>
      </c>
      <c r="H3789" t="s">
        <v>21</v>
      </c>
      <c r="I3789" s="1" t="s">
        <v>22</v>
      </c>
      <c r="J3789" s="2">
        <v>43535.303148148145</v>
      </c>
      <c r="K3789" s="2">
        <v>43542.303148148145</v>
      </c>
      <c r="L3789" s="2">
        <v>43540.303148148145</v>
      </c>
      <c r="M3789" s="1">
        <f>_xlfn.DAYS(Table1[[#This Row],[actual_delivery_date]],Table1[[#This Row],[dispatch_date]])</f>
        <v>7</v>
      </c>
      <c r="N3789">
        <v>29</v>
      </c>
      <c r="O3789">
        <f>Table1[[#This Row],[transit_storage_cost]] * (1-'What -if Analysis'!$D$26)</f>
        <v>29</v>
      </c>
      <c r="P3789">
        <v>109</v>
      </c>
      <c r="Q3789">
        <v>1259.6937158365347</v>
      </c>
    </row>
    <row r="3790" spans="1:17" x14ac:dyDescent="0.3">
      <c r="A3790">
        <v>426563</v>
      </c>
      <c r="B3790" s="1" t="s">
        <v>40</v>
      </c>
      <c r="C3790" s="1" t="s">
        <v>16</v>
      </c>
      <c r="D3790" s="1" t="s">
        <v>23</v>
      </c>
      <c r="E3790" s="1" t="s">
        <v>28</v>
      </c>
      <c r="F3790" s="1" t="s">
        <v>29</v>
      </c>
      <c r="G3790" s="1" t="s">
        <v>20</v>
      </c>
      <c r="H3790" t="s">
        <v>30</v>
      </c>
      <c r="I3790" s="1" t="s">
        <v>22</v>
      </c>
      <c r="J3790" s="2">
        <v>43534.306076388886</v>
      </c>
      <c r="K3790" s="2">
        <v>43542.306076388886</v>
      </c>
      <c r="L3790" s="2">
        <v>43540.306076388886</v>
      </c>
      <c r="M3790" s="1">
        <f>_xlfn.DAYS(Table1[[#This Row],[actual_delivery_date]],Table1[[#This Row],[dispatch_date]])</f>
        <v>8</v>
      </c>
      <c r="N3790">
        <v>48</v>
      </c>
      <c r="O3790">
        <f>Table1[[#This Row],[transit_storage_cost]] * (1-'What -if Analysis'!$D$26)</f>
        <v>48</v>
      </c>
      <c r="P3790">
        <v>121</v>
      </c>
      <c r="Q3790">
        <v>462.67627530475488</v>
      </c>
    </row>
    <row r="3791" spans="1:17" x14ac:dyDescent="0.3">
      <c r="A3791">
        <v>873669</v>
      </c>
      <c r="B3791" s="1" t="s">
        <v>37</v>
      </c>
      <c r="C3791" s="1" t="s">
        <v>16</v>
      </c>
      <c r="D3791" s="1" t="s">
        <v>24</v>
      </c>
      <c r="E3791" s="1" t="s">
        <v>25</v>
      </c>
      <c r="F3791" s="1" t="s">
        <v>29</v>
      </c>
      <c r="G3791" s="1" t="s">
        <v>20</v>
      </c>
      <c r="H3791" t="s">
        <v>30</v>
      </c>
      <c r="I3791" s="1" t="s">
        <v>26</v>
      </c>
      <c r="J3791" s="2">
        <v>43538.309490740743</v>
      </c>
      <c r="K3791" s="2">
        <v>43542.309490740743</v>
      </c>
      <c r="L3791" s="2">
        <v>43544.309490740743</v>
      </c>
      <c r="M3791" s="1">
        <f>_xlfn.DAYS(Table1[[#This Row],[actual_delivery_date]],Table1[[#This Row],[dispatch_date]])</f>
        <v>4</v>
      </c>
      <c r="N3791">
        <v>25</v>
      </c>
      <c r="O3791">
        <f>Table1[[#This Row],[transit_storage_cost]] * (1-'What -if Analysis'!$D$26)</f>
        <v>25</v>
      </c>
      <c r="P3791">
        <v>122</v>
      </c>
      <c r="Q3791">
        <v>2647.7169959641324</v>
      </c>
    </row>
    <row r="3792" spans="1:17" x14ac:dyDescent="0.3">
      <c r="A3792">
        <v>314644</v>
      </c>
      <c r="B3792" s="1" t="s">
        <v>38</v>
      </c>
      <c r="C3792" s="1" t="s">
        <v>23</v>
      </c>
      <c r="D3792" s="1" t="s">
        <v>24</v>
      </c>
      <c r="E3792" s="1" t="s">
        <v>25</v>
      </c>
      <c r="F3792" s="1" t="s">
        <v>19</v>
      </c>
      <c r="G3792" s="1" t="s">
        <v>20</v>
      </c>
      <c r="H3792" t="s">
        <v>21</v>
      </c>
      <c r="I3792" s="1" t="s">
        <v>22</v>
      </c>
      <c r="J3792" s="2">
        <v>43532.328425925924</v>
      </c>
      <c r="K3792" s="2">
        <v>43542.328425925924</v>
      </c>
      <c r="L3792" s="2">
        <v>43537.328425925924</v>
      </c>
      <c r="M3792" s="1">
        <f>_xlfn.DAYS(Table1[[#This Row],[actual_delivery_date]],Table1[[#This Row],[dispatch_date]])</f>
        <v>10</v>
      </c>
      <c r="N3792">
        <v>38</v>
      </c>
      <c r="O3792">
        <f>Table1[[#This Row],[transit_storage_cost]] * (1-'What -if Analysis'!$D$26)</f>
        <v>38</v>
      </c>
      <c r="P3792">
        <v>123</v>
      </c>
      <c r="Q3792">
        <v>1502.3677941298029</v>
      </c>
    </row>
    <row r="3793" spans="1:17" x14ac:dyDescent="0.3">
      <c r="A3793">
        <v>934457</v>
      </c>
      <c r="B3793" s="1" t="s">
        <v>38</v>
      </c>
      <c r="C3793" s="1" t="s">
        <v>16</v>
      </c>
      <c r="D3793" s="1" t="s">
        <v>23</v>
      </c>
      <c r="E3793" s="1" t="s">
        <v>28</v>
      </c>
      <c r="F3793" s="1" t="s">
        <v>19</v>
      </c>
      <c r="G3793" s="1" t="s">
        <v>20</v>
      </c>
      <c r="H3793" t="s">
        <v>30</v>
      </c>
      <c r="I3793" s="1" t="s">
        <v>22</v>
      </c>
      <c r="J3793" s="2">
        <v>43536.347870370373</v>
      </c>
      <c r="K3793" s="2">
        <v>43542.347870370373</v>
      </c>
      <c r="L3793" s="2">
        <v>43539.347870370373</v>
      </c>
      <c r="M3793" s="1">
        <f>_xlfn.DAYS(Table1[[#This Row],[actual_delivery_date]],Table1[[#This Row],[dispatch_date]])</f>
        <v>6</v>
      </c>
      <c r="N3793">
        <v>72</v>
      </c>
      <c r="O3793">
        <f>Table1[[#This Row],[transit_storage_cost]] * (1-'What -if Analysis'!$D$26)</f>
        <v>72</v>
      </c>
      <c r="P3793">
        <v>104</v>
      </c>
      <c r="Q3793">
        <v>3342</v>
      </c>
    </row>
    <row r="3794" spans="1:17" x14ac:dyDescent="0.3">
      <c r="A3794">
        <v>636099</v>
      </c>
      <c r="B3794" s="1" t="s">
        <v>38</v>
      </c>
      <c r="C3794" s="1" t="s">
        <v>23</v>
      </c>
      <c r="D3794" s="1" t="s">
        <v>16</v>
      </c>
      <c r="E3794" s="1" t="s">
        <v>27</v>
      </c>
      <c r="F3794" s="1" t="s">
        <v>29</v>
      </c>
      <c r="G3794" s="1" t="s">
        <v>20</v>
      </c>
      <c r="H3794" t="s">
        <v>30</v>
      </c>
      <c r="I3794" s="1" t="s">
        <v>26</v>
      </c>
      <c r="J3794" s="2">
        <v>43537.357303240744</v>
      </c>
      <c r="K3794" s="2">
        <v>43542.357303240744</v>
      </c>
      <c r="L3794" s="2">
        <v>43540.357303240744</v>
      </c>
      <c r="M3794" s="1">
        <f>_xlfn.DAYS(Table1[[#This Row],[actual_delivery_date]],Table1[[#This Row],[dispatch_date]])</f>
        <v>5</v>
      </c>
      <c r="N3794">
        <v>42</v>
      </c>
      <c r="O3794">
        <f>Table1[[#This Row],[transit_storage_cost]] * (1-'What -if Analysis'!$D$26)</f>
        <v>42</v>
      </c>
      <c r="P3794">
        <v>130</v>
      </c>
      <c r="Q3794">
        <v>2638.772550086082</v>
      </c>
    </row>
    <row r="3795" spans="1:17" x14ac:dyDescent="0.3">
      <c r="A3795">
        <v>535000</v>
      </c>
      <c r="B3795" s="1" t="s">
        <v>15</v>
      </c>
      <c r="C3795" s="1" t="s">
        <v>23</v>
      </c>
      <c r="D3795" s="1" t="s">
        <v>17</v>
      </c>
      <c r="E3795" s="1" t="s">
        <v>18</v>
      </c>
      <c r="F3795" s="1" t="s">
        <v>19</v>
      </c>
      <c r="G3795" s="1" t="s">
        <v>20</v>
      </c>
      <c r="H3795" t="s">
        <v>21</v>
      </c>
      <c r="I3795" s="1" t="s">
        <v>22</v>
      </c>
      <c r="J3795" s="2">
        <v>43537.359236111108</v>
      </c>
      <c r="K3795" s="2">
        <v>43542.359236111108</v>
      </c>
      <c r="L3795" s="2">
        <v>43541.359236111108</v>
      </c>
      <c r="M3795" s="1">
        <f>_xlfn.DAYS(Table1[[#This Row],[actual_delivery_date]],Table1[[#This Row],[dispatch_date]])</f>
        <v>5</v>
      </c>
      <c r="N3795">
        <v>76</v>
      </c>
      <c r="O3795">
        <f>Table1[[#This Row],[transit_storage_cost]] * (1-'What -if Analysis'!$D$26)</f>
        <v>76</v>
      </c>
      <c r="P3795">
        <v>94</v>
      </c>
      <c r="Q3795">
        <v>1690.666873586578</v>
      </c>
    </row>
    <row r="3796" spans="1:17" x14ac:dyDescent="0.3">
      <c r="A3796">
        <v>552095</v>
      </c>
      <c r="B3796" s="1" t="s">
        <v>39</v>
      </c>
      <c r="C3796" s="1" t="s">
        <v>16</v>
      </c>
      <c r="D3796" s="1" t="s">
        <v>17</v>
      </c>
      <c r="E3796" s="1" t="s">
        <v>18</v>
      </c>
      <c r="F3796" s="1" t="s">
        <v>19</v>
      </c>
      <c r="G3796" s="1" t="s">
        <v>20</v>
      </c>
      <c r="H3796" t="s">
        <v>30</v>
      </c>
      <c r="I3796" s="1" t="s">
        <v>22</v>
      </c>
      <c r="J3796" s="2">
        <v>43536.369652777779</v>
      </c>
      <c r="K3796" s="2">
        <v>43542.369652777779</v>
      </c>
      <c r="L3796" s="2">
        <v>43541.369652777779</v>
      </c>
      <c r="M3796" s="1">
        <f>_xlfn.DAYS(Table1[[#This Row],[actual_delivery_date]],Table1[[#This Row],[dispatch_date]])</f>
        <v>6</v>
      </c>
      <c r="N3796">
        <v>75</v>
      </c>
      <c r="O3796">
        <f>Table1[[#This Row],[transit_storage_cost]] * (1-'What -if Analysis'!$D$26)</f>
        <v>75</v>
      </c>
      <c r="P3796">
        <v>91</v>
      </c>
      <c r="Q3796">
        <v>1521.2486828079093</v>
      </c>
    </row>
    <row r="3797" spans="1:17" x14ac:dyDescent="0.3">
      <c r="A3797">
        <v>395217</v>
      </c>
      <c r="B3797" s="1" t="s">
        <v>41</v>
      </c>
      <c r="C3797" s="1" t="s">
        <v>16</v>
      </c>
      <c r="D3797" s="1" t="s">
        <v>16</v>
      </c>
      <c r="E3797" s="1" t="s">
        <v>27</v>
      </c>
      <c r="F3797" s="1" t="s">
        <v>29</v>
      </c>
      <c r="G3797" s="1" t="s">
        <v>20</v>
      </c>
      <c r="H3797" t="s">
        <v>30</v>
      </c>
      <c r="I3797" s="1" t="s">
        <v>26</v>
      </c>
      <c r="J3797" s="2">
        <v>43537.376782407409</v>
      </c>
      <c r="K3797" s="2">
        <v>43542.376782407409</v>
      </c>
      <c r="L3797" s="2">
        <v>43543.376782407409</v>
      </c>
      <c r="M3797" s="1">
        <f>_xlfn.DAYS(Table1[[#This Row],[actual_delivery_date]],Table1[[#This Row],[dispatch_date]])</f>
        <v>5</v>
      </c>
      <c r="N3797">
        <v>0</v>
      </c>
      <c r="O3797">
        <f>Table1[[#This Row],[transit_storage_cost]] * (1-'What -if Analysis'!$D$26)</f>
        <v>0</v>
      </c>
      <c r="P3797">
        <v>127</v>
      </c>
      <c r="Q3797">
        <v>3702.5254884733986</v>
      </c>
    </row>
    <row r="3798" spans="1:17" x14ac:dyDescent="0.3">
      <c r="A3798">
        <v>253259</v>
      </c>
      <c r="B3798" s="1" t="s">
        <v>15</v>
      </c>
      <c r="C3798" s="1" t="s">
        <v>16</v>
      </c>
      <c r="D3798" s="1" t="s">
        <v>17</v>
      </c>
      <c r="E3798" s="1" t="s">
        <v>18</v>
      </c>
      <c r="F3798" s="1" t="s">
        <v>29</v>
      </c>
      <c r="G3798" s="1" t="s">
        <v>20</v>
      </c>
      <c r="H3798" t="s">
        <v>30</v>
      </c>
      <c r="I3798" s="1" t="s">
        <v>22</v>
      </c>
      <c r="J3798" s="2">
        <v>43533.383784722224</v>
      </c>
      <c r="K3798" s="2">
        <v>43542.383784722224</v>
      </c>
      <c r="L3798" s="2">
        <v>43536.383784722224</v>
      </c>
      <c r="M3798" s="1">
        <f>_xlfn.DAYS(Table1[[#This Row],[actual_delivery_date]],Table1[[#This Row],[dispatch_date]])</f>
        <v>9</v>
      </c>
      <c r="N3798">
        <v>44</v>
      </c>
      <c r="O3798">
        <f>Table1[[#This Row],[transit_storage_cost]] * (1-'What -if Analysis'!$D$26)</f>
        <v>44</v>
      </c>
      <c r="P3798">
        <v>115</v>
      </c>
      <c r="Q3798">
        <v>1335.5066399894574</v>
      </c>
    </row>
    <row r="3799" spans="1:17" x14ac:dyDescent="0.3">
      <c r="A3799">
        <v>466054</v>
      </c>
      <c r="B3799" s="1" t="s">
        <v>39</v>
      </c>
      <c r="C3799" s="1" t="s">
        <v>23</v>
      </c>
      <c r="D3799" s="1" t="s">
        <v>17</v>
      </c>
      <c r="E3799" s="1" t="s">
        <v>18</v>
      </c>
      <c r="F3799" s="1" t="s">
        <v>31</v>
      </c>
      <c r="G3799" s="1" t="s">
        <v>20</v>
      </c>
      <c r="H3799" t="s">
        <v>21</v>
      </c>
      <c r="I3799" s="1" t="s">
        <v>22</v>
      </c>
      <c r="J3799" s="2">
        <v>43537.387418981481</v>
      </c>
      <c r="K3799" s="2">
        <v>43542.387418981481</v>
      </c>
      <c r="L3799" s="2">
        <v>43543.387418981481</v>
      </c>
      <c r="M3799" s="1">
        <f>_xlfn.DAYS(Table1[[#This Row],[actual_delivery_date]],Table1[[#This Row],[dispatch_date]])</f>
        <v>5</v>
      </c>
      <c r="N3799">
        <v>41</v>
      </c>
      <c r="O3799">
        <f>Table1[[#This Row],[transit_storage_cost]] * (1-'What -if Analysis'!$D$26)</f>
        <v>41</v>
      </c>
      <c r="P3799">
        <v>114</v>
      </c>
      <c r="Q3799">
        <v>2142</v>
      </c>
    </row>
    <row r="3800" spans="1:17" x14ac:dyDescent="0.3">
      <c r="A3800">
        <v>259490</v>
      </c>
      <c r="B3800" s="1" t="s">
        <v>38</v>
      </c>
      <c r="C3800" s="1" t="s">
        <v>23</v>
      </c>
      <c r="D3800" s="1" t="s">
        <v>16</v>
      </c>
      <c r="E3800" s="1" t="s">
        <v>27</v>
      </c>
      <c r="F3800" s="1" t="s">
        <v>31</v>
      </c>
      <c r="G3800" s="1" t="s">
        <v>20</v>
      </c>
      <c r="H3800" t="s">
        <v>21</v>
      </c>
      <c r="I3800" s="1" t="s">
        <v>22</v>
      </c>
      <c r="J3800" s="2">
        <v>43533.387731481482</v>
      </c>
      <c r="K3800" s="2">
        <v>43542.387731481482</v>
      </c>
      <c r="L3800" s="2">
        <v>43540.387731481482</v>
      </c>
      <c r="M3800" s="1">
        <f>_xlfn.DAYS(Table1[[#This Row],[actual_delivery_date]],Table1[[#This Row],[dispatch_date]])</f>
        <v>9</v>
      </c>
      <c r="N3800">
        <v>44</v>
      </c>
      <c r="O3800">
        <f>Table1[[#This Row],[transit_storage_cost]] * (1-'What -if Analysis'!$D$26)</f>
        <v>44</v>
      </c>
      <c r="P3800">
        <v>121</v>
      </c>
      <c r="Q3800">
        <v>1775.6195035421715</v>
      </c>
    </row>
    <row r="3801" spans="1:17" x14ac:dyDescent="0.3">
      <c r="A3801">
        <v>972169</v>
      </c>
      <c r="B3801" s="1" t="s">
        <v>38</v>
      </c>
      <c r="C3801" s="1" t="s">
        <v>16</v>
      </c>
      <c r="D3801" s="1" t="s">
        <v>32</v>
      </c>
      <c r="E3801" s="1" t="s">
        <v>33</v>
      </c>
      <c r="F3801" s="1" t="s">
        <v>29</v>
      </c>
      <c r="G3801" s="1" t="s">
        <v>20</v>
      </c>
      <c r="H3801" t="s">
        <v>30</v>
      </c>
      <c r="I3801" s="1" t="s">
        <v>22</v>
      </c>
      <c r="J3801" s="2">
        <v>43535.392500000002</v>
      </c>
      <c r="K3801" s="2">
        <v>43542.392500000002</v>
      </c>
      <c r="L3801" s="2">
        <v>43542.392500000002</v>
      </c>
      <c r="M3801" s="1">
        <f>_xlfn.DAYS(Table1[[#This Row],[actual_delivery_date]],Table1[[#This Row],[dispatch_date]])</f>
        <v>7</v>
      </c>
      <c r="N3801">
        <v>37</v>
      </c>
      <c r="O3801">
        <f>Table1[[#This Row],[transit_storage_cost]] * (1-'What -if Analysis'!$D$26)</f>
        <v>37</v>
      </c>
      <c r="P3801">
        <v>107</v>
      </c>
      <c r="Q3801">
        <v>2139.8111099241469</v>
      </c>
    </row>
    <row r="3802" spans="1:17" x14ac:dyDescent="0.3">
      <c r="A3802">
        <v>315369</v>
      </c>
      <c r="B3802" s="1" t="s">
        <v>38</v>
      </c>
      <c r="C3802" s="1" t="s">
        <v>16</v>
      </c>
      <c r="D3802" s="1" t="s">
        <v>23</v>
      </c>
      <c r="E3802" s="1" t="s">
        <v>28</v>
      </c>
      <c r="F3802" s="1" t="s">
        <v>29</v>
      </c>
      <c r="G3802" s="1" t="s">
        <v>20</v>
      </c>
      <c r="H3802" t="s">
        <v>30</v>
      </c>
      <c r="I3802" s="1" t="s">
        <v>26</v>
      </c>
      <c r="J3802" s="2">
        <v>43537.393958333334</v>
      </c>
      <c r="K3802" s="2">
        <v>43542.393958333334</v>
      </c>
      <c r="L3802" s="2">
        <v>43543.393958333334</v>
      </c>
      <c r="M3802" s="1">
        <f>_xlfn.DAYS(Table1[[#This Row],[actual_delivery_date]],Table1[[#This Row],[dispatch_date]])</f>
        <v>5</v>
      </c>
      <c r="N3802">
        <v>0</v>
      </c>
      <c r="O3802">
        <f>Table1[[#This Row],[transit_storage_cost]] * (1-'What -if Analysis'!$D$26)</f>
        <v>0</v>
      </c>
      <c r="P3802">
        <v>124</v>
      </c>
      <c r="Q3802">
        <v>2433.8096180722641</v>
      </c>
    </row>
    <row r="3803" spans="1:17" x14ac:dyDescent="0.3">
      <c r="A3803">
        <v>164292</v>
      </c>
      <c r="B3803" s="1" t="s">
        <v>41</v>
      </c>
      <c r="C3803" s="1" t="s">
        <v>23</v>
      </c>
      <c r="D3803" s="1" t="s">
        <v>17</v>
      </c>
      <c r="E3803" s="1" t="s">
        <v>18</v>
      </c>
      <c r="F3803" s="1" t="s">
        <v>19</v>
      </c>
      <c r="G3803" s="1" t="s">
        <v>20</v>
      </c>
      <c r="H3803" t="s">
        <v>21</v>
      </c>
      <c r="I3803" s="1" t="s">
        <v>26</v>
      </c>
      <c r="J3803" s="2">
        <v>43537.405057870368</v>
      </c>
      <c r="K3803" s="2">
        <v>43542.405057870368</v>
      </c>
      <c r="L3803" s="2">
        <v>43544.405057870368</v>
      </c>
      <c r="M3803" s="1">
        <f>_xlfn.DAYS(Table1[[#This Row],[actual_delivery_date]],Table1[[#This Row],[dispatch_date]])</f>
        <v>5</v>
      </c>
      <c r="N3803">
        <v>39</v>
      </c>
      <c r="O3803">
        <f>Table1[[#This Row],[transit_storage_cost]] * (1-'What -if Analysis'!$D$26)</f>
        <v>39</v>
      </c>
      <c r="P3803">
        <v>113</v>
      </c>
      <c r="Q3803">
        <v>3223.5410778466653</v>
      </c>
    </row>
    <row r="3804" spans="1:17" x14ac:dyDescent="0.3">
      <c r="A3804">
        <v>685327</v>
      </c>
      <c r="B3804" s="1" t="s">
        <v>38</v>
      </c>
      <c r="C3804" s="1" t="s">
        <v>23</v>
      </c>
      <c r="D3804" s="1" t="s">
        <v>17</v>
      </c>
      <c r="E3804" s="1" t="s">
        <v>18</v>
      </c>
      <c r="F3804" s="1" t="s">
        <v>19</v>
      </c>
      <c r="G3804" s="1" t="s">
        <v>20</v>
      </c>
      <c r="H3804" t="s">
        <v>30</v>
      </c>
      <c r="I3804" s="1" t="s">
        <v>22</v>
      </c>
      <c r="J3804" s="2">
        <v>43538.406018518515</v>
      </c>
      <c r="K3804" s="2">
        <v>43542.406018518515</v>
      </c>
      <c r="L3804" s="2">
        <v>43542.406018518515</v>
      </c>
      <c r="M3804" s="1">
        <f>_xlfn.DAYS(Table1[[#This Row],[actual_delivery_date]],Table1[[#This Row],[dispatch_date]])</f>
        <v>4</v>
      </c>
      <c r="N3804">
        <v>68</v>
      </c>
      <c r="O3804">
        <f>Table1[[#This Row],[transit_storage_cost]] * (1-'What -if Analysis'!$D$26)</f>
        <v>68</v>
      </c>
      <c r="P3804">
        <v>86</v>
      </c>
      <c r="Q3804">
        <v>3082.5435147205421</v>
      </c>
    </row>
    <row r="3805" spans="1:17" x14ac:dyDescent="0.3">
      <c r="A3805">
        <v>96609</v>
      </c>
      <c r="B3805" s="1" t="s">
        <v>37</v>
      </c>
      <c r="C3805" s="1" t="s">
        <v>16</v>
      </c>
      <c r="D3805" s="1" t="s">
        <v>17</v>
      </c>
      <c r="E3805" s="1" t="s">
        <v>18</v>
      </c>
      <c r="F3805" s="1" t="s">
        <v>29</v>
      </c>
      <c r="G3805" s="1" t="s">
        <v>20</v>
      </c>
      <c r="H3805" t="s">
        <v>30</v>
      </c>
      <c r="I3805" s="1" t="s">
        <v>26</v>
      </c>
      <c r="J3805" s="2">
        <v>43534.414571759262</v>
      </c>
      <c r="K3805" s="2">
        <v>43542.414571759262</v>
      </c>
      <c r="L3805" s="2">
        <v>43538.414571759262</v>
      </c>
      <c r="M3805" s="1">
        <f>_xlfn.DAYS(Table1[[#This Row],[actual_delivery_date]],Table1[[#This Row],[dispatch_date]])</f>
        <v>8</v>
      </c>
      <c r="N3805">
        <v>39</v>
      </c>
      <c r="O3805">
        <f>Table1[[#This Row],[transit_storage_cost]] * (1-'What -if Analysis'!$D$26)</f>
        <v>39</v>
      </c>
      <c r="P3805">
        <v>113</v>
      </c>
      <c r="Q3805">
        <v>3617.2687640677136</v>
      </c>
    </row>
    <row r="3806" spans="1:17" x14ac:dyDescent="0.3">
      <c r="A3806">
        <v>569287</v>
      </c>
      <c r="B3806" s="1" t="s">
        <v>38</v>
      </c>
      <c r="C3806" s="1" t="s">
        <v>16</v>
      </c>
      <c r="D3806" s="1" t="s">
        <v>23</v>
      </c>
      <c r="E3806" s="1" t="s">
        <v>28</v>
      </c>
      <c r="F3806" s="1" t="s">
        <v>29</v>
      </c>
      <c r="G3806" s="1" t="s">
        <v>20</v>
      </c>
      <c r="H3806" t="s">
        <v>30</v>
      </c>
      <c r="I3806" s="1" t="s">
        <v>22</v>
      </c>
      <c r="J3806" s="2">
        <v>43533.415092592593</v>
      </c>
      <c r="K3806" s="2">
        <v>43542.415092592593</v>
      </c>
      <c r="L3806" s="2">
        <v>43537.415092592593</v>
      </c>
      <c r="M3806" s="1">
        <f>_xlfn.DAYS(Table1[[#This Row],[actual_delivery_date]],Table1[[#This Row],[dispatch_date]])</f>
        <v>9</v>
      </c>
      <c r="N3806">
        <v>30</v>
      </c>
      <c r="O3806">
        <f>Table1[[#This Row],[transit_storage_cost]] * (1-'What -if Analysis'!$D$26)</f>
        <v>30</v>
      </c>
      <c r="P3806">
        <v>123</v>
      </c>
      <c r="Q3806">
        <v>2179</v>
      </c>
    </row>
    <row r="3807" spans="1:17" x14ac:dyDescent="0.3">
      <c r="A3807">
        <v>568499</v>
      </c>
      <c r="B3807" s="1" t="s">
        <v>38</v>
      </c>
      <c r="C3807" s="1" t="s">
        <v>16</v>
      </c>
      <c r="D3807" s="1" t="s">
        <v>16</v>
      </c>
      <c r="E3807" s="1" t="s">
        <v>27</v>
      </c>
      <c r="F3807" s="1" t="s">
        <v>29</v>
      </c>
      <c r="G3807" s="1" t="s">
        <v>20</v>
      </c>
      <c r="H3807" t="s">
        <v>30</v>
      </c>
      <c r="I3807" s="1" t="s">
        <v>22</v>
      </c>
      <c r="J3807" s="2">
        <v>43538.430497685185</v>
      </c>
      <c r="K3807" s="2">
        <v>43542.430497685185</v>
      </c>
      <c r="L3807" s="2">
        <v>43543.430497685185</v>
      </c>
      <c r="M3807" s="1">
        <f>_xlfn.DAYS(Table1[[#This Row],[actual_delivery_date]],Table1[[#This Row],[dispatch_date]])</f>
        <v>4</v>
      </c>
      <c r="N3807">
        <v>0</v>
      </c>
      <c r="O3807">
        <f>Table1[[#This Row],[transit_storage_cost]] * (1-'What -if Analysis'!$D$26)</f>
        <v>0</v>
      </c>
      <c r="P3807">
        <v>125</v>
      </c>
      <c r="Q3807">
        <v>2705</v>
      </c>
    </row>
    <row r="3808" spans="1:17" x14ac:dyDescent="0.3">
      <c r="A3808">
        <v>401122</v>
      </c>
      <c r="B3808" s="1" t="s">
        <v>37</v>
      </c>
      <c r="C3808" s="1" t="s">
        <v>16</v>
      </c>
      <c r="D3808" s="1" t="s">
        <v>17</v>
      </c>
      <c r="E3808" s="1" t="s">
        <v>18</v>
      </c>
      <c r="F3808" s="1" t="s">
        <v>31</v>
      </c>
      <c r="G3808" s="1" t="s">
        <v>20</v>
      </c>
      <c r="H3808" t="s">
        <v>21</v>
      </c>
      <c r="I3808" s="1" t="s">
        <v>22</v>
      </c>
      <c r="J3808" s="2">
        <v>43537.436284722222</v>
      </c>
      <c r="K3808" s="2">
        <v>43542.436284722222</v>
      </c>
      <c r="L3808" s="2">
        <v>43544.436284722222</v>
      </c>
      <c r="M3808" s="1">
        <f>_xlfn.DAYS(Table1[[#This Row],[actual_delivery_date]],Table1[[#This Row],[dispatch_date]])</f>
        <v>5</v>
      </c>
      <c r="N3808">
        <v>36</v>
      </c>
      <c r="O3808">
        <f>Table1[[#This Row],[transit_storage_cost]] * (1-'What -if Analysis'!$D$26)</f>
        <v>36</v>
      </c>
      <c r="P3808">
        <v>108</v>
      </c>
      <c r="Q3808">
        <v>794</v>
      </c>
    </row>
    <row r="3809" spans="1:17" x14ac:dyDescent="0.3">
      <c r="A3809">
        <v>552788</v>
      </c>
      <c r="B3809" s="1" t="s">
        <v>38</v>
      </c>
      <c r="C3809" s="1" t="s">
        <v>23</v>
      </c>
      <c r="D3809" s="1" t="s">
        <v>23</v>
      </c>
      <c r="E3809" s="1" t="s">
        <v>28</v>
      </c>
      <c r="F3809" s="1" t="s">
        <v>19</v>
      </c>
      <c r="G3809" s="1" t="s">
        <v>20</v>
      </c>
      <c r="H3809" t="s">
        <v>21</v>
      </c>
      <c r="I3809" s="1" t="s">
        <v>22</v>
      </c>
      <c r="J3809" s="2">
        <v>43537.446064814816</v>
      </c>
      <c r="K3809" s="2">
        <v>43542.446064814816</v>
      </c>
      <c r="L3809" s="2">
        <v>43541.446064814816</v>
      </c>
      <c r="M3809" s="1">
        <f>_xlfn.DAYS(Table1[[#This Row],[actual_delivery_date]],Table1[[#This Row],[dispatch_date]])</f>
        <v>5</v>
      </c>
      <c r="N3809">
        <v>0</v>
      </c>
      <c r="O3809">
        <f>Table1[[#This Row],[transit_storage_cost]] * (1-'What -if Analysis'!$D$26)</f>
        <v>0</v>
      </c>
      <c r="P3809">
        <v>104</v>
      </c>
      <c r="Q3809">
        <v>994</v>
      </c>
    </row>
    <row r="3810" spans="1:17" x14ac:dyDescent="0.3">
      <c r="A3810">
        <v>490207</v>
      </c>
      <c r="B3810" s="1" t="s">
        <v>39</v>
      </c>
      <c r="C3810" s="1" t="s">
        <v>16</v>
      </c>
      <c r="D3810" s="1" t="s">
        <v>32</v>
      </c>
      <c r="E3810" s="1" t="s">
        <v>33</v>
      </c>
      <c r="F3810" s="1" t="s">
        <v>29</v>
      </c>
      <c r="G3810" s="1" t="s">
        <v>20</v>
      </c>
      <c r="H3810" t="s">
        <v>30</v>
      </c>
      <c r="I3810" s="1" t="s">
        <v>22</v>
      </c>
      <c r="J3810" s="2">
        <v>43538.446284722224</v>
      </c>
      <c r="K3810" s="2">
        <v>43542.446284722224</v>
      </c>
      <c r="L3810" s="2">
        <v>43542.446284722224</v>
      </c>
      <c r="M3810" s="1">
        <f>_xlfn.DAYS(Table1[[#This Row],[actual_delivery_date]],Table1[[#This Row],[dispatch_date]])</f>
        <v>4</v>
      </c>
      <c r="N3810">
        <v>44</v>
      </c>
      <c r="O3810">
        <f>Table1[[#This Row],[transit_storage_cost]] * (1-'What -if Analysis'!$D$26)</f>
        <v>44</v>
      </c>
      <c r="P3810">
        <v>113</v>
      </c>
      <c r="Q3810">
        <v>745.92474501829088</v>
      </c>
    </row>
    <row r="3811" spans="1:17" x14ac:dyDescent="0.3">
      <c r="A3811">
        <v>278980</v>
      </c>
      <c r="B3811" s="1" t="s">
        <v>40</v>
      </c>
      <c r="C3811" s="1" t="s">
        <v>16</v>
      </c>
      <c r="D3811" s="1" t="s">
        <v>24</v>
      </c>
      <c r="E3811" s="1" t="s">
        <v>25</v>
      </c>
      <c r="F3811" s="1" t="s">
        <v>19</v>
      </c>
      <c r="G3811" s="1" t="s">
        <v>20</v>
      </c>
      <c r="H3811" t="s">
        <v>21</v>
      </c>
      <c r="I3811" s="1" t="s">
        <v>22</v>
      </c>
      <c r="J3811" s="2">
        <v>43536.446481481478</v>
      </c>
      <c r="K3811" s="2">
        <v>43542.446481481478</v>
      </c>
      <c r="L3811" s="2">
        <v>43540.446481481478</v>
      </c>
      <c r="M3811" s="1">
        <f>_xlfn.DAYS(Table1[[#This Row],[actual_delivery_date]],Table1[[#This Row],[dispatch_date]])</f>
        <v>6</v>
      </c>
      <c r="N3811">
        <v>30</v>
      </c>
      <c r="O3811">
        <f>Table1[[#This Row],[transit_storage_cost]] * (1-'What -if Analysis'!$D$26)</f>
        <v>30</v>
      </c>
      <c r="P3811">
        <v>121</v>
      </c>
      <c r="Q3811">
        <v>3625.9229198738608</v>
      </c>
    </row>
    <row r="3812" spans="1:17" x14ac:dyDescent="0.3">
      <c r="A3812">
        <v>592581</v>
      </c>
      <c r="B3812" s="1" t="s">
        <v>38</v>
      </c>
      <c r="C3812" s="1" t="s">
        <v>16</v>
      </c>
      <c r="D3812" s="1" t="s">
        <v>32</v>
      </c>
      <c r="E3812" s="1" t="s">
        <v>33</v>
      </c>
      <c r="F3812" s="1" t="s">
        <v>29</v>
      </c>
      <c r="G3812" s="1" t="s">
        <v>20</v>
      </c>
      <c r="H3812" t="s">
        <v>30</v>
      </c>
      <c r="I3812" s="1" t="s">
        <v>26</v>
      </c>
      <c r="J3812" s="2">
        <v>43537.448252314818</v>
      </c>
      <c r="K3812" s="2">
        <v>43542.448252314818</v>
      </c>
      <c r="L3812" s="2">
        <v>43542.448252314818</v>
      </c>
      <c r="M3812" s="1">
        <f>_xlfn.DAYS(Table1[[#This Row],[actual_delivery_date]],Table1[[#This Row],[dispatch_date]])</f>
        <v>5</v>
      </c>
      <c r="N3812">
        <v>28</v>
      </c>
      <c r="O3812">
        <f>Table1[[#This Row],[transit_storage_cost]] * (1-'What -if Analysis'!$D$26)</f>
        <v>28</v>
      </c>
      <c r="P3812">
        <v>108</v>
      </c>
      <c r="Q3812">
        <v>2290.9925452467364</v>
      </c>
    </row>
    <row r="3813" spans="1:17" x14ac:dyDescent="0.3">
      <c r="A3813">
        <v>602110</v>
      </c>
      <c r="B3813" s="1" t="s">
        <v>38</v>
      </c>
      <c r="C3813" s="1" t="s">
        <v>23</v>
      </c>
      <c r="D3813" s="1" t="s">
        <v>16</v>
      </c>
      <c r="E3813" s="1" t="s">
        <v>27</v>
      </c>
      <c r="F3813" s="1" t="s">
        <v>31</v>
      </c>
      <c r="G3813" s="1" t="s">
        <v>20</v>
      </c>
      <c r="H3813" t="s">
        <v>21</v>
      </c>
      <c r="I3813" s="1" t="s">
        <v>22</v>
      </c>
      <c r="J3813" s="2">
        <v>43534.449178240742</v>
      </c>
      <c r="K3813" s="2">
        <v>43542.449178240742</v>
      </c>
      <c r="L3813" s="2">
        <v>43539.449178240742</v>
      </c>
      <c r="M3813" s="1">
        <f>_xlfn.DAYS(Table1[[#This Row],[actual_delivery_date]],Table1[[#This Row],[dispatch_date]])</f>
        <v>8</v>
      </c>
      <c r="N3813">
        <v>32</v>
      </c>
      <c r="O3813">
        <f>Table1[[#This Row],[transit_storage_cost]] * (1-'What -if Analysis'!$D$26)</f>
        <v>32</v>
      </c>
      <c r="P3813">
        <v>122</v>
      </c>
      <c r="Q3813">
        <v>1252.8891331860141</v>
      </c>
    </row>
    <row r="3814" spans="1:17" x14ac:dyDescent="0.3">
      <c r="A3814">
        <v>123538</v>
      </c>
      <c r="B3814" s="1" t="s">
        <v>38</v>
      </c>
      <c r="C3814" s="1" t="s">
        <v>16</v>
      </c>
      <c r="D3814" s="1" t="s">
        <v>16</v>
      </c>
      <c r="E3814" s="1" t="s">
        <v>27</v>
      </c>
      <c r="F3814" s="1" t="s">
        <v>31</v>
      </c>
      <c r="G3814" s="1" t="s">
        <v>20</v>
      </c>
      <c r="H3814" t="s">
        <v>21</v>
      </c>
      <c r="I3814" s="1" t="s">
        <v>22</v>
      </c>
      <c r="J3814" s="2">
        <v>43537.450300925928</v>
      </c>
      <c r="K3814" s="2">
        <v>43542.450300925928</v>
      </c>
      <c r="L3814" s="2">
        <v>43544.450300925928</v>
      </c>
      <c r="M3814" s="1">
        <f>_xlfn.DAYS(Table1[[#This Row],[actual_delivery_date]],Table1[[#This Row],[dispatch_date]])</f>
        <v>5</v>
      </c>
      <c r="N3814">
        <v>0</v>
      </c>
      <c r="O3814">
        <f>Table1[[#This Row],[transit_storage_cost]] * (1-'What -if Analysis'!$D$26)</f>
        <v>0</v>
      </c>
      <c r="P3814">
        <v>130</v>
      </c>
      <c r="Q3814">
        <v>2536.32588907742</v>
      </c>
    </row>
    <row r="3815" spans="1:17" x14ac:dyDescent="0.3">
      <c r="A3815">
        <v>83513</v>
      </c>
      <c r="B3815" s="1" t="s">
        <v>37</v>
      </c>
      <c r="C3815" s="1" t="s">
        <v>16</v>
      </c>
      <c r="D3815" s="1" t="s">
        <v>24</v>
      </c>
      <c r="E3815" s="1" t="s">
        <v>25</v>
      </c>
      <c r="F3815" s="1" t="s">
        <v>29</v>
      </c>
      <c r="G3815" s="1" t="s">
        <v>20</v>
      </c>
      <c r="H3815" t="s">
        <v>30</v>
      </c>
      <c r="I3815" s="1" t="s">
        <v>22</v>
      </c>
      <c r="J3815" s="2">
        <v>43536.450983796298</v>
      </c>
      <c r="K3815" s="2">
        <v>43542.450983796298</v>
      </c>
      <c r="L3815" s="2">
        <v>43543.450983796298</v>
      </c>
      <c r="M3815" s="1">
        <f>_xlfn.DAYS(Table1[[#This Row],[actual_delivery_date]],Table1[[#This Row],[dispatch_date]])</f>
        <v>6</v>
      </c>
      <c r="N3815">
        <v>45</v>
      </c>
      <c r="O3815">
        <f>Table1[[#This Row],[transit_storage_cost]] * (1-'What -if Analysis'!$D$26)</f>
        <v>45</v>
      </c>
      <c r="P3815">
        <v>130</v>
      </c>
      <c r="Q3815">
        <v>3107.1290011333854</v>
      </c>
    </row>
    <row r="3816" spans="1:17" x14ac:dyDescent="0.3">
      <c r="A3816">
        <v>768757</v>
      </c>
      <c r="B3816" s="1" t="s">
        <v>38</v>
      </c>
      <c r="C3816" s="1" t="s">
        <v>16</v>
      </c>
      <c r="D3816" s="1" t="s">
        <v>23</v>
      </c>
      <c r="E3816" s="1" t="s">
        <v>28</v>
      </c>
      <c r="F3816" s="1" t="s">
        <v>29</v>
      </c>
      <c r="G3816" s="1" t="s">
        <v>20</v>
      </c>
      <c r="H3816" t="s">
        <v>30</v>
      </c>
      <c r="I3816" s="1" t="s">
        <v>22</v>
      </c>
      <c r="J3816" s="2">
        <v>43533.454293981478</v>
      </c>
      <c r="K3816" s="2">
        <v>43542.454293981478</v>
      </c>
      <c r="L3816" s="2">
        <v>43538.454293981478</v>
      </c>
      <c r="M3816" s="1">
        <f>_xlfn.DAYS(Table1[[#This Row],[actual_delivery_date]],Table1[[#This Row],[dispatch_date]])</f>
        <v>9</v>
      </c>
      <c r="N3816">
        <v>38</v>
      </c>
      <c r="O3816">
        <f>Table1[[#This Row],[transit_storage_cost]] * (1-'What -if Analysis'!$D$26)</f>
        <v>38</v>
      </c>
      <c r="P3816">
        <v>127</v>
      </c>
      <c r="Q3816">
        <v>2992.015080786513</v>
      </c>
    </row>
    <row r="3817" spans="1:17" x14ac:dyDescent="0.3">
      <c r="A3817">
        <v>558538</v>
      </c>
      <c r="B3817" s="1" t="s">
        <v>39</v>
      </c>
      <c r="C3817" s="1" t="s">
        <v>16</v>
      </c>
      <c r="D3817" s="1" t="s">
        <v>32</v>
      </c>
      <c r="E3817" s="1" t="s">
        <v>33</v>
      </c>
      <c r="F3817" s="1" t="s">
        <v>31</v>
      </c>
      <c r="G3817" s="1" t="s">
        <v>20</v>
      </c>
      <c r="H3817" t="s">
        <v>21</v>
      </c>
      <c r="I3817" s="1" t="s">
        <v>22</v>
      </c>
      <c r="J3817" s="2">
        <v>43538.457974537036</v>
      </c>
      <c r="K3817" s="2">
        <v>43542.457974537036</v>
      </c>
      <c r="L3817" s="2">
        <v>43541.457974537036</v>
      </c>
      <c r="M3817" s="1">
        <f>_xlfn.DAYS(Table1[[#This Row],[actual_delivery_date]],Table1[[#This Row],[dispatch_date]])</f>
        <v>4</v>
      </c>
      <c r="N3817">
        <v>34</v>
      </c>
      <c r="O3817">
        <f>Table1[[#This Row],[transit_storage_cost]] * (1-'What -if Analysis'!$D$26)</f>
        <v>34</v>
      </c>
      <c r="P3817">
        <v>109</v>
      </c>
      <c r="Q3817">
        <v>3102.4028073779668</v>
      </c>
    </row>
    <row r="3818" spans="1:17" x14ac:dyDescent="0.3">
      <c r="A3818">
        <v>463522</v>
      </c>
      <c r="B3818" s="1" t="s">
        <v>37</v>
      </c>
      <c r="C3818" s="1" t="s">
        <v>16</v>
      </c>
      <c r="D3818" s="1" t="s">
        <v>24</v>
      </c>
      <c r="E3818" s="1" t="s">
        <v>25</v>
      </c>
      <c r="F3818" s="1" t="s">
        <v>19</v>
      </c>
      <c r="G3818" s="1" t="s">
        <v>20</v>
      </c>
      <c r="H3818" t="s">
        <v>21</v>
      </c>
      <c r="I3818" s="1" t="s">
        <v>22</v>
      </c>
      <c r="J3818" s="2">
        <v>43532.460312499999</v>
      </c>
      <c r="K3818" s="2">
        <v>43542.460312499999</v>
      </c>
      <c r="L3818" s="2">
        <v>43535.460312499999</v>
      </c>
      <c r="M3818" s="1">
        <f>_xlfn.DAYS(Table1[[#This Row],[actual_delivery_date]],Table1[[#This Row],[dispatch_date]])</f>
        <v>10</v>
      </c>
      <c r="N3818">
        <v>71</v>
      </c>
      <c r="O3818">
        <f>Table1[[#This Row],[transit_storage_cost]] * (1-'What -if Analysis'!$D$26)</f>
        <v>71</v>
      </c>
      <c r="P3818">
        <v>101</v>
      </c>
      <c r="Q3818">
        <v>528</v>
      </c>
    </row>
    <row r="3819" spans="1:17" x14ac:dyDescent="0.3">
      <c r="A3819">
        <v>299506</v>
      </c>
      <c r="B3819" s="1" t="s">
        <v>41</v>
      </c>
      <c r="C3819" s="1" t="s">
        <v>23</v>
      </c>
      <c r="D3819" s="1" t="s">
        <v>16</v>
      </c>
      <c r="E3819" s="1" t="s">
        <v>27</v>
      </c>
      <c r="F3819" s="1" t="s">
        <v>31</v>
      </c>
      <c r="G3819" s="1" t="s">
        <v>20</v>
      </c>
      <c r="H3819" t="s">
        <v>21</v>
      </c>
      <c r="I3819" s="1" t="s">
        <v>22</v>
      </c>
      <c r="J3819" s="2">
        <v>43536.469652777778</v>
      </c>
      <c r="K3819" s="2">
        <v>43542.469652777778</v>
      </c>
      <c r="L3819" s="2">
        <v>43539.469652777778</v>
      </c>
      <c r="M3819" s="1">
        <f>_xlfn.DAYS(Table1[[#This Row],[actual_delivery_date]],Table1[[#This Row],[dispatch_date]])</f>
        <v>6</v>
      </c>
      <c r="N3819">
        <v>34</v>
      </c>
      <c r="O3819">
        <f>Table1[[#This Row],[transit_storage_cost]] * (1-'What -if Analysis'!$D$26)</f>
        <v>34</v>
      </c>
      <c r="P3819">
        <v>122</v>
      </c>
      <c r="Q3819">
        <v>1807.1253793820961</v>
      </c>
    </row>
    <row r="3820" spans="1:17" x14ac:dyDescent="0.3">
      <c r="A3820">
        <v>729782</v>
      </c>
      <c r="B3820" s="1" t="s">
        <v>41</v>
      </c>
      <c r="C3820" s="1" t="s">
        <v>16</v>
      </c>
      <c r="D3820" s="1" t="s">
        <v>16</v>
      </c>
      <c r="E3820" s="1" t="s">
        <v>27</v>
      </c>
      <c r="F3820" s="1" t="s">
        <v>31</v>
      </c>
      <c r="G3820" s="1" t="s">
        <v>20</v>
      </c>
      <c r="H3820" t="s">
        <v>21</v>
      </c>
      <c r="I3820" s="1" t="s">
        <v>22</v>
      </c>
      <c r="J3820" s="2">
        <v>43536.470266203702</v>
      </c>
      <c r="K3820" s="2">
        <v>43542.470266203702</v>
      </c>
      <c r="L3820" s="2">
        <v>43541.470266203702</v>
      </c>
      <c r="M3820" s="1">
        <f>_xlfn.DAYS(Table1[[#This Row],[actual_delivery_date]],Table1[[#This Row],[dispatch_date]])</f>
        <v>6</v>
      </c>
      <c r="N3820">
        <v>0</v>
      </c>
      <c r="O3820">
        <f>Table1[[#This Row],[transit_storage_cost]] * (1-'What -if Analysis'!$D$26)</f>
        <v>0</v>
      </c>
      <c r="P3820">
        <v>121</v>
      </c>
      <c r="Q3820">
        <v>3094.9217718499467</v>
      </c>
    </row>
    <row r="3821" spans="1:17" x14ac:dyDescent="0.3">
      <c r="A3821">
        <v>864294</v>
      </c>
      <c r="B3821" s="1" t="s">
        <v>38</v>
      </c>
      <c r="C3821" s="1" t="s">
        <v>23</v>
      </c>
      <c r="D3821" s="1" t="s">
        <v>23</v>
      </c>
      <c r="E3821" s="1" t="s">
        <v>28</v>
      </c>
      <c r="F3821" s="1" t="s">
        <v>31</v>
      </c>
      <c r="G3821" s="1" t="s">
        <v>20</v>
      </c>
      <c r="H3821" t="s">
        <v>21</v>
      </c>
      <c r="I3821" s="1" t="s">
        <v>26</v>
      </c>
      <c r="J3821" s="2">
        <v>43537.47283564815</v>
      </c>
      <c r="K3821" s="2">
        <v>43542.47283564815</v>
      </c>
      <c r="L3821" s="2">
        <v>43543.47283564815</v>
      </c>
      <c r="M3821" s="1">
        <f>_xlfn.DAYS(Table1[[#This Row],[actual_delivery_date]],Table1[[#This Row],[dispatch_date]])</f>
        <v>5</v>
      </c>
      <c r="N3821">
        <v>0</v>
      </c>
      <c r="O3821">
        <f>Table1[[#This Row],[transit_storage_cost]] * (1-'What -if Analysis'!$D$26)</f>
        <v>0</v>
      </c>
      <c r="P3821">
        <v>128</v>
      </c>
      <c r="Q3821">
        <v>953</v>
      </c>
    </row>
    <row r="3822" spans="1:17" x14ac:dyDescent="0.3">
      <c r="A3822">
        <v>456122</v>
      </c>
      <c r="B3822" s="1" t="s">
        <v>37</v>
      </c>
      <c r="C3822" s="1" t="s">
        <v>16</v>
      </c>
      <c r="D3822" s="1" t="s">
        <v>24</v>
      </c>
      <c r="E3822" s="1" t="s">
        <v>25</v>
      </c>
      <c r="F3822" s="1" t="s">
        <v>19</v>
      </c>
      <c r="G3822" s="1" t="s">
        <v>20</v>
      </c>
      <c r="H3822" t="s">
        <v>21</v>
      </c>
      <c r="I3822" s="1" t="s">
        <v>22</v>
      </c>
      <c r="J3822" s="2">
        <v>43535.480173611111</v>
      </c>
      <c r="K3822" s="2">
        <v>43542.480173611111</v>
      </c>
      <c r="L3822" s="2">
        <v>43538.480173611111</v>
      </c>
      <c r="M3822" s="1">
        <f>_xlfn.DAYS(Table1[[#This Row],[actual_delivery_date]],Table1[[#This Row],[dispatch_date]])</f>
        <v>7</v>
      </c>
      <c r="N3822">
        <v>83</v>
      </c>
      <c r="O3822">
        <f>Table1[[#This Row],[transit_storage_cost]] * (1-'What -if Analysis'!$D$26)</f>
        <v>83</v>
      </c>
      <c r="P3822">
        <v>106</v>
      </c>
      <c r="Q3822">
        <v>585.20812590422156</v>
      </c>
    </row>
    <row r="3823" spans="1:17" x14ac:dyDescent="0.3">
      <c r="A3823">
        <v>419614</v>
      </c>
      <c r="B3823" s="1" t="s">
        <v>15</v>
      </c>
      <c r="C3823" s="1" t="s">
        <v>23</v>
      </c>
      <c r="D3823" s="1" t="s">
        <v>17</v>
      </c>
      <c r="E3823" s="1" t="s">
        <v>18</v>
      </c>
      <c r="F3823" s="1" t="s">
        <v>31</v>
      </c>
      <c r="G3823" s="1" t="s">
        <v>20</v>
      </c>
      <c r="H3823" t="s">
        <v>21</v>
      </c>
      <c r="I3823" s="1" t="s">
        <v>22</v>
      </c>
      <c r="J3823" s="2">
        <v>43533.492928240739</v>
      </c>
      <c r="K3823" s="2">
        <v>43542.492928240739</v>
      </c>
      <c r="L3823" s="2">
        <v>43540.492928240739</v>
      </c>
      <c r="M3823" s="1">
        <f>_xlfn.DAYS(Table1[[#This Row],[actual_delivery_date]],Table1[[#This Row],[dispatch_date]])</f>
        <v>9</v>
      </c>
      <c r="N3823">
        <v>37</v>
      </c>
      <c r="O3823">
        <f>Table1[[#This Row],[transit_storage_cost]] * (1-'What -if Analysis'!$D$26)</f>
        <v>37</v>
      </c>
      <c r="P3823">
        <v>107</v>
      </c>
      <c r="Q3823">
        <v>1936</v>
      </c>
    </row>
    <row r="3824" spans="1:17" x14ac:dyDescent="0.3">
      <c r="A3824">
        <v>181142</v>
      </c>
      <c r="B3824" s="1" t="s">
        <v>38</v>
      </c>
      <c r="C3824" s="1" t="s">
        <v>16</v>
      </c>
      <c r="D3824" s="1" t="s">
        <v>17</v>
      </c>
      <c r="E3824" s="1" t="s">
        <v>18</v>
      </c>
      <c r="F3824" s="1" t="s">
        <v>31</v>
      </c>
      <c r="G3824" s="1" t="s">
        <v>20</v>
      </c>
      <c r="H3824" t="s">
        <v>21</v>
      </c>
      <c r="I3824" s="1" t="s">
        <v>22</v>
      </c>
      <c r="J3824" s="2">
        <v>43535.494710648149</v>
      </c>
      <c r="K3824" s="2">
        <v>43542.494710648149</v>
      </c>
      <c r="L3824" s="2">
        <v>43539.494710648149</v>
      </c>
      <c r="M3824" s="1">
        <f>_xlfn.DAYS(Table1[[#This Row],[actual_delivery_date]],Table1[[#This Row],[dispatch_date]])</f>
        <v>7</v>
      </c>
      <c r="N3824">
        <v>28</v>
      </c>
      <c r="O3824">
        <f>Table1[[#This Row],[transit_storage_cost]] * (1-'What -if Analysis'!$D$26)</f>
        <v>28</v>
      </c>
      <c r="P3824">
        <v>113</v>
      </c>
      <c r="Q3824">
        <v>338.72200675414246</v>
      </c>
    </row>
    <row r="3825" spans="1:17" x14ac:dyDescent="0.3">
      <c r="A3825">
        <v>138124</v>
      </c>
      <c r="B3825" s="1" t="s">
        <v>15</v>
      </c>
      <c r="C3825" s="1" t="s">
        <v>16</v>
      </c>
      <c r="D3825" s="1" t="s">
        <v>16</v>
      </c>
      <c r="E3825" s="1" t="s">
        <v>27</v>
      </c>
      <c r="F3825" s="1" t="s">
        <v>19</v>
      </c>
      <c r="G3825" s="1" t="s">
        <v>20</v>
      </c>
      <c r="H3825" t="s">
        <v>21</v>
      </c>
      <c r="I3825" s="1" t="s">
        <v>22</v>
      </c>
      <c r="J3825" s="2">
        <v>43537.495162037034</v>
      </c>
      <c r="K3825" s="2">
        <v>43542.495162037034</v>
      </c>
      <c r="L3825" s="2">
        <v>43542.495162037034</v>
      </c>
      <c r="M3825" s="1">
        <f>_xlfn.DAYS(Table1[[#This Row],[actual_delivery_date]],Table1[[#This Row],[dispatch_date]])</f>
        <v>5</v>
      </c>
      <c r="N3825">
        <v>0</v>
      </c>
      <c r="O3825">
        <f>Table1[[#This Row],[transit_storage_cost]] * (1-'What -if Analysis'!$D$26)</f>
        <v>0</v>
      </c>
      <c r="P3825">
        <v>123</v>
      </c>
      <c r="Q3825">
        <v>857.86436555824127</v>
      </c>
    </row>
    <row r="3826" spans="1:17" x14ac:dyDescent="0.3">
      <c r="A3826">
        <v>754064</v>
      </c>
      <c r="B3826" s="1" t="s">
        <v>38</v>
      </c>
      <c r="C3826" s="1" t="s">
        <v>16</v>
      </c>
      <c r="D3826" s="1" t="s">
        <v>17</v>
      </c>
      <c r="E3826" s="1" t="s">
        <v>18</v>
      </c>
      <c r="F3826" s="1" t="s">
        <v>19</v>
      </c>
      <c r="G3826" s="1" t="s">
        <v>20</v>
      </c>
      <c r="H3826" t="s">
        <v>21</v>
      </c>
      <c r="I3826" s="1" t="s">
        <v>22</v>
      </c>
      <c r="J3826" s="2">
        <v>43537.498541666668</v>
      </c>
      <c r="K3826" s="2">
        <v>43542.498541666668</v>
      </c>
      <c r="L3826" s="2">
        <v>43540.498541666668</v>
      </c>
      <c r="M3826" s="1">
        <f>_xlfn.DAYS(Table1[[#This Row],[actual_delivery_date]],Table1[[#This Row],[dispatch_date]])</f>
        <v>5</v>
      </c>
      <c r="N3826">
        <v>85</v>
      </c>
      <c r="O3826">
        <f>Table1[[#This Row],[transit_storage_cost]] * (1-'What -if Analysis'!$D$26)</f>
        <v>85</v>
      </c>
      <c r="P3826">
        <v>89</v>
      </c>
      <c r="Q3826">
        <v>3730.3627308491009</v>
      </c>
    </row>
    <row r="3827" spans="1:17" x14ac:dyDescent="0.3">
      <c r="A3827">
        <v>945576</v>
      </c>
      <c r="B3827" s="1" t="s">
        <v>38</v>
      </c>
      <c r="C3827" s="1" t="s">
        <v>23</v>
      </c>
      <c r="D3827" s="1" t="s">
        <v>32</v>
      </c>
      <c r="E3827" s="1" t="s">
        <v>33</v>
      </c>
      <c r="F3827" s="1" t="s">
        <v>19</v>
      </c>
      <c r="G3827" s="1" t="s">
        <v>20</v>
      </c>
      <c r="H3827" t="s">
        <v>21</v>
      </c>
      <c r="I3827" s="1" t="s">
        <v>26</v>
      </c>
      <c r="J3827" s="2">
        <v>43537.508101851854</v>
      </c>
      <c r="K3827" s="2">
        <v>43542.508101851854</v>
      </c>
      <c r="L3827" s="2">
        <v>43544.508101851854</v>
      </c>
      <c r="M3827" s="1">
        <f>_xlfn.DAYS(Table1[[#This Row],[actual_delivery_date]],Table1[[#This Row],[dispatch_date]])</f>
        <v>5</v>
      </c>
      <c r="N3827">
        <v>88</v>
      </c>
      <c r="O3827">
        <f>Table1[[#This Row],[transit_storage_cost]] * (1-'What -if Analysis'!$D$26)</f>
        <v>88</v>
      </c>
      <c r="P3827">
        <v>88</v>
      </c>
      <c r="Q3827">
        <v>1411.5899279966263</v>
      </c>
    </row>
    <row r="3828" spans="1:17" x14ac:dyDescent="0.3">
      <c r="A3828">
        <v>52979</v>
      </c>
      <c r="B3828" s="1" t="s">
        <v>37</v>
      </c>
      <c r="C3828" s="1" t="s">
        <v>23</v>
      </c>
      <c r="D3828" s="1" t="s">
        <v>32</v>
      </c>
      <c r="E3828" s="1" t="s">
        <v>33</v>
      </c>
      <c r="F3828" s="1" t="s">
        <v>29</v>
      </c>
      <c r="G3828" s="1" t="s">
        <v>20</v>
      </c>
      <c r="H3828" t="s">
        <v>30</v>
      </c>
      <c r="I3828" s="1" t="s">
        <v>22</v>
      </c>
      <c r="J3828" s="2">
        <v>43535.508726851855</v>
      </c>
      <c r="K3828" s="2">
        <v>43542.508726851855</v>
      </c>
      <c r="L3828" s="2">
        <v>43540.508726851855</v>
      </c>
      <c r="M3828" s="1">
        <f>_xlfn.DAYS(Table1[[#This Row],[actual_delivery_date]],Table1[[#This Row],[dispatch_date]])</f>
        <v>7</v>
      </c>
      <c r="N3828">
        <v>34</v>
      </c>
      <c r="O3828">
        <f>Table1[[#This Row],[transit_storage_cost]] * (1-'What -if Analysis'!$D$26)</f>
        <v>34</v>
      </c>
      <c r="P3828">
        <v>114</v>
      </c>
      <c r="Q3828">
        <v>2601</v>
      </c>
    </row>
    <row r="3829" spans="1:17" x14ac:dyDescent="0.3">
      <c r="A3829">
        <v>641084</v>
      </c>
      <c r="B3829" s="1" t="s">
        <v>41</v>
      </c>
      <c r="C3829" s="1" t="s">
        <v>16</v>
      </c>
      <c r="D3829" s="1" t="s">
        <v>32</v>
      </c>
      <c r="E3829" s="1" t="s">
        <v>33</v>
      </c>
      <c r="F3829" s="1" t="s">
        <v>19</v>
      </c>
      <c r="G3829" s="1" t="s">
        <v>20</v>
      </c>
      <c r="H3829" t="s">
        <v>21</v>
      </c>
      <c r="I3829" s="1" t="s">
        <v>22</v>
      </c>
      <c r="J3829" s="2">
        <v>43536.508981481478</v>
      </c>
      <c r="K3829" s="2">
        <v>43542.508981481478</v>
      </c>
      <c r="L3829" s="2">
        <v>43543.508981481478</v>
      </c>
      <c r="M3829" s="1">
        <f>_xlfn.DAYS(Table1[[#This Row],[actual_delivery_date]],Table1[[#This Row],[dispatch_date]])</f>
        <v>6</v>
      </c>
      <c r="N3829">
        <v>32</v>
      </c>
      <c r="O3829">
        <f>Table1[[#This Row],[transit_storage_cost]] * (1-'What -if Analysis'!$D$26)</f>
        <v>32</v>
      </c>
      <c r="P3829">
        <v>108</v>
      </c>
      <c r="Q3829">
        <v>2789</v>
      </c>
    </row>
    <row r="3830" spans="1:17" x14ac:dyDescent="0.3">
      <c r="A3830">
        <v>846741</v>
      </c>
      <c r="B3830" s="1" t="s">
        <v>38</v>
      </c>
      <c r="C3830" s="1" t="s">
        <v>23</v>
      </c>
      <c r="D3830" s="1" t="s">
        <v>23</v>
      </c>
      <c r="E3830" s="1" t="s">
        <v>28</v>
      </c>
      <c r="F3830" s="1" t="s">
        <v>29</v>
      </c>
      <c r="G3830" s="1" t="s">
        <v>20</v>
      </c>
      <c r="H3830" t="s">
        <v>34</v>
      </c>
      <c r="I3830" s="1" t="s">
        <v>26</v>
      </c>
      <c r="J3830" s="2">
        <v>43538.514155092591</v>
      </c>
      <c r="K3830" s="2">
        <v>43542.514155092591</v>
      </c>
      <c r="L3830" s="2">
        <v>43543.514155092591</v>
      </c>
      <c r="M3830" s="1">
        <f>_xlfn.DAYS(Table1[[#This Row],[actual_delivery_date]],Table1[[#This Row],[dispatch_date]])</f>
        <v>4</v>
      </c>
      <c r="N3830">
        <v>0</v>
      </c>
      <c r="O3830">
        <f>Table1[[#This Row],[transit_storage_cost]] * (1-'What -if Analysis'!$D$26)</f>
        <v>0</v>
      </c>
      <c r="P3830">
        <v>123</v>
      </c>
      <c r="Q3830">
        <v>690.75784395316373</v>
      </c>
    </row>
    <row r="3831" spans="1:17" x14ac:dyDescent="0.3">
      <c r="A3831">
        <v>923609</v>
      </c>
      <c r="B3831" s="1" t="s">
        <v>38</v>
      </c>
      <c r="C3831" s="1" t="s">
        <v>16</v>
      </c>
      <c r="D3831" s="1" t="s">
        <v>23</v>
      </c>
      <c r="E3831" s="1" t="s">
        <v>28</v>
      </c>
      <c r="F3831" s="1" t="s">
        <v>19</v>
      </c>
      <c r="G3831" s="1" t="s">
        <v>20</v>
      </c>
      <c r="H3831" t="s">
        <v>30</v>
      </c>
      <c r="I3831" s="1" t="s">
        <v>22</v>
      </c>
      <c r="J3831" s="2">
        <v>43536.516400462962</v>
      </c>
      <c r="K3831" s="2">
        <v>43542.516400462962</v>
      </c>
      <c r="L3831" s="2">
        <v>43540.516400462962</v>
      </c>
      <c r="M3831" s="1">
        <f>_xlfn.DAYS(Table1[[#This Row],[actual_delivery_date]],Table1[[#This Row],[dispatch_date]])</f>
        <v>6</v>
      </c>
      <c r="N3831">
        <v>67</v>
      </c>
      <c r="O3831">
        <f>Table1[[#This Row],[transit_storage_cost]] * (1-'What -if Analysis'!$D$26)</f>
        <v>67</v>
      </c>
      <c r="P3831">
        <v>109</v>
      </c>
      <c r="Q3831">
        <v>1696.3396227672297</v>
      </c>
    </row>
    <row r="3832" spans="1:17" x14ac:dyDescent="0.3">
      <c r="A3832">
        <v>594987</v>
      </c>
      <c r="B3832" s="1" t="s">
        <v>41</v>
      </c>
      <c r="C3832" s="1" t="s">
        <v>23</v>
      </c>
      <c r="D3832" s="1" t="s">
        <v>17</v>
      </c>
      <c r="E3832" s="1" t="s">
        <v>18</v>
      </c>
      <c r="F3832" s="1" t="s">
        <v>29</v>
      </c>
      <c r="G3832" s="1" t="s">
        <v>20</v>
      </c>
      <c r="H3832" t="s">
        <v>30</v>
      </c>
      <c r="I3832" s="1" t="s">
        <v>26</v>
      </c>
      <c r="J3832" s="2">
        <v>43536.518483796295</v>
      </c>
      <c r="K3832" s="2">
        <v>43542.518483796295</v>
      </c>
      <c r="L3832" s="2">
        <v>43543.518483796295</v>
      </c>
      <c r="M3832" s="1">
        <f>_xlfn.DAYS(Table1[[#This Row],[actual_delivery_date]],Table1[[#This Row],[dispatch_date]])</f>
        <v>6</v>
      </c>
      <c r="N3832">
        <v>50</v>
      </c>
      <c r="O3832">
        <f>Table1[[#This Row],[transit_storage_cost]] * (1-'What -if Analysis'!$D$26)</f>
        <v>50</v>
      </c>
      <c r="P3832">
        <v>107</v>
      </c>
      <c r="Q3832">
        <v>989.40371353681485</v>
      </c>
    </row>
    <row r="3833" spans="1:17" x14ac:dyDescent="0.3">
      <c r="A3833">
        <v>917383</v>
      </c>
      <c r="B3833" s="1" t="s">
        <v>38</v>
      </c>
      <c r="C3833" s="1" t="s">
        <v>23</v>
      </c>
      <c r="D3833" s="1" t="s">
        <v>23</v>
      </c>
      <c r="E3833" s="1" t="s">
        <v>28</v>
      </c>
      <c r="F3833" s="1" t="s">
        <v>29</v>
      </c>
      <c r="G3833" s="1" t="s">
        <v>20</v>
      </c>
      <c r="H3833" t="s">
        <v>30</v>
      </c>
      <c r="I3833" s="1" t="s">
        <v>22</v>
      </c>
      <c r="J3833" s="2">
        <v>43538.522604166668</v>
      </c>
      <c r="K3833" s="2">
        <v>43542.522604166668</v>
      </c>
      <c r="L3833" s="2">
        <v>43544.522604166668</v>
      </c>
      <c r="M3833" s="1">
        <f>_xlfn.DAYS(Table1[[#This Row],[actual_delivery_date]],Table1[[#This Row],[dispatch_date]])</f>
        <v>4</v>
      </c>
      <c r="N3833">
        <v>0</v>
      </c>
      <c r="O3833">
        <f>Table1[[#This Row],[transit_storage_cost]] * (1-'What -if Analysis'!$D$26)</f>
        <v>0</v>
      </c>
      <c r="P3833">
        <v>123</v>
      </c>
      <c r="Q3833">
        <v>709.08665483195341</v>
      </c>
    </row>
    <row r="3834" spans="1:17" x14ac:dyDescent="0.3">
      <c r="A3834">
        <v>567766</v>
      </c>
      <c r="B3834" s="1" t="s">
        <v>37</v>
      </c>
      <c r="C3834" s="1" t="s">
        <v>23</v>
      </c>
      <c r="D3834" s="1" t="s">
        <v>32</v>
      </c>
      <c r="E3834" s="1" t="s">
        <v>33</v>
      </c>
      <c r="F3834" s="1" t="s">
        <v>31</v>
      </c>
      <c r="G3834" s="1" t="s">
        <v>20</v>
      </c>
      <c r="H3834" t="s">
        <v>21</v>
      </c>
      <c r="I3834" s="1" t="s">
        <v>22</v>
      </c>
      <c r="J3834" s="2">
        <v>43538.52548611111</v>
      </c>
      <c r="K3834" s="2">
        <v>43542.52548611111</v>
      </c>
      <c r="L3834" s="2">
        <v>43542.52548611111</v>
      </c>
      <c r="M3834" s="1">
        <f>_xlfn.DAYS(Table1[[#This Row],[actual_delivery_date]],Table1[[#This Row],[dispatch_date]])</f>
        <v>4</v>
      </c>
      <c r="N3834">
        <v>28</v>
      </c>
      <c r="O3834">
        <f>Table1[[#This Row],[transit_storage_cost]] * (1-'What -if Analysis'!$D$26)</f>
        <v>28</v>
      </c>
      <c r="P3834">
        <v>106</v>
      </c>
      <c r="Q3834">
        <v>2118.8797068795143</v>
      </c>
    </row>
    <row r="3835" spans="1:17" x14ac:dyDescent="0.3">
      <c r="A3835">
        <v>192024</v>
      </c>
      <c r="B3835" s="1" t="s">
        <v>37</v>
      </c>
      <c r="C3835" s="1" t="s">
        <v>16</v>
      </c>
      <c r="D3835" s="1" t="s">
        <v>24</v>
      </c>
      <c r="E3835" s="1" t="s">
        <v>25</v>
      </c>
      <c r="F3835" s="1" t="s">
        <v>19</v>
      </c>
      <c r="G3835" s="1" t="s">
        <v>20</v>
      </c>
      <c r="H3835" t="s">
        <v>21</v>
      </c>
      <c r="I3835" s="1" t="s">
        <v>26</v>
      </c>
      <c r="J3835" s="2">
        <v>43537.53025462963</v>
      </c>
      <c r="K3835" s="2">
        <v>43542.53025462963</v>
      </c>
      <c r="L3835" s="2">
        <v>43541.53025462963</v>
      </c>
      <c r="M3835" s="1">
        <f>_xlfn.DAYS(Table1[[#This Row],[actual_delivery_date]],Table1[[#This Row],[dispatch_date]])</f>
        <v>5</v>
      </c>
      <c r="N3835">
        <v>43</v>
      </c>
      <c r="O3835">
        <f>Table1[[#This Row],[transit_storage_cost]] * (1-'What -if Analysis'!$D$26)</f>
        <v>43</v>
      </c>
      <c r="P3835">
        <v>125</v>
      </c>
      <c r="Q3835">
        <v>1540</v>
      </c>
    </row>
    <row r="3836" spans="1:17" x14ac:dyDescent="0.3">
      <c r="A3836">
        <v>222439</v>
      </c>
      <c r="B3836" s="1" t="s">
        <v>38</v>
      </c>
      <c r="C3836" s="1" t="s">
        <v>16</v>
      </c>
      <c r="D3836" s="1" t="s">
        <v>23</v>
      </c>
      <c r="E3836" s="1" t="s">
        <v>28</v>
      </c>
      <c r="F3836" s="1" t="s">
        <v>29</v>
      </c>
      <c r="G3836" s="1" t="s">
        <v>20</v>
      </c>
      <c r="H3836" t="s">
        <v>34</v>
      </c>
      <c r="I3836" s="1" t="s">
        <v>22</v>
      </c>
      <c r="J3836" s="2">
        <v>43532.536539351851</v>
      </c>
      <c r="K3836" s="2">
        <v>43542.536539351851</v>
      </c>
      <c r="L3836" s="2">
        <v>43536.536539351851</v>
      </c>
      <c r="M3836" s="1">
        <f>_xlfn.DAYS(Table1[[#This Row],[actual_delivery_date]],Table1[[#This Row],[dispatch_date]])</f>
        <v>10</v>
      </c>
      <c r="N3836">
        <v>9999</v>
      </c>
      <c r="O3836">
        <f>Table1[[#This Row],[transit_storage_cost]] * (1-'What -if Analysis'!$D$26)</f>
        <v>9999</v>
      </c>
      <c r="P3836">
        <v>122</v>
      </c>
      <c r="Q3836">
        <v>1166.0845689751311</v>
      </c>
    </row>
    <row r="3837" spans="1:17" x14ac:dyDescent="0.3">
      <c r="A3837">
        <v>86944</v>
      </c>
      <c r="B3837" s="1" t="s">
        <v>15</v>
      </c>
      <c r="C3837" s="1" t="s">
        <v>23</v>
      </c>
      <c r="D3837" s="1" t="s">
        <v>24</v>
      </c>
      <c r="E3837" s="1" t="s">
        <v>25</v>
      </c>
      <c r="F3837" s="1" t="s">
        <v>19</v>
      </c>
      <c r="G3837" s="1" t="s">
        <v>20</v>
      </c>
      <c r="H3837" t="s">
        <v>21</v>
      </c>
      <c r="I3837" s="1" t="s">
        <v>22</v>
      </c>
      <c r="J3837" s="2">
        <v>43537.542800925927</v>
      </c>
      <c r="K3837" s="2">
        <v>43542.542800925927</v>
      </c>
      <c r="L3837" s="2">
        <v>43543.542800925927</v>
      </c>
      <c r="M3837" s="1">
        <f>_xlfn.DAYS(Table1[[#This Row],[actual_delivery_date]],Table1[[#This Row],[dispatch_date]])</f>
        <v>5</v>
      </c>
      <c r="N3837">
        <v>50</v>
      </c>
      <c r="O3837">
        <f>Table1[[#This Row],[transit_storage_cost]] * (1-'What -if Analysis'!$D$26)</f>
        <v>50</v>
      </c>
      <c r="P3837">
        <v>122</v>
      </c>
      <c r="Q3837">
        <v>1241</v>
      </c>
    </row>
    <row r="3838" spans="1:17" x14ac:dyDescent="0.3">
      <c r="A3838">
        <v>872028</v>
      </c>
      <c r="B3838" s="1" t="s">
        <v>37</v>
      </c>
      <c r="C3838" s="1" t="s">
        <v>16</v>
      </c>
      <c r="D3838" s="1" t="s">
        <v>17</v>
      </c>
      <c r="E3838" s="1" t="s">
        <v>18</v>
      </c>
      <c r="F3838" s="1" t="s">
        <v>19</v>
      </c>
      <c r="G3838" s="1" t="s">
        <v>20</v>
      </c>
      <c r="H3838" t="s">
        <v>21</v>
      </c>
      <c r="I3838" s="1" t="s">
        <v>26</v>
      </c>
      <c r="J3838" s="2">
        <v>43538.548252314817</v>
      </c>
      <c r="K3838" s="2">
        <v>43542.548252314817</v>
      </c>
      <c r="L3838" s="2">
        <v>43543.548252314817</v>
      </c>
      <c r="M3838" s="1">
        <f>_xlfn.DAYS(Table1[[#This Row],[actual_delivery_date]],Table1[[#This Row],[dispatch_date]])</f>
        <v>4</v>
      </c>
      <c r="N3838">
        <v>77</v>
      </c>
      <c r="O3838">
        <f>Table1[[#This Row],[transit_storage_cost]] * (1-'What -if Analysis'!$D$26)</f>
        <v>77</v>
      </c>
      <c r="P3838">
        <v>86</v>
      </c>
      <c r="Q3838">
        <v>1478.2498086536016</v>
      </c>
    </row>
    <row r="3839" spans="1:17" x14ac:dyDescent="0.3">
      <c r="A3839">
        <v>114147</v>
      </c>
      <c r="B3839" s="1" t="s">
        <v>39</v>
      </c>
      <c r="C3839" s="1" t="s">
        <v>16</v>
      </c>
      <c r="D3839" s="1" t="s">
        <v>23</v>
      </c>
      <c r="E3839" s="1" t="s">
        <v>28</v>
      </c>
      <c r="F3839" s="1" t="s">
        <v>29</v>
      </c>
      <c r="G3839" s="1" t="s">
        <v>20</v>
      </c>
      <c r="H3839" t="s">
        <v>30</v>
      </c>
      <c r="I3839" s="1" t="s">
        <v>26</v>
      </c>
      <c r="J3839" s="2">
        <v>43534.552418981482</v>
      </c>
      <c r="K3839" s="2">
        <v>43542.552418981482</v>
      </c>
      <c r="L3839" s="2">
        <v>43541.552418981482</v>
      </c>
      <c r="M3839" s="1">
        <f>_xlfn.DAYS(Table1[[#This Row],[actual_delivery_date]],Table1[[#This Row],[dispatch_date]])</f>
        <v>8</v>
      </c>
      <c r="N3839">
        <v>40</v>
      </c>
      <c r="O3839">
        <f>Table1[[#This Row],[transit_storage_cost]] * (1-'What -if Analysis'!$D$26)</f>
        <v>40</v>
      </c>
      <c r="P3839">
        <v>122</v>
      </c>
      <c r="Q3839">
        <v>2065.9184457735009</v>
      </c>
    </row>
    <row r="3840" spans="1:17" x14ac:dyDescent="0.3">
      <c r="A3840">
        <v>380560</v>
      </c>
      <c r="B3840" s="1" t="s">
        <v>37</v>
      </c>
      <c r="C3840" s="1" t="s">
        <v>16</v>
      </c>
      <c r="D3840" s="1" t="s">
        <v>32</v>
      </c>
      <c r="E3840" s="1" t="s">
        <v>33</v>
      </c>
      <c r="F3840" s="1" t="s">
        <v>19</v>
      </c>
      <c r="G3840" s="1" t="s">
        <v>20</v>
      </c>
      <c r="H3840" t="s">
        <v>21</v>
      </c>
      <c r="I3840" s="1" t="s">
        <v>22</v>
      </c>
      <c r="J3840" s="2">
        <v>43538.553171296298</v>
      </c>
      <c r="K3840" s="2">
        <v>43542.553171296298</v>
      </c>
      <c r="L3840" s="2">
        <v>43541.553171296298</v>
      </c>
      <c r="M3840" s="1">
        <f>_xlfn.DAYS(Table1[[#This Row],[actual_delivery_date]],Table1[[#This Row],[dispatch_date]])</f>
        <v>4</v>
      </c>
      <c r="N3840">
        <v>38</v>
      </c>
      <c r="O3840">
        <f>Table1[[#This Row],[transit_storage_cost]] * (1-'What -if Analysis'!$D$26)</f>
        <v>38</v>
      </c>
      <c r="P3840">
        <v>114</v>
      </c>
      <c r="Q3840">
        <v>218.53266109888116</v>
      </c>
    </row>
    <row r="3841" spans="1:17" x14ac:dyDescent="0.3">
      <c r="A3841">
        <v>922697</v>
      </c>
      <c r="B3841" s="1" t="s">
        <v>39</v>
      </c>
      <c r="C3841" s="1" t="s">
        <v>23</v>
      </c>
      <c r="D3841" s="1" t="s">
        <v>23</v>
      </c>
      <c r="E3841" s="1" t="s">
        <v>28</v>
      </c>
      <c r="F3841" s="1" t="s">
        <v>29</v>
      </c>
      <c r="G3841" s="1" t="s">
        <v>20</v>
      </c>
      <c r="H3841" t="s">
        <v>30</v>
      </c>
      <c r="I3841" s="1" t="s">
        <v>22</v>
      </c>
      <c r="J3841" s="2">
        <v>43537.557083333333</v>
      </c>
      <c r="K3841" s="2">
        <v>43542.557083333333</v>
      </c>
      <c r="L3841" s="2">
        <v>43543.557083333333</v>
      </c>
      <c r="M3841" s="1">
        <f>_xlfn.DAYS(Table1[[#This Row],[actual_delivery_date]],Table1[[#This Row],[dispatch_date]])</f>
        <v>5</v>
      </c>
      <c r="N3841">
        <v>0</v>
      </c>
      <c r="O3841">
        <f>Table1[[#This Row],[transit_storage_cost]] * (1-'What -if Analysis'!$D$26)</f>
        <v>0</v>
      </c>
      <c r="P3841">
        <v>122</v>
      </c>
      <c r="Q3841">
        <v>1991.9448078393491</v>
      </c>
    </row>
    <row r="3842" spans="1:17" x14ac:dyDescent="0.3">
      <c r="A3842">
        <v>639142</v>
      </c>
      <c r="B3842" s="1" t="s">
        <v>40</v>
      </c>
      <c r="C3842" s="1" t="s">
        <v>16</v>
      </c>
      <c r="D3842" s="1" t="s">
        <v>17</v>
      </c>
      <c r="E3842" s="1" t="s">
        <v>18</v>
      </c>
      <c r="F3842" s="1" t="s">
        <v>31</v>
      </c>
      <c r="G3842" s="1" t="s">
        <v>36</v>
      </c>
      <c r="H3842" t="s">
        <v>21</v>
      </c>
      <c r="I3842" s="1" t="s">
        <v>22</v>
      </c>
      <c r="J3842" s="2">
        <v>43533.562291666669</v>
      </c>
      <c r="K3842" s="2">
        <v>43542.562291666669</v>
      </c>
      <c r="L3842" s="2">
        <v>43539.562291666669</v>
      </c>
      <c r="M3842" s="1">
        <f>_xlfn.DAYS(Table1[[#This Row],[actual_delivery_date]],Table1[[#This Row],[dispatch_date]])</f>
        <v>9</v>
      </c>
      <c r="N3842">
        <v>26</v>
      </c>
      <c r="O3842">
        <f>Table1[[#This Row],[transit_storage_cost]] * (1-'What -if Analysis'!$D$26)</f>
        <v>26</v>
      </c>
      <c r="P3842">
        <v>106</v>
      </c>
      <c r="Q3842">
        <v>3518</v>
      </c>
    </row>
    <row r="3843" spans="1:17" x14ac:dyDescent="0.3">
      <c r="A3843">
        <v>868641</v>
      </c>
      <c r="B3843" s="1" t="s">
        <v>38</v>
      </c>
      <c r="C3843" s="1" t="s">
        <v>23</v>
      </c>
      <c r="D3843" s="1" t="s">
        <v>23</v>
      </c>
      <c r="E3843" s="1" t="s">
        <v>28</v>
      </c>
      <c r="F3843" s="1" t="s">
        <v>29</v>
      </c>
      <c r="G3843" s="1" t="s">
        <v>20</v>
      </c>
      <c r="H3843" t="s">
        <v>30</v>
      </c>
      <c r="I3843" s="1" t="s">
        <v>26</v>
      </c>
      <c r="J3843" s="2">
        <v>43537.589687500003</v>
      </c>
      <c r="K3843" s="2">
        <v>43542.589687500003</v>
      </c>
      <c r="L3843" s="2">
        <v>43542.589687500003</v>
      </c>
      <c r="M3843" s="1">
        <f>_xlfn.DAYS(Table1[[#This Row],[actual_delivery_date]],Table1[[#This Row],[dispatch_date]])</f>
        <v>5</v>
      </c>
      <c r="N3843">
        <v>0</v>
      </c>
      <c r="O3843">
        <f>Table1[[#This Row],[transit_storage_cost]] * (1-'What -if Analysis'!$D$26)</f>
        <v>0</v>
      </c>
      <c r="P3843">
        <v>125</v>
      </c>
      <c r="Q3843">
        <v>1184.4360107164557</v>
      </c>
    </row>
    <row r="3844" spans="1:17" x14ac:dyDescent="0.3">
      <c r="A3844">
        <v>716420</v>
      </c>
      <c r="B3844" s="1" t="s">
        <v>37</v>
      </c>
      <c r="C3844" s="1" t="s">
        <v>16</v>
      </c>
      <c r="D3844" s="1" t="s">
        <v>17</v>
      </c>
      <c r="E3844" s="1" t="s">
        <v>18</v>
      </c>
      <c r="F3844" s="1" t="s">
        <v>19</v>
      </c>
      <c r="G3844" s="1" t="s">
        <v>20</v>
      </c>
      <c r="H3844" t="s">
        <v>21</v>
      </c>
      <c r="I3844" s="1" t="s">
        <v>22</v>
      </c>
      <c r="J3844" s="2">
        <v>43537.5934837963</v>
      </c>
      <c r="K3844" s="2">
        <v>43542.5934837963</v>
      </c>
      <c r="L3844" s="2">
        <v>43540.5934837963</v>
      </c>
      <c r="M3844" s="1">
        <f>_xlfn.DAYS(Table1[[#This Row],[actual_delivery_date]],Table1[[#This Row],[dispatch_date]])</f>
        <v>5</v>
      </c>
      <c r="N3844">
        <v>65</v>
      </c>
      <c r="O3844">
        <f>Table1[[#This Row],[transit_storage_cost]] * (1-'What -if Analysis'!$D$26)</f>
        <v>65</v>
      </c>
      <c r="P3844">
        <v>89</v>
      </c>
      <c r="Q3844">
        <v>2535.3835361002339</v>
      </c>
    </row>
    <row r="3845" spans="1:17" x14ac:dyDescent="0.3">
      <c r="A3845">
        <v>880876</v>
      </c>
      <c r="B3845" s="1" t="s">
        <v>40</v>
      </c>
      <c r="C3845" s="1" t="s">
        <v>16</v>
      </c>
      <c r="D3845" s="1" t="s">
        <v>17</v>
      </c>
      <c r="E3845" s="1" t="s">
        <v>18</v>
      </c>
      <c r="F3845" s="1" t="s">
        <v>19</v>
      </c>
      <c r="G3845" s="1" t="s">
        <v>20</v>
      </c>
      <c r="H3845" t="s">
        <v>21</v>
      </c>
      <c r="I3845" s="1" t="s">
        <v>22</v>
      </c>
      <c r="J3845" s="2">
        <v>43536.598425925928</v>
      </c>
      <c r="K3845" s="2">
        <v>43542.598425925928</v>
      </c>
      <c r="L3845" s="2">
        <v>43540.598425925928</v>
      </c>
      <c r="M3845" s="1">
        <f>_xlfn.DAYS(Table1[[#This Row],[actual_delivery_date]],Table1[[#This Row],[dispatch_date]])</f>
        <v>6</v>
      </c>
      <c r="N3845">
        <v>35</v>
      </c>
      <c r="O3845">
        <f>Table1[[#This Row],[transit_storage_cost]] * (1-'What -if Analysis'!$D$26)</f>
        <v>35</v>
      </c>
      <c r="P3845">
        <v>115</v>
      </c>
      <c r="Q3845">
        <v>3491.1728140074511</v>
      </c>
    </row>
    <row r="3846" spans="1:17" x14ac:dyDescent="0.3">
      <c r="A3846">
        <v>111371</v>
      </c>
      <c r="B3846" s="1" t="s">
        <v>37</v>
      </c>
      <c r="C3846" s="1" t="s">
        <v>16</v>
      </c>
      <c r="D3846" s="1" t="s">
        <v>24</v>
      </c>
      <c r="E3846" s="1" t="s">
        <v>25</v>
      </c>
      <c r="F3846" s="1" t="s">
        <v>19</v>
      </c>
      <c r="G3846" s="1" t="s">
        <v>20</v>
      </c>
      <c r="H3846" t="s">
        <v>30</v>
      </c>
      <c r="I3846" s="1" t="s">
        <v>22</v>
      </c>
      <c r="J3846" s="2">
        <v>43534.601122685184</v>
      </c>
      <c r="K3846" s="2">
        <v>43542.601122685184</v>
      </c>
      <c r="L3846" s="2">
        <v>43538.601122685184</v>
      </c>
      <c r="M3846" s="1">
        <f>_xlfn.DAYS(Table1[[#This Row],[actual_delivery_date]],Table1[[#This Row],[dispatch_date]])</f>
        <v>8</v>
      </c>
      <c r="N3846">
        <v>78</v>
      </c>
      <c r="O3846">
        <f>Table1[[#This Row],[transit_storage_cost]] * (1-'What -if Analysis'!$D$26)</f>
        <v>78</v>
      </c>
      <c r="P3846">
        <v>101</v>
      </c>
      <c r="Q3846">
        <v>805.3010815830595</v>
      </c>
    </row>
    <row r="3847" spans="1:17" x14ac:dyDescent="0.3">
      <c r="A3847">
        <v>81388</v>
      </c>
      <c r="B3847" s="1" t="s">
        <v>40</v>
      </c>
      <c r="C3847" s="1" t="s">
        <v>16</v>
      </c>
      <c r="D3847" s="1" t="s">
        <v>17</v>
      </c>
      <c r="E3847" s="1" t="s">
        <v>18</v>
      </c>
      <c r="F3847" s="1" t="s">
        <v>19</v>
      </c>
      <c r="G3847" s="1" t="s">
        <v>20</v>
      </c>
      <c r="H3847" t="s">
        <v>21</v>
      </c>
      <c r="I3847" s="1" t="s">
        <v>22</v>
      </c>
      <c r="J3847" s="2">
        <v>43536.601574074077</v>
      </c>
      <c r="K3847" s="2">
        <v>43542.601574074077</v>
      </c>
      <c r="L3847" s="2">
        <v>43542.601574074077</v>
      </c>
      <c r="M3847" s="1">
        <f>_xlfn.DAYS(Table1[[#This Row],[actual_delivery_date]],Table1[[#This Row],[dispatch_date]])</f>
        <v>6</v>
      </c>
      <c r="N3847">
        <v>27</v>
      </c>
      <c r="O3847">
        <f>Table1[[#This Row],[transit_storage_cost]] * (1-'What -if Analysis'!$D$26)</f>
        <v>27</v>
      </c>
      <c r="P3847">
        <v>110</v>
      </c>
      <c r="Q3847">
        <v>2177.2748029834479</v>
      </c>
    </row>
    <row r="3848" spans="1:17" x14ac:dyDescent="0.3">
      <c r="A3848">
        <v>46255</v>
      </c>
      <c r="B3848" s="1" t="s">
        <v>40</v>
      </c>
      <c r="C3848" s="1" t="s">
        <v>23</v>
      </c>
      <c r="D3848" s="1" t="s">
        <v>17</v>
      </c>
      <c r="E3848" s="1" t="s">
        <v>18</v>
      </c>
      <c r="F3848" s="1" t="s">
        <v>29</v>
      </c>
      <c r="G3848" s="1" t="s">
        <v>20</v>
      </c>
      <c r="H3848" t="s">
        <v>30</v>
      </c>
      <c r="I3848" s="1" t="s">
        <v>22</v>
      </c>
      <c r="J3848" s="2">
        <v>43534.604953703703</v>
      </c>
      <c r="K3848" s="2">
        <v>43542.604953703703</v>
      </c>
      <c r="L3848" s="2">
        <v>43537.604953703703</v>
      </c>
      <c r="M3848" s="1">
        <f>_xlfn.DAYS(Table1[[#This Row],[actual_delivery_date]],Table1[[#This Row],[dispatch_date]])</f>
        <v>8</v>
      </c>
      <c r="N3848">
        <v>29</v>
      </c>
      <c r="O3848">
        <f>Table1[[#This Row],[transit_storage_cost]] * (1-'What -if Analysis'!$D$26)</f>
        <v>29</v>
      </c>
      <c r="P3848">
        <v>111</v>
      </c>
      <c r="Q3848">
        <v>1674</v>
      </c>
    </row>
    <row r="3849" spans="1:17" x14ac:dyDescent="0.3">
      <c r="A3849">
        <v>5018</v>
      </c>
      <c r="B3849" s="1" t="s">
        <v>38</v>
      </c>
      <c r="C3849" s="1" t="s">
        <v>23</v>
      </c>
      <c r="D3849" s="1" t="s">
        <v>24</v>
      </c>
      <c r="E3849" s="1" t="s">
        <v>25</v>
      </c>
      <c r="F3849" s="1" t="s">
        <v>19</v>
      </c>
      <c r="G3849" s="1" t="s">
        <v>20</v>
      </c>
      <c r="H3849" t="s">
        <v>21</v>
      </c>
      <c r="I3849" s="1" t="s">
        <v>22</v>
      </c>
      <c r="J3849" s="2">
        <v>43538.607372685183</v>
      </c>
      <c r="K3849" s="2">
        <v>43542.607372685183</v>
      </c>
      <c r="L3849" s="2">
        <v>43544.607372685183</v>
      </c>
      <c r="M3849" s="1">
        <f>_xlfn.DAYS(Table1[[#This Row],[actual_delivery_date]],Table1[[#This Row],[dispatch_date]])</f>
        <v>4</v>
      </c>
      <c r="N3849">
        <v>63</v>
      </c>
      <c r="O3849">
        <f>Table1[[#This Row],[transit_storage_cost]] * (1-'What -if Analysis'!$D$26)</f>
        <v>63</v>
      </c>
      <c r="P3849">
        <v>110</v>
      </c>
      <c r="Q3849">
        <v>3189.131025550867</v>
      </c>
    </row>
    <row r="3850" spans="1:17" x14ac:dyDescent="0.3">
      <c r="A3850">
        <v>728781</v>
      </c>
      <c r="B3850" s="1" t="s">
        <v>39</v>
      </c>
      <c r="C3850" s="1" t="s">
        <v>16</v>
      </c>
      <c r="D3850" s="1" t="s">
        <v>23</v>
      </c>
      <c r="E3850" s="1" t="s">
        <v>28</v>
      </c>
      <c r="F3850" s="1" t="s">
        <v>29</v>
      </c>
      <c r="G3850" s="1" t="s">
        <v>20</v>
      </c>
      <c r="H3850" t="s">
        <v>30</v>
      </c>
      <c r="I3850" s="1" t="s">
        <v>26</v>
      </c>
      <c r="J3850" s="2">
        <v>43535.6094212963</v>
      </c>
      <c r="K3850" s="2">
        <v>43542.6094212963</v>
      </c>
      <c r="L3850" s="2">
        <v>43538.6094212963</v>
      </c>
      <c r="M3850" s="1">
        <f>_xlfn.DAYS(Table1[[#This Row],[actual_delivery_date]],Table1[[#This Row],[dispatch_date]])</f>
        <v>7</v>
      </c>
      <c r="N3850">
        <v>39</v>
      </c>
      <c r="O3850">
        <f>Table1[[#This Row],[transit_storage_cost]] * (1-'What -if Analysis'!$D$26)</f>
        <v>39</v>
      </c>
      <c r="P3850">
        <v>130</v>
      </c>
      <c r="Q3850">
        <v>2259.5547930941498</v>
      </c>
    </row>
    <row r="3851" spans="1:17" x14ac:dyDescent="0.3">
      <c r="A3851">
        <v>521006</v>
      </c>
      <c r="B3851" s="1" t="s">
        <v>37</v>
      </c>
      <c r="C3851" s="1" t="s">
        <v>23</v>
      </c>
      <c r="D3851" s="1" t="s">
        <v>17</v>
      </c>
      <c r="E3851" s="1" t="s">
        <v>18</v>
      </c>
      <c r="F3851" s="1" t="s">
        <v>31</v>
      </c>
      <c r="G3851" s="1" t="s">
        <v>20</v>
      </c>
      <c r="H3851" t="s">
        <v>21</v>
      </c>
      <c r="I3851" s="1" t="s">
        <v>22</v>
      </c>
      <c r="J3851" s="2">
        <v>43538.641331018516</v>
      </c>
      <c r="K3851" s="2">
        <v>43542.641331018516</v>
      </c>
      <c r="L3851" s="2">
        <v>43542.641331018516</v>
      </c>
      <c r="M3851" s="1">
        <f>_xlfn.DAYS(Table1[[#This Row],[actual_delivery_date]],Table1[[#This Row],[dispatch_date]])</f>
        <v>4</v>
      </c>
      <c r="N3851">
        <v>42</v>
      </c>
      <c r="O3851">
        <f>Table1[[#This Row],[transit_storage_cost]] * (1-'What -if Analysis'!$D$26)</f>
        <v>42</v>
      </c>
      <c r="P3851">
        <v>108</v>
      </c>
      <c r="Q3851">
        <v>1424.5950035216283</v>
      </c>
    </row>
    <row r="3852" spans="1:17" x14ac:dyDescent="0.3">
      <c r="A3852">
        <v>379599</v>
      </c>
      <c r="B3852" s="1" t="s">
        <v>41</v>
      </c>
      <c r="C3852" s="1" t="s">
        <v>16</v>
      </c>
      <c r="D3852" s="1" t="s">
        <v>17</v>
      </c>
      <c r="E3852" s="1" t="s">
        <v>18</v>
      </c>
      <c r="F3852" s="1" t="s">
        <v>29</v>
      </c>
      <c r="G3852" s="1" t="s">
        <v>20</v>
      </c>
      <c r="H3852" t="s">
        <v>30</v>
      </c>
      <c r="I3852" s="1" t="s">
        <v>26</v>
      </c>
      <c r="J3852" s="2">
        <v>43534.646215277775</v>
      </c>
      <c r="K3852" s="2">
        <v>43542.646215277775</v>
      </c>
      <c r="L3852" s="2">
        <v>43539.646215277775</v>
      </c>
      <c r="M3852" s="1">
        <f>_xlfn.DAYS(Table1[[#This Row],[actual_delivery_date]],Table1[[#This Row],[dispatch_date]])</f>
        <v>8</v>
      </c>
      <c r="N3852">
        <v>41</v>
      </c>
      <c r="O3852">
        <f>Table1[[#This Row],[transit_storage_cost]] * (1-'What -if Analysis'!$D$26)</f>
        <v>41</v>
      </c>
      <c r="P3852">
        <v>105</v>
      </c>
      <c r="Q3852">
        <v>2486.0375075015791</v>
      </c>
    </row>
    <row r="3853" spans="1:17" x14ac:dyDescent="0.3">
      <c r="A3853">
        <v>638085</v>
      </c>
      <c r="B3853" s="1" t="s">
        <v>39</v>
      </c>
      <c r="C3853" s="1" t="s">
        <v>23</v>
      </c>
      <c r="D3853" s="1" t="s">
        <v>16</v>
      </c>
      <c r="E3853" s="1" t="s">
        <v>27</v>
      </c>
      <c r="F3853" s="1" t="s">
        <v>29</v>
      </c>
      <c r="G3853" s="1" t="s">
        <v>20</v>
      </c>
      <c r="H3853" t="s">
        <v>34</v>
      </c>
      <c r="I3853" s="1" t="s">
        <v>26</v>
      </c>
      <c r="J3853" s="2">
        <v>43537.650046296294</v>
      </c>
      <c r="K3853" s="2">
        <v>43542.650046296294</v>
      </c>
      <c r="L3853" s="2">
        <v>43540.650046296294</v>
      </c>
      <c r="M3853" s="1">
        <f>_xlfn.DAYS(Table1[[#This Row],[actual_delivery_date]],Table1[[#This Row],[dispatch_date]])</f>
        <v>5</v>
      </c>
      <c r="N3853">
        <v>36</v>
      </c>
      <c r="O3853">
        <f>Table1[[#This Row],[transit_storage_cost]] * (1-'What -if Analysis'!$D$26)</f>
        <v>36</v>
      </c>
      <c r="P3853">
        <v>124</v>
      </c>
      <c r="Q3853">
        <v>3455</v>
      </c>
    </row>
    <row r="3854" spans="1:17" x14ac:dyDescent="0.3">
      <c r="A3854">
        <v>242210</v>
      </c>
      <c r="B3854" s="1" t="s">
        <v>38</v>
      </c>
      <c r="C3854" s="1" t="s">
        <v>16</v>
      </c>
      <c r="D3854" s="1" t="s">
        <v>24</v>
      </c>
      <c r="E3854" s="1" t="s">
        <v>25</v>
      </c>
      <c r="F3854" s="1" t="s">
        <v>19</v>
      </c>
      <c r="G3854" s="1" t="s">
        <v>20</v>
      </c>
      <c r="H3854" t="s">
        <v>21</v>
      </c>
      <c r="I3854" s="1" t="s">
        <v>22</v>
      </c>
      <c r="J3854" s="2">
        <v>43533.654560185183</v>
      </c>
      <c r="K3854" s="2">
        <v>43542.654560185183</v>
      </c>
      <c r="L3854" s="2">
        <v>43538.654560185183</v>
      </c>
      <c r="M3854" s="1">
        <f>_xlfn.DAYS(Table1[[#This Row],[actual_delivery_date]],Table1[[#This Row],[dispatch_date]])</f>
        <v>9</v>
      </c>
      <c r="N3854">
        <v>58</v>
      </c>
      <c r="O3854">
        <f>Table1[[#This Row],[transit_storage_cost]] * (1-'What -if Analysis'!$D$26)</f>
        <v>58</v>
      </c>
      <c r="P3854">
        <v>100</v>
      </c>
      <c r="Q3854">
        <v>1496.1663166879002</v>
      </c>
    </row>
    <row r="3855" spans="1:17" x14ac:dyDescent="0.3">
      <c r="A3855">
        <v>777605</v>
      </c>
      <c r="B3855" s="1" t="s">
        <v>40</v>
      </c>
      <c r="C3855" s="1" t="s">
        <v>16</v>
      </c>
      <c r="D3855" s="1" t="s">
        <v>32</v>
      </c>
      <c r="E3855" s="1" t="s">
        <v>33</v>
      </c>
      <c r="F3855" s="1" t="s">
        <v>19</v>
      </c>
      <c r="G3855" s="1" t="s">
        <v>20</v>
      </c>
      <c r="H3855" t="s">
        <v>30</v>
      </c>
      <c r="I3855" s="1" t="s">
        <v>22</v>
      </c>
      <c r="J3855" s="2">
        <v>43538.669409722221</v>
      </c>
      <c r="K3855" s="2">
        <v>43542.669409722221</v>
      </c>
      <c r="L3855" s="2">
        <v>43543.669409722221</v>
      </c>
      <c r="M3855" s="1">
        <f>_xlfn.DAYS(Table1[[#This Row],[actual_delivery_date]],Table1[[#This Row],[dispatch_date]])</f>
        <v>4</v>
      </c>
      <c r="N3855">
        <v>57</v>
      </c>
      <c r="O3855">
        <f>Table1[[#This Row],[transit_storage_cost]] * (1-'What -if Analysis'!$D$26)</f>
        <v>57</v>
      </c>
      <c r="P3855">
        <v>92</v>
      </c>
      <c r="Q3855">
        <v>3115.7269985235575</v>
      </c>
    </row>
    <row r="3856" spans="1:17" x14ac:dyDescent="0.3">
      <c r="A3856">
        <v>330314</v>
      </c>
      <c r="B3856" s="1" t="s">
        <v>38</v>
      </c>
      <c r="C3856" s="1" t="s">
        <v>16</v>
      </c>
      <c r="D3856" s="1" t="s">
        <v>17</v>
      </c>
      <c r="E3856" s="1" t="s">
        <v>18</v>
      </c>
      <c r="F3856" s="1" t="s">
        <v>19</v>
      </c>
      <c r="G3856" s="1" t="s">
        <v>20</v>
      </c>
      <c r="H3856" t="s">
        <v>21</v>
      </c>
      <c r="I3856" s="1" t="s">
        <v>22</v>
      </c>
      <c r="J3856" s="2">
        <v>43536.671365740738</v>
      </c>
      <c r="K3856" s="2">
        <v>43542.671365740738</v>
      </c>
      <c r="L3856" s="2">
        <v>43539.671365740738</v>
      </c>
      <c r="M3856" s="1">
        <f>_xlfn.DAYS(Table1[[#This Row],[actual_delivery_date]],Table1[[#This Row],[dispatch_date]])</f>
        <v>6</v>
      </c>
      <c r="N3856">
        <v>80</v>
      </c>
      <c r="O3856">
        <f>Table1[[#This Row],[transit_storage_cost]] * (1-'What -if Analysis'!$D$26)</f>
        <v>80</v>
      </c>
      <c r="P3856">
        <v>88</v>
      </c>
      <c r="Q3856">
        <v>2917.6903341394973</v>
      </c>
    </row>
    <row r="3857" spans="1:17" x14ac:dyDescent="0.3">
      <c r="A3857">
        <v>263909</v>
      </c>
      <c r="B3857" s="1" t="s">
        <v>41</v>
      </c>
      <c r="C3857" s="1" t="s">
        <v>16</v>
      </c>
      <c r="D3857" s="1" t="s">
        <v>24</v>
      </c>
      <c r="E3857" s="1" t="s">
        <v>25</v>
      </c>
      <c r="F3857" s="1" t="s">
        <v>29</v>
      </c>
      <c r="G3857" s="1" t="s">
        <v>20</v>
      </c>
      <c r="H3857" t="s">
        <v>30</v>
      </c>
      <c r="I3857" s="1" t="s">
        <v>22</v>
      </c>
      <c r="J3857" s="2">
        <v>43537.671388888892</v>
      </c>
      <c r="K3857" s="2">
        <v>43542.671388888892</v>
      </c>
      <c r="L3857" s="2">
        <v>43544.671388888892</v>
      </c>
      <c r="M3857" s="1">
        <f>_xlfn.DAYS(Table1[[#This Row],[actual_delivery_date]],Table1[[#This Row],[dispatch_date]])</f>
        <v>5</v>
      </c>
      <c r="N3857">
        <v>44</v>
      </c>
      <c r="O3857">
        <f>Table1[[#This Row],[transit_storage_cost]] * (1-'What -if Analysis'!$D$26)</f>
        <v>44</v>
      </c>
      <c r="P3857">
        <v>129</v>
      </c>
      <c r="Q3857">
        <v>1693</v>
      </c>
    </row>
    <row r="3858" spans="1:17" x14ac:dyDescent="0.3">
      <c r="A3858">
        <v>908487</v>
      </c>
      <c r="B3858" s="1" t="s">
        <v>41</v>
      </c>
      <c r="C3858" s="1" t="s">
        <v>16</v>
      </c>
      <c r="D3858" s="1" t="s">
        <v>23</v>
      </c>
      <c r="E3858" s="1" t="s">
        <v>28</v>
      </c>
      <c r="F3858" s="1" t="s">
        <v>29</v>
      </c>
      <c r="G3858" s="1" t="s">
        <v>20</v>
      </c>
      <c r="H3858" t="s">
        <v>30</v>
      </c>
      <c r="I3858" s="1" t="s">
        <v>26</v>
      </c>
      <c r="J3858" s="2">
        <v>43537.68068287037</v>
      </c>
      <c r="K3858" s="2">
        <v>43542.68068287037</v>
      </c>
      <c r="L3858" s="2">
        <v>43541.68068287037</v>
      </c>
      <c r="M3858" s="1">
        <f>_xlfn.DAYS(Table1[[#This Row],[actual_delivery_date]],Table1[[#This Row],[dispatch_date]])</f>
        <v>5</v>
      </c>
      <c r="N3858">
        <v>33</v>
      </c>
      <c r="O3858">
        <f>Table1[[#This Row],[transit_storage_cost]] * (1-'What -if Analysis'!$D$26)</f>
        <v>33</v>
      </c>
      <c r="P3858">
        <v>123</v>
      </c>
      <c r="Q3858">
        <v>3038</v>
      </c>
    </row>
    <row r="3859" spans="1:17" x14ac:dyDescent="0.3">
      <c r="A3859">
        <v>144206</v>
      </c>
      <c r="B3859" s="1" t="s">
        <v>39</v>
      </c>
      <c r="C3859" s="1" t="s">
        <v>16</v>
      </c>
      <c r="D3859" s="1" t="s">
        <v>23</v>
      </c>
      <c r="E3859" s="1" t="s">
        <v>28</v>
      </c>
      <c r="F3859" s="1" t="s">
        <v>31</v>
      </c>
      <c r="G3859" s="1" t="s">
        <v>20</v>
      </c>
      <c r="H3859" t="s">
        <v>21</v>
      </c>
      <c r="I3859" s="1" t="s">
        <v>22</v>
      </c>
      <c r="J3859" s="2">
        <v>43538.682060185187</v>
      </c>
      <c r="K3859" s="2">
        <v>43542.682060185187</v>
      </c>
      <c r="L3859" s="2">
        <v>43541.682060185187</v>
      </c>
      <c r="M3859" s="1">
        <f>_xlfn.DAYS(Table1[[#This Row],[actual_delivery_date]],Table1[[#This Row],[dispatch_date]])</f>
        <v>4</v>
      </c>
      <c r="N3859">
        <v>29</v>
      </c>
      <c r="O3859">
        <f>Table1[[#This Row],[transit_storage_cost]] * (1-'What -if Analysis'!$D$26)</f>
        <v>29</v>
      </c>
      <c r="P3859">
        <v>122</v>
      </c>
      <c r="Q3859">
        <v>782.215251329132</v>
      </c>
    </row>
    <row r="3860" spans="1:17" x14ac:dyDescent="0.3">
      <c r="A3860">
        <v>931355</v>
      </c>
      <c r="B3860" s="1" t="s">
        <v>15</v>
      </c>
      <c r="C3860" s="1" t="s">
        <v>16</v>
      </c>
      <c r="D3860" s="1" t="s">
        <v>24</v>
      </c>
      <c r="E3860" s="1" t="s">
        <v>25</v>
      </c>
      <c r="F3860" s="1" t="s">
        <v>29</v>
      </c>
      <c r="G3860" s="1" t="s">
        <v>20</v>
      </c>
      <c r="H3860" t="s">
        <v>30</v>
      </c>
      <c r="I3860" s="1" t="s">
        <v>22</v>
      </c>
      <c r="J3860" s="2">
        <v>43535.690243055556</v>
      </c>
      <c r="K3860" s="2">
        <v>43542.690243055556</v>
      </c>
      <c r="L3860" s="2">
        <v>43540.690243055556</v>
      </c>
      <c r="M3860" s="1">
        <f>_xlfn.DAYS(Table1[[#This Row],[actual_delivery_date]],Table1[[#This Row],[dispatch_date]])</f>
        <v>7</v>
      </c>
      <c r="N3860">
        <v>48</v>
      </c>
      <c r="O3860">
        <f>Table1[[#This Row],[transit_storage_cost]] * (1-'What -if Analysis'!$D$26)</f>
        <v>48</v>
      </c>
      <c r="P3860">
        <v>127</v>
      </c>
      <c r="Q3860">
        <v>3359</v>
      </c>
    </row>
    <row r="3861" spans="1:17" x14ac:dyDescent="0.3">
      <c r="A3861">
        <v>231141</v>
      </c>
      <c r="B3861" s="1" t="s">
        <v>38</v>
      </c>
      <c r="C3861" s="1" t="s">
        <v>16</v>
      </c>
      <c r="D3861" s="1" t="s">
        <v>17</v>
      </c>
      <c r="E3861" s="1" t="s">
        <v>18</v>
      </c>
      <c r="F3861" s="1" t="s">
        <v>29</v>
      </c>
      <c r="G3861" s="1" t="s">
        <v>20</v>
      </c>
      <c r="H3861" t="s">
        <v>30</v>
      </c>
      <c r="I3861" s="1" t="s">
        <v>26</v>
      </c>
      <c r="J3861" s="2">
        <v>43538.695497685185</v>
      </c>
      <c r="K3861" s="2">
        <v>43542.695497685185</v>
      </c>
      <c r="L3861" s="2">
        <v>43545.695497685185</v>
      </c>
      <c r="M3861" s="1">
        <f>_xlfn.DAYS(Table1[[#This Row],[actual_delivery_date]],Table1[[#This Row],[dispatch_date]])</f>
        <v>4</v>
      </c>
      <c r="N3861">
        <v>30</v>
      </c>
      <c r="O3861">
        <f>Table1[[#This Row],[transit_storage_cost]] * (1-'What -if Analysis'!$D$26)</f>
        <v>30</v>
      </c>
      <c r="P3861">
        <v>113</v>
      </c>
      <c r="Q3861">
        <v>2464.1546322046506</v>
      </c>
    </row>
    <row r="3862" spans="1:17" x14ac:dyDescent="0.3">
      <c r="A3862">
        <v>757545</v>
      </c>
      <c r="B3862" s="1" t="s">
        <v>38</v>
      </c>
      <c r="C3862" s="1" t="s">
        <v>23</v>
      </c>
      <c r="D3862" s="1" t="s">
        <v>23</v>
      </c>
      <c r="E3862" s="1" t="s">
        <v>28</v>
      </c>
      <c r="F3862" s="1" t="s">
        <v>29</v>
      </c>
      <c r="G3862" s="1" t="s">
        <v>20</v>
      </c>
      <c r="H3862" t="s">
        <v>30</v>
      </c>
      <c r="I3862" s="1" t="s">
        <v>26</v>
      </c>
      <c r="J3862" s="2">
        <v>43536.710798611108</v>
      </c>
      <c r="K3862" s="2">
        <v>43542.710798611108</v>
      </c>
      <c r="L3862" s="2">
        <v>43541.710798611108</v>
      </c>
      <c r="M3862" s="1">
        <f>_xlfn.DAYS(Table1[[#This Row],[actual_delivery_date]],Table1[[#This Row],[dispatch_date]])</f>
        <v>6</v>
      </c>
      <c r="N3862">
        <v>0</v>
      </c>
      <c r="O3862">
        <f>Table1[[#This Row],[transit_storage_cost]] * (1-'What -if Analysis'!$D$26)</f>
        <v>0</v>
      </c>
      <c r="P3862">
        <v>125</v>
      </c>
      <c r="Q3862">
        <v>1985</v>
      </c>
    </row>
    <row r="3863" spans="1:17" x14ac:dyDescent="0.3">
      <c r="A3863">
        <v>748191</v>
      </c>
      <c r="B3863" s="1" t="s">
        <v>40</v>
      </c>
      <c r="C3863" s="1" t="s">
        <v>16</v>
      </c>
      <c r="D3863" s="1" t="s">
        <v>23</v>
      </c>
      <c r="E3863" s="1" t="s">
        <v>28</v>
      </c>
      <c r="F3863" s="1" t="s">
        <v>29</v>
      </c>
      <c r="G3863" s="1" t="s">
        <v>20</v>
      </c>
      <c r="H3863" t="s">
        <v>30</v>
      </c>
      <c r="I3863" s="1" t="s">
        <v>26</v>
      </c>
      <c r="J3863" s="2">
        <v>43537.720370370371</v>
      </c>
      <c r="K3863" s="2">
        <v>43542.720370370371</v>
      </c>
      <c r="L3863" s="2">
        <v>43542.720370370371</v>
      </c>
      <c r="M3863" s="1">
        <f>_xlfn.DAYS(Table1[[#This Row],[actual_delivery_date]],Table1[[#This Row],[dispatch_date]])</f>
        <v>5</v>
      </c>
      <c r="N3863">
        <v>26</v>
      </c>
      <c r="O3863">
        <f>Table1[[#This Row],[transit_storage_cost]] * (1-'What -if Analysis'!$D$26)</f>
        <v>26</v>
      </c>
      <c r="P3863">
        <v>128</v>
      </c>
      <c r="Q3863">
        <v>3839.8897005879294</v>
      </c>
    </row>
    <row r="3864" spans="1:17" x14ac:dyDescent="0.3">
      <c r="A3864">
        <v>343167</v>
      </c>
      <c r="B3864" s="1" t="s">
        <v>40</v>
      </c>
      <c r="C3864" s="1" t="s">
        <v>16</v>
      </c>
      <c r="D3864" s="1" t="s">
        <v>23</v>
      </c>
      <c r="E3864" s="1" t="s">
        <v>28</v>
      </c>
      <c r="F3864" s="1" t="s">
        <v>29</v>
      </c>
      <c r="G3864" s="1" t="s">
        <v>20</v>
      </c>
      <c r="H3864" t="s">
        <v>30</v>
      </c>
      <c r="I3864" s="1" t="s">
        <v>26</v>
      </c>
      <c r="J3864" s="2">
        <v>43534.72550925926</v>
      </c>
      <c r="K3864" s="2">
        <v>43542.72550925926</v>
      </c>
      <c r="L3864" s="2">
        <v>43539.72550925926</v>
      </c>
      <c r="M3864" s="1">
        <f>_xlfn.DAYS(Table1[[#This Row],[actual_delivery_date]],Table1[[#This Row],[dispatch_date]])</f>
        <v>8</v>
      </c>
      <c r="N3864">
        <v>47</v>
      </c>
      <c r="O3864">
        <f>Table1[[#This Row],[transit_storage_cost]] * (1-'What -if Analysis'!$D$26)</f>
        <v>47</v>
      </c>
      <c r="P3864">
        <v>123</v>
      </c>
      <c r="Q3864">
        <v>485</v>
      </c>
    </row>
    <row r="3865" spans="1:17" x14ac:dyDescent="0.3">
      <c r="A3865">
        <v>698440</v>
      </c>
      <c r="B3865" s="1" t="s">
        <v>38</v>
      </c>
      <c r="C3865" s="1" t="s">
        <v>23</v>
      </c>
      <c r="D3865" s="1" t="s">
        <v>24</v>
      </c>
      <c r="E3865" s="1" t="s">
        <v>25</v>
      </c>
      <c r="F3865" s="1" t="s">
        <v>19</v>
      </c>
      <c r="G3865" s="1" t="s">
        <v>20</v>
      </c>
      <c r="H3865" t="s">
        <v>21</v>
      </c>
      <c r="I3865" s="1" t="s">
        <v>22</v>
      </c>
      <c r="J3865" s="2">
        <v>43535.730682870373</v>
      </c>
      <c r="K3865" s="2">
        <v>43542.730682870373</v>
      </c>
      <c r="L3865" s="2">
        <v>43539.730682870373</v>
      </c>
      <c r="M3865" s="1">
        <f>_xlfn.DAYS(Table1[[#This Row],[actual_delivery_date]],Table1[[#This Row],[dispatch_date]])</f>
        <v>7</v>
      </c>
      <c r="N3865">
        <v>61</v>
      </c>
      <c r="O3865">
        <f>Table1[[#This Row],[transit_storage_cost]] * (1-'What -if Analysis'!$D$26)</f>
        <v>61</v>
      </c>
      <c r="P3865">
        <v>107</v>
      </c>
      <c r="Q3865">
        <v>2508</v>
      </c>
    </row>
    <row r="3866" spans="1:17" x14ac:dyDescent="0.3">
      <c r="A3866">
        <v>845489</v>
      </c>
      <c r="B3866" s="1" t="s">
        <v>41</v>
      </c>
      <c r="C3866" s="1" t="s">
        <v>23</v>
      </c>
      <c r="D3866" s="1" t="s">
        <v>17</v>
      </c>
      <c r="E3866" s="1" t="s">
        <v>18</v>
      </c>
      <c r="F3866" s="1" t="s">
        <v>29</v>
      </c>
      <c r="G3866" s="1" t="s">
        <v>20</v>
      </c>
      <c r="H3866" t="s">
        <v>30</v>
      </c>
      <c r="I3866" s="1" t="s">
        <v>22</v>
      </c>
      <c r="J3866" s="2">
        <v>43534.731238425928</v>
      </c>
      <c r="K3866" s="2">
        <v>43542.731238425928</v>
      </c>
      <c r="L3866" s="2">
        <v>43537.731238425928</v>
      </c>
      <c r="M3866" s="1">
        <f>_xlfn.DAYS(Table1[[#This Row],[actual_delivery_date]],Table1[[#This Row],[dispatch_date]])</f>
        <v>8</v>
      </c>
      <c r="N3866">
        <v>26</v>
      </c>
      <c r="O3866">
        <f>Table1[[#This Row],[transit_storage_cost]] * (1-'What -if Analysis'!$D$26)</f>
        <v>26</v>
      </c>
      <c r="P3866">
        <v>114</v>
      </c>
      <c r="Q3866">
        <v>1667</v>
      </c>
    </row>
    <row r="3867" spans="1:17" x14ac:dyDescent="0.3">
      <c r="A3867">
        <v>799285</v>
      </c>
      <c r="B3867" s="1" t="s">
        <v>38</v>
      </c>
      <c r="C3867" s="1" t="s">
        <v>16</v>
      </c>
      <c r="D3867" s="1" t="s">
        <v>32</v>
      </c>
      <c r="E3867" s="1" t="s">
        <v>33</v>
      </c>
      <c r="F3867" s="1" t="s">
        <v>19</v>
      </c>
      <c r="G3867" s="1" t="s">
        <v>20</v>
      </c>
      <c r="H3867" t="s">
        <v>30</v>
      </c>
      <c r="I3867" s="1" t="s">
        <v>22</v>
      </c>
      <c r="J3867" s="2">
        <v>43536.733518518522</v>
      </c>
      <c r="K3867" s="2">
        <v>43542.733518518522</v>
      </c>
      <c r="L3867" s="2">
        <v>43540.733518518522</v>
      </c>
      <c r="M3867" s="1">
        <f>_xlfn.DAYS(Table1[[#This Row],[actual_delivery_date]],Table1[[#This Row],[dispatch_date]])</f>
        <v>6</v>
      </c>
      <c r="N3867">
        <v>73</v>
      </c>
      <c r="O3867">
        <f>Table1[[#This Row],[transit_storage_cost]] * (1-'What -if Analysis'!$D$26)</f>
        <v>73</v>
      </c>
      <c r="P3867">
        <v>90</v>
      </c>
      <c r="Q3867">
        <v>1356.7918286090146</v>
      </c>
    </row>
    <row r="3868" spans="1:17" x14ac:dyDescent="0.3">
      <c r="A3868">
        <v>408790</v>
      </c>
      <c r="B3868" s="1" t="s">
        <v>38</v>
      </c>
      <c r="C3868" s="1" t="s">
        <v>16</v>
      </c>
      <c r="D3868" s="1" t="s">
        <v>17</v>
      </c>
      <c r="E3868" s="1" t="s">
        <v>18</v>
      </c>
      <c r="F3868" s="1" t="s">
        <v>31</v>
      </c>
      <c r="G3868" s="1" t="s">
        <v>20</v>
      </c>
      <c r="H3868" t="s">
        <v>21</v>
      </c>
      <c r="I3868" s="1" t="s">
        <v>22</v>
      </c>
      <c r="J3868" s="2">
        <v>43536.735717592594</v>
      </c>
      <c r="K3868" s="2">
        <v>43542.735717592594</v>
      </c>
      <c r="L3868" s="2">
        <v>43541.735717592594</v>
      </c>
      <c r="M3868" s="1">
        <f>_xlfn.DAYS(Table1[[#This Row],[actual_delivery_date]],Table1[[#This Row],[dispatch_date]])</f>
        <v>6</v>
      </c>
      <c r="N3868">
        <v>49</v>
      </c>
      <c r="O3868">
        <f>Table1[[#This Row],[transit_storage_cost]] * (1-'What -if Analysis'!$D$26)</f>
        <v>49</v>
      </c>
      <c r="P3868">
        <v>108</v>
      </c>
      <c r="Q3868">
        <v>1523.868625769021</v>
      </c>
    </row>
    <row r="3869" spans="1:17" x14ac:dyDescent="0.3">
      <c r="A3869">
        <v>155563</v>
      </c>
      <c r="B3869" s="1" t="s">
        <v>38</v>
      </c>
      <c r="C3869" s="1" t="s">
        <v>16</v>
      </c>
      <c r="D3869" s="1" t="s">
        <v>16</v>
      </c>
      <c r="E3869" s="1" t="s">
        <v>27</v>
      </c>
      <c r="F3869" s="1" t="s">
        <v>29</v>
      </c>
      <c r="G3869" s="1" t="s">
        <v>20</v>
      </c>
      <c r="H3869" t="s">
        <v>30</v>
      </c>
      <c r="I3869" s="1" t="s">
        <v>22</v>
      </c>
      <c r="J3869" s="2">
        <v>43536.738819444443</v>
      </c>
      <c r="K3869" s="2">
        <v>43542.738819444443</v>
      </c>
      <c r="L3869" s="2">
        <v>43543.738819444443</v>
      </c>
      <c r="M3869" s="1">
        <f>_xlfn.DAYS(Table1[[#This Row],[actual_delivery_date]],Table1[[#This Row],[dispatch_date]])</f>
        <v>6</v>
      </c>
      <c r="N3869">
        <v>0</v>
      </c>
      <c r="O3869">
        <f>Table1[[#This Row],[transit_storage_cost]] * (1-'What -if Analysis'!$D$26)</f>
        <v>0</v>
      </c>
      <c r="P3869">
        <v>125</v>
      </c>
      <c r="Q3869">
        <v>1216.6667747665167</v>
      </c>
    </row>
    <row r="3870" spans="1:17" x14ac:dyDescent="0.3">
      <c r="A3870">
        <v>503842</v>
      </c>
      <c r="B3870" s="1" t="s">
        <v>39</v>
      </c>
      <c r="C3870" s="1" t="s">
        <v>16</v>
      </c>
      <c r="D3870" s="1" t="s">
        <v>23</v>
      </c>
      <c r="E3870" s="1" t="s">
        <v>28</v>
      </c>
      <c r="F3870" s="1" t="s">
        <v>31</v>
      </c>
      <c r="G3870" s="1" t="s">
        <v>20</v>
      </c>
      <c r="H3870" t="s">
        <v>21</v>
      </c>
      <c r="I3870" s="1" t="s">
        <v>22</v>
      </c>
      <c r="J3870" s="2">
        <v>43536.745810185188</v>
      </c>
      <c r="K3870" s="2">
        <v>43542.745810185188</v>
      </c>
      <c r="L3870" s="2">
        <v>43541.745810185188</v>
      </c>
      <c r="M3870" s="1">
        <f>_xlfn.DAYS(Table1[[#This Row],[actual_delivery_date]],Table1[[#This Row],[dispatch_date]])</f>
        <v>6</v>
      </c>
      <c r="N3870">
        <v>31</v>
      </c>
      <c r="O3870">
        <f>Table1[[#This Row],[transit_storage_cost]] * (1-'What -if Analysis'!$D$26)</f>
        <v>31</v>
      </c>
      <c r="P3870">
        <v>129</v>
      </c>
      <c r="Q3870">
        <v>2721.5001711646132</v>
      </c>
    </row>
    <row r="3871" spans="1:17" x14ac:dyDescent="0.3">
      <c r="A3871">
        <v>903982</v>
      </c>
      <c r="B3871" s="1" t="s">
        <v>39</v>
      </c>
      <c r="C3871" s="1" t="s">
        <v>16</v>
      </c>
      <c r="D3871" s="1" t="s">
        <v>23</v>
      </c>
      <c r="E3871" s="1" t="s">
        <v>28</v>
      </c>
      <c r="F3871" s="1" t="s">
        <v>19</v>
      </c>
      <c r="G3871" s="1" t="s">
        <v>20</v>
      </c>
      <c r="H3871" t="s">
        <v>21</v>
      </c>
      <c r="I3871" s="1" t="s">
        <v>22</v>
      </c>
      <c r="J3871" s="2">
        <v>43537.746365740742</v>
      </c>
      <c r="K3871" s="2">
        <v>43542.746365740742</v>
      </c>
      <c r="L3871" s="2">
        <v>43541.746365740742</v>
      </c>
      <c r="M3871" s="1">
        <f>_xlfn.DAYS(Table1[[#This Row],[actual_delivery_date]],Table1[[#This Row],[dispatch_date]])</f>
        <v>5</v>
      </c>
      <c r="N3871">
        <v>90</v>
      </c>
      <c r="O3871">
        <f>Table1[[#This Row],[transit_storage_cost]] * (1-'What -if Analysis'!$D$26)</f>
        <v>90</v>
      </c>
      <c r="P3871">
        <v>108</v>
      </c>
      <c r="Q3871">
        <v>3542</v>
      </c>
    </row>
    <row r="3872" spans="1:17" x14ac:dyDescent="0.3">
      <c r="A3872">
        <v>431277</v>
      </c>
      <c r="B3872" s="1" t="s">
        <v>40</v>
      </c>
      <c r="C3872" s="1" t="s">
        <v>23</v>
      </c>
      <c r="D3872" s="1" t="s">
        <v>23</v>
      </c>
      <c r="E3872" s="1" t="s">
        <v>28</v>
      </c>
      <c r="F3872" s="1" t="s">
        <v>29</v>
      </c>
      <c r="G3872" s="1" t="s">
        <v>20</v>
      </c>
      <c r="H3872" t="s">
        <v>34</v>
      </c>
      <c r="I3872" s="1" t="s">
        <v>26</v>
      </c>
      <c r="J3872" s="2">
        <v>43536.746747685182</v>
      </c>
      <c r="K3872" s="2">
        <v>43542.746747685182</v>
      </c>
      <c r="L3872" s="2">
        <v>43543.746747685182</v>
      </c>
      <c r="M3872" s="1">
        <f>_xlfn.DAYS(Table1[[#This Row],[actual_delivery_date]],Table1[[#This Row],[dispatch_date]])</f>
        <v>6</v>
      </c>
      <c r="N3872">
        <v>0</v>
      </c>
      <c r="O3872">
        <f>Table1[[#This Row],[transit_storage_cost]] * (1-'What -if Analysis'!$D$26)</f>
        <v>0</v>
      </c>
      <c r="P3872">
        <v>120</v>
      </c>
      <c r="Q3872">
        <v>1562.8095121187127</v>
      </c>
    </row>
    <row r="3873" spans="1:17" x14ac:dyDescent="0.3">
      <c r="A3873">
        <v>534022</v>
      </c>
      <c r="B3873" s="1" t="s">
        <v>41</v>
      </c>
      <c r="C3873" s="1" t="s">
        <v>23</v>
      </c>
      <c r="D3873" s="1" t="s">
        <v>16</v>
      </c>
      <c r="E3873" s="1" t="s">
        <v>27</v>
      </c>
      <c r="F3873" s="1" t="s">
        <v>31</v>
      </c>
      <c r="G3873" s="1" t="s">
        <v>20</v>
      </c>
      <c r="H3873" t="s">
        <v>21</v>
      </c>
      <c r="I3873" s="1" t="s">
        <v>22</v>
      </c>
      <c r="J3873" s="2">
        <v>43537.752060185187</v>
      </c>
      <c r="K3873" s="2">
        <v>43542.752060185187</v>
      </c>
      <c r="L3873" s="2">
        <v>43540.752060185187</v>
      </c>
      <c r="M3873" s="1">
        <f>_xlfn.DAYS(Table1[[#This Row],[actual_delivery_date]],Table1[[#This Row],[dispatch_date]])</f>
        <v>5</v>
      </c>
      <c r="N3873">
        <v>34</v>
      </c>
      <c r="O3873">
        <f>Table1[[#This Row],[transit_storage_cost]] * (1-'What -if Analysis'!$D$26)</f>
        <v>34</v>
      </c>
      <c r="P3873">
        <v>124</v>
      </c>
      <c r="Q3873">
        <v>3096.2379331372913</v>
      </c>
    </row>
    <row r="3874" spans="1:17" x14ac:dyDescent="0.3">
      <c r="A3874">
        <v>773390</v>
      </c>
      <c r="B3874" s="1" t="s">
        <v>15</v>
      </c>
      <c r="C3874" s="1" t="s">
        <v>23</v>
      </c>
      <c r="D3874" s="1" t="s">
        <v>16</v>
      </c>
      <c r="E3874" s="1" t="s">
        <v>27</v>
      </c>
      <c r="F3874" s="1" t="s">
        <v>31</v>
      </c>
      <c r="G3874" s="1" t="s">
        <v>20</v>
      </c>
      <c r="H3874" t="s">
        <v>21</v>
      </c>
      <c r="I3874" s="1" t="s">
        <v>22</v>
      </c>
      <c r="J3874" s="2">
        <v>43536.757673611108</v>
      </c>
      <c r="K3874" s="2">
        <v>43542.757673611108</v>
      </c>
      <c r="L3874" s="2">
        <v>43542.757673611108</v>
      </c>
      <c r="M3874" s="1">
        <f>_xlfn.DAYS(Table1[[#This Row],[actual_delivery_date]],Table1[[#This Row],[dispatch_date]])</f>
        <v>6</v>
      </c>
      <c r="N3874">
        <v>45</v>
      </c>
      <c r="O3874">
        <f>Table1[[#This Row],[transit_storage_cost]] * (1-'What -if Analysis'!$D$26)</f>
        <v>45</v>
      </c>
      <c r="P3874">
        <v>121</v>
      </c>
      <c r="Q3874">
        <v>2313</v>
      </c>
    </row>
    <row r="3875" spans="1:17" x14ac:dyDescent="0.3">
      <c r="A3875">
        <v>796734</v>
      </c>
      <c r="B3875" s="1" t="s">
        <v>39</v>
      </c>
      <c r="C3875" s="1" t="s">
        <v>23</v>
      </c>
      <c r="D3875" s="1" t="s">
        <v>16</v>
      </c>
      <c r="E3875" s="1" t="s">
        <v>27</v>
      </c>
      <c r="F3875" s="1" t="s">
        <v>31</v>
      </c>
      <c r="G3875" s="1" t="s">
        <v>20</v>
      </c>
      <c r="H3875" t="s">
        <v>21</v>
      </c>
      <c r="I3875" s="1" t="s">
        <v>26</v>
      </c>
      <c r="J3875" s="2">
        <v>43535.758333333331</v>
      </c>
      <c r="K3875" s="2">
        <v>43542.758333333331</v>
      </c>
      <c r="L3875" s="2">
        <v>43540.758333333331</v>
      </c>
      <c r="M3875" s="1">
        <f>_xlfn.DAYS(Table1[[#This Row],[actual_delivery_date]],Table1[[#This Row],[dispatch_date]])</f>
        <v>7</v>
      </c>
      <c r="N3875">
        <v>30</v>
      </c>
      <c r="O3875">
        <f>Table1[[#This Row],[transit_storage_cost]] * (1-'What -if Analysis'!$D$26)</f>
        <v>30</v>
      </c>
      <c r="P3875">
        <v>123</v>
      </c>
      <c r="Q3875">
        <v>2682</v>
      </c>
    </row>
    <row r="3876" spans="1:17" x14ac:dyDescent="0.3">
      <c r="A3876">
        <v>198651</v>
      </c>
      <c r="B3876" s="1" t="s">
        <v>38</v>
      </c>
      <c r="C3876" s="1" t="s">
        <v>16</v>
      </c>
      <c r="D3876" s="1" t="s">
        <v>23</v>
      </c>
      <c r="E3876" s="1" t="s">
        <v>28</v>
      </c>
      <c r="F3876" s="1" t="s">
        <v>29</v>
      </c>
      <c r="G3876" s="1" t="s">
        <v>20</v>
      </c>
      <c r="H3876" t="s">
        <v>30</v>
      </c>
      <c r="I3876" s="1" t="s">
        <v>26</v>
      </c>
      <c r="J3876" s="2">
        <v>43533.761620370373</v>
      </c>
      <c r="K3876" s="2">
        <v>43542.761620370373</v>
      </c>
      <c r="L3876" s="2">
        <v>43538.761620370373</v>
      </c>
      <c r="M3876" s="1">
        <f>_xlfn.DAYS(Table1[[#This Row],[actual_delivery_date]],Table1[[#This Row],[dispatch_date]])</f>
        <v>9</v>
      </c>
      <c r="N3876">
        <v>30</v>
      </c>
      <c r="O3876">
        <f>Table1[[#This Row],[transit_storage_cost]] * (1-'What -if Analysis'!$D$26)</f>
        <v>30</v>
      </c>
      <c r="P3876">
        <v>129</v>
      </c>
      <c r="Q3876">
        <v>752.76040816438035</v>
      </c>
    </row>
    <row r="3877" spans="1:17" x14ac:dyDescent="0.3">
      <c r="A3877">
        <v>32400</v>
      </c>
      <c r="B3877" s="1" t="s">
        <v>38</v>
      </c>
      <c r="C3877" s="1" t="s">
        <v>16</v>
      </c>
      <c r="D3877" s="1" t="s">
        <v>17</v>
      </c>
      <c r="E3877" s="1" t="s">
        <v>18</v>
      </c>
      <c r="F3877" s="1" t="s">
        <v>19</v>
      </c>
      <c r="G3877" s="1" t="s">
        <v>20</v>
      </c>
      <c r="H3877" t="s">
        <v>21</v>
      </c>
      <c r="I3877" s="1" t="s">
        <v>26</v>
      </c>
      <c r="J3877" s="2">
        <v>43536.769606481481</v>
      </c>
      <c r="K3877" s="2">
        <v>43542.769606481481</v>
      </c>
      <c r="L3877" s="2">
        <v>43540.769606481481</v>
      </c>
      <c r="M3877" s="1">
        <f>_xlfn.DAYS(Table1[[#This Row],[actual_delivery_date]],Table1[[#This Row],[dispatch_date]])</f>
        <v>6</v>
      </c>
      <c r="N3877">
        <v>43</v>
      </c>
      <c r="O3877">
        <f>Table1[[#This Row],[transit_storage_cost]] * (1-'What -if Analysis'!$D$26)</f>
        <v>43</v>
      </c>
      <c r="P3877">
        <v>106</v>
      </c>
      <c r="Q3877">
        <v>2246.8132504521745</v>
      </c>
    </row>
    <row r="3878" spans="1:17" x14ac:dyDescent="0.3">
      <c r="A3878">
        <v>714699</v>
      </c>
      <c r="B3878" s="1" t="s">
        <v>41</v>
      </c>
      <c r="C3878" s="1" t="s">
        <v>23</v>
      </c>
      <c r="D3878" s="1" t="s">
        <v>23</v>
      </c>
      <c r="E3878" s="1" t="s">
        <v>28</v>
      </c>
      <c r="F3878" s="1" t="s">
        <v>29</v>
      </c>
      <c r="G3878" s="1" t="s">
        <v>20</v>
      </c>
      <c r="H3878" t="s">
        <v>30</v>
      </c>
      <c r="I3878" s="1" t="s">
        <v>26</v>
      </c>
      <c r="J3878" s="2">
        <v>43538.772592592592</v>
      </c>
      <c r="K3878" s="2">
        <v>43542.772592592592</v>
      </c>
      <c r="L3878" s="2">
        <v>43543.772592592592</v>
      </c>
      <c r="M3878" s="1">
        <f>_xlfn.DAYS(Table1[[#This Row],[actual_delivery_date]],Table1[[#This Row],[dispatch_date]])</f>
        <v>4</v>
      </c>
      <c r="N3878">
        <v>0</v>
      </c>
      <c r="O3878">
        <f>Table1[[#This Row],[transit_storage_cost]] * (1-'What -if Analysis'!$D$26)</f>
        <v>0</v>
      </c>
      <c r="P3878">
        <v>126</v>
      </c>
      <c r="Q3878">
        <v>2116.5305455358748</v>
      </c>
    </row>
    <row r="3879" spans="1:17" x14ac:dyDescent="0.3">
      <c r="A3879">
        <v>12849</v>
      </c>
      <c r="B3879" s="1" t="s">
        <v>41</v>
      </c>
      <c r="C3879" s="1" t="s">
        <v>16</v>
      </c>
      <c r="D3879" s="1" t="s">
        <v>24</v>
      </c>
      <c r="E3879" s="1" t="s">
        <v>25</v>
      </c>
      <c r="F3879" s="1" t="s">
        <v>19</v>
      </c>
      <c r="G3879" s="1" t="s">
        <v>20</v>
      </c>
      <c r="H3879" t="s">
        <v>30</v>
      </c>
      <c r="I3879" s="1" t="s">
        <v>26</v>
      </c>
      <c r="J3879" s="2">
        <v>43536.776400462964</v>
      </c>
      <c r="K3879" s="2">
        <v>43542.776400462964</v>
      </c>
      <c r="L3879" s="2">
        <v>43543.776400462964</v>
      </c>
      <c r="M3879" s="1">
        <f>_xlfn.DAYS(Table1[[#This Row],[actual_delivery_date]],Table1[[#This Row],[dispatch_date]])</f>
        <v>6</v>
      </c>
      <c r="N3879">
        <v>74</v>
      </c>
      <c r="O3879">
        <f>Table1[[#This Row],[transit_storage_cost]] * (1-'What -if Analysis'!$D$26)</f>
        <v>74</v>
      </c>
      <c r="P3879">
        <v>100</v>
      </c>
      <c r="Q3879">
        <v>3427</v>
      </c>
    </row>
    <row r="3880" spans="1:17" x14ac:dyDescent="0.3">
      <c r="A3880">
        <v>528870</v>
      </c>
      <c r="B3880" s="1" t="s">
        <v>37</v>
      </c>
      <c r="C3880" s="1" t="s">
        <v>23</v>
      </c>
      <c r="D3880" s="1" t="s">
        <v>17</v>
      </c>
      <c r="E3880" s="1" t="s">
        <v>18</v>
      </c>
      <c r="F3880" s="1" t="s">
        <v>31</v>
      </c>
      <c r="G3880" s="1" t="s">
        <v>20</v>
      </c>
      <c r="H3880" t="s">
        <v>21</v>
      </c>
      <c r="I3880" s="1" t="s">
        <v>26</v>
      </c>
      <c r="J3880" s="2">
        <v>43538.786261574074</v>
      </c>
      <c r="K3880" s="2">
        <v>43542.786261574074</v>
      </c>
      <c r="L3880" s="2">
        <v>43543.786261574074</v>
      </c>
      <c r="M3880" s="1">
        <f>_xlfn.DAYS(Table1[[#This Row],[actual_delivery_date]],Table1[[#This Row],[dispatch_date]])</f>
        <v>4</v>
      </c>
      <c r="N3880">
        <v>45</v>
      </c>
      <c r="O3880">
        <f>Table1[[#This Row],[transit_storage_cost]] * (1-'What -if Analysis'!$D$26)</f>
        <v>45</v>
      </c>
      <c r="P3880">
        <v>105</v>
      </c>
      <c r="Q3880">
        <v>2619</v>
      </c>
    </row>
    <row r="3881" spans="1:17" x14ac:dyDescent="0.3">
      <c r="A3881">
        <v>414469</v>
      </c>
      <c r="B3881" s="1" t="s">
        <v>38</v>
      </c>
      <c r="C3881" s="1" t="s">
        <v>16</v>
      </c>
      <c r="D3881" s="1" t="s">
        <v>17</v>
      </c>
      <c r="E3881" s="1" t="s">
        <v>18</v>
      </c>
      <c r="F3881" s="1" t="s">
        <v>19</v>
      </c>
      <c r="G3881" s="1" t="s">
        <v>20</v>
      </c>
      <c r="H3881" t="s">
        <v>30</v>
      </c>
      <c r="I3881" s="1" t="s">
        <v>22</v>
      </c>
      <c r="J3881" s="2">
        <v>43536.797152777777</v>
      </c>
      <c r="K3881" s="2">
        <v>43542.797152777777</v>
      </c>
      <c r="L3881" s="2">
        <v>43542.797152777777</v>
      </c>
      <c r="M3881" s="1">
        <f>_xlfn.DAYS(Table1[[#This Row],[actual_delivery_date]],Table1[[#This Row],[dispatch_date]])</f>
        <v>6</v>
      </c>
      <c r="N3881">
        <v>58</v>
      </c>
      <c r="O3881">
        <f>Table1[[#This Row],[transit_storage_cost]] * (1-'What -if Analysis'!$D$26)</f>
        <v>58</v>
      </c>
      <c r="P3881">
        <v>94</v>
      </c>
      <c r="Q3881">
        <v>1523.1215481425547</v>
      </c>
    </row>
    <row r="3882" spans="1:17" x14ac:dyDescent="0.3">
      <c r="A3882">
        <v>748725</v>
      </c>
      <c r="B3882" s="1" t="s">
        <v>38</v>
      </c>
      <c r="C3882" s="1" t="s">
        <v>16</v>
      </c>
      <c r="D3882" s="1" t="s">
        <v>32</v>
      </c>
      <c r="E3882" s="1" t="s">
        <v>33</v>
      </c>
      <c r="F3882" s="1" t="s">
        <v>19</v>
      </c>
      <c r="G3882" s="1" t="s">
        <v>36</v>
      </c>
      <c r="H3882" t="s">
        <v>30</v>
      </c>
      <c r="I3882" s="1" t="s">
        <v>26</v>
      </c>
      <c r="J3882" s="2">
        <v>43535.800358796296</v>
      </c>
      <c r="K3882" s="2">
        <v>43542.800358796296</v>
      </c>
      <c r="L3882" s="2">
        <v>43539.800358796296</v>
      </c>
      <c r="M3882" s="1">
        <f>_xlfn.DAYS(Table1[[#This Row],[actual_delivery_date]],Table1[[#This Row],[dispatch_date]])</f>
        <v>7</v>
      </c>
      <c r="N3882">
        <v>0</v>
      </c>
      <c r="O3882">
        <f>Table1[[#This Row],[transit_storage_cost]] * (1-'What -if Analysis'!$D$26)</f>
        <v>0</v>
      </c>
      <c r="P3882">
        <v>92</v>
      </c>
      <c r="Q3882">
        <v>1352.3370903459586</v>
      </c>
    </row>
    <row r="3883" spans="1:17" x14ac:dyDescent="0.3">
      <c r="A3883">
        <v>194874</v>
      </c>
      <c r="B3883" s="1" t="s">
        <v>15</v>
      </c>
      <c r="C3883" s="1" t="s">
        <v>16</v>
      </c>
      <c r="D3883" s="1" t="s">
        <v>16</v>
      </c>
      <c r="E3883" s="1" t="s">
        <v>27</v>
      </c>
      <c r="F3883" s="1" t="s">
        <v>31</v>
      </c>
      <c r="G3883" s="1" t="s">
        <v>20</v>
      </c>
      <c r="H3883" t="s">
        <v>21</v>
      </c>
      <c r="I3883" s="1" t="s">
        <v>26</v>
      </c>
      <c r="J3883" s="2">
        <v>43536.811203703706</v>
      </c>
      <c r="K3883" s="2">
        <v>43542.811203703706</v>
      </c>
      <c r="L3883" s="2">
        <v>43542.811203703706</v>
      </c>
      <c r="M3883" s="1">
        <f>_xlfn.DAYS(Table1[[#This Row],[actual_delivery_date]],Table1[[#This Row],[dispatch_date]])</f>
        <v>6</v>
      </c>
      <c r="N3883">
        <v>0</v>
      </c>
      <c r="O3883">
        <f>Table1[[#This Row],[transit_storage_cost]] * (1-'What -if Analysis'!$D$26)</f>
        <v>0</v>
      </c>
      <c r="P3883">
        <v>123</v>
      </c>
      <c r="Q3883">
        <v>642.49823544831258</v>
      </c>
    </row>
    <row r="3884" spans="1:17" x14ac:dyDescent="0.3">
      <c r="A3884">
        <v>940</v>
      </c>
      <c r="B3884" s="1" t="s">
        <v>15</v>
      </c>
      <c r="C3884" s="1" t="s">
        <v>16</v>
      </c>
      <c r="D3884" s="1" t="s">
        <v>32</v>
      </c>
      <c r="E3884" s="1" t="s">
        <v>33</v>
      </c>
      <c r="F3884" s="1" t="s">
        <v>19</v>
      </c>
      <c r="G3884" s="1" t="s">
        <v>20</v>
      </c>
      <c r="H3884" t="s">
        <v>21</v>
      </c>
      <c r="I3884" s="1" t="s">
        <v>22</v>
      </c>
      <c r="J3884" s="2">
        <v>43534.811412037037</v>
      </c>
      <c r="K3884" s="2">
        <v>43542.811412037037</v>
      </c>
      <c r="L3884" s="2">
        <v>43541.811412037037</v>
      </c>
      <c r="M3884" s="1">
        <f>_xlfn.DAYS(Table1[[#This Row],[actual_delivery_date]],Table1[[#This Row],[dispatch_date]])</f>
        <v>8</v>
      </c>
      <c r="N3884">
        <v>39</v>
      </c>
      <c r="O3884">
        <f>Table1[[#This Row],[transit_storage_cost]] * (1-'What -if Analysis'!$D$26)</f>
        <v>39</v>
      </c>
      <c r="P3884">
        <v>106</v>
      </c>
      <c r="Q3884">
        <v>1691.0876536546473</v>
      </c>
    </row>
    <row r="3885" spans="1:17" x14ac:dyDescent="0.3">
      <c r="A3885">
        <v>159534</v>
      </c>
      <c r="B3885" s="1" t="s">
        <v>38</v>
      </c>
      <c r="C3885" s="1" t="s">
        <v>16</v>
      </c>
      <c r="D3885" s="1" t="s">
        <v>17</v>
      </c>
      <c r="E3885" s="1" t="s">
        <v>18</v>
      </c>
      <c r="F3885" s="1" t="s">
        <v>31</v>
      </c>
      <c r="G3885" s="1" t="s">
        <v>20</v>
      </c>
      <c r="H3885" t="s">
        <v>21</v>
      </c>
      <c r="I3885" s="1" t="s">
        <v>26</v>
      </c>
      <c r="J3885" s="2">
        <v>43538.814351851855</v>
      </c>
      <c r="K3885" s="2">
        <v>43542.814351851855</v>
      </c>
      <c r="L3885" s="2">
        <v>43541.814351851855</v>
      </c>
      <c r="M3885" s="1">
        <f>_xlfn.DAYS(Table1[[#This Row],[actual_delivery_date]],Table1[[#This Row],[dispatch_date]])</f>
        <v>4</v>
      </c>
      <c r="N3885">
        <v>34</v>
      </c>
      <c r="O3885">
        <f>Table1[[#This Row],[transit_storage_cost]] * (1-'What -if Analysis'!$D$26)</f>
        <v>34</v>
      </c>
      <c r="P3885">
        <v>111</v>
      </c>
      <c r="Q3885">
        <v>3105.0309811807483</v>
      </c>
    </row>
    <row r="3886" spans="1:17" x14ac:dyDescent="0.3">
      <c r="A3886">
        <v>465035</v>
      </c>
      <c r="B3886" s="1" t="s">
        <v>39</v>
      </c>
      <c r="C3886" s="1" t="s">
        <v>16</v>
      </c>
      <c r="D3886" s="1" t="s">
        <v>17</v>
      </c>
      <c r="E3886" s="1" t="s">
        <v>18</v>
      </c>
      <c r="F3886" s="1" t="s">
        <v>29</v>
      </c>
      <c r="G3886" s="1" t="s">
        <v>20</v>
      </c>
      <c r="H3886" t="s">
        <v>30</v>
      </c>
      <c r="I3886" s="1" t="s">
        <v>22</v>
      </c>
      <c r="J3886" s="2">
        <v>43538.818148148152</v>
      </c>
      <c r="K3886" s="2">
        <v>43542.818148148152</v>
      </c>
      <c r="L3886" s="2">
        <v>43545.818148148152</v>
      </c>
      <c r="M3886" s="1">
        <f>_xlfn.DAYS(Table1[[#This Row],[actual_delivery_date]],Table1[[#This Row],[dispatch_date]])</f>
        <v>4</v>
      </c>
      <c r="N3886">
        <v>47</v>
      </c>
      <c r="O3886">
        <f>Table1[[#This Row],[transit_storage_cost]] * (1-'What -if Analysis'!$D$26)</f>
        <v>47</v>
      </c>
      <c r="P3886">
        <v>114</v>
      </c>
      <c r="Q3886">
        <v>2257.7368454031744</v>
      </c>
    </row>
    <row r="3887" spans="1:17" x14ac:dyDescent="0.3">
      <c r="A3887">
        <v>831331</v>
      </c>
      <c r="B3887" s="1" t="s">
        <v>41</v>
      </c>
      <c r="C3887" s="1" t="s">
        <v>23</v>
      </c>
      <c r="D3887" s="1" t="s">
        <v>17</v>
      </c>
      <c r="E3887" s="1" t="s">
        <v>18</v>
      </c>
      <c r="F3887" s="1" t="s">
        <v>29</v>
      </c>
      <c r="G3887" s="1" t="s">
        <v>20</v>
      </c>
      <c r="H3887" t="s">
        <v>30</v>
      </c>
      <c r="I3887" s="1" t="s">
        <v>22</v>
      </c>
      <c r="J3887" s="2">
        <v>43535.818564814814</v>
      </c>
      <c r="K3887" s="2">
        <v>43542.818564814814</v>
      </c>
      <c r="L3887" s="2">
        <v>43539.818564814814</v>
      </c>
      <c r="M3887" s="1">
        <f>_xlfn.DAYS(Table1[[#This Row],[actual_delivery_date]],Table1[[#This Row],[dispatch_date]])</f>
        <v>7</v>
      </c>
      <c r="N3887">
        <v>46</v>
      </c>
      <c r="O3887">
        <f>Table1[[#This Row],[transit_storage_cost]] * (1-'What -if Analysis'!$D$26)</f>
        <v>46</v>
      </c>
      <c r="P3887">
        <v>112</v>
      </c>
      <c r="Q3887">
        <v>1109</v>
      </c>
    </row>
    <row r="3888" spans="1:17" x14ac:dyDescent="0.3">
      <c r="A3888">
        <v>216925</v>
      </c>
      <c r="B3888" s="1" t="s">
        <v>37</v>
      </c>
      <c r="C3888" s="1" t="s">
        <v>23</v>
      </c>
      <c r="D3888" s="1" t="s">
        <v>17</v>
      </c>
      <c r="E3888" s="1" t="s">
        <v>18</v>
      </c>
      <c r="F3888" s="1" t="s">
        <v>29</v>
      </c>
      <c r="G3888" s="1" t="s">
        <v>20</v>
      </c>
      <c r="H3888" t="s">
        <v>30</v>
      </c>
      <c r="I3888" s="1" t="s">
        <v>22</v>
      </c>
      <c r="J3888" s="2">
        <v>43537.820636574077</v>
      </c>
      <c r="K3888" s="2">
        <v>43542.820636574077</v>
      </c>
      <c r="L3888" s="2">
        <v>43542.820636574077</v>
      </c>
      <c r="M3888" s="1">
        <f>_xlfn.DAYS(Table1[[#This Row],[actual_delivery_date]],Table1[[#This Row],[dispatch_date]])</f>
        <v>5</v>
      </c>
      <c r="N3888">
        <v>46</v>
      </c>
      <c r="O3888">
        <f>Table1[[#This Row],[transit_storage_cost]] * (1-'What -if Analysis'!$D$26)</f>
        <v>46</v>
      </c>
      <c r="P3888">
        <v>110</v>
      </c>
      <c r="Q3888">
        <v>1434.0836658864491</v>
      </c>
    </row>
    <row r="3889" spans="1:17" x14ac:dyDescent="0.3">
      <c r="A3889">
        <v>837754</v>
      </c>
      <c r="B3889" s="1" t="s">
        <v>37</v>
      </c>
      <c r="C3889" s="1" t="s">
        <v>16</v>
      </c>
      <c r="D3889" s="1" t="s">
        <v>16</v>
      </c>
      <c r="E3889" s="1" t="s">
        <v>27</v>
      </c>
      <c r="F3889" s="1" t="s">
        <v>31</v>
      </c>
      <c r="G3889" s="1" t="s">
        <v>20</v>
      </c>
      <c r="H3889" t="s">
        <v>21</v>
      </c>
      <c r="I3889" s="1" t="s">
        <v>22</v>
      </c>
      <c r="J3889" s="2">
        <v>43536.822847222225</v>
      </c>
      <c r="K3889" s="2">
        <v>43542.822847222225</v>
      </c>
      <c r="L3889" s="2">
        <v>43541.822847222225</v>
      </c>
      <c r="M3889" s="1">
        <f>_xlfn.DAYS(Table1[[#This Row],[actual_delivery_date]],Table1[[#This Row],[dispatch_date]])</f>
        <v>6</v>
      </c>
      <c r="N3889">
        <v>0</v>
      </c>
      <c r="O3889">
        <f>Table1[[#This Row],[transit_storage_cost]] * (1-'What -if Analysis'!$D$26)</f>
        <v>0</v>
      </c>
      <c r="P3889">
        <v>130</v>
      </c>
      <c r="Q3889">
        <v>669.01813494316798</v>
      </c>
    </row>
    <row r="3890" spans="1:17" x14ac:dyDescent="0.3">
      <c r="A3890">
        <v>960229</v>
      </c>
      <c r="B3890" s="1" t="s">
        <v>39</v>
      </c>
      <c r="C3890" s="1" t="s">
        <v>16</v>
      </c>
      <c r="D3890" s="1" t="s">
        <v>17</v>
      </c>
      <c r="E3890" s="1" t="s">
        <v>18</v>
      </c>
      <c r="F3890" s="1" t="s">
        <v>29</v>
      </c>
      <c r="G3890" s="1" t="s">
        <v>20</v>
      </c>
      <c r="H3890" t="s">
        <v>30</v>
      </c>
      <c r="I3890" s="1" t="s">
        <v>22</v>
      </c>
      <c r="J3890" s="2">
        <v>43533.825960648152</v>
      </c>
      <c r="K3890" s="2">
        <v>43542.825960648152</v>
      </c>
      <c r="L3890" s="2">
        <v>43540.825960648152</v>
      </c>
      <c r="M3890" s="1">
        <f>_xlfn.DAYS(Table1[[#This Row],[actual_delivery_date]],Table1[[#This Row],[dispatch_date]])</f>
        <v>9</v>
      </c>
      <c r="N3890">
        <v>31</v>
      </c>
      <c r="O3890">
        <f>Table1[[#This Row],[transit_storage_cost]] * (1-'What -if Analysis'!$D$26)</f>
        <v>31</v>
      </c>
      <c r="P3890">
        <v>108</v>
      </c>
      <c r="Q3890">
        <v>2363</v>
      </c>
    </row>
    <row r="3891" spans="1:17" x14ac:dyDescent="0.3">
      <c r="A3891">
        <v>710293</v>
      </c>
      <c r="B3891" s="1" t="s">
        <v>15</v>
      </c>
      <c r="C3891" s="1" t="s">
        <v>16</v>
      </c>
      <c r="D3891" s="1" t="s">
        <v>32</v>
      </c>
      <c r="E3891" s="1" t="s">
        <v>33</v>
      </c>
      <c r="F3891" s="1" t="s">
        <v>29</v>
      </c>
      <c r="G3891" s="1" t="s">
        <v>20</v>
      </c>
      <c r="H3891" t="s">
        <v>30</v>
      </c>
      <c r="I3891" s="1" t="s">
        <v>22</v>
      </c>
      <c r="J3891" s="2">
        <v>43537.83321759259</v>
      </c>
      <c r="K3891" s="2">
        <v>43542.83321759259</v>
      </c>
      <c r="L3891" s="2">
        <v>43543.83321759259</v>
      </c>
      <c r="M3891" s="1">
        <f>_xlfn.DAYS(Table1[[#This Row],[actual_delivery_date]],Table1[[#This Row],[dispatch_date]])</f>
        <v>5</v>
      </c>
      <c r="N3891">
        <v>40</v>
      </c>
      <c r="O3891">
        <f>Table1[[#This Row],[transit_storage_cost]] * (1-'What -if Analysis'!$D$26)</f>
        <v>40</v>
      </c>
      <c r="P3891">
        <v>105</v>
      </c>
      <c r="Q3891">
        <v>1041</v>
      </c>
    </row>
    <row r="3892" spans="1:17" x14ac:dyDescent="0.3">
      <c r="A3892">
        <v>173895</v>
      </c>
      <c r="B3892" s="1" t="s">
        <v>38</v>
      </c>
      <c r="C3892" s="1" t="s">
        <v>16</v>
      </c>
      <c r="D3892" s="1" t="s">
        <v>17</v>
      </c>
      <c r="E3892" s="1" t="s">
        <v>18</v>
      </c>
      <c r="F3892" s="1" t="s">
        <v>29</v>
      </c>
      <c r="G3892" s="1" t="s">
        <v>20</v>
      </c>
      <c r="H3892" t="s">
        <v>30</v>
      </c>
      <c r="I3892" s="1" t="s">
        <v>26</v>
      </c>
      <c r="J3892" s="2">
        <v>43536.849745370368</v>
      </c>
      <c r="K3892" s="2">
        <v>43542.849745370368</v>
      </c>
      <c r="L3892" s="2">
        <v>43543.849745370368</v>
      </c>
      <c r="M3892" s="1">
        <f>_xlfn.DAYS(Table1[[#This Row],[actual_delivery_date]],Table1[[#This Row],[dispatch_date]])</f>
        <v>6</v>
      </c>
      <c r="N3892">
        <v>43</v>
      </c>
      <c r="O3892">
        <f>Table1[[#This Row],[transit_storage_cost]] * (1-'What -if Analysis'!$D$26)</f>
        <v>43</v>
      </c>
      <c r="P3892">
        <v>113</v>
      </c>
      <c r="Q3892">
        <v>1000.9495842822364</v>
      </c>
    </row>
    <row r="3893" spans="1:17" x14ac:dyDescent="0.3">
      <c r="A3893">
        <v>644256</v>
      </c>
      <c r="B3893" s="1" t="s">
        <v>41</v>
      </c>
      <c r="C3893" s="1" t="s">
        <v>16</v>
      </c>
      <c r="D3893" s="1" t="s">
        <v>17</v>
      </c>
      <c r="E3893" s="1" t="s">
        <v>18</v>
      </c>
      <c r="F3893" s="1" t="s">
        <v>19</v>
      </c>
      <c r="G3893" s="1" t="s">
        <v>20</v>
      </c>
      <c r="H3893" t="s">
        <v>21</v>
      </c>
      <c r="I3893" s="1" t="s">
        <v>26</v>
      </c>
      <c r="J3893" s="2">
        <v>43537.854733796295</v>
      </c>
      <c r="K3893" s="2">
        <v>43542.854733796295</v>
      </c>
      <c r="L3893" s="2">
        <v>43544.854733796295</v>
      </c>
      <c r="M3893" s="1">
        <f>_xlfn.DAYS(Table1[[#This Row],[actual_delivery_date]],Table1[[#This Row],[dispatch_date]])</f>
        <v>5</v>
      </c>
      <c r="N3893">
        <v>39</v>
      </c>
      <c r="O3893">
        <f>Table1[[#This Row],[transit_storage_cost]] * (1-'What -if Analysis'!$D$26)</f>
        <v>39</v>
      </c>
      <c r="P3893">
        <v>115</v>
      </c>
      <c r="Q3893">
        <v>3558.7993372337414</v>
      </c>
    </row>
    <row r="3894" spans="1:17" x14ac:dyDescent="0.3">
      <c r="A3894">
        <v>901155</v>
      </c>
      <c r="B3894" s="1" t="s">
        <v>39</v>
      </c>
      <c r="C3894" s="1" t="s">
        <v>16</v>
      </c>
      <c r="D3894" s="1" t="s">
        <v>17</v>
      </c>
      <c r="E3894" s="1" t="s">
        <v>18</v>
      </c>
      <c r="F3894" s="1" t="s">
        <v>19</v>
      </c>
      <c r="G3894" s="1" t="s">
        <v>20</v>
      </c>
      <c r="H3894" t="s">
        <v>30</v>
      </c>
      <c r="I3894" s="1" t="s">
        <v>26</v>
      </c>
      <c r="J3894" s="2">
        <v>43537.871793981481</v>
      </c>
      <c r="K3894" s="2">
        <v>43542.871793981481</v>
      </c>
      <c r="L3894" s="2">
        <v>43543.871793981481</v>
      </c>
      <c r="M3894" s="1">
        <f>_xlfn.DAYS(Table1[[#This Row],[actual_delivery_date]],Table1[[#This Row],[dispatch_date]])</f>
        <v>5</v>
      </c>
      <c r="N3894">
        <v>82</v>
      </c>
      <c r="O3894">
        <f>Table1[[#This Row],[transit_storage_cost]] * (1-'What -if Analysis'!$D$26)</f>
        <v>82</v>
      </c>
      <c r="P3894">
        <v>90</v>
      </c>
      <c r="Q3894">
        <v>3680.5792279303118</v>
      </c>
    </row>
    <row r="3895" spans="1:17" x14ac:dyDescent="0.3">
      <c r="A3895">
        <v>736527</v>
      </c>
      <c r="B3895" s="1" t="s">
        <v>37</v>
      </c>
      <c r="C3895" s="1" t="s">
        <v>23</v>
      </c>
      <c r="D3895" s="1" t="s">
        <v>32</v>
      </c>
      <c r="E3895" s="1" t="s">
        <v>33</v>
      </c>
      <c r="F3895" s="1" t="s">
        <v>19</v>
      </c>
      <c r="G3895" s="1" t="s">
        <v>20</v>
      </c>
      <c r="H3895" t="s">
        <v>30</v>
      </c>
      <c r="I3895" s="1" t="s">
        <v>26</v>
      </c>
      <c r="J3895" s="2">
        <v>43536.879826388889</v>
      </c>
      <c r="K3895" s="2">
        <v>43542.879826388889</v>
      </c>
      <c r="L3895" s="2">
        <v>43542.879826388889</v>
      </c>
      <c r="M3895" s="1">
        <f>_xlfn.DAYS(Table1[[#This Row],[actual_delivery_date]],Table1[[#This Row],[dispatch_date]])</f>
        <v>6</v>
      </c>
      <c r="N3895">
        <v>71</v>
      </c>
      <c r="O3895">
        <f>Table1[[#This Row],[transit_storage_cost]] * (1-'What -if Analysis'!$D$26)</f>
        <v>71</v>
      </c>
      <c r="P3895">
        <v>94</v>
      </c>
      <c r="Q3895">
        <v>1325.5255417271253</v>
      </c>
    </row>
    <row r="3896" spans="1:17" x14ac:dyDescent="0.3">
      <c r="A3896">
        <v>271215</v>
      </c>
      <c r="B3896" s="1" t="s">
        <v>15</v>
      </c>
      <c r="C3896" s="1" t="s">
        <v>23</v>
      </c>
      <c r="D3896" s="1" t="s">
        <v>16</v>
      </c>
      <c r="E3896" s="1" t="s">
        <v>27</v>
      </c>
      <c r="F3896" s="1" t="s">
        <v>29</v>
      </c>
      <c r="G3896" s="1" t="s">
        <v>20</v>
      </c>
      <c r="H3896" t="s">
        <v>34</v>
      </c>
      <c r="I3896" s="1" t="s">
        <v>26</v>
      </c>
      <c r="J3896" s="2">
        <v>43537.886307870373</v>
      </c>
      <c r="K3896" s="2">
        <v>43542.886307870373</v>
      </c>
      <c r="L3896" s="2">
        <v>43541.886307870373</v>
      </c>
      <c r="M3896" s="1">
        <f>_xlfn.DAYS(Table1[[#This Row],[actual_delivery_date]],Table1[[#This Row],[dispatch_date]])</f>
        <v>5</v>
      </c>
      <c r="N3896">
        <v>34</v>
      </c>
      <c r="O3896">
        <f>Table1[[#This Row],[transit_storage_cost]] * (1-'What -if Analysis'!$D$26)</f>
        <v>34</v>
      </c>
      <c r="P3896">
        <v>121</v>
      </c>
      <c r="Q3896">
        <v>1841.8359677682015</v>
      </c>
    </row>
    <row r="3897" spans="1:17" x14ac:dyDescent="0.3">
      <c r="A3897">
        <v>79708</v>
      </c>
      <c r="B3897" s="1" t="s">
        <v>37</v>
      </c>
      <c r="C3897" s="1" t="s">
        <v>16</v>
      </c>
      <c r="D3897" s="1" t="s">
        <v>16</v>
      </c>
      <c r="E3897" s="1" t="s">
        <v>27</v>
      </c>
      <c r="F3897" s="1" t="s">
        <v>19</v>
      </c>
      <c r="G3897" s="1" t="s">
        <v>20</v>
      </c>
      <c r="H3897" t="s">
        <v>21</v>
      </c>
      <c r="I3897" s="1" t="s">
        <v>22</v>
      </c>
      <c r="J3897" s="2">
        <v>43537.891168981485</v>
      </c>
      <c r="K3897" s="2">
        <v>43542.891168981485</v>
      </c>
      <c r="L3897" s="2">
        <v>43543.891168981485</v>
      </c>
      <c r="M3897" s="1">
        <f>_xlfn.DAYS(Table1[[#This Row],[actual_delivery_date]],Table1[[#This Row],[dispatch_date]])</f>
        <v>5</v>
      </c>
      <c r="N3897">
        <v>0</v>
      </c>
      <c r="O3897">
        <f>Table1[[#This Row],[transit_storage_cost]] * (1-'What -if Analysis'!$D$26)</f>
        <v>0</v>
      </c>
      <c r="P3897">
        <v>129</v>
      </c>
      <c r="Q3897">
        <v>1053</v>
      </c>
    </row>
    <row r="3898" spans="1:17" x14ac:dyDescent="0.3">
      <c r="A3898">
        <v>931584</v>
      </c>
      <c r="B3898" s="1" t="s">
        <v>15</v>
      </c>
      <c r="C3898" s="1" t="s">
        <v>23</v>
      </c>
      <c r="D3898" s="1" t="s">
        <v>24</v>
      </c>
      <c r="E3898" s="1" t="s">
        <v>25</v>
      </c>
      <c r="F3898" s="1" t="s">
        <v>19</v>
      </c>
      <c r="G3898" s="1" t="s">
        <v>20</v>
      </c>
      <c r="H3898" t="s">
        <v>21</v>
      </c>
      <c r="I3898" s="1" t="s">
        <v>26</v>
      </c>
      <c r="J3898" s="2">
        <v>43536.892372685186</v>
      </c>
      <c r="K3898" s="2">
        <v>43542.892372685186</v>
      </c>
      <c r="L3898" s="2">
        <v>43542.892372685186</v>
      </c>
      <c r="M3898" s="1">
        <f>_xlfn.DAYS(Table1[[#This Row],[actual_delivery_date]],Table1[[#This Row],[dispatch_date]])</f>
        <v>6</v>
      </c>
      <c r="N3898">
        <v>42</v>
      </c>
      <c r="O3898">
        <f>Table1[[#This Row],[transit_storage_cost]] * (1-'What -if Analysis'!$D$26)</f>
        <v>42</v>
      </c>
      <c r="P3898">
        <v>123</v>
      </c>
      <c r="Q3898">
        <v>1816.5736780373288</v>
      </c>
    </row>
    <row r="3899" spans="1:17" x14ac:dyDescent="0.3">
      <c r="A3899">
        <v>505084</v>
      </c>
      <c r="B3899" s="1" t="s">
        <v>37</v>
      </c>
      <c r="C3899" s="1" t="s">
        <v>23</v>
      </c>
      <c r="D3899" s="1" t="s">
        <v>16</v>
      </c>
      <c r="E3899" s="1" t="s">
        <v>27</v>
      </c>
      <c r="F3899" s="1" t="s">
        <v>19</v>
      </c>
      <c r="G3899" s="1" t="s">
        <v>20</v>
      </c>
      <c r="H3899" t="s">
        <v>21</v>
      </c>
      <c r="I3899" s="1" t="s">
        <v>22</v>
      </c>
      <c r="J3899" s="2">
        <v>43538.897523148145</v>
      </c>
      <c r="K3899" s="2">
        <v>43542.897523148145</v>
      </c>
      <c r="L3899" s="2">
        <v>43545.897523148145</v>
      </c>
      <c r="M3899" s="1">
        <f>_xlfn.DAYS(Table1[[#This Row],[actual_delivery_date]],Table1[[#This Row],[dispatch_date]])</f>
        <v>4</v>
      </c>
      <c r="N3899">
        <v>59</v>
      </c>
      <c r="O3899">
        <f>Table1[[#This Row],[transit_storage_cost]] * (1-'What -if Analysis'!$D$26)</f>
        <v>59</v>
      </c>
      <c r="P3899">
        <v>103</v>
      </c>
      <c r="Q3899">
        <v>1209.7410922284134</v>
      </c>
    </row>
    <row r="3900" spans="1:17" x14ac:dyDescent="0.3">
      <c r="A3900">
        <v>924550</v>
      </c>
      <c r="B3900" s="1" t="s">
        <v>37</v>
      </c>
      <c r="C3900" s="1" t="s">
        <v>16</v>
      </c>
      <c r="D3900" s="1" t="s">
        <v>32</v>
      </c>
      <c r="E3900" s="1" t="s">
        <v>33</v>
      </c>
      <c r="F3900" s="1" t="s">
        <v>31</v>
      </c>
      <c r="G3900" s="1" t="s">
        <v>20</v>
      </c>
      <c r="H3900" t="s">
        <v>21</v>
      </c>
      <c r="I3900" s="1" t="s">
        <v>22</v>
      </c>
      <c r="J3900" s="2">
        <v>43535.9</v>
      </c>
      <c r="K3900" s="2">
        <v>43542.9</v>
      </c>
      <c r="L3900" s="2">
        <v>43538.9</v>
      </c>
      <c r="M3900" s="1">
        <f>_xlfn.DAYS(Table1[[#This Row],[actual_delivery_date]],Table1[[#This Row],[dispatch_date]])</f>
        <v>7</v>
      </c>
      <c r="N3900">
        <v>35</v>
      </c>
      <c r="O3900">
        <f>Table1[[#This Row],[transit_storage_cost]] * (1-'What -if Analysis'!$D$26)</f>
        <v>35</v>
      </c>
      <c r="P3900">
        <v>114</v>
      </c>
      <c r="Q3900">
        <v>2894.5621238306567</v>
      </c>
    </row>
    <row r="3901" spans="1:17" x14ac:dyDescent="0.3">
      <c r="A3901">
        <v>675820</v>
      </c>
      <c r="B3901" s="1" t="s">
        <v>38</v>
      </c>
      <c r="C3901" s="1" t="s">
        <v>16</v>
      </c>
      <c r="D3901" s="1" t="s">
        <v>23</v>
      </c>
      <c r="E3901" s="1" t="s">
        <v>28</v>
      </c>
      <c r="F3901" s="1" t="s">
        <v>19</v>
      </c>
      <c r="G3901" s="1" t="s">
        <v>20</v>
      </c>
      <c r="H3901" t="s">
        <v>21</v>
      </c>
      <c r="I3901" s="1" t="s">
        <v>22</v>
      </c>
      <c r="J3901" s="2">
        <v>43538.903703703705</v>
      </c>
      <c r="K3901" s="2">
        <v>43542.903703703705</v>
      </c>
      <c r="L3901" s="2">
        <v>43545.903703703705</v>
      </c>
      <c r="M3901" s="1">
        <f>_xlfn.DAYS(Table1[[#This Row],[actual_delivery_date]],Table1[[#This Row],[dispatch_date]])</f>
        <v>4</v>
      </c>
      <c r="N3901">
        <v>64</v>
      </c>
      <c r="O3901">
        <f>Table1[[#This Row],[transit_storage_cost]] * (1-'What -if Analysis'!$D$26)</f>
        <v>64</v>
      </c>
      <c r="P3901">
        <v>100</v>
      </c>
      <c r="Q3901">
        <v>1071.7084551737255</v>
      </c>
    </row>
    <row r="3902" spans="1:17" x14ac:dyDescent="0.3">
      <c r="A3902">
        <v>516065</v>
      </c>
      <c r="B3902" s="1" t="s">
        <v>37</v>
      </c>
      <c r="C3902" s="1" t="s">
        <v>23</v>
      </c>
      <c r="D3902" s="1" t="s">
        <v>32</v>
      </c>
      <c r="E3902" s="1" t="s">
        <v>33</v>
      </c>
      <c r="F3902" s="1" t="s">
        <v>29</v>
      </c>
      <c r="G3902" s="1" t="s">
        <v>20</v>
      </c>
      <c r="H3902" t="s">
        <v>30</v>
      </c>
      <c r="I3902" s="1" t="s">
        <v>22</v>
      </c>
      <c r="J3902" s="2">
        <v>43536.909270833334</v>
      </c>
      <c r="K3902" s="2">
        <v>43542.909270833334</v>
      </c>
      <c r="L3902" s="2">
        <v>43540.909270833334</v>
      </c>
      <c r="M3902" s="1">
        <f>_xlfn.DAYS(Table1[[#This Row],[actual_delivery_date]],Table1[[#This Row],[dispatch_date]])</f>
        <v>6</v>
      </c>
      <c r="N3902">
        <v>31</v>
      </c>
      <c r="O3902">
        <f>Table1[[#This Row],[transit_storage_cost]] * (1-'What -if Analysis'!$D$26)</f>
        <v>31</v>
      </c>
      <c r="P3902">
        <v>107</v>
      </c>
      <c r="Q3902">
        <v>904</v>
      </c>
    </row>
    <row r="3903" spans="1:17" x14ac:dyDescent="0.3">
      <c r="A3903">
        <v>781937</v>
      </c>
      <c r="B3903" s="1" t="s">
        <v>37</v>
      </c>
      <c r="C3903" s="1" t="s">
        <v>16</v>
      </c>
      <c r="D3903" s="1" t="s">
        <v>17</v>
      </c>
      <c r="E3903" s="1" t="s">
        <v>18</v>
      </c>
      <c r="F3903" s="1" t="s">
        <v>29</v>
      </c>
      <c r="G3903" s="1" t="s">
        <v>20</v>
      </c>
      <c r="H3903" t="s">
        <v>30</v>
      </c>
      <c r="I3903" s="1" t="s">
        <v>22</v>
      </c>
      <c r="J3903" s="2">
        <v>43538.91201388889</v>
      </c>
      <c r="K3903" s="2">
        <v>43542.91201388889</v>
      </c>
      <c r="L3903" s="2">
        <v>43541.91201388889</v>
      </c>
      <c r="M3903" s="1">
        <f>_xlfn.DAYS(Table1[[#This Row],[actual_delivery_date]],Table1[[#This Row],[dispatch_date]])</f>
        <v>4</v>
      </c>
      <c r="N3903">
        <v>26</v>
      </c>
      <c r="O3903">
        <f>Table1[[#This Row],[transit_storage_cost]] * (1-'What -if Analysis'!$D$26)</f>
        <v>26</v>
      </c>
      <c r="P3903">
        <v>111</v>
      </c>
      <c r="Q3903">
        <v>1212.9566426027859</v>
      </c>
    </row>
    <row r="3904" spans="1:17" x14ac:dyDescent="0.3">
      <c r="A3904">
        <v>200311</v>
      </c>
      <c r="B3904" s="1" t="s">
        <v>41</v>
      </c>
      <c r="C3904" s="1" t="s">
        <v>23</v>
      </c>
      <c r="D3904" s="1" t="s">
        <v>23</v>
      </c>
      <c r="E3904" s="1" t="s">
        <v>28</v>
      </c>
      <c r="F3904" s="1" t="s">
        <v>29</v>
      </c>
      <c r="G3904" s="1" t="s">
        <v>20</v>
      </c>
      <c r="H3904" t="s">
        <v>30</v>
      </c>
      <c r="I3904" s="1" t="s">
        <v>22</v>
      </c>
      <c r="J3904" s="2">
        <v>43537.916631944441</v>
      </c>
      <c r="K3904" s="2">
        <v>43542.916631944441</v>
      </c>
      <c r="L3904" s="2">
        <v>43544.916631944441</v>
      </c>
      <c r="M3904" s="1">
        <f>_xlfn.DAYS(Table1[[#This Row],[actual_delivery_date]],Table1[[#This Row],[dispatch_date]])</f>
        <v>5</v>
      </c>
      <c r="N3904">
        <v>0</v>
      </c>
      <c r="O3904">
        <f>Table1[[#This Row],[transit_storage_cost]] * (1-'What -if Analysis'!$D$26)</f>
        <v>0</v>
      </c>
      <c r="P3904">
        <v>121</v>
      </c>
      <c r="Q3904">
        <v>3463.8895758622839</v>
      </c>
    </row>
    <row r="3905" spans="1:17" x14ac:dyDescent="0.3">
      <c r="A3905">
        <v>316149</v>
      </c>
      <c r="B3905" s="1" t="s">
        <v>40</v>
      </c>
      <c r="C3905" s="1" t="s">
        <v>16</v>
      </c>
      <c r="D3905" s="1" t="s">
        <v>16</v>
      </c>
      <c r="E3905" s="1" t="s">
        <v>27</v>
      </c>
      <c r="F3905" s="1" t="s">
        <v>29</v>
      </c>
      <c r="G3905" s="1" t="s">
        <v>20</v>
      </c>
      <c r="H3905" t="s">
        <v>30</v>
      </c>
      <c r="I3905" s="1" t="s">
        <v>26</v>
      </c>
      <c r="J3905" s="2">
        <v>43535.919675925928</v>
      </c>
      <c r="K3905" s="2">
        <v>43542.919675925928</v>
      </c>
      <c r="L3905" s="2">
        <v>43541.919675925928</v>
      </c>
      <c r="M3905" s="1">
        <f>_xlfn.DAYS(Table1[[#This Row],[actual_delivery_date]],Table1[[#This Row],[dispatch_date]])</f>
        <v>7</v>
      </c>
      <c r="N3905">
        <v>0</v>
      </c>
      <c r="O3905">
        <f>Table1[[#This Row],[transit_storage_cost]] * (1-'What -if Analysis'!$D$26)</f>
        <v>0</v>
      </c>
      <c r="P3905">
        <v>126</v>
      </c>
      <c r="Q3905">
        <v>3472.5526647949873</v>
      </c>
    </row>
    <row r="3906" spans="1:17" x14ac:dyDescent="0.3">
      <c r="A3906">
        <v>495435</v>
      </c>
      <c r="B3906" s="1" t="s">
        <v>38</v>
      </c>
      <c r="C3906" s="1" t="s">
        <v>23</v>
      </c>
      <c r="D3906" s="1" t="s">
        <v>32</v>
      </c>
      <c r="E3906" s="1" t="s">
        <v>33</v>
      </c>
      <c r="F3906" s="1" t="s">
        <v>19</v>
      </c>
      <c r="G3906" s="1" t="s">
        <v>20</v>
      </c>
      <c r="H3906" t="s">
        <v>30</v>
      </c>
      <c r="I3906" s="1" t="s">
        <v>26</v>
      </c>
      <c r="J3906" s="2">
        <v>43536.921331018515</v>
      </c>
      <c r="K3906" s="2">
        <v>43542.921331018515</v>
      </c>
      <c r="L3906" s="2">
        <v>43539.921331018515</v>
      </c>
      <c r="M3906" s="1">
        <f>_xlfn.DAYS(Table1[[#This Row],[actual_delivery_date]],Table1[[#This Row],[dispatch_date]])</f>
        <v>6</v>
      </c>
      <c r="N3906">
        <v>76</v>
      </c>
      <c r="O3906">
        <f>Table1[[#This Row],[transit_storage_cost]] * (1-'What -if Analysis'!$D$26)</f>
        <v>76</v>
      </c>
      <c r="P3906">
        <v>88</v>
      </c>
      <c r="Q3906">
        <v>1876.1651299038683</v>
      </c>
    </row>
    <row r="3907" spans="1:17" x14ac:dyDescent="0.3">
      <c r="A3907">
        <v>16923</v>
      </c>
      <c r="B3907" s="1" t="s">
        <v>39</v>
      </c>
      <c r="C3907" s="1" t="s">
        <v>23</v>
      </c>
      <c r="D3907" s="1" t="s">
        <v>32</v>
      </c>
      <c r="E3907" s="1" t="s">
        <v>33</v>
      </c>
      <c r="F3907" s="1" t="s">
        <v>29</v>
      </c>
      <c r="G3907" s="1" t="s">
        <v>20</v>
      </c>
      <c r="H3907" t="s">
        <v>30</v>
      </c>
      <c r="I3907" s="1" t="s">
        <v>26</v>
      </c>
      <c r="J3907" s="2">
        <v>43536.929583333331</v>
      </c>
      <c r="K3907" s="2">
        <v>43542.929583333331</v>
      </c>
      <c r="L3907" s="2">
        <v>43540.929583333331</v>
      </c>
      <c r="M3907" s="1">
        <f>_xlfn.DAYS(Table1[[#This Row],[actual_delivery_date]],Table1[[#This Row],[dispatch_date]])</f>
        <v>6</v>
      </c>
      <c r="N3907">
        <v>47</v>
      </c>
      <c r="O3907">
        <f>Table1[[#This Row],[transit_storage_cost]] * (1-'What -if Analysis'!$D$26)</f>
        <v>47</v>
      </c>
      <c r="P3907">
        <v>113</v>
      </c>
      <c r="Q3907">
        <v>1816.8207053600063</v>
      </c>
    </row>
    <row r="3908" spans="1:17" x14ac:dyDescent="0.3">
      <c r="A3908">
        <v>788147</v>
      </c>
      <c r="B3908" s="1" t="s">
        <v>38</v>
      </c>
      <c r="C3908" s="1" t="s">
        <v>16</v>
      </c>
      <c r="D3908" s="1" t="s">
        <v>23</v>
      </c>
      <c r="E3908" s="1" t="s">
        <v>28</v>
      </c>
      <c r="F3908" s="1" t="s">
        <v>29</v>
      </c>
      <c r="G3908" s="1" t="s">
        <v>20</v>
      </c>
      <c r="H3908" t="s">
        <v>30</v>
      </c>
      <c r="I3908" s="1" t="s">
        <v>22</v>
      </c>
      <c r="J3908" s="2">
        <v>43536.935081018521</v>
      </c>
      <c r="K3908" s="2">
        <v>43542.935081018521</v>
      </c>
      <c r="L3908" s="2">
        <v>43543.935081018521</v>
      </c>
      <c r="M3908" s="1">
        <f>_xlfn.DAYS(Table1[[#This Row],[actual_delivery_date]],Table1[[#This Row],[dispatch_date]])</f>
        <v>6</v>
      </c>
      <c r="N3908">
        <v>30</v>
      </c>
      <c r="O3908">
        <f>Table1[[#This Row],[transit_storage_cost]] * (1-'What -if Analysis'!$D$26)</f>
        <v>30</v>
      </c>
      <c r="P3908">
        <v>125</v>
      </c>
      <c r="Q3908">
        <v>2750</v>
      </c>
    </row>
    <row r="3909" spans="1:17" x14ac:dyDescent="0.3">
      <c r="A3909">
        <v>667326</v>
      </c>
      <c r="B3909" s="1" t="s">
        <v>15</v>
      </c>
      <c r="C3909" s="1" t="s">
        <v>16</v>
      </c>
      <c r="D3909" s="1" t="s">
        <v>17</v>
      </c>
      <c r="E3909" s="1" t="s">
        <v>18</v>
      </c>
      <c r="F3909" s="1" t="s">
        <v>31</v>
      </c>
      <c r="G3909" s="1" t="s">
        <v>20</v>
      </c>
      <c r="H3909" t="s">
        <v>21</v>
      </c>
      <c r="I3909" s="1" t="s">
        <v>26</v>
      </c>
      <c r="J3909" s="2">
        <v>43533.937418981484</v>
      </c>
      <c r="K3909" s="2">
        <v>43542.937418981484</v>
      </c>
      <c r="L3909" s="2">
        <v>43538.937418981484</v>
      </c>
      <c r="M3909" s="1">
        <f>_xlfn.DAYS(Table1[[#This Row],[actual_delivery_date]],Table1[[#This Row],[dispatch_date]])</f>
        <v>9</v>
      </c>
      <c r="N3909">
        <v>38</v>
      </c>
      <c r="O3909">
        <f>Table1[[#This Row],[transit_storage_cost]] * (1-'What -if Analysis'!$D$26)</f>
        <v>38</v>
      </c>
      <c r="P3909">
        <v>109</v>
      </c>
      <c r="Q3909">
        <v>628</v>
      </c>
    </row>
    <row r="3910" spans="1:17" x14ac:dyDescent="0.3">
      <c r="A3910">
        <v>791298</v>
      </c>
      <c r="B3910" s="1" t="s">
        <v>15</v>
      </c>
      <c r="C3910" s="1" t="s">
        <v>16</v>
      </c>
      <c r="D3910" s="1" t="s">
        <v>32</v>
      </c>
      <c r="E3910" s="1" t="s">
        <v>33</v>
      </c>
      <c r="F3910" s="1" t="s">
        <v>31</v>
      </c>
      <c r="G3910" s="1" t="s">
        <v>20</v>
      </c>
      <c r="H3910" t="s">
        <v>21</v>
      </c>
      <c r="I3910" s="1" t="s">
        <v>26</v>
      </c>
      <c r="J3910" s="2">
        <v>43536.937476851854</v>
      </c>
      <c r="K3910" s="2">
        <v>43542.937476851854</v>
      </c>
      <c r="L3910" s="2">
        <v>43543.937476851854</v>
      </c>
      <c r="M3910" s="1">
        <f>_xlfn.DAYS(Table1[[#This Row],[actual_delivery_date]],Table1[[#This Row],[dispatch_date]])</f>
        <v>6</v>
      </c>
      <c r="N3910">
        <v>34</v>
      </c>
      <c r="O3910">
        <f>Table1[[#This Row],[transit_storage_cost]] * (1-'What -if Analysis'!$D$26)</f>
        <v>34</v>
      </c>
      <c r="P3910">
        <v>111</v>
      </c>
      <c r="Q3910">
        <v>587</v>
      </c>
    </row>
    <row r="3911" spans="1:17" x14ac:dyDescent="0.3">
      <c r="A3911">
        <v>860611</v>
      </c>
      <c r="B3911" s="1" t="s">
        <v>38</v>
      </c>
      <c r="C3911" s="1" t="s">
        <v>16</v>
      </c>
      <c r="D3911" s="1" t="s">
        <v>23</v>
      </c>
      <c r="E3911" s="1" t="s">
        <v>28</v>
      </c>
      <c r="F3911" s="1" t="s">
        <v>29</v>
      </c>
      <c r="G3911" s="1" t="s">
        <v>20</v>
      </c>
      <c r="H3911" t="s">
        <v>30</v>
      </c>
      <c r="I3911" s="1" t="s">
        <v>22</v>
      </c>
      <c r="J3911" s="2">
        <v>43532.944305555553</v>
      </c>
      <c r="K3911" s="2">
        <v>43542.944305555553</v>
      </c>
      <c r="L3911" s="2">
        <v>43537.944305555553</v>
      </c>
      <c r="M3911" s="1">
        <f>_xlfn.DAYS(Table1[[#This Row],[actual_delivery_date]],Table1[[#This Row],[dispatch_date]])</f>
        <v>10</v>
      </c>
      <c r="N3911">
        <v>36</v>
      </c>
      <c r="O3911">
        <f>Table1[[#This Row],[transit_storage_cost]] * (1-'What -if Analysis'!$D$26)</f>
        <v>36</v>
      </c>
      <c r="P3911">
        <v>128</v>
      </c>
      <c r="Q3911">
        <v>2147.0216721379138</v>
      </c>
    </row>
    <row r="3912" spans="1:17" x14ac:dyDescent="0.3">
      <c r="A3912">
        <v>580339</v>
      </c>
      <c r="B3912" s="1" t="s">
        <v>41</v>
      </c>
      <c r="C3912" s="1" t="s">
        <v>16</v>
      </c>
      <c r="D3912" s="1" t="s">
        <v>17</v>
      </c>
      <c r="E3912" s="1" t="s">
        <v>18</v>
      </c>
      <c r="F3912" s="1" t="s">
        <v>29</v>
      </c>
      <c r="G3912" s="1" t="s">
        <v>20</v>
      </c>
      <c r="H3912" t="s">
        <v>30</v>
      </c>
      <c r="I3912" s="1" t="s">
        <v>22</v>
      </c>
      <c r="J3912" s="2">
        <v>43534.951018518521</v>
      </c>
      <c r="K3912" s="2">
        <v>43542.951018518521</v>
      </c>
      <c r="L3912" s="2">
        <v>43541.951018518521</v>
      </c>
      <c r="M3912" s="1">
        <f>_xlfn.DAYS(Table1[[#This Row],[actual_delivery_date]],Table1[[#This Row],[dispatch_date]])</f>
        <v>8</v>
      </c>
      <c r="N3912">
        <v>28</v>
      </c>
      <c r="O3912">
        <f>Table1[[#This Row],[transit_storage_cost]] * (1-'What -if Analysis'!$D$26)</f>
        <v>28</v>
      </c>
      <c r="P3912">
        <v>107</v>
      </c>
      <c r="Q3912">
        <v>3217.6198014475303</v>
      </c>
    </row>
    <row r="3913" spans="1:17" x14ac:dyDescent="0.3">
      <c r="A3913">
        <v>73108</v>
      </c>
      <c r="B3913" s="1" t="s">
        <v>15</v>
      </c>
      <c r="C3913" s="1" t="s">
        <v>16</v>
      </c>
      <c r="D3913" s="1" t="s">
        <v>16</v>
      </c>
      <c r="E3913" s="1" t="s">
        <v>27</v>
      </c>
      <c r="F3913" s="1" t="s">
        <v>19</v>
      </c>
      <c r="G3913" s="1" t="s">
        <v>20</v>
      </c>
      <c r="H3913" t="s">
        <v>21</v>
      </c>
      <c r="I3913" s="1" t="s">
        <v>22</v>
      </c>
      <c r="J3913" s="2">
        <v>43537.951377314814</v>
      </c>
      <c r="K3913" s="2">
        <v>43542.951377314814</v>
      </c>
      <c r="L3913" s="2">
        <v>43544.951377314814</v>
      </c>
      <c r="M3913" s="1">
        <f>_xlfn.DAYS(Table1[[#This Row],[actual_delivery_date]],Table1[[#This Row],[dispatch_date]])</f>
        <v>5</v>
      </c>
      <c r="N3913">
        <v>0</v>
      </c>
      <c r="O3913">
        <f>Table1[[#This Row],[transit_storage_cost]] * (1-'What -if Analysis'!$D$26)</f>
        <v>0</v>
      </c>
      <c r="P3913">
        <v>124</v>
      </c>
      <c r="Q3913">
        <v>3347.640850562389</v>
      </c>
    </row>
    <row r="3914" spans="1:17" x14ac:dyDescent="0.3">
      <c r="A3914">
        <v>320011</v>
      </c>
      <c r="B3914" s="1" t="s">
        <v>40</v>
      </c>
      <c r="C3914" s="1" t="s">
        <v>23</v>
      </c>
      <c r="D3914" s="1" t="s">
        <v>17</v>
      </c>
      <c r="E3914" s="1" t="s">
        <v>18</v>
      </c>
      <c r="F3914" s="1" t="s">
        <v>29</v>
      </c>
      <c r="G3914" s="1" t="s">
        <v>20</v>
      </c>
      <c r="H3914" t="s">
        <v>30</v>
      </c>
      <c r="I3914" s="1" t="s">
        <v>22</v>
      </c>
      <c r="J3914" s="2">
        <v>43538.967499999999</v>
      </c>
      <c r="K3914" s="2">
        <v>43542.967499999999</v>
      </c>
      <c r="L3914" s="2">
        <v>43542.967499999999</v>
      </c>
      <c r="M3914" s="1">
        <f>_xlfn.DAYS(Table1[[#This Row],[actual_delivery_date]],Table1[[#This Row],[dispatch_date]])</f>
        <v>4</v>
      </c>
      <c r="N3914">
        <v>50</v>
      </c>
      <c r="O3914">
        <f>Table1[[#This Row],[transit_storage_cost]] * (1-'What -if Analysis'!$D$26)</f>
        <v>50</v>
      </c>
      <c r="P3914">
        <v>108</v>
      </c>
      <c r="Q3914">
        <v>1400.3054925883489</v>
      </c>
    </row>
    <row r="3915" spans="1:17" x14ac:dyDescent="0.3">
      <c r="A3915">
        <v>622084</v>
      </c>
      <c r="B3915" s="1" t="s">
        <v>15</v>
      </c>
      <c r="C3915" s="1" t="s">
        <v>16</v>
      </c>
      <c r="D3915" s="1" t="s">
        <v>24</v>
      </c>
      <c r="E3915" s="1" t="s">
        <v>25</v>
      </c>
      <c r="F3915" s="1" t="s">
        <v>19</v>
      </c>
      <c r="G3915" s="1" t="s">
        <v>20</v>
      </c>
      <c r="H3915" t="s">
        <v>21</v>
      </c>
      <c r="I3915" s="1" t="s">
        <v>22</v>
      </c>
      <c r="J3915" s="2">
        <v>43533.97016203704</v>
      </c>
      <c r="K3915" s="2">
        <v>43542.97016203704</v>
      </c>
      <c r="L3915" s="2">
        <v>43540.97016203704</v>
      </c>
      <c r="M3915" s="1">
        <f>_xlfn.DAYS(Table1[[#This Row],[actual_delivery_date]],Table1[[#This Row],[dispatch_date]])</f>
        <v>9</v>
      </c>
      <c r="N3915">
        <v>48</v>
      </c>
      <c r="O3915">
        <f>Table1[[#This Row],[transit_storage_cost]] * (1-'What -if Analysis'!$D$26)</f>
        <v>48</v>
      </c>
      <c r="P3915">
        <v>127</v>
      </c>
      <c r="Q3915">
        <v>3091.3549139820775</v>
      </c>
    </row>
    <row r="3916" spans="1:17" x14ac:dyDescent="0.3">
      <c r="A3916">
        <v>444556</v>
      </c>
      <c r="B3916" s="1" t="s">
        <v>39</v>
      </c>
      <c r="C3916" s="1" t="s">
        <v>16</v>
      </c>
      <c r="D3916" s="1" t="s">
        <v>16</v>
      </c>
      <c r="E3916" s="1" t="s">
        <v>27</v>
      </c>
      <c r="F3916" s="1" t="s">
        <v>19</v>
      </c>
      <c r="G3916" s="1" t="s">
        <v>20</v>
      </c>
      <c r="H3916" t="s">
        <v>21</v>
      </c>
      <c r="I3916" s="1" t="s">
        <v>22</v>
      </c>
      <c r="J3916" s="2">
        <v>43537.983136574076</v>
      </c>
      <c r="K3916" s="2">
        <v>43542.983136574076</v>
      </c>
      <c r="L3916" s="2">
        <v>43544.983136574076</v>
      </c>
      <c r="M3916" s="1">
        <f>_xlfn.DAYS(Table1[[#This Row],[actual_delivery_date]],Table1[[#This Row],[dispatch_date]])</f>
        <v>5</v>
      </c>
      <c r="N3916">
        <v>0</v>
      </c>
      <c r="O3916">
        <f>Table1[[#This Row],[transit_storage_cost]] * (1-'What -if Analysis'!$D$26)</f>
        <v>0</v>
      </c>
      <c r="P3916">
        <v>121</v>
      </c>
      <c r="Q3916">
        <v>2351.8162412419151</v>
      </c>
    </row>
    <row r="3917" spans="1:17" x14ac:dyDescent="0.3">
      <c r="A3917">
        <v>400403</v>
      </c>
      <c r="B3917" s="1" t="s">
        <v>38</v>
      </c>
      <c r="C3917" s="1" t="s">
        <v>16</v>
      </c>
      <c r="D3917" s="1" t="s">
        <v>16</v>
      </c>
      <c r="E3917" s="1" t="s">
        <v>27</v>
      </c>
      <c r="F3917" s="1" t="s">
        <v>29</v>
      </c>
      <c r="G3917" s="1" t="s">
        <v>20</v>
      </c>
      <c r="H3917" t="s">
        <v>30</v>
      </c>
      <c r="I3917" s="1" t="s">
        <v>22</v>
      </c>
      <c r="J3917" s="2">
        <v>43535.984722222223</v>
      </c>
      <c r="K3917" s="2">
        <v>43542.984722222223</v>
      </c>
      <c r="L3917" s="2">
        <v>43539.984722222223</v>
      </c>
      <c r="M3917" s="1">
        <f>_xlfn.DAYS(Table1[[#This Row],[actual_delivery_date]],Table1[[#This Row],[dispatch_date]])</f>
        <v>7</v>
      </c>
      <c r="N3917">
        <v>0</v>
      </c>
      <c r="O3917">
        <f>Table1[[#This Row],[transit_storage_cost]] * (1-'What -if Analysis'!$D$26)</f>
        <v>0</v>
      </c>
      <c r="P3917">
        <v>126</v>
      </c>
      <c r="Q3917">
        <v>1358.050328651889</v>
      </c>
    </row>
    <row r="3918" spans="1:17" x14ac:dyDescent="0.3">
      <c r="A3918">
        <v>155422</v>
      </c>
      <c r="B3918" s="1" t="s">
        <v>41</v>
      </c>
      <c r="C3918" s="1" t="s">
        <v>23</v>
      </c>
      <c r="D3918" s="1" t="s">
        <v>32</v>
      </c>
      <c r="E3918" s="1" t="s">
        <v>33</v>
      </c>
      <c r="F3918" s="1" t="s">
        <v>19</v>
      </c>
      <c r="G3918" s="1" t="s">
        <v>20</v>
      </c>
      <c r="H3918" t="s">
        <v>21</v>
      </c>
      <c r="I3918" s="1" t="s">
        <v>22</v>
      </c>
      <c r="J3918" s="2">
        <v>43536.986759259256</v>
      </c>
      <c r="K3918" s="2">
        <v>43542.986759259256</v>
      </c>
      <c r="L3918" s="2">
        <v>43541.986759259256</v>
      </c>
      <c r="M3918" s="1">
        <f>_xlfn.DAYS(Table1[[#This Row],[actual_delivery_date]],Table1[[#This Row],[dispatch_date]])</f>
        <v>6</v>
      </c>
      <c r="N3918">
        <v>71</v>
      </c>
      <c r="O3918">
        <f>Table1[[#This Row],[transit_storage_cost]] * (1-'What -if Analysis'!$D$26)</f>
        <v>71</v>
      </c>
      <c r="P3918">
        <v>86</v>
      </c>
      <c r="Q3918">
        <v>1157.3140117278183</v>
      </c>
    </row>
    <row r="3919" spans="1:17" x14ac:dyDescent="0.3">
      <c r="A3919">
        <v>275466</v>
      </c>
      <c r="B3919" s="1" t="s">
        <v>37</v>
      </c>
      <c r="C3919" s="1" t="s">
        <v>16</v>
      </c>
      <c r="D3919" s="1" t="s">
        <v>17</v>
      </c>
      <c r="E3919" s="1" t="s">
        <v>18</v>
      </c>
      <c r="F3919" s="1" t="s">
        <v>31</v>
      </c>
      <c r="G3919" s="1" t="s">
        <v>20</v>
      </c>
      <c r="H3919" t="s">
        <v>21</v>
      </c>
      <c r="I3919" s="1" t="s">
        <v>26</v>
      </c>
      <c r="J3919" s="2">
        <v>43537.999965277777</v>
      </c>
      <c r="K3919" s="2">
        <v>43542.999965277777</v>
      </c>
      <c r="L3919" s="2">
        <v>43540.999965277777</v>
      </c>
      <c r="M3919" s="1">
        <f>_xlfn.DAYS(Table1[[#This Row],[actual_delivery_date]],Table1[[#This Row],[dispatch_date]])</f>
        <v>5</v>
      </c>
      <c r="N3919">
        <v>48</v>
      </c>
      <c r="O3919">
        <f>Table1[[#This Row],[transit_storage_cost]] * (1-'What -if Analysis'!$D$26)</f>
        <v>48</v>
      </c>
      <c r="P3919">
        <v>108</v>
      </c>
      <c r="Q3919">
        <v>2951.4576141534276</v>
      </c>
    </row>
    <row r="3920" spans="1:17" x14ac:dyDescent="0.3">
      <c r="A3920">
        <v>667504</v>
      </c>
      <c r="B3920" s="1" t="s">
        <v>37</v>
      </c>
      <c r="C3920" s="1" t="s">
        <v>23</v>
      </c>
      <c r="D3920" s="1" t="s">
        <v>23</v>
      </c>
      <c r="E3920" s="1" t="s">
        <v>28</v>
      </c>
      <c r="F3920" s="1" t="s">
        <v>19</v>
      </c>
      <c r="G3920" s="1" t="s">
        <v>20</v>
      </c>
      <c r="H3920" t="s">
        <v>21</v>
      </c>
      <c r="I3920" s="1" t="s">
        <v>22</v>
      </c>
      <c r="J3920" s="2">
        <v>43538.00509259259</v>
      </c>
      <c r="K3920" s="2">
        <v>43543.00509259259</v>
      </c>
      <c r="L3920" s="2">
        <v>43543.00509259259</v>
      </c>
      <c r="M3920" s="1">
        <f>_xlfn.DAYS(Table1[[#This Row],[actual_delivery_date]],Table1[[#This Row],[dispatch_date]])</f>
        <v>5</v>
      </c>
      <c r="N3920">
        <v>0</v>
      </c>
      <c r="O3920">
        <f>Table1[[#This Row],[transit_storage_cost]] * (1-'What -if Analysis'!$D$26)</f>
        <v>0</v>
      </c>
      <c r="P3920">
        <v>129</v>
      </c>
      <c r="Q3920">
        <v>2006</v>
      </c>
    </row>
    <row r="3921" spans="1:17" x14ac:dyDescent="0.3">
      <c r="A3921">
        <v>246797</v>
      </c>
      <c r="B3921" s="1" t="s">
        <v>38</v>
      </c>
      <c r="C3921" s="1" t="s">
        <v>23</v>
      </c>
      <c r="D3921" s="1" t="s">
        <v>24</v>
      </c>
      <c r="E3921" s="1" t="s">
        <v>25</v>
      </c>
      <c r="F3921" s="1" t="s">
        <v>19</v>
      </c>
      <c r="G3921" s="1" t="s">
        <v>20</v>
      </c>
      <c r="H3921" t="s">
        <v>30</v>
      </c>
      <c r="I3921" s="1" t="s">
        <v>22</v>
      </c>
      <c r="J3921" s="2">
        <v>43533.011689814812</v>
      </c>
      <c r="K3921" s="2">
        <v>43543.011689814812</v>
      </c>
      <c r="L3921" s="2">
        <v>43537.011689814812</v>
      </c>
      <c r="M3921" s="1">
        <f>_xlfn.DAYS(Table1[[#This Row],[actual_delivery_date]],Table1[[#This Row],[dispatch_date]])</f>
        <v>10</v>
      </c>
      <c r="N3921">
        <v>64</v>
      </c>
      <c r="O3921">
        <f>Table1[[#This Row],[transit_storage_cost]] * (1-'What -if Analysis'!$D$26)</f>
        <v>64</v>
      </c>
      <c r="P3921">
        <v>106</v>
      </c>
      <c r="Q3921">
        <v>3144.1087394552346</v>
      </c>
    </row>
    <row r="3922" spans="1:17" x14ac:dyDescent="0.3">
      <c r="A3922">
        <v>325328</v>
      </c>
      <c r="B3922" s="1" t="s">
        <v>37</v>
      </c>
      <c r="C3922" s="1" t="s">
        <v>16</v>
      </c>
      <c r="D3922" s="1" t="s">
        <v>32</v>
      </c>
      <c r="E3922" s="1" t="s">
        <v>33</v>
      </c>
      <c r="F3922" s="1" t="s">
        <v>19</v>
      </c>
      <c r="G3922" s="1" t="s">
        <v>20</v>
      </c>
      <c r="H3922" t="s">
        <v>21</v>
      </c>
      <c r="I3922" s="1" t="s">
        <v>22</v>
      </c>
      <c r="J3922" s="2">
        <v>43538.01425925926</v>
      </c>
      <c r="K3922" s="2">
        <v>43543.01425925926</v>
      </c>
      <c r="L3922" s="2">
        <v>43541.01425925926</v>
      </c>
      <c r="M3922" s="1">
        <f>_xlfn.DAYS(Table1[[#This Row],[actual_delivery_date]],Table1[[#This Row],[dispatch_date]])</f>
        <v>5</v>
      </c>
      <c r="N3922">
        <v>64</v>
      </c>
      <c r="O3922">
        <f>Table1[[#This Row],[transit_storage_cost]] * (1-'What -if Analysis'!$D$26)</f>
        <v>64</v>
      </c>
      <c r="P3922">
        <v>87</v>
      </c>
      <c r="Q3922">
        <v>2168</v>
      </c>
    </row>
    <row r="3923" spans="1:17" x14ac:dyDescent="0.3">
      <c r="A3923">
        <v>979194</v>
      </c>
      <c r="B3923" s="1" t="s">
        <v>39</v>
      </c>
      <c r="C3923" s="1" t="s">
        <v>23</v>
      </c>
      <c r="D3923" s="1" t="s">
        <v>17</v>
      </c>
      <c r="E3923" s="1" t="s">
        <v>18</v>
      </c>
      <c r="F3923" s="1" t="s">
        <v>31</v>
      </c>
      <c r="G3923" s="1" t="s">
        <v>20</v>
      </c>
      <c r="H3923" t="s">
        <v>21</v>
      </c>
      <c r="I3923" s="1" t="s">
        <v>26</v>
      </c>
      <c r="J3923" s="2">
        <v>43536.019108796296</v>
      </c>
      <c r="K3923" s="2">
        <v>43543.019108796296</v>
      </c>
      <c r="L3923" s="2">
        <v>43542.019108796296</v>
      </c>
      <c r="M3923" s="1">
        <f>_xlfn.DAYS(Table1[[#This Row],[actual_delivery_date]],Table1[[#This Row],[dispatch_date]])</f>
        <v>7</v>
      </c>
      <c r="N3923">
        <v>30</v>
      </c>
      <c r="O3923">
        <f>Table1[[#This Row],[transit_storage_cost]] * (1-'What -if Analysis'!$D$26)</f>
        <v>30</v>
      </c>
      <c r="P3923">
        <v>111</v>
      </c>
      <c r="Q3923">
        <v>780</v>
      </c>
    </row>
    <row r="3924" spans="1:17" x14ac:dyDescent="0.3">
      <c r="A3924">
        <v>162939</v>
      </c>
      <c r="B3924" s="1" t="s">
        <v>38</v>
      </c>
      <c r="C3924" s="1" t="s">
        <v>23</v>
      </c>
      <c r="D3924" s="1" t="s">
        <v>32</v>
      </c>
      <c r="E3924" s="1" t="s">
        <v>33</v>
      </c>
      <c r="F3924" s="1" t="s">
        <v>19</v>
      </c>
      <c r="G3924" s="1" t="s">
        <v>20</v>
      </c>
      <c r="H3924" t="s">
        <v>34</v>
      </c>
      <c r="I3924" s="1" t="s">
        <v>26</v>
      </c>
      <c r="J3924" s="2">
        <v>43536.029560185183</v>
      </c>
      <c r="K3924" s="2">
        <v>43543.029560185183</v>
      </c>
      <c r="L3924" s="2">
        <v>43542.029560185183</v>
      </c>
      <c r="M3924" s="1">
        <f>_xlfn.DAYS(Table1[[#This Row],[actual_delivery_date]],Table1[[#This Row],[dispatch_date]])</f>
        <v>7</v>
      </c>
      <c r="N3924">
        <v>64</v>
      </c>
      <c r="O3924">
        <f>Table1[[#This Row],[transit_storage_cost]] * (1-'What -if Analysis'!$D$26)</f>
        <v>64</v>
      </c>
      <c r="P3924">
        <v>88</v>
      </c>
      <c r="Q3924">
        <v>2349.4579022534954</v>
      </c>
    </row>
    <row r="3925" spans="1:17" x14ac:dyDescent="0.3">
      <c r="A3925">
        <v>50683</v>
      </c>
      <c r="B3925" s="1" t="s">
        <v>37</v>
      </c>
      <c r="C3925" s="1" t="s">
        <v>16</v>
      </c>
      <c r="D3925" s="1" t="s">
        <v>32</v>
      </c>
      <c r="E3925" s="1" t="s">
        <v>33</v>
      </c>
      <c r="F3925" s="1" t="s">
        <v>19</v>
      </c>
      <c r="G3925" s="1" t="s">
        <v>20</v>
      </c>
      <c r="H3925" t="s">
        <v>30</v>
      </c>
      <c r="I3925" s="1" t="s">
        <v>22</v>
      </c>
      <c r="J3925" s="2">
        <v>43537.030104166668</v>
      </c>
      <c r="K3925" s="2">
        <v>43543.030104166668</v>
      </c>
      <c r="L3925" s="2">
        <v>43540.030104166668</v>
      </c>
      <c r="M3925" s="1">
        <f>_xlfn.DAYS(Table1[[#This Row],[actual_delivery_date]],Table1[[#This Row],[dispatch_date]])</f>
        <v>6</v>
      </c>
      <c r="N3925">
        <v>80</v>
      </c>
      <c r="O3925">
        <f>Table1[[#This Row],[transit_storage_cost]] * (1-'What -if Analysis'!$D$26)</f>
        <v>80</v>
      </c>
      <c r="P3925">
        <v>92</v>
      </c>
      <c r="Q3925">
        <v>2531</v>
      </c>
    </row>
    <row r="3926" spans="1:17" x14ac:dyDescent="0.3">
      <c r="A3926">
        <v>344098</v>
      </c>
      <c r="B3926" s="1" t="s">
        <v>38</v>
      </c>
      <c r="C3926" s="1" t="s">
        <v>16</v>
      </c>
      <c r="D3926" s="1" t="s">
        <v>23</v>
      </c>
      <c r="E3926" s="1" t="s">
        <v>28</v>
      </c>
      <c r="F3926" s="1" t="s">
        <v>31</v>
      </c>
      <c r="G3926" s="1" t="s">
        <v>20</v>
      </c>
      <c r="H3926" t="s">
        <v>21</v>
      </c>
      <c r="I3926" s="1" t="s">
        <v>22</v>
      </c>
      <c r="J3926" s="2">
        <v>43533.055810185186</v>
      </c>
      <c r="K3926" s="2">
        <v>43543.055810185186</v>
      </c>
      <c r="L3926" s="2">
        <v>43538.055810185186</v>
      </c>
      <c r="M3926" s="1">
        <f>_xlfn.DAYS(Table1[[#This Row],[actual_delivery_date]],Table1[[#This Row],[dispatch_date]])</f>
        <v>10</v>
      </c>
      <c r="N3926">
        <v>29</v>
      </c>
      <c r="O3926">
        <f>Table1[[#This Row],[transit_storage_cost]] * (1-'What -if Analysis'!$D$26)</f>
        <v>29</v>
      </c>
      <c r="P3926">
        <v>120</v>
      </c>
      <c r="Q3926">
        <v>2069.0387198385101</v>
      </c>
    </row>
    <row r="3927" spans="1:17" x14ac:dyDescent="0.3">
      <c r="A3927">
        <v>725925</v>
      </c>
      <c r="B3927" s="1" t="s">
        <v>37</v>
      </c>
      <c r="C3927" s="1" t="s">
        <v>23</v>
      </c>
      <c r="D3927" s="1" t="s">
        <v>17</v>
      </c>
      <c r="E3927" s="1" t="s">
        <v>18</v>
      </c>
      <c r="F3927" s="1" t="s">
        <v>29</v>
      </c>
      <c r="G3927" s="1" t="s">
        <v>20</v>
      </c>
      <c r="H3927" t="s">
        <v>30</v>
      </c>
      <c r="I3927" s="1" t="s">
        <v>26</v>
      </c>
      <c r="J3927" s="2">
        <v>43536.060162037036</v>
      </c>
      <c r="K3927" s="2">
        <v>43543.060162037036</v>
      </c>
      <c r="L3927" s="2">
        <v>43543.060162037036</v>
      </c>
      <c r="M3927" s="1">
        <f>_xlfn.DAYS(Table1[[#This Row],[actual_delivery_date]],Table1[[#This Row],[dispatch_date]])</f>
        <v>7</v>
      </c>
      <c r="N3927">
        <v>36</v>
      </c>
      <c r="O3927">
        <f>Table1[[#This Row],[transit_storage_cost]] * (1-'What -if Analysis'!$D$26)</f>
        <v>36</v>
      </c>
      <c r="P3927">
        <v>113</v>
      </c>
      <c r="Q3927">
        <v>2097.024034074665</v>
      </c>
    </row>
    <row r="3928" spans="1:17" x14ac:dyDescent="0.3">
      <c r="A3928">
        <v>201495</v>
      </c>
      <c r="B3928" s="1" t="s">
        <v>38</v>
      </c>
      <c r="C3928" s="1" t="s">
        <v>23</v>
      </c>
      <c r="D3928" s="1" t="s">
        <v>17</v>
      </c>
      <c r="E3928" s="1" t="s">
        <v>18</v>
      </c>
      <c r="F3928" s="1" t="s">
        <v>29</v>
      </c>
      <c r="G3928" s="1" t="s">
        <v>20</v>
      </c>
      <c r="H3928" t="s">
        <v>34</v>
      </c>
      <c r="I3928" s="1" t="s">
        <v>26</v>
      </c>
      <c r="J3928" s="2">
        <v>43537.067152777781</v>
      </c>
      <c r="K3928" s="2">
        <v>43543.067152777781</v>
      </c>
      <c r="L3928" s="2">
        <v>43541.067152777781</v>
      </c>
      <c r="M3928" s="1">
        <f>_xlfn.DAYS(Table1[[#This Row],[actual_delivery_date]],Table1[[#This Row],[dispatch_date]])</f>
        <v>6</v>
      </c>
      <c r="N3928">
        <v>38</v>
      </c>
      <c r="O3928">
        <f>Table1[[#This Row],[transit_storage_cost]] * (1-'What -if Analysis'!$D$26)</f>
        <v>38</v>
      </c>
      <c r="P3928">
        <v>114</v>
      </c>
      <c r="Q3928">
        <v>1244</v>
      </c>
    </row>
    <row r="3929" spans="1:17" x14ac:dyDescent="0.3">
      <c r="A3929">
        <v>608766</v>
      </c>
      <c r="B3929" s="1" t="s">
        <v>38</v>
      </c>
      <c r="C3929" s="1" t="s">
        <v>16</v>
      </c>
      <c r="D3929" s="1" t="s">
        <v>17</v>
      </c>
      <c r="E3929" s="1" t="s">
        <v>18</v>
      </c>
      <c r="F3929" s="1" t="s">
        <v>31</v>
      </c>
      <c r="G3929" s="1" t="s">
        <v>20</v>
      </c>
      <c r="H3929" t="s">
        <v>21</v>
      </c>
      <c r="I3929" s="1" t="s">
        <v>26</v>
      </c>
      <c r="J3929" s="2">
        <v>43538.068935185183</v>
      </c>
      <c r="K3929" s="2">
        <v>43543.068935185183</v>
      </c>
      <c r="L3929" s="2">
        <v>43541.068935185183</v>
      </c>
      <c r="M3929" s="1">
        <f>_xlfn.DAYS(Table1[[#This Row],[actual_delivery_date]],Table1[[#This Row],[dispatch_date]])</f>
        <v>5</v>
      </c>
      <c r="N3929">
        <v>48</v>
      </c>
      <c r="O3929">
        <f>Table1[[#This Row],[transit_storage_cost]] * (1-'What -if Analysis'!$D$26)</f>
        <v>48</v>
      </c>
      <c r="P3929">
        <v>106</v>
      </c>
      <c r="Q3929">
        <v>2885.1856139406896</v>
      </c>
    </row>
    <row r="3930" spans="1:17" x14ac:dyDescent="0.3">
      <c r="A3930">
        <v>601132</v>
      </c>
      <c r="B3930" s="1" t="s">
        <v>40</v>
      </c>
      <c r="C3930" s="1" t="s">
        <v>16</v>
      </c>
      <c r="D3930" s="1" t="s">
        <v>23</v>
      </c>
      <c r="E3930" s="1" t="s">
        <v>28</v>
      </c>
      <c r="F3930" s="1" t="s">
        <v>19</v>
      </c>
      <c r="G3930" s="1" t="s">
        <v>20</v>
      </c>
      <c r="H3930" t="s">
        <v>21</v>
      </c>
      <c r="I3930" s="1" t="s">
        <v>22</v>
      </c>
      <c r="J3930" s="2">
        <v>43538.075706018521</v>
      </c>
      <c r="K3930" s="2">
        <v>43543.075706018521</v>
      </c>
      <c r="L3930" s="2">
        <v>43542.075706018521</v>
      </c>
      <c r="M3930" s="1">
        <f>_xlfn.DAYS(Table1[[#This Row],[actual_delivery_date]],Table1[[#This Row],[dispatch_date]])</f>
        <v>5</v>
      </c>
      <c r="N3930">
        <v>37</v>
      </c>
      <c r="O3930">
        <f>Table1[[#This Row],[transit_storage_cost]] * (1-'What -if Analysis'!$D$26)</f>
        <v>37</v>
      </c>
      <c r="P3930">
        <v>125</v>
      </c>
      <c r="Q3930">
        <v>864</v>
      </c>
    </row>
    <row r="3931" spans="1:17" x14ac:dyDescent="0.3">
      <c r="A3931">
        <v>53426</v>
      </c>
      <c r="B3931" s="1" t="s">
        <v>39</v>
      </c>
      <c r="C3931" s="1" t="s">
        <v>16</v>
      </c>
      <c r="D3931" s="1" t="s">
        <v>17</v>
      </c>
      <c r="E3931" s="1" t="s">
        <v>18</v>
      </c>
      <c r="F3931" s="1" t="s">
        <v>19</v>
      </c>
      <c r="G3931" s="1" t="s">
        <v>20</v>
      </c>
      <c r="H3931" t="s">
        <v>21</v>
      </c>
      <c r="I3931" s="1" t="s">
        <v>22</v>
      </c>
      <c r="J3931" s="2">
        <v>43537.079502314817</v>
      </c>
      <c r="K3931" s="2">
        <v>43543.079502314817</v>
      </c>
      <c r="L3931" s="2">
        <v>43540.079502314817</v>
      </c>
      <c r="M3931" s="1">
        <f>_xlfn.DAYS(Table1[[#This Row],[actual_delivery_date]],Table1[[#This Row],[dispatch_date]])</f>
        <v>6</v>
      </c>
      <c r="N3931">
        <v>70</v>
      </c>
      <c r="O3931">
        <f>Table1[[#This Row],[transit_storage_cost]] * (1-'What -if Analysis'!$D$26)</f>
        <v>70</v>
      </c>
      <c r="P3931">
        <v>93</v>
      </c>
      <c r="Q3931">
        <v>1546.0000977298098</v>
      </c>
    </row>
    <row r="3932" spans="1:17" x14ac:dyDescent="0.3">
      <c r="A3932">
        <v>818814</v>
      </c>
      <c r="B3932" s="1" t="s">
        <v>38</v>
      </c>
      <c r="C3932" s="1" t="s">
        <v>16</v>
      </c>
      <c r="D3932" s="1" t="s">
        <v>23</v>
      </c>
      <c r="E3932" s="1" t="s">
        <v>28</v>
      </c>
      <c r="F3932" s="1" t="s">
        <v>31</v>
      </c>
      <c r="G3932" s="1" t="s">
        <v>20</v>
      </c>
      <c r="H3932" t="s">
        <v>21</v>
      </c>
      <c r="I3932" s="1" t="s">
        <v>26</v>
      </c>
      <c r="J3932" s="2">
        <v>43533.084328703706</v>
      </c>
      <c r="K3932" s="2">
        <v>43543.084328703706</v>
      </c>
      <c r="L3932" s="2">
        <v>43540.084328703706</v>
      </c>
      <c r="M3932" s="1">
        <f>_xlfn.DAYS(Table1[[#This Row],[actual_delivery_date]],Table1[[#This Row],[dispatch_date]])</f>
        <v>10</v>
      </c>
      <c r="N3932">
        <v>43</v>
      </c>
      <c r="O3932">
        <f>Table1[[#This Row],[transit_storage_cost]] * (1-'What -if Analysis'!$D$26)</f>
        <v>43</v>
      </c>
      <c r="P3932">
        <v>129</v>
      </c>
      <c r="Q3932">
        <v>3276</v>
      </c>
    </row>
    <row r="3933" spans="1:17" x14ac:dyDescent="0.3">
      <c r="A3933">
        <v>637652</v>
      </c>
      <c r="B3933" s="1" t="s">
        <v>39</v>
      </c>
      <c r="C3933" s="1" t="s">
        <v>23</v>
      </c>
      <c r="D3933" s="1" t="s">
        <v>24</v>
      </c>
      <c r="E3933" s="1" t="s">
        <v>25</v>
      </c>
      <c r="F3933" s="1" t="s">
        <v>19</v>
      </c>
      <c r="G3933" s="1" t="s">
        <v>20</v>
      </c>
      <c r="H3933" t="s">
        <v>21</v>
      </c>
      <c r="I3933" s="1" t="s">
        <v>22</v>
      </c>
      <c r="J3933" s="2">
        <v>43535.087013888886</v>
      </c>
      <c r="K3933" s="2">
        <v>43543.087013888886</v>
      </c>
      <c r="L3933" s="2">
        <v>43539.087013888886</v>
      </c>
      <c r="M3933" s="1">
        <f>_xlfn.DAYS(Table1[[#This Row],[actual_delivery_date]],Table1[[#This Row],[dispatch_date]])</f>
        <v>8</v>
      </c>
      <c r="N3933">
        <v>65</v>
      </c>
      <c r="O3933">
        <f>Table1[[#This Row],[transit_storage_cost]] * (1-'What -if Analysis'!$D$26)</f>
        <v>65</v>
      </c>
      <c r="P3933">
        <v>102</v>
      </c>
      <c r="Q3933">
        <v>2793.7453118279968</v>
      </c>
    </row>
    <row r="3934" spans="1:17" x14ac:dyDescent="0.3">
      <c r="A3934">
        <v>678977</v>
      </c>
      <c r="B3934" s="1" t="s">
        <v>15</v>
      </c>
      <c r="C3934" s="1" t="s">
        <v>16</v>
      </c>
      <c r="D3934" s="1" t="s">
        <v>24</v>
      </c>
      <c r="E3934" s="1" t="s">
        <v>25</v>
      </c>
      <c r="F3934" s="1" t="s">
        <v>19</v>
      </c>
      <c r="G3934" s="1" t="s">
        <v>20</v>
      </c>
      <c r="H3934" t="s">
        <v>30</v>
      </c>
      <c r="I3934" s="1" t="s">
        <v>22</v>
      </c>
      <c r="J3934" s="2">
        <v>43538.099537037036</v>
      </c>
      <c r="K3934" s="2">
        <v>43543.099537037036</v>
      </c>
      <c r="L3934" s="2">
        <v>43542.099537037036</v>
      </c>
      <c r="M3934" s="1">
        <f>_xlfn.DAYS(Table1[[#This Row],[actual_delivery_date]],Table1[[#This Row],[dispatch_date]])</f>
        <v>5</v>
      </c>
      <c r="N3934">
        <v>80</v>
      </c>
      <c r="O3934">
        <f>Table1[[#This Row],[transit_storage_cost]] * (1-'What -if Analysis'!$D$26)</f>
        <v>80</v>
      </c>
      <c r="P3934">
        <v>100</v>
      </c>
      <c r="Q3934">
        <v>769.35388508581491</v>
      </c>
    </row>
    <row r="3935" spans="1:17" x14ac:dyDescent="0.3">
      <c r="A3935">
        <v>282165</v>
      </c>
      <c r="B3935" s="1" t="s">
        <v>39</v>
      </c>
      <c r="C3935" s="1" t="s">
        <v>23</v>
      </c>
      <c r="D3935" s="1" t="s">
        <v>16</v>
      </c>
      <c r="E3935" s="1" t="s">
        <v>27</v>
      </c>
      <c r="F3935" s="1" t="s">
        <v>29</v>
      </c>
      <c r="G3935" s="1" t="s">
        <v>20</v>
      </c>
      <c r="H3935" t="s">
        <v>30</v>
      </c>
      <c r="I3935" s="1" t="s">
        <v>26</v>
      </c>
      <c r="J3935" s="2">
        <v>43534.125335648147</v>
      </c>
      <c r="K3935" s="2">
        <v>43543.125335648147</v>
      </c>
      <c r="L3935" s="2">
        <v>43541.125335648147</v>
      </c>
      <c r="M3935" s="1">
        <f>_xlfn.DAYS(Table1[[#This Row],[actual_delivery_date]],Table1[[#This Row],[dispatch_date]])</f>
        <v>9</v>
      </c>
      <c r="N3935">
        <v>46</v>
      </c>
      <c r="O3935">
        <f>Table1[[#This Row],[transit_storage_cost]] * (1-'What -if Analysis'!$D$26)</f>
        <v>46</v>
      </c>
      <c r="P3935">
        <v>128</v>
      </c>
      <c r="Q3935">
        <v>753</v>
      </c>
    </row>
    <row r="3936" spans="1:17" x14ac:dyDescent="0.3">
      <c r="A3936">
        <v>75455</v>
      </c>
      <c r="B3936" s="1" t="s">
        <v>41</v>
      </c>
      <c r="C3936" s="1" t="s">
        <v>16</v>
      </c>
      <c r="D3936" s="1" t="s">
        <v>23</v>
      </c>
      <c r="E3936" s="1" t="s">
        <v>28</v>
      </c>
      <c r="F3936" s="1" t="s">
        <v>19</v>
      </c>
      <c r="G3936" s="1" t="s">
        <v>20</v>
      </c>
      <c r="H3936" t="s">
        <v>30</v>
      </c>
      <c r="I3936" s="1" t="s">
        <v>22</v>
      </c>
      <c r="J3936" s="2">
        <v>43538.129178240742</v>
      </c>
      <c r="K3936" s="2">
        <v>43543.129178240742</v>
      </c>
      <c r="L3936" s="2">
        <v>43542.129178240742</v>
      </c>
      <c r="M3936" s="1">
        <f>_xlfn.DAYS(Table1[[#This Row],[actual_delivery_date]],Table1[[#This Row],[dispatch_date]])</f>
        <v>5</v>
      </c>
      <c r="N3936">
        <v>71</v>
      </c>
      <c r="O3936">
        <f>Table1[[#This Row],[transit_storage_cost]] * (1-'What -if Analysis'!$D$26)</f>
        <v>71</v>
      </c>
      <c r="P3936">
        <v>103</v>
      </c>
      <c r="Q3936">
        <v>821</v>
      </c>
    </row>
    <row r="3937" spans="1:17" x14ac:dyDescent="0.3">
      <c r="A3937">
        <v>375260</v>
      </c>
      <c r="B3937" s="1" t="s">
        <v>40</v>
      </c>
      <c r="C3937" s="1" t="s">
        <v>16</v>
      </c>
      <c r="D3937" s="1" t="s">
        <v>24</v>
      </c>
      <c r="E3937" s="1" t="s">
        <v>25</v>
      </c>
      <c r="F3937" s="1" t="s">
        <v>19</v>
      </c>
      <c r="G3937" s="1" t="s">
        <v>20</v>
      </c>
      <c r="H3937" t="s">
        <v>21</v>
      </c>
      <c r="I3937" s="1" t="s">
        <v>22</v>
      </c>
      <c r="J3937" s="2">
        <v>43535.138136574074</v>
      </c>
      <c r="K3937" s="2">
        <v>43543.138136574074</v>
      </c>
      <c r="L3937" s="2">
        <v>43541.138136574074</v>
      </c>
      <c r="M3937" s="1">
        <f>_xlfn.DAYS(Table1[[#This Row],[actual_delivery_date]],Table1[[#This Row],[dispatch_date]])</f>
        <v>8</v>
      </c>
      <c r="N3937">
        <v>26</v>
      </c>
      <c r="O3937">
        <f>Table1[[#This Row],[transit_storage_cost]] * (1-'What -if Analysis'!$D$26)</f>
        <v>26</v>
      </c>
      <c r="P3937">
        <v>124</v>
      </c>
      <c r="Q3937">
        <v>3768.6633456989744</v>
      </c>
    </row>
    <row r="3938" spans="1:17" x14ac:dyDescent="0.3">
      <c r="A3938">
        <v>556303</v>
      </c>
      <c r="B3938" s="1" t="s">
        <v>37</v>
      </c>
      <c r="C3938" s="1" t="s">
        <v>16</v>
      </c>
      <c r="D3938" s="1" t="s">
        <v>23</v>
      </c>
      <c r="E3938" s="1" t="s">
        <v>28</v>
      </c>
      <c r="F3938" s="1" t="s">
        <v>29</v>
      </c>
      <c r="G3938" s="1" t="s">
        <v>20</v>
      </c>
      <c r="H3938" t="s">
        <v>30</v>
      </c>
      <c r="I3938" s="1" t="s">
        <v>22</v>
      </c>
      <c r="J3938" s="2">
        <v>43533.143912037034</v>
      </c>
      <c r="K3938" s="2">
        <v>43543.143912037034</v>
      </c>
      <c r="L3938" s="2">
        <v>43540.143912037034</v>
      </c>
      <c r="M3938" s="1">
        <f>_xlfn.DAYS(Table1[[#This Row],[actual_delivery_date]],Table1[[#This Row],[dispatch_date]])</f>
        <v>10</v>
      </c>
      <c r="N3938">
        <v>32</v>
      </c>
      <c r="O3938">
        <f>Table1[[#This Row],[transit_storage_cost]] * (1-'What -if Analysis'!$D$26)</f>
        <v>32</v>
      </c>
      <c r="P3938">
        <v>130</v>
      </c>
      <c r="Q3938">
        <v>727</v>
      </c>
    </row>
    <row r="3939" spans="1:17" x14ac:dyDescent="0.3">
      <c r="A3939">
        <v>823565</v>
      </c>
      <c r="B3939" s="1" t="s">
        <v>37</v>
      </c>
      <c r="C3939" s="1" t="s">
        <v>16</v>
      </c>
      <c r="D3939" s="1" t="s">
        <v>32</v>
      </c>
      <c r="E3939" s="1" t="s">
        <v>33</v>
      </c>
      <c r="F3939" s="1" t="s">
        <v>29</v>
      </c>
      <c r="G3939" s="1" t="s">
        <v>20</v>
      </c>
      <c r="H3939" t="s">
        <v>30</v>
      </c>
      <c r="I3939" s="1" t="s">
        <v>22</v>
      </c>
      <c r="J3939" s="2">
        <v>43536.146273148152</v>
      </c>
      <c r="K3939" s="2">
        <v>43543.146273148152</v>
      </c>
      <c r="L3939" s="2">
        <v>43542.146273148152</v>
      </c>
      <c r="M3939" s="1">
        <f>_xlfn.DAYS(Table1[[#This Row],[actual_delivery_date]],Table1[[#This Row],[dispatch_date]])</f>
        <v>7</v>
      </c>
      <c r="N3939">
        <v>37</v>
      </c>
      <c r="O3939">
        <f>Table1[[#This Row],[transit_storage_cost]] * (1-'What -if Analysis'!$D$26)</f>
        <v>37</v>
      </c>
      <c r="P3939">
        <v>108</v>
      </c>
      <c r="Q3939">
        <v>2836</v>
      </c>
    </row>
    <row r="3940" spans="1:17" x14ac:dyDescent="0.3">
      <c r="A3940">
        <v>82942</v>
      </c>
      <c r="B3940" s="1" t="s">
        <v>37</v>
      </c>
      <c r="C3940" s="1" t="s">
        <v>23</v>
      </c>
      <c r="D3940" s="1" t="s">
        <v>17</v>
      </c>
      <c r="E3940" s="1" t="s">
        <v>18</v>
      </c>
      <c r="F3940" s="1" t="s">
        <v>19</v>
      </c>
      <c r="G3940" s="1" t="s">
        <v>20</v>
      </c>
      <c r="H3940" t="s">
        <v>21</v>
      </c>
      <c r="I3940" s="1" t="s">
        <v>22</v>
      </c>
      <c r="J3940" s="2">
        <v>43538.153611111113</v>
      </c>
      <c r="K3940" s="2">
        <v>43543.153611111113</v>
      </c>
      <c r="L3940" s="2">
        <v>43545.153611111113</v>
      </c>
      <c r="M3940" s="1">
        <f>_xlfn.DAYS(Table1[[#This Row],[actual_delivery_date]],Table1[[#This Row],[dispatch_date]])</f>
        <v>5</v>
      </c>
      <c r="N3940">
        <v>70</v>
      </c>
      <c r="O3940">
        <f>Table1[[#This Row],[transit_storage_cost]] * (1-'What -if Analysis'!$D$26)</f>
        <v>70</v>
      </c>
      <c r="P3940">
        <v>86</v>
      </c>
      <c r="Q3940">
        <v>3490</v>
      </c>
    </row>
    <row r="3941" spans="1:17" x14ac:dyDescent="0.3">
      <c r="A3941">
        <v>651655</v>
      </c>
      <c r="B3941" s="1" t="s">
        <v>38</v>
      </c>
      <c r="C3941" s="1" t="s">
        <v>16</v>
      </c>
      <c r="D3941" s="1" t="s">
        <v>24</v>
      </c>
      <c r="E3941" s="1" t="s">
        <v>25</v>
      </c>
      <c r="F3941" s="1" t="s">
        <v>29</v>
      </c>
      <c r="G3941" s="1" t="s">
        <v>36</v>
      </c>
      <c r="H3941" t="s">
        <v>30</v>
      </c>
      <c r="I3941" s="1" t="s">
        <v>22</v>
      </c>
      <c r="J3941" s="2">
        <v>43537.15729166667</v>
      </c>
      <c r="K3941" s="2">
        <v>43543.15729166667</v>
      </c>
      <c r="L3941" s="2">
        <v>43543.15729166667</v>
      </c>
      <c r="M3941" s="1">
        <f>_xlfn.DAYS(Table1[[#This Row],[actual_delivery_date]],Table1[[#This Row],[dispatch_date]])</f>
        <v>6</v>
      </c>
      <c r="N3941">
        <v>27</v>
      </c>
      <c r="O3941">
        <f>Table1[[#This Row],[transit_storage_cost]] * (1-'What -if Analysis'!$D$26)</f>
        <v>27</v>
      </c>
      <c r="P3941">
        <v>129</v>
      </c>
      <c r="Q3941">
        <v>2735.436393996476</v>
      </c>
    </row>
    <row r="3942" spans="1:17" x14ac:dyDescent="0.3">
      <c r="A3942">
        <v>80515</v>
      </c>
      <c r="B3942" s="1" t="s">
        <v>38</v>
      </c>
      <c r="C3942" s="1" t="s">
        <v>16</v>
      </c>
      <c r="D3942" s="1" t="s">
        <v>24</v>
      </c>
      <c r="E3942" s="1" t="s">
        <v>25</v>
      </c>
      <c r="F3942" s="1" t="s">
        <v>29</v>
      </c>
      <c r="G3942" s="1" t="s">
        <v>20</v>
      </c>
      <c r="H3942" t="s">
        <v>30</v>
      </c>
      <c r="I3942" s="1" t="s">
        <v>22</v>
      </c>
      <c r="J3942" s="2">
        <v>43536.165532407409</v>
      </c>
      <c r="K3942" s="2">
        <v>43543.165532407409</v>
      </c>
      <c r="L3942" s="2">
        <v>43539.165532407409</v>
      </c>
      <c r="M3942" s="1">
        <f>_xlfn.DAYS(Table1[[#This Row],[actual_delivery_date]],Table1[[#This Row],[dispatch_date]])</f>
        <v>7</v>
      </c>
      <c r="N3942">
        <v>41</v>
      </c>
      <c r="O3942">
        <f>Table1[[#This Row],[transit_storage_cost]] * (1-'What -if Analysis'!$D$26)</f>
        <v>41</v>
      </c>
      <c r="P3942">
        <v>126</v>
      </c>
      <c r="Q3942">
        <v>604.38345099613593</v>
      </c>
    </row>
    <row r="3943" spans="1:17" x14ac:dyDescent="0.3">
      <c r="A3943">
        <v>990797</v>
      </c>
      <c r="B3943" s="1" t="s">
        <v>39</v>
      </c>
      <c r="C3943" s="1" t="s">
        <v>23</v>
      </c>
      <c r="D3943" s="1" t="s">
        <v>17</v>
      </c>
      <c r="E3943" s="1" t="s">
        <v>18</v>
      </c>
      <c r="F3943" s="1" t="s">
        <v>19</v>
      </c>
      <c r="G3943" s="1" t="s">
        <v>20</v>
      </c>
      <c r="H3943" t="s">
        <v>30</v>
      </c>
      <c r="I3943" s="1" t="s">
        <v>22</v>
      </c>
      <c r="J3943" s="2">
        <v>43538.166307870371</v>
      </c>
      <c r="K3943" s="2">
        <v>43543.166307870371</v>
      </c>
      <c r="L3943" s="2">
        <v>43545.166307870371</v>
      </c>
      <c r="M3943" s="1">
        <f>_xlfn.DAYS(Table1[[#This Row],[actual_delivery_date]],Table1[[#This Row],[dispatch_date]])</f>
        <v>5</v>
      </c>
      <c r="N3943">
        <v>58</v>
      </c>
      <c r="O3943">
        <f>Table1[[#This Row],[transit_storage_cost]] * (1-'What -if Analysis'!$D$26)</f>
        <v>58</v>
      </c>
      <c r="P3943">
        <v>95</v>
      </c>
      <c r="Q3943">
        <v>1415.9455902801135</v>
      </c>
    </row>
    <row r="3944" spans="1:17" x14ac:dyDescent="0.3">
      <c r="A3944">
        <v>208715</v>
      </c>
      <c r="B3944" s="1" t="s">
        <v>41</v>
      </c>
      <c r="C3944" s="1" t="s">
        <v>16</v>
      </c>
      <c r="D3944" s="1" t="s">
        <v>17</v>
      </c>
      <c r="E3944" s="1" t="s">
        <v>18</v>
      </c>
      <c r="F3944" s="1" t="s">
        <v>29</v>
      </c>
      <c r="G3944" s="1" t="s">
        <v>20</v>
      </c>
      <c r="H3944" t="s">
        <v>30</v>
      </c>
      <c r="I3944" s="1" t="s">
        <v>22</v>
      </c>
      <c r="J3944" s="2">
        <v>43537.172349537039</v>
      </c>
      <c r="K3944" s="2">
        <v>43543.172349537039</v>
      </c>
      <c r="L3944" s="2">
        <v>43540.172349537039</v>
      </c>
      <c r="M3944" s="1">
        <f>_xlfn.DAYS(Table1[[#This Row],[actual_delivery_date]],Table1[[#This Row],[dispatch_date]])</f>
        <v>6</v>
      </c>
      <c r="N3944">
        <v>38</v>
      </c>
      <c r="O3944">
        <f>Table1[[#This Row],[transit_storage_cost]] * (1-'What -if Analysis'!$D$26)</f>
        <v>38</v>
      </c>
      <c r="P3944">
        <v>114</v>
      </c>
      <c r="Q3944">
        <v>3435.597101755402</v>
      </c>
    </row>
    <row r="3945" spans="1:17" x14ac:dyDescent="0.3">
      <c r="A3945">
        <v>401905</v>
      </c>
      <c r="B3945" s="1" t="s">
        <v>38</v>
      </c>
      <c r="C3945" s="1" t="s">
        <v>16</v>
      </c>
      <c r="D3945" s="1" t="s">
        <v>32</v>
      </c>
      <c r="E3945" s="1" t="s">
        <v>33</v>
      </c>
      <c r="F3945" s="1" t="s">
        <v>19</v>
      </c>
      <c r="G3945" s="1" t="s">
        <v>20</v>
      </c>
      <c r="H3945" t="s">
        <v>34</v>
      </c>
      <c r="I3945" s="1" t="s">
        <v>22</v>
      </c>
      <c r="J3945" s="2">
        <v>43534.203206018516</v>
      </c>
      <c r="K3945" s="2">
        <v>43543.203206018516</v>
      </c>
      <c r="L3945" s="2">
        <v>43540.203206018516</v>
      </c>
      <c r="M3945" s="1">
        <f>_xlfn.DAYS(Table1[[#This Row],[actual_delivery_date]],Table1[[#This Row],[dispatch_date]])</f>
        <v>9</v>
      </c>
      <c r="N3945">
        <v>64</v>
      </c>
      <c r="O3945">
        <f>Table1[[#This Row],[transit_storage_cost]] * (1-'What -if Analysis'!$D$26)</f>
        <v>64</v>
      </c>
      <c r="P3945">
        <v>94</v>
      </c>
      <c r="Q3945">
        <v>1968</v>
      </c>
    </row>
    <row r="3946" spans="1:17" x14ac:dyDescent="0.3">
      <c r="A3946">
        <v>322466</v>
      </c>
      <c r="B3946" s="1" t="s">
        <v>38</v>
      </c>
      <c r="C3946" s="1" t="s">
        <v>23</v>
      </c>
      <c r="D3946" s="1" t="s">
        <v>16</v>
      </c>
      <c r="E3946" s="1" t="s">
        <v>27</v>
      </c>
      <c r="F3946" s="1" t="s">
        <v>31</v>
      </c>
      <c r="G3946" s="1" t="s">
        <v>20</v>
      </c>
      <c r="H3946" t="s">
        <v>21</v>
      </c>
      <c r="I3946" s="1" t="s">
        <v>22</v>
      </c>
      <c r="J3946" s="2">
        <v>43535.218287037038</v>
      </c>
      <c r="K3946" s="2">
        <v>43543.218287037038</v>
      </c>
      <c r="L3946" s="2">
        <v>43541.218287037038</v>
      </c>
      <c r="M3946" s="1">
        <f>_xlfn.DAYS(Table1[[#This Row],[actual_delivery_date]],Table1[[#This Row],[dispatch_date]])</f>
        <v>8</v>
      </c>
      <c r="N3946">
        <v>37</v>
      </c>
      <c r="O3946">
        <f>Table1[[#This Row],[transit_storage_cost]] * (1-'What -if Analysis'!$D$26)</f>
        <v>37</v>
      </c>
      <c r="P3946">
        <v>126</v>
      </c>
      <c r="Q3946">
        <v>1445</v>
      </c>
    </row>
    <row r="3947" spans="1:17" x14ac:dyDescent="0.3">
      <c r="A3947">
        <v>123588</v>
      </c>
      <c r="B3947" s="1" t="s">
        <v>37</v>
      </c>
      <c r="C3947" s="1" t="s">
        <v>16</v>
      </c>
      <c r="D3947" s="1" t="s">
        <v>32</v>
      </c>
      <c r="E3947" s="1" t="s">
        <v>33</v>
      </c>
      <c r="F3947" s="1" t="s">
        <v>19</v>
      </c>
      <c r="G3947" s="1" t="s">
        <v>20</v>
      </c>
      <c r="H3947" t="s">
        <v>21</v>
      </c>
      <c r="I3947" s="1" t="s">
        <v>26</v>
      </c>
      <c r="J3947" s="2">
        <v>43538.22896990741</v>
      </c>
      <c r="K3947" s="2">
        <v>43543.22896990741</v>
      </c>
      <c r="L3947" s="2">
        <v>43544.22896990741</v>
      </c>
      <c r="M3947" s="1">
        <f>_xlfn.DAYS(Table1[[#This Row],[actual_delivery_date]],Table1[[#This Row],[dispatch_date]])</f>
        <v>5</v>
      </c>
      <c r="N3947">
        <v>82</v>
      </c>
      <c r="O3947">
        <f>Table1[[#This Row],[transit_storage_cost]] * (1-'What -if Analysis'!$D$26)</f>
        <v>82</v>
      </c>
      <c r="P3947">
        <v>92</v>
      </c>
      <c r="Q3947">
        <v>876</v>
      </c>
    </row>
    <row r="3948" spans="1:17" x14ac:dyDescent="0.3">
      <c r="A3948">
        <v>852941</v>
      </c>
      <c r="B3948" s="1" t="s">
        <v>39</v>
      </c>
      <c r="C3948" s="1" t="s">
        <v>16</v>
      </c>
      <c r="D3948" s="1" t="s">
        <v>23</v>
      </c>
      <c r="E3948" s="1" t="s">
        <v>28</v>
      </c>
      <c r="F3948" s="1" t="s">
        <v>29</v>
      </c>
      <c r="G3948" s="1" t="s">
        <v>20</v>
      </c>
      <c r="H3948" t="s">
        <v>30</v>
      </c>
      <c r="I3948" s="1" t="s">
        <v>22</v>
      </c>
      <c r="J3948" s="2">
        <v>43536.230405092596</v>
      </c>
      <c r="K3948" s="2">
        <v>43543.230405092596</v>
      </c>
      <c r="L3948" s="2">
        <v>43539.230405092596</v>
      </c>
      <c r="M3948" s="1">
        <f>_xlfn.DAYS(Table1[[#This Row],[actual_delivery_date]],Table1[[#This Row],[dispatch_date]])</f>
        <v>7</v>
      </c>
      <c r="N3948">
        <v>29</v>
      </c>
      <c r="O3948">
        <f>Table1[[#This Row],[transit_storage_cost]] * (1-'What -if Analysis'!$D$26)</f>
        <v>29</v>
      </c>
      <c r="P3948">
        <v>128</v>
      </c>
      <c r="Q3948">
        <v>3263</v>
      </c>
    </row>
    <row r="3949" spans="1:17" x14ac:dyDescent="0.3">
      <c r="A3949">
        <v>257003</v>
      </c>
      <c r="B3949" s="1" t="s">
        <v>40</v>
      </c>
      <c r="C3949" s="1" t="s">
        <v>23</v>
      </c>
      <c r="D3949" s="1" t="s">
        <v>16</v>
      </c>
      <c r="E3949" s="1" t="s">
        <v>27</v>
      </c>
      <c r="F3949" s="1" t="s">
        <v>29</v>
      </c>
      <c r="G3949" s="1" t="s">
        <v>20</v>
      </c>
      <c r="H3949" t="s">
        <v>30</v>
      </c>
      <c r="I3949" s="1" t="s">
        <v>22</v>
      </c>
      <c r="J3949" s="2">
        <v>43537.244895833333</v>
      </c>
      <c r="K3949" s="2">
        <v>43543.244895833333</v>
      </c>
      <c r="L3949" s="2">
        <v>43543.244895833333</v>
      </c>
      <c r="M3949" s="1">
        <f>_xlfn.DAYS(Table1[[#This Row],[actual_delivery_date]],Table1[[#This Row],[dispatch_date]])</f>
        <v>6</v>
      </c>
      <c r="N3949">
        <v>32</v>
      </c>
      <c r="O3949">
        <f>Table1[[#This Row],[transit_storage_cost]] * (1-'What -if Analysis'!$D$26)</f>
        <v>32</v>
      </c>
      <c r="P3949">
        <v>129</v>
      </c>
      <c r="Q3949">
        <v>2563</v>
      </c>
    </row>
    <row r="3950" spans="1:17" x14ac:dyDescent="0.3">
      <c r="A3950">
        <v>365934</v>
      </c>
      <c r="B3950" s="1" t="s">
        <v>38</v>
      </c>
      <c r="C3950" s="1" t="s">
        <v>16</v>
      </c>
      <c r="D3950" s="1" t="s">
        <v>24</v>
      </c>
      <c r="E3950" s="1" t="s">
        <v>25</v>
      </c>
      <c r="F3950" s="1" t="s">
        <v>19</v>
      </c>
      <c r="G3950" s="1" t="s">
        <v>20</v>
      </c>
      <c r="H3950" t="s">
        <v>21</v>
      </c>
      <c r="I3950" s="1" t="s">
        <v>26</v>
      </c>
      <c r="J3950" s="2">
        <v>43533.271319444444</v>
      </c>
      <c r="K3950" s="2">
        <v>43543.271319444444</v>
      </c>
      <c r="L3950" s="2">
        <v>43537.271319444444</v>
      </c>
      <c r="M3950" s="1">
        <f>_xlfn.DAYS(Table1[[#This Row],[actual_delivery_date]],Table1[[#This Row],[dispatch_date]])</f>
        <v>10</v>
      </c>
      <c r="N3950">
        <v>62</v>
      </c>
      <c r="O3950">
        <f>Table1[[#This Row],[transit_storage_cost]] * (1-'What -if Analysis'!$D$26)</f>
        <v>62</v>
      </c>
      <c r="P3950">
        <v>103</v>
      </c>
      <c r="Q3950">
        <v>604.84244003582671</v>
      </c>
    </row>
    <row r="3951" spans="1:17" x14ac:dyDescent="0.3">
      <c r="A3951">
        <v>259569</v>
      </c>
      <c r="B3951" s="1" t="s">
        <v>38</v>
      </c>
      <c r="C3951" s="1" t="s">
        <v>23</v>
      </c>
      <c r="D3951" s="1" t="s">
        <v>17</v>
      </c>
      <c r="E3951" s="1" t="s">
        <v>18</v>
      </c>
      <c r="F3951" s="1" t="s">
        <v>19</v>
      </c>
      <c r="G3951" s="1" t="s">
        <v>20</v>
      </c>
      <c r="H3951" t="s">
        <v>30</v>
      </c>
      <c r="I3951" s="1" t="s">
        <v>26</v>
      </c>
      <c r="J3951" s="2">
        <v>43538.278425925928</v>
      </c>
      <c r="K3951" s="2">
        <v>43543.278425925928</v>
      </c>
      <c r="L3951" s="2">
        <v>43542.278425925928</v>
      </c>
      <c r="M3951" s="1">
        <f>_xlfn.DAYS(Table1[[#This Row],[actual_delivery_date]],Table1[[#This Row],[dispatch_date]])</f>
        <v>5</v>
      </c>
      <c r="N3951">
        <v>72</v>
      </c>
      <c r="O3951">
        <f>Table1[[#This Row],[transit_storage_cost]] * (1-'What -if Analysis'!$D$26)</f>
        <v>72</v>
      </c>
      <c r="P3951">
        <v>89</v>
      </c>
      <c r="Q3951">
        <v>1663</v>
      </c>
    </row>
    <row r="3952" spans="1:17" x14ac:dyDescent="0.3">
      <c r="A3952">
        <v>194865</v>
      </c>
      <c r="B3952" s="1" t="s">
        <v>38</v>
      </c>
      <c r="C3952" s="1" t="s">
        <v>16</v>
      </c>
      <c r="D3952" s="1" t="s">
        <v>17</v>
      </c>
      <c r="E3952" s="1" t="s">
        <v>18</v>
      </c>
      <c r="F3952" s="1" t="s">
        <v>29</v>
      </c>
      <c r="G3952" s="1" t="s">
        <v>20</v>
      </c>
      <c r="H3952" t="s">
        <v>30</v>
      </c>
      <c r="I3952" s="1" t="s">
        <v>26</v>
      </c>
      <c r="J3952" s="2">
        <v>43534.287824074076</v>
      </c>
      <c r="K3952" s="2">
        <v>43543.287824074076</v>
      </c>
      <c r="L3952" s="2">
        <v>43541.287824074076</v>
      </c>
      <c r="M3952" s="1">
        <f>_xlfn.DAYS(Table1[[#This Row],[actual_delivery_date]],Table1[[#This Row],[dispatch_date]])</f>
        <v>9</v>
      </c>
      <c r="N3952">
        <v>26</v>
      </c>
      <c r="O3952">
        <f>Table1[[#This Row],[transit_storage_cost]] * (1-'What -if Analysis'!$D$26)</f>
        <v>26</v>
      </c>
      <c r="P3952">
        <v>113</v>
      </c>
      <c r="Q3952">
        <v>884</v>
      </c>
    </row>
    <row r="3953" spans="1:17" x14ac:dyDescent="0.3">
      <c r="A3953">
        <v>473989</v>
      </c>
      <c r="B3953" s="1" t="s">
        <v>40</v>
      </c>
      <c r="C3953" s="1" t="s">
        <v>23</v>
      </c>
      <c r="D3953" s="1" t="s">
        <v>17</v>
      </c>
      <c r="E3953" s="1" t="s">
        <v>18</v>
      </c>
      <c r="F3953" s="1" t="s">
        <v>29</v>
      </c>
      <c r="G3953" s="1" t="s">
        <v>20</v>
      </c>
      <c r="H3953" t="s">
        <v>30</v>
      </c>
      <c r="I3953" s="1" t="s">
        <v>22</v>
      </c>
      <c r="J3953" s="2">
        <v>43536.288819444446</v>
      </c>
      <c r="K3953" s="2">
        <v>43543.288819444446</v>
      </c>
      <c r="L3953" s="2">
        <v>43541.288819444446</v>
      </c>
      <c r="M3953" s="1">
        <f>_xlfn.DAYS(Table1[[#This Row],[actual_delivery_date]],Table1[[#This Row],[dispatch_date]])</f>
        <v>7</v>
      </c>
      <c r="N3953">
        <v>30</v>
      </c>
      <c r="O3953">
        <f>Table1[[#This Row],[transit_storage_cost]] * (1-'What -if Analysis'!$D$26)</f>
        <v>30</v>
      </c>
      <c r="P3953">
        <v>108</v>
      </c>
      <c r="Q3953">
        <v>2260.3414093435681</v>
      </c>
    </row>
    <row r="3954" spans="1:17" x14ac:dyDescent="0.3">
      <c r="A3954">
        <v>858535</v>
      </c>
      <c r="B3954" s="1" t="s">
        <v>37</v>
      </c>
      <c r="C3954" s="1" t="s">
        <v>23</v>
      </c>
      <c r="D3954" s="1" t="s">
        <v>16</v>
      </c>
      <c r="E3954" s="1" t="s">
        <v>27</v>
      </c>
      <c r="F3954" s="1" t="s">
        <v>29</v>
      </c>
      <c r="G3954" s="1" t="s">
        <v>20</v>
      </c>
      <c r="H3954" t="s">
        <v>30</v>
      </c>
      <c r="I3954" s="1" t="s">
        <v>22</v>
      </c>
      <c r="J3954" s="2">
        <v>43537.290069444447</v>
      </c>
      <c r="K3954" s="2">
        <v>43543.290069444447</v>
      </c>
      <c r="L3954" s="2">
        <v>43540.290069444447</v>
      </c>
      <c r="M3954" s="1">
        <f>_xlfn.DAYS(Table1[[#This Row],[actual_delivery_date]],Table1[[#This Row],[dispatch_date]])</f>
        <v>6</v>
      </c>
      <c r="N3954">
        <v>43</v>
      </c>
      <c r="O3954">
        <f>Table1[[#This Row],[transit_storage_cost]] * (1-'What -if Analysis'!$D$26)</f>
        <v>43</v>
      </c>
      <c r="P3954">
        <v>129</v>
      </c>
      <c r="Q3954">
        <v>3607.6607287041575</v>
      </c>
    </row>
    <row r="3955" spans="1:17" x14ac:dyDescent="0.3">
      <c r="A3955">
        <v>333124</v>
      </c>
      <c r="B3955" s="1" t="s">
        <v>15</v>
      </c>
      <c r="C3955" s="1" t="s">
        <v>16</v>
      </c>
      <c r="D3955" s="1" t="s">
        <v>24</v>
      </c>
      <c r="E3955" s="1" t="s">
        <v>25</v>
      </c>
      <c r="F3955" s="1" t="s">
        <v>19</v>
      </c>
      <c r="G3955" s="1" t="s">
        <v>20</v>
      </c>
      <c r="H3955" t="s">
        <v>21</v>
      </c>
      <c r="I3955" s="1" t="s">
        <v>22</v>
      </c>
      <c r="J3955" s="2">
        <v>43533.304456018515</v>
      </c>
      <c r="K3955" s="2">
        <v>43543.304456018515</v>
      </c>
      <c r="L3955" s="2">
        <v>43540.304456018515</v>
      </c>
      <c r="M3955" s="1">
        <f>_xlfn.DAYS(Table1[[#This Row],[actual_delivery_date]],Table1[[#This Row],[dispatch_date]])</f>
        <v>10</v>
      </c>
      <c r="N3955">
        <v>80</v>
      </c>
      <c r="O3955">
        <f>Table1[[#This Row],[transit_storage_cost]] * (1-'What -if Analysis'!$D$26)</f>
        <v>80</v>
      </c>
      <c r="P3955">
        <v>106</v>
      </c>
      <c r="Q3955">
        <v>1811.7688337017112</v>
      </c>
    </row>
    <row r="3956" spans="1:17" x14ac:dyDescent="0.3">
      <c r="A3956">
        <v>741777</v>
      </c>
      <c r="B3956" s="1" t="s">
        <v>38</v>
      </c>
      <c r="C3956" s="1" t="s">
        <v>23</v>
      </c>
      <c r="D3956" s="1" t="s">
        <v>24</v>
      </c>
      <c r="E3956" s="1" t="s">
        <v>25</v>
      </c>
      <c r="F3956" s="1" t="s">
        <v>29</v>
      </c>
      <c r="G3956" s="1" t="s">
        <v>20</v>
      </c>
      <c r="H3956" t="s">
        <v>30</v>
      </c>
      <c r="I3956" s="1" t="s">
        <v>26</v>
      </c>
      <c r="J3956" s="2">
        <v>43537.310520833336</v>
      </c>
      <c r="K3956" s="2">
        <v>43543.310520833336</v>
      </c>
      <c r="L3956" s="2">
        <v>43544.310520833336</v>
      </c>
      <c r="M3956" s="1">
        <f>_xlfn.DAYS(Table1[[#This Row],[actual_delivery_date]],Table1[[#This Row],[dispatch_date]])</f>
        <v>6</v>
      </c>
      <c r="N3956">
        <v>40</v>
      </c>
      <c r="O3956">
        <f>Table1[[#This Row],[transit_storage_cost]] * (1-'What -if Analysis'!$D$26)</f>
        <v>40</v>
      </c>
      <c r="P3956">
        <v>127</v>
      </c>
      <c r="Q3956">
        <v>3374.6729944077779</v>
      </c>
    </row>
    <row r="3957" spans="1:17" x14ac:dyDescent="0.3">
      <c r="A3957">
        <v>984075</v>
      </c>
      <c r="B3957" s="1" t="s">
        <v>38</v>
      </c>
      <c r="C3957" s="1" t="s">
        <v>23</v>
      </c>
      <c r="D3957" s="1" t="s">
        <v>23</v>
      </c>
      <c r="E3957" s="1" t="s">
        <v>28</v>
      </c>
      <c r="F3957" s="1" t="s">
        <v>29</v>
      </c>
      <c r="G3957" s="1" t="s">
        <v>20</v>
      </c>
      <c r="H3957" t="s">
        <v>30</v>
      </c>
      <c r="I3957" s="1" t="s">
        <v>26</v>
      </c>
      <c r="J3957" s="2">
        <v>43537.311666666668</v>
      </c>
      <c r="K3957" s="2">
        <v>43543.311666666668</v>
      </c>
      <c r="L3957" s="2">
        <v>43541.311666666668</v>
      </c>
      <c r="M3957" s="1">
        <f>_xlfn.DAYS(Table1[[#This Row],[actual_delivery_date]],Table1[[#This Row],[dispatch_date]])</f>
        <v>6</v>
      </c>
      <c r="N3957">
        <v>0</v>
      </c>
      <c r="O3957">
        <f>Table1[[#This Row],[transit_storage_cost]] * (1-'What -if Analysis'!$D$26)</f>
        <v>0</v>
      </c>
      <c r="P3957">
        <v>128</v>
      </c>
      <c r="Q3957">
        <v>993.62634448378242</v>
      </c>
    </row>
    <row r="3958" spans="1:17" x14ac:dyDescent="0.3">
      <c r="A3958">
        <v>248430</v>
      </c>
      <c r="B3958" s="1" t="s">
        <v>40</v>
      </c>
      <c r="C3958" s="1" t="s">
        <v>16</v>
      </c>
      <c r="D3958" s="1" t="s">
        <v>23</v>
      </c>
      <c r="E3958" s="1" t="s">
        <v>28</v>
      </c>
      <c r="F3958" s="1" t="s">
        <v>31</v>
      </c>
      <c r="G3958" s="1" t="s">
        <v>20</v>
      </c>
      <c r="H3958" t="s">
        <v>21</v>
      </c>
      <c r="I3958" s="1" t="s">
        <v>26</v>
      </c>
      <c r="J3958" s="2">
        <v>43537.317256944443</v>
      </c>
      <c r="K3958" s="2">
        <v>43543.317256944443</v>
      </c>
      <c r="L3958" s="2">
        <v>43543.317256944443</v>
      </c>
      <c r="M3958" s="1">
        <f>_xlfn.DAYS(Table1[[#This Row],[actual_delivery_date]],Table1[[#This Row],[dispatch_date]])</f>
        <v>6</v>
      </c>
      <c r="N3958">
        <v>32</v>
      </c>
      <c r="O3958">
        <f>Table1[[#This Row],[transit_storage_cost]] * (1-'What -if Analysis'!$D$26)</f>
        <v>32</v>
      </c>
      <c r="P3958">
        <v>123</v>
      </c>
      <c r="Q3958">
        <v>1341</v>
      </c>
    </row>
    <row r="3959" spans="1:17" x14ac:dyDescent="0.3">
      <c r="A3959">
        <v>18994</v>
      </c>
      <c r="B3959" s="1" t="s">
        <v>40</v>
      </c>
      <c r="C3959" s="1" t="s">
        <v>16</v>
      </c>
      <c r="D3959" s="1" t="s">
        <v>32</v>
      </c>
      <c r="E3959" s="1" t="s">
        <v>33</v>
      </c>
      <c r="F3959" s="1" t="s">
        <v>31</v>
      </c>
      <c r="G3959" s="1" t="s">
        <v>20</v>
      </c>
      <c r="H3959" t="s">
        <v>21</v>
      </c>
      <c r="I3959" s="1" t="s">
        <v>22</v>
      </c>
      <c r="J3959" s="2">
        <v>43538.323831018519</v>
      </c>
      <c r="K3959" s="2">
        <v>43543.323831018519</v>
      </c>
      <c r="L3959" s="2">
        <v>43545.323831018519</v>
      </c>
      <c r="M3959" s="1">
        <f>_xlfn.DAYS(Table1[[#This Row],[actual_delivery_date]],Table1[[#This Row],[dispatch_date]])</f>
        <v>5</v>
      </c>
      <c r="N3959">
        <v>32</v>
      </c>
      <c r="O3959">
        <f>Table1[[#This Row],[transit_storage_cost]] * (1-'What -if Analysis'!$D$26)</f>
        <v>32</v>
      </c>
      <c r="P3959">
        <v>111</v>
      </c>
      <c r="Q3959">
        <v>1105</v>
      </c>
    </row>
    <row r="3960" spans="1:17" x14ac:dyDescent="0.3">
      <c r="A3960">
        <v>516371</v>
      </c>
      <c r="B3960" s="1" t="s">
        <v>41</v>
      </c>
      <c r="C3960" s="1" t="s">
        <v>23</v>
      </c>
      <c r="D3960" s="1" t="s">
        <v>23</v>
      </c>
      <c r="E3960" s="1" t="s">
        <v>28</v>
      </c>
      <c r="F3960" s="1" t="s">
        <v>29</v>
      </c>
      <c r="G3960" s="1" t="s">
        <v>20</v>
      </c>
      <c r="H3960" t="s">
        <v>30</v>
      </c>
      <c r="I3960" s="1" t="s">
        <v>22</v>
      </c>
      <c r="J3960" s="2">
        <v>43537.330671296295</v>
      </c>
      <c r="K3960" s="2">
        <v>43543.330671296295</v>
      </c>
      <c r="L3960" s="2">
        <v>43544.330671296295</v>
      </c>
      <c r="M3960" s="1">
        <f>_xlfn.DAYS(Table1[[#This Row],[actual_delivery_date]],Table1[[#This Row],[dispatch_date]])</f>
        <v>6</v>
      </c>
      <c r="N3960">
        <v>0</v>
      </c>
      <c r="O3960">
        <f>Table1[[#This Row],[transit_storage_cost]] * (1-'What -if Analysis'!$D$26)</f>
        <v>0</v>
      </c>
      <c r="P3960">
        <v>121</v>
      </c>
      <c r="Q3960">
        <v>1921.1857125193865</v>
      </c>
    </row>
    <row r="3961" spans="1:17" x14ac:dyDescent="0.3">
      <c r="A3961">
        <v>861525</v>
      </c>
      <c r="B3961" s="1" t="s">
        <v>40</v>
      </c>
      <c r="C3961" s="1" t="s">
        <v>23</v>
      </c>
      <c r="D3961" s="1" t="s">
        <v>16</v>
      </c>
      <c r="E3961" s="1" t="s">
        <v>27</v>
      </c>
      <c r="F3961" s="1" t="s">
        <v>29</v>
      </c>
      <c r="G3961" s="1" t="s">
        <v>20</v>
      </c>
      <c r="H3961" t="s">
        <v>34</v>
      </c>
      <c r="I3961" s="1" t="s">
        <v>26</v>
      </c>
      <c r="J3961" s="2">
        <v>43536.341168981482</v>
      </c>
      <c r="K3961" s="2">
        <v>43543.341168981482</v>
      </c>
      <c r="L3961" s="2">
        <v>43539.341168981482</v>
      </c>
      <c r="M3961" s="1">
        <f>_xlfn.DAYS(Table1[[#This Row],[actual_delivery_date]],Table1[[#This Row],[dispatch_date]])</f>
        <v>7</v>
      </c>
      <c r="N3961">
        <v>28</v>
      </c>
      <c r="O3961">
        <f>Table1[[#This Row],[transit_storage_cost]] * (1-'What -if Analysis'!$D$26)</f>
        <v>28</v>
      </c>
      <c r="P3961">
        <v>126</v>
      </c>
      <c r="Q3961">
        <v>3119</v>
      </c>
    </row>
    <row r="3962" spans="1:17" x14ac:dyDescent="0.3">
      <c r="A3962">
        <v>55695</v>
      </c>
      <c r="B3962" s="1" t="s">
        <v>38</v>
      </c>
      <c r="C3962" s="1" t="s">
        <v>23</v>
      </c>
      <c r="D3962" s="1" t="s">
        <v>23</v>
      </c>
      <c r="E3962" s="1" t="s">
        <v>28</v>
      </c>
      <c r="F3962" s="1" t="s">
        <v>29</v>
      </c>
      <c r="G3962" s="1" t="s">
        <v>20</v>
      </c>
      <c r="H3962" t="s">
        <v>30</v>
      </c>
      <c r="I3962" s="1" t="s">
        <v>26</v>
      </c>
      <c r="J3962" s="2">
        <v>43537.365520833337</v>
      </c>
      <c r="K3962" s="2">
        <v>43543.365520833337</v>
      </c>
      <c r="L3962" s="2">
        <v>43542.365520833337</v>
      </c>
      <c r="M3962" s="1">
        <f>_xlfn.DAYS(Table1[[#This Row],[actual_delivery_date]],Table1[[#This Row],[dispatch_date]])</f>
        <v>6</v>
      </c>
      <c r="N3962">
        <v>0</v>
      </c>
      <c r="O3962">
        <f>Table1[[#This Row],[transit_storage_cost]] * (1-'What -if Analysis'!$D$26)</f>
        <v>0</v>
      </c>
      <c r="P3962">
        <v>127</v>
      </c>
      <c r="Q3962">
        <v>3006</v>
      </c>
    </row>
    <row r="3963" spans="1:17" x14ac:dyDescent="0.3">
      <c r="A3963">
        <v>279397</v>
      </c>
      <c r="B3963" s="1" t="s">
        <v>15</v>
      </c>
      <c r="C3963" s="1" t="s">
        <v>16</v>
      </c>
      <c r="D3963" s="1" t="s">
        <v>17</v>
      </c>
      <c r="E3963" s="1" t="s">
        <v>18</v>
      </c>
      <c r="F3963" s="1" t="s">
        <v>29</v>
      </c>
      <c r="G3963" s="1" t="s">
        <v>20</v>
      </c>
      <c r="H3963" t="s">
        <v>30</v>
      </c>
      <c r="I3963" s="1" t="s">
        <v>22</v>
      </c>
      <c r="J3963" s="2">
        <v>43534.367337962962</v>
      </c>
      <c r="K3963" s="2">
        <v>43543.367337962962</v>
      </c>
      <c r="L3963" s="2">
        <v>43539.367337962962</v>
      </c>
      <c r="M3963" s="1">
        <f>_xlfn.DAYS(Table1[[#This Row],[actual_delivery_date]],Table1[[#This Row],[dispatch_date]])</f>
        <v>9</v>
      </c>
      <c r="N3963">
        <v>41</v>
      </c>
      <c r="O3963">
        <f>Table1[[#This Row],[transit_storage_cost]] * (1-'What -if Analysis'!$D$26)</f>
        <v>41</v>
      </c>
      <c r="P3963">
        <v>113</v>
      </c>
      <c r="Q3963">
        <v>3356.2673173581052</v>
      </c>
    </row>
    <row r="3964" spans="1:17" x14ac:dyDescent="0.3">
      <c r="A3964">
        <v>61788</v>
      </c>
      <c r="B3964" s="1" t="s">
        <v>39</v>
      </c>
      <c r="C3964" s="1" t="s">
        <v>16</v>
      </c>
      <c r="D3964" s="1" t="s">
        <v>32</v>
      </c>
      <c r="E3964" s="1" t="s">
        <v>33</v>
      </c>
      <c r="F3964" s="1" t="s">
        <v>19</v>
      </c>
      <c r="G3964" s="1" t="s">
        <v>20</v>
      </c>
      <c r="H3964" t="s">
        <v>21</v>
      </c>
      <c r="I3964" s="1" t="s">
        <v>26</v>
      </c>
      <c r="J3964" s="2">
        <v>43538.372546296298</v>
      </c>
      <c r="K3964" s="2">
        <v>43543.372546296298</v>
      </c>
      <c r="L3964" s="2">
        <v>43542.372546296298</v>
      </c>
      <c r="M3964" s="1">
        <f>_xlfn.DAYS(Table1[[#This Row],[actual_delivery_date]],Table1[[#This Row],[dispatch_date]])</f>
        <v>5</v>
      </c>
      <c r="N3964">
        <v>46</v>
      </c>
      <c r="O3964">
        <f>Table1[[#This Row],[transit_storage_cost]] * (1-'What -if Analysis'!$D$26)</f>
        <v>46</v>
      </c>
      <c r="P3964">
        <v>109</v>
      </c>
      <c r="Q3964">
        <v>1044.5065860616958</v>
      </c>
    </row>
    <row r="3965" spans="1:17" x14ac:dyDescent="0.3">
      <c r="A3965">
        <v>198204</v>
      </c>
      <c r="B3965" s="1" t="s">
        <v>41</v>
      </c>
      <c r="C3965" s="1" t="s">
        <v>23</v>
      </c>
      <c r="D3965" s="1" t="s">
        <v>23</v>
      </c>
      <c r="E3965" s="1" t="s">
        <v>28</v>
      </c>
      <c r="F3965" s="1" t="s">
        <v>19</v>
      </c>
      <c r="G3965" s="1" t="s">
        <v>20</v>
      </c>
      <c r="H3965" t="s">
        <v>21</v>
      </c>
      <c r="I3965" s="1" t="s">
        <v>26</v>
      </c>
      <c r="J3965" s="2">
        <v>43538.377164351848</v>
      </c>
      <c r="K3965" s="2">
        <v>43543.377164351848</v>
      </c>
      <c r="L3965" s="2">
        <v>43542.377164351848</v>
      </c>
      <c r="M3965" s="1">
        <f>_xlfn.DAYS(Table1[[#This Row],[actual_delivery_date]],Table1[[#This Row],[dispatch_date]])</f>
        <v>5</v>
      </c>
      <c r="N3965">
        <v>0</v>
      </c>
      <c r="O3965">
        <f>Table1[[#This Row],[transit_storage_cost]] * (1-'What -if Analysis'!$D$26)</f>
        <v>0</v>
      </c>
      <c r="P3965">
        <v>128</v>
      </c>
      <c r="Q3965">
        <v>2587.5235566337237</v>
      </c>
    </row>
    <row r="3966" spans="1:17" x14ac:dyDescent="0.3">
      <c r="A3966">
        <v>260139</v>
      </c>
      <c r="B3966" s="1" t="s">
        <v>39</v>
      </c>
      <c r="C3966" s="1" t="s">
        <v>16</v>
      </c>
      <c r="D3966" s="1" t="s">
        <v>16</v>
      </c>
      <c r="E3966" s="1" t="s">
        <v>27</v>
      </c>
      <c r="F3966" s="1" t="s">
        <v>29</v>
      </c>
      <c r="G3966" s="1" t="s">
        <v>20</v>
      </c>
      <c r="H3966" t="s">
        <v>30</v>
      </c>
      <c r="I3966" s="1" t="s">
        <v>26</v>
      </c>
      <c r="J3966" s="2">
        <v>43538.3825462963</v>
      </c>
      <c r="K3966" s="2">
        <v>43543.3825462963</v>
      </c>
      <c r="L3966" s="2">
        <v>43544.3825462963</v>
      </c>
      <c r="M3966" s="1">
        <f>_xlfn.DAYS(Table1[[#This Row],[actual_delivery_date]],Table1[[#This Row],[dispatch_date]])</f>
        <v>5</v>
      </c>
      <c r="N3966">
        <v>0</v>
      </c>
      <c r="O3966">
        <f>Table1[[#This Row],[transit_storage_cost]] * (1-'What -if Analysis'!$D$26)</f>
        <v>0</v>
      </c>
      <c r="P3966">
        <v>130</v>
      </c>
      <c r="Q3966">
        <v>3690.1905707874175</v>
      </c>
    </row>
    <row r="3967" spans="1:17" x14ac:dyDescent="0.3">
      <c r="A3967">
        <v>820298</v>
      </c>
      <c r="B3967" s="1" t="s">
        <v>39</v>
      </c>
      <c r="C3967" s="1" t="s">
        <v>16</v>
      </c>
      <c r="D3967" s="1" t="s">
        <v>23</v>
      </c>
      <c r="E3967" s="1" t="s">
        <v>28</v>
      </c>
      <c r="F3967" s="1" t="s">
        <v>31</v>
      </c>
      <c r="G3967" s="1" t="s">
        <v>20</v>
      </c>
      <c r="H3967" t="s">
        <v>21</v>
      </c>
      <c r="I3967" s="1" t="s">
        <v>22</v>
      </c>
      <c r="J3967" s="2">
        <v>43536.391574074078</v>
      </c>
      <c r="K3967" s="2">
        <v>43543.391574074078</v>
      </c>
      <c r="L3967" s="2">
        <v>43539.391574074078</v>
      </c>
      <c r="M3967" s="1">
        <f>_xlfn.DAYS(Table1[[#This Row],[actual_delivery_date]],Table1[[#This Row],[dispatch_date]])</f>
        <v>7</v>
      </c>
      <c r="N3967">
        <v>47</v>
      </c>
      <c r="O3967">
        <f>Table1[[#This Row],[transit_storage_cost]] * (1-'What -if Analysis'!$D$26)</f>
        <v>47</v>
      </c>
      <c r="P3967">
        <v>124</v>
      </c>
      <c r="Q3967">
        <v>1202.5625599962764</v>
      </c>
    </row>
    <row r="3968" spans="1:17" x14ac:dyDescent="0.3">
      <c r="A3968">
        <v>213915</v>
      </c>
      <c r="B3968" s="1" t="s">
        <v>41</v>
      </c>
      <c r="C3968" s="1" t="s">
        <v>16</v>
      </c>
      <c r="D3968" s="1" t="s">
        <v>23</v>
      </c>
      <c r="E3968" s="1" t="s">
        <v>28</v>
      </c>
      <c r="F3968" s="1" t="s">
        <v>29</v>
      </c>
      <c r="G3968" s="1" t="s">
        <v>20</v>
      </c>
      <c r="H3968" t="s">
        <v>30</v>
      </c>
      <c r="I3968" s="1" t="s">
        <v>26</v>
      </c>
      <c r="J3968" s="2">
        <v>43535.401250000003</v>
      </c>
      <c r="K3968" s="2">
        <v>43543.401250000003</v>
      </c>
      <c r="L3968" s="2">
        <v>43540.401250000003</v>
      </c>
      <c r="M3968" s="1">
        <f>_xlfn.DAYS(Table1[[#This Row],[actual_delivery_date]],Table1[[#This Row],[dispatch_date]])</f>
        <v>8</v>
      </c>
      <c r="N3968">
        <v>32</v>
      </c>
      <c r="O3968">
        <f>Table1[[#This Row],[transit_storage_cost]] * (1-'What -if Analysis'!$D$26)</f>
        <v>32</v>
      </c>
      <c r="P3968">
        <v>123</v>
      </c>
      <c r="Q3968">
        <v>2538.1544624675039</v>
      </c>
    </row>
    <row r="3969" spans="1:17" x14ac:dyDescent="0.3">
      <c r="A3969">
        <v>343481</v>
      </c>
      <c r="B3969" s="1" t="s">
        <v>38</v>
      </c>
      <c r="C3969" s="1" t="s">
        <v>16</v>
      </c>
      <c r="D3969" s="1" t="s">
        <v>17</v>
      </c>
      <c r="E3969" s="1" t="s">
        <v>18</v>
      </c>
      <c r="F3969" s="1" t="s">
        <v>29</v>
      </c>
      <c r="G3969" s="1" t="s">
        <v>20</v>
      </c>
      <c r="H3969" t="s">
        <v>30</v>
      </c>
      <c r="I3969" s="1" t="s">
        <v>22</v>
      </c>
      <c r="J3969" s="2">
        <v>43534.414594907408</v>
      </c>
      <c r="K3969" s="2">
        <v>43543.414594907408</v>
      </c>
      <c r="L3969" s="2">
        <v>43540.414594907408</v>
      </c>
      <c r="M3969" s="1">
        <f>_xlfn.DAYS(Table1[[#This Row],[actual_delivery_date]],Table1[[#This Row],[dispatch_date]])</f>
        <v>9</v>
      </c>
      <c r="N3969">
        <v>32</v>
      </c>
      <c r="O3969">
        <f>Table1[[#This Row],[transit_storage_cost]] * (1-'What -if Analysis'!$D$26)</f>
        <v>32</v>
      </c>
      <c r="P3969">
        <v>105</v>
      </c>
      <c r="Q3969">
        <v>2076.4471116516206</v>
      </c>
    </row>
    <row r="3970" spans="1:17" x14ac:dyDescent="0.3">
      <c r="A3970">
        <v>762809</v>
      </c>
      <c r="B3970" s="1" t="s">
        <v>37</v>
      </c>
      <c r="C3970" s="1" t="s">
        <v>16</v>
      </c>
      <c r="D3970" s="1" t="s">
        <v>17</v>
      </c>
      <c r="E3970" s="1" t="s">
        <v>18</v>
      </c>
      <c r="F3970" s="1" t="s">
        <v>29</v>
      </c>
      <c r="G3970" s="1" t="s">
        <v>20</v>
      </c>
      <c r="H3970" t="s">
        <v>30</v>
      </c>
      <c r="I3970" s="1" t="s">
        <v>22</v>
      </c>
      <c r="J3970" s="2">
        <v>43537.417905092596</v>
      </c>
      <c r="K3970" s="2">
        <v>43543.417905092596</v>
      </c>
      <c r="L3970" s="2">
        <v>43541.417905092596</v>
      </c>
      <c r="M3970" s="1">
        <f>_xlfn.DAYS(Table1[[#This Row],[actual_delivery_date]],Table1[[#This Row],[dispatch_date]])</f>
        <v>6</v>
      </c>
      <c r="N3970">
        <v>34</v>
      </c>
      <c r="O3970">
        <f>Table1[[#This Row],[transit_storage_cost]] * (1-'What -if Analysis'!$D$26)</f>
        <v>34</v>
      </c>
      <c r="P3970">
        <v>114</v>
      </c>
      <c r="Q3970">
        <v>1147.5538725293272</v>
      </c>
    </row>
    <row r="3971" spans="1:17" x14ac:dyDescent="0.3">
      <c r="A3971">
        <v>767635</v>
      </c>
      <c r="B3971" s="1" t="s">
        <v>38</v>
      </c>
      <c r="C3971" s="1" t="s">
        <v>23</v>
      </c>
      <c r="D3971" s="1" t="s">
        <v>17</v>
      </c>
      <c r="E3971" s="1" t="s">
        <v>18</v>
      </c>
      <c r="F3971" s="1" t="s">
        <v>29</v>
      </c>
      <c r="G3971" s="1" t="s">
        <v>36</v>
      </c>
      <c r="H3971" t="s">
        <v>30</v>
      </c>
      <c r="I3971" s="1" t="s">
        <v>22</v>
      </c>
      <c r="J3971" s="2">
        <v>43537.421365740738</v>
      </c>
      <c r="K3971" s="2">
        <v>43543.421365740738</v>
      </c>
      <c r="L3971" s="2">
        <v>43544.421365740738</v>
      </c>
      <c r="M3971" s="1">
        <f>_xlfn.DAYS(Table1[[#This Row],[actual_delivery_date]],Table1[[#This Row],[dispatch_date]])</f>
        <v>6</v>
      </c>
      <c r="N3971">
        <v>37</v>
      </c>
      <c r="O3971">
        <f>Table1[[#This Row],[transit_storage_cost]] * (1-'What -if Analysis'!$D$26)</f>
        <v>37</v>
      </c>
      <c r="P3971">
        <v>110</v>
      </c>
      <c r="Q3971">
        <v>1731.939383335794</v>
      </c>
    </row>
    <row r="3972" spans="1:17" x14ac:dyDescent="0.3">
      <c r="A3972">
        <v>435554</v>
      </c>
      <c r="B3972" s="1" t="s">
        <v>39</v>
      </c>
      <c r="C3972" s="1" t="s">
        <v>16</v>
      </c>
      <c r="D3972" s="1" t="s">
        <v>32</v>
      </c>
      <c r="E3972" s="1" t="s">
        <v>33</v>
      </c>
      <c r="F3972" s="1" t="s">
        <v>19</v>
      </c>
      <c r="G3972" s="1" t="s">
        <v>20</v>
      </c>
      <c r="H3972" t="s">
        <v>21</v>
      </c>
      <c r="I3972" s="1" t="s">
        <v>22</v>
      </c>
      <c r="J3972" s="2">
        <v>43536.422662037039</v>
      </c>
      <c r="K3972" s="2">
        <v>43543.422662037039</v>
      </c>
      <c r="L3972" s="2">
        <v>43539.422662037039</v>
      </c>
      <c r="M3972" s="1">
        <f>_xlfn.DAYS(Table1[[#This Row],[actual_delivery_date]],Table1[[#This Row],[dispatch_date]])</f>
        <v>7</v>
      </c>
      <c r="N3972">
        <v>66</v>
      </c>
      <c r="O3972">
        <f>Table1[[#This Row],[transit_storage_cost]] * (1-'What -if Analysis'!$D$26)</f>
        <v>66</v>
      </c>
      <c r="P3972">
        <v>90</v>
      </c>
      <c r="Q3972">
        <v>3097.9617104161171</v>
      </c>
    </row>
    <row r="3973" spans="1:17" x14ac:dyDescent="0.3">
      <c r="A3973">
        <v>727122</v>
      </c>
      <c r="B3973" s="1" t="s">
        <v>40</v>
      </c>
      <c r="C3973" s="1" t="s">
        <v>23</v>
      </c>
      <c r="D3973" s="1" t="s">
        <v>32</v>
      </c>
      <c r="E3973" s="1" t="s">
        <v>33</v>
      </c>
      <c r="F3973" s="1" t="s">
        <v>31</v>
      </c>
      <c r="G3973" s="1" t="s">
        <v>20</v>
      </c>
      <c r="H3973" t="s">
        <v>21</v>
      </c>
      <c r="I3973" s="1" t="s">
        <v>26</v>
      </c>
      <c r="J3973" s="2">
        <v>43538.426666666666</v>
      </c>
      <c r="K3973" s="2">
        <v>43543.426666666666</v>
      </c>
      <c r="L3973" s="2">
        <v>43543.426666666666</v>
      </c>
      <c r="M3973" s="1">
        <f>_xlfn.DAYS(Table1[[#This Row],[actual_delivery_date]],Table1[[#This Row],[dispatch_date]])</f>
        <v>5</v>
      </c>
      <c r="N3973">
        <v>37</v>
      </c>
      <c r="O3973">
        <f>Table1[[#This Row],[transit_storage_cost]] * (1-'What -if Analysis'!$D$26)</f>
        <v>37</v>
      </c>
      <c r="P3973">
        <v>113</v>
      </c>
      <c r="Q3973">
        <v>316</v>
      </c>
    </row>
    <row r="3974" spans="1:17" x14ac:dyDescent="0.3">
      <c r="A3974">
        <v>995128</v>
      </c>
      <c r="B3974" s="1" t="s">
        <v>40</v>
      </c>
      <c r="C3974" s="1" t="s">
        <v>23</v>
      </c>
      <c r="D3974" s="1" t="s">
        <v>24</v>
      </c>
      <c r="E3974" s="1" t="s">
        <v>25</v>
      </c>
      <c r="F3974" s="1" t="s">
        <v>19</v>
      </c>
      <c r="G3974" s="1" t="s">
        <v>20</v>
      </c>
      <c r="H3974" t="s">
        <v>21</v>
      </c>
      <c r="I3974" s="1" t="s">
        <v>22</v>
      </c>
      <c r="J3974" s="2">
        <v>43537.429965277777</v>
      </c>
      <c r="K3974" s="2">
        <v>43543.429965277777</v>
      </c>
      <c r="L3974" s="2">
        <v>43542.429965277777</v>
      </c>
      <c r="M3974" s="1">
        <f>_xlfn.DAYS(Table1[[#This Row],[actual_delivery_date]],Table1[[#This Row],[dispatch_date]])</f>
        <v>6</v>
      </c>
      <c r="N3974">
        <v>31</v>
      </c>
      <c r="O3974">
        <f>Table1[[#This Row],[transit_storage_cost]] * (1-'What -if Analysis'!$D$26)</f>
        <v>31</v>
      </c>
      <c r="P3974">
        <v>124</v>
      </c>
      <c r="Q3974">
        <v>2787.9609222735248</v>
      </c>
    </row>
    <row r="3975" spans="1:17" x14ac:dyDescent="0.3">
      <c r="A3975">
        <v>213550</v>
      </c>
      <c r="B3975" s="1" t="s">
        <v>38</v>
      </c>
      <c r="C3975" s="1" t="s">
        <v>16</v>
      </c>
      <c r="D3975" s="1" t="s">
        <v>24</v>
      </c>
      <c r="E3975" s="1" t="s">
        <v>25</v>
      </c>
      <c r="F3975" s="1" t="s">
        <v>19</v>
      </c>
      <c r="G3975" s="1" t="s">
        <v>20</v>
      </c>
      <c r="H3975" t="s">
        <v>21</v>
      </c>
      <c r="I3975" s="1" t="s">
        <v>22</v>
      </c>
      <c r="J3975" s="2">
        <v>43533.441805555558</v>
      </c>
      <c r="K3975" s="2">
        <v>43543.441805555558</v>
      </c>
      <c r="L3975" s="2">
        <v>43540.441805555558</v>
      </c>
      <c r="M3975" s="1">
        <f>_xlfn.DAYS(Table1[[#This Row],[actual_delivery_date]],Table1[[#This Row],[dispatch_date]])</f>
        <v>10</v>
      </c>
      <c r="N3975">
        <v>65</v>
      </c>
      <c r="O3975">
        <f>Table1[[#This Row],[transit_storage_cost]] * (1-'What -if Analysis'!$D$26)</f>
        <v>65</v>
      </c>
      <c r="P3975">
        <v>100</v>
      </c>
      <c r="Q3975">
        <v>666.18808045801597</v>
      </c>
    </row>
    <row r="3976" spans="1:17" x14ac:dyDescent="0.3">
      <c r="A3976">
        <v>368091</v>
      </c>
      <c r="B3976" s="1" t="s">
        <v>40</v>
      </c>
      <c r="C3976" s="1" t="s">
        <v>16</v>
      </c>
      <c r="D3976" s="1" t="s">
        <v>17</v>
      </c>
      <c r="E3976" s="1" t="s">
        <v>18</v>
      </c>
      <c r="F3976" s="1" t="s">
        <v>29</v>
      </c>
      <c r="G3976" s="1" t="s">
        <v>20</v>
      </c>
      <c r="H3976" t="s">
        <v>30</v>
      </c>
      <c r="I3976" s="1" t="s">
        <v>26</v>
      </c>
      <c r="J3976" s="2">
        <v>43536.446203703701</v>
      </c>
      <c r="K3976" s="2">
        <v>43543.446203703701</v>
      </c>
      <c r="L3976" s="2">
        <v>43542.446203703701</v>
      </c>
      <c r="M3976" s="1">
        <f>_xlfn.DAYS(Table1[[#This Row],[actual_delivery_date]],Table1[[#This Row],[dispatch_date]])</f>
        <v>7</v>
      </c>
      <c r="N3976">
        <v>40</v>
      </c>
      <c r="O3976">
        <f>Table1[[#This Row],[transit_storage_cost]] * (1-'What -if Analysis'!$D$26)</f>
        <v>40</v>
      </c>
      <c r="P3976">
        <v>113</v>
      </c>
      <c r="Q3976">
        <v>299</v>
      </c>
    </row>
    <row r="3977" spans="1:17" x14ac:dyDescent="0.3">
      <c r="A3977">
        <v>794195</v>
      </c>
      <c r="B3977" s="1" t="s">
        <v>37</v>
      </c>
      <c r="C3977" s="1" t="s">
        <v>16</v>
      </c>
      <c r="D3977" s="1" t="s">
        <v>17</v>
      </c>
      <c r="E3977" s="1" t="s">
        <v>18</v>
      </c>
      <c r="F3977" s="1" t="s">
        <v>29</v>
      </c>
      <c r="G3977" s="1" t="s">
        <v>20</v>
      </c>
      <c r="H3977" t="s">
        <v>30</v>
      </c>
      <c r="I3977" s="1" t="s">
        <v>22</v>
      </c>
      <c r="J3977" s="2">
        <v>43536.459618055553</v>
      </c>
      <c r="K3977" s="2">
        <v>43543.459618055553</v>
      </c>
      <c r="L3977" s="2">
        <v>43542.459618055553</v>
      </c>
      <c r="M3977" s="1">
        <f>_xlfn.DAYS(Table1[[#This Row],[actual_delivery_date]],Table1[[#This Row],[dispatch_date]])</f>
        <v>7</v>
      </c>
      <c r="N3977">
        <v>47</v>
      </c>
      <c r="O3977">
        <f>Table1[[#This Row],[transit_storage_cost]] * (1-'What -if Analysis'!$D$26)</f>
        <v>47</v>
      </c>
      <c r="P3977">
        <v>114</v>
      </c>
      <c r="Q3977">
        <v>1760.3950175727618</v>
      </c>
    </row>
    <row r="3978" spans="1:17" x14ac:dyDescent="0.3">
      <c r="A3978">
        <v>884221</v>
      </c>
      <c r="B3978" s="1" t="s">
        <v>37</v>
      </c>
      <c r="C3978" s="1" t="s">
        <v>16</v>
      </c>
      <c r="D3978" s="1" t="s">
        <v>17</v>
      </c>
      <c r="E3978" s="1" t="s">
        <v>18</v>
      </c>
      <c r="F3978" s="1" t="s">
        <v>29</v>
      </c>
      <c r="G3978" s="1" t="s">
        <v>20</v>
      </c>
      <c r="H3978" t="s">
        <v>30</v>
      </c>
      <c r="I3978" s="1" t="s">
        <v>22</v>
      </c>
      <c r="J3978" s="2">
        <v>43536.479027777779</v>
      </c>
      <c r="K3978" s="2">
        <v>43543.479027777779</v>
      </c>
      <c r="L3978" s="2">
        <v>43542.479027777779</v>
      </c>
      <c r="M3978" s="1">
        <f>_xlfn.DAYS(Table1[[#This Row],[actual_delivery_date]],Table1[[#This Row],[dispatch_date]])</f>
        <v>7</v>
      </c>
      <c r="N3978">
        <v>43</v>
      </c>
      <c r="O3978">
        <f>Table1[[#This Row],[transit_storage_cost]] * (1-'What -if Analysis'!$D$26)</f>
        <v>43</v>
      </c>
      <c r="P3978">
        <v>112</v>
      </c>
      <c r="Q3978">
        <v>423.22318432551015</v>
      </c>
    </row>
    <row r="3979" spans="1:17" x14ac:dyDescent="0.3">
      <c r="A3979">
        <v>469895</v>
      </c>
      <c r="B3979" s="1" t="s">
        <v>39</v>
      </c>
      <c r="C3979" s="1" t="s">
        <v>16</v>
      </c>
      <c r="D3979" s="1" t="s">
        <v>17</v>
      </c>
      <c r="E3979" s="1" t="s">
        <v>18</v>
      </c>
      <c r="F3979" s="1" t="s">
        <v>29</v>
      </c>
      <c r="G3979" s="1" t="s">
        <v>20</v>
      </c>
      <c r="H3979" t="s">
        <v>30</v>
      </c>
      <c r="I3979" s="1" t="s">
        <v>22</v>
      </c>
      <c r="J3979" s="2">
        <v>43535.479444444441</v>
      </c>
      <c r="K3979" s="2">
        <v>43543.479444444441</v>
      </c>
      <c r="L3979" s="2">
        <v>43540.479444444441</v>
      </c>
      <c r="M3979" s="1">
        <f>_xlfn.DAYS(Table1[[#This Row],[actual_delivery_date]],Table1[[#This Row],[dispatch_date]])</f>
        <v>8</v>
      </c>
      <c r="N3979">
        <v>25</v>
      </c>
      <c r="O3979">
        <f>Table1[[#This Row],[transit_storage_cost]] * (1-'What -if Analysis'!$D$26)</f>
        <v>25</v>
      </c>
      <c r="P3979">
        <v>110</v>
      </c>
      <c r="Q3979">
        <v>835.50385800297147</v>
      </c>
    </row>
    <row r="3980" spans="1:17" x14ac:dyDescent="0.3">
      <c r="A3980">
        <v>131185</v>
      </c>
      <c r="B3980" s="1" t="s">
        <v>38</v>
      </c>
      <c r="C3980" s="1" t="s">
        <v>23</v>
      </c>
      <c r="D3980" s="1" t="s">
        <v>17</v>
      </c>
      <c r="E3980" s="1" t="s">
        <v>18</v>
      </c>
      <c r="F3980" s="1" t="s">
        <v>29</v>
      </c>
      <c r="G3980" s="1" t="s">
        <v>20</v>
      </c>
      <c r="H3980" t="s">
        <v>30</v>
      </c>
      <c r="I3980" s="1" t="s">
        <v>22</v>
      </c>
      <c r="J3980" s="2">
        <v>43535.484143518515</v>
      </c>
      <c r="K3980" s="2">
        <v>43543.484143518515</v>
      </c>
      <c r="L3980" s="2">
        <v>43542.484143518515</v>
      </c>
      <c r="M3980" s="1">
        <f>_xlfn.DAYS(Table1[[#This Row],[actual_delivery_date]],Table1[[#This Row],[dispatch_date]])</f>
        <v>8</v>
      </c>
      <c r="N3980">
        <v>41</v>
      </c>
      <c r="O3980">
        <f>Table1[[#This Row],[transit_storage_cost]] * (1-'What -if Analysis'!$D$26)</f>
        <v>41</v>
      </c>
      <c r="P3980">
        <v>114</v>
      </c>
      <c r="Q3980">
        <v>267</v>
      </c>
    </row>
    <row r="3981" spans="1:17" x14ac:dyDescent="0.3">
      <c r="A3981">
        <v>618329</v>
      </c>
      <c r="B3981" s="1" t="s">
        <v>39</v>
      </c>
      <c r="C3981" s="1" t="s">
        <v>16</v>
      </c>
      <c r="D3981" s="1" t="s">
        <v>24</v>
      </c>
      <c r="E3981" s="1" t="s">
        <v>25</v>
      </c>
      <c r="F3981" s="1" t="s">
        <v>29</v>
      </c>
      <c r="G3981" s="1" t="s">
        <v>20</v>
      </c>
      <c r="H3981" t="s">
        <v>30</v>
      </c>
      <c r="I3981" s="1" t="s">
        <v>22</v>
      </c>
      <c r="J3981" s="2">
        <v>43536.499016203707</v>
      </c>
      <c r="K3981" s="2">
        <v>43543.499016203707</v>
      </c>
      <c r="L3981" s="2">
        <v>43543.499016203707</v>
      </c>
      <c r="M3981" s="1">
        <f>_xlfn.DAYS(Table1[[#This Row],[actual_delivery_date]],Table1[[#This Row],[dispatch_date]])</f>
        <v>7</v>
      </c>
      <c r="N3981">
        <v>37</v>
      </c>
      <c r="O3981">
        <f>Table1[[#This Row],[transit_storage_cost]] * (1-'What -if Analysis'!$D$26)</f>
        <v>37</v>
      </c>
      <c r="P3981">
        <v>127</v>
      </c>
      <c r="Q3981">
        <v>3446.6291401524381</v>
      </c>
    </row>
    <row r="3982" spans="1:17" x14ac:dyDescent="0.3">
      <c r="A3982">
        <v>718062</v>
      </c>
      <c r="B3982" s="1" t="s">
        <v>41</v>
      </c>
      <c r="C3982" s="1" t="s">
        <v>23</v>
      </c>
      <c r="D3982" s="1" t="s">
        <v>17</v>
      </c>
      <c r="E3982" s="1" t="s">
        <v>18</v>
      </c>
      <c r="F3982" s="1" t="s">
        <v>31</v>
      </c>
      <c r="G3982" s="1" t="s">
        <v>20</v>
      </c>
      <c r="H3982" t="s">
        <v>21</v>
      </c>
      <c r="I3982" s="1" t="s">
        <v>26</v>
      </c>
      <c r="J3982" s="2">
        <v>43535.536006944443</v>
      </c>
      <c r="K3982" s="2">
        <v>43543.536006944443</v>
      </c>
      <c r="L3982" s="2">
        <v>43538.536006944443</v>
      </c>
      <c r="M3982" s="1">
        <f>_xlfn.DAYS(Table1[[#This Row],[actual_delivery_date]],Table1[[#This Row],[dispatch_date]])</f>
        <v>8</v>
      </c>
      <c r="N3982">
        <v>38</v>
      </c>
      <c r="O3982">
        <f>Table1[[#This Row],[transit_storage_cost]] * (1-'What -if Analysis'!$D$26)</f>
        <v>38</v>
      </c>
      <c r="P3982">
        <v>109</v>
      </c>
      <c r="Q3982">
        <v>2498</v>
      </c>
    </row>
    <row r="3983" spans="1:17" x14ac:dyDescent="0.3">
      <c r="A3983">
        <v>603677</v>
      </c>
      <c r="B3983" s="1" t="s">
        <v>38</v>
      </c>
      <c r="C3983" s="1" t="s">
        <v>23</v>
      </c>
      <c r="D3983" s="1" t="s">
        <v>16</v>
      </c>
      <c r="E3983" s="1" t="s">
        <v>27</v>
      </c>
      <c r="F3983" s="1" t="s">
        <v>29</v>
      </c>
      <c r="G3983" s="1" t="s">
        <v>20</v>
      </c>
      <c r="H3983" t="s">
        <v>30</v>
      </c>
      <c r="I3983" s="1" t="s">
        <v>22</v>
      </c>
      <c r="J3983" s="2">
        <v>43537.539236111108</v>
      </c>
      <c r="K3983" s="2">
        <v>43543.539236111108</v>
      </c>
      <c r="L3983" s="2">
        <v>43544.539236111108</v>
      </c>
      <c r="M3983" s="1">
        <f>_xlfn.DAYS(Table1[[#This Row],[actual_delivery_date]],Table1[[#This Row],[dispatch_date]])</f>
        <v>6</v>
      </c>
      <c r="N3983">
        <v>43</v>
      </c>
      <c r="O3983">
        <f>Table1[[#This Row],[transit_storage_cost]] * (1-'What -if Analysis'!$D$26)</f>
        <v>43</v>
      </c>
      <c r="P3983">
        <v>121</v>
      </c>
      <c r="Q3983">
        <v>2797.7013897145648</v>
      </c>
    </row>
    <row r="3984" spans="1:17" x14ac:dyDescent="0.3">
      <c r="A3984">
        <v>428508</v>
      </c>
      <c r="B3984" s="1" t="s">
        <v>38</v>
      </c>
      <c r="C3984" s="1" t="s">
        <v>16</v>
      </c>
      <c r="D3984" s="1" t="s">
        <v>32</v>
      </c>
      <c r="E3984" s="1" t="s">
        <v>33</v>
      </c>
      <c r="F3984" s="1" t="s">
        <v>19</v>
      </c>
      <c r="G3984" s="1" t="s">
        <v>20</v>
      </c>
      <c r="H3984" t="s">
        <v>21</v>
      </c>
      <c r="I3984" s="1" t="s">
        <v>26</v>
      </c>
      <c r="J3984" s="2">
        <v>43538.548738425925</v>
      </c>
      <c r="K3984" s="2">
        <v>43543.548738425925</v>
      </c>
      <c r="L3984" s="2">
        <v>43544.548738425925</v>
      </c>
      <c r="M3984" s="1">
        <f>_xlfn.DAYS(Table1[[#This Row],[actual_delivery_date]],Table1[[#This Row],[dispatch_date]])</f>
        <v>5</v>
      </c>
      <c r="N3984">
        <v>48</v>
      </c>
      <c r="O3984">
        <f>Table1[[#This Row],[transit_storage_cost]] * (1-'What -if Analysis'!$D$26)</f>
        <v>48</v>
      </c>
      <c r="P3984">
        <v>108</v>
      </c>
      <c r="Q3984">
        <v>700</v>
      </c>
    </row>
    <row r="3985" spans="1:17" x14ac:dyDescent="0.3">
      <c r="A3985">
        <v>44655</v>
      </c>
      <c r="B3985" s="1" t="s">
        <v>37</v>
      </c>
      <c r="C3985" s="1" t="s">
        <v>23</v>
      </c>
      <c r="D3985" s="1" t="s">
        <v>16</v>
      </c>
      <c r="E3985" s="1" t="s">
        <v>27</v>
      </c>
      <c r="F3985" s="1" t="s">
        <v>29</v>
      </c>
      <c r="G3985" s="1" t="s">
        <v>36</v>
      </c>
      <c r="H3985" t="s">
        <v>30</v>
      </c>
      <c r="I3985" s="1" t="s">
        <v>26</v>
      </c>
      <c r="J3985" s="2">
        <v>43536.555891203701</v>
      </c>
      <c r="K3985" s="2">
        <v>43543.555891203701</v>
      </c>
      <c r="L3985" s="2">
        <v>43542.555891203701</v>
      </c>
      <c r="M3985" s="1">
        <f>_xlfn.DAYS(Table1[[#This Row],[actual_delivery_date]],Table1[[#This Row],[dispatch_date]])</f>
        <v>7</v>
      </c>
      <c r="N3985">
        <v>26</v>
      </c>
      <c r="O3985">
        <f>Table1[[#This Row],[transit_storage_cost]] * (1-'What -if Analysis'!$D$26)</f>
        <v>26</v>
      </c>
      <c r="P3985">
        <v>122</v>
      </c>
      <c r="Q3985">
        <v>3484.1374167046906</v>
      </c>
    </row>
    <row r="3986" spans="1:17" x14ac:dyDescent="0.3">
      <c r="A3986">
        <v>275635</v>
      </c>
      <c r="B3986" s="1" t="s">
        <v>38</v>
      </c>
      <c r="C3986" s="1" t="s">
        <v>16</v>
      </c>
      <c r="D3986" s="1" t="s">
        <v>24</v>
      </c>
      <c r="E3986" s="1" t="s">
        <v>25</v>
      </c>
      <c r="F3986" s="1" t="s">
        <v>19</v>
      </c>
      <c r="G3986" s="1" t="s">
        <v>20</v>
      </c>
      <c r="H3986" t="s">
        <v>30</v>
      </c>
      <c r="I3986" s="1" t="s">
        <v>22</v>
      </c>
      <c r="J3986" s="2">
        <v>43534.563391203701</v>
      </c>
      <c r="K3986" s="2">
        <v>43543.563391203701</v>
      </c>
      <c r="L3986" s="2">
        <v>43538.563391203701</v>
      </c>
      <c r="M3986" s="1">
        <f>_xlfn.DAYS(Table1[[#This Row],[actual_delivery_date]],Table1[[#This Row],[dispatch_date]])</f>
        <v>9</v>
      </c>
      <c r="N3986">
        <v>74</v>
      </c>
      <c r="O3986">
        <f>Table1[[#This Row],[transit_storage_cost]] * (1-'What -if Analysis'!$D$26)</f>
        <v>74</v>
      </c>
      <c r="P3986">
        <v>104</v>
      </c>
      <c r="Q3986">
        <v>2280</v>
      </c>
    </row>
    <row r="3987" spans="1:17" x14ac:dyDescent="0.3">
      <c r="A3987">
        <v>327178</v>
      </c>
      <c r="B3987" s="1" t="s">
        <v>37</v>
      </c>
      <c r="C3987" s="1" t="s">
        <v>16</v>
      </c>
      <c r="D3987" s="1" t="s">
        <v>23</v>
      </c>
      <c r="E3987" s="1" t="s">
        <v>28</v>
      </c>
      <c r="F3987" s="1" t="s">
        <v>31</v>
      </c>
      <c r="G3987" s="1" t="s">
        <v>20</v>
      </c>
      <c r="H3987" t="s">
        <v>21</v>
      </c>
      <c r="I3987" s="1" t="s">
        <v>22</v>
      </c>
      <c r="J3987" s="2">
        <v>43536.567048611112</v>
      </c>
      <c r="K3987" s="2">
        <v>43543.567048611112</v>
      </c>
      <c r="L3987" s="2">
        <v>43542.567048611112</v>
      </c>
      <c r="M3987" s="1">
        <f>_xlfn.DAYS(Table1[[#This Row],[actual_delivery_date]],Table1[[#This Row],[dispatch_date]])</f>
        <v>7</v>
      </c>
      <c r="N3987">
        <v>45</v>
      </c>
      <c r="O3987">
        <f>Table1[[#This Row],[transit_storage_cost]] * (1-'What -if Analysis'!$D$26)</f>
        <v>45</v>
      </c>
      <c r="P3987">
        <v>123</v>
      </c>
      <c r="Q3987">
        <v>2959.0705107236795</v>
      </c>
    </row>
    <row r="3988" spans="1:17" x14ac:dyDescent="0.3">
      <c r="A3988">
        <v>393898</v>
      </c>
      <c r="B3988" s="1" t="s">
        <v>38</v>
      </c>
      <c r="C3988" s="1" t="s">
        <v>23</v>
      </c>
      <c r="D3988" s="1" t="s">
        <v>23</v>
      </c>
      <c r="E3988" s="1" t="s">
        <v>28</v>
      </c>
      <c r="F3988" s="1" t="s">
        <v>31</v>
      </c>
      <c r="G3988" s="1" t="s">
        <v>20</v>
      </c>
      <c r="H3988" t="s">
        <v>21</v>
      </c>
      <c r="I3988" s="1" t="s">
        <v>22</v>
      </c>
      <c r="J3988" s="2">
        <v>43538.56826388889</v>
      </c>
      <c r="K3988" s="2">
        <v>43543.56826388889</v>
      </c>
      <c r="L3988" s="2">
        <v>43543.56826388889</v>
      </c>
      <c r="M3988" s="1">
        <f>_xlfn.DAYS(Table1[[#This Row],[actual_delivery_date]],Table1[[#This Row],[dispatch_date]])</f>
        <v>5</v>
      </c>
      <c r="N3988">
        <v>0</v>
      </c>
      <c r="O3988">
        <f>Table1[[#This Row],[transit_storage_cost]] * (1-'What -if Analysis'!$D$26)</f>
        <v>0</v>
      </c>
      <c r="P3988">
        <v>121</v>
      </c>
      <c r="Q3988">
        <v>2446.758578789254</v>
      </c>
    </row>
    <row r="3989" spans="1:17" x14ac:dyDescent="0.3">
      <c r="A3989">
        <v>357309</v>
      </c>
      <c r="B3989" s="1" t="s">
        <v>40</v>
      </c>
      <c r="C3989" s="1" t="s">
        <v>16</v>
      </c>
      <c r="D3989" s="1" t="s">
        <v>16</v>
      </c>
      <c r="E3989" s="1" t="s">
        <v>27</v>
      </c>
      <c r="F3989" s="1" t="s">
        <v>29</v>
      </c>
      <c r="G3989" s="1" t="s">
        <v>20</v>
      </c>
      <c r="H3989" t="s">
        <v>30</v>
      </c>
      <c r="I3989" s="1" t="s">
        <v>26</v>
      </c>
      <c r="J3989" s="2">
        <v>43537.574247685188</v>
      </c>
      <c r="K3989" s="2">
        <v>43543.574247685188</v>
      </c>
      <c r="L3989" s="2">
        <v>43544.574247685188</v>
      </c>
      <c r="M3989" s="1">
        <f>_xlfn.DAYS(Table1[[#This Row],[actual_delivery_date]],Table1[[#This Row],[dispatch_date]])</f>
        <v>6</v>
      </c>
      <c r="N3989">
        <v>0</v>
      </c>
      <c r="O3989">
        <f>Table1[[#This Row],[transit_storage_cost]] * (1-'What -if Analysis'!$D$26)</f>
        <v>0</v>
      </c>
      <c r="P3989">
        <v>128</v>
      </c>
      <c r="Q3989">
        <v>1790.7723477556733</v>
      </c>
    </row>
    <row r="3990" spans="1:17" x14ac:dyDescent="0.3">
      <c r="A3990">
        <v>752663</v>
      </c>
      <c r="B3990" s="1" t="s">
        <v>15</v>
      </c>
      <c r="C3990" s="1" t="s">
        <v>23</v>
      </c>
      <c r="D3990" s="1" t="s">
        <v>17</v>
      </c>
      <c r="E3990" s="1" t="s">
        <v>18</v>
      </c>
      <c r="F3990" s="1" t="s">
        <v>29</v>
      </c>
      <c r="G3990" s="1" t="s">
        <v>20</v>
      </c>
      <c r="H3990" t="s">
        <v>30</v>
      </c>
      <c r="I3990" s="1" t="s">
        <v>22</v>
      </c>
      <c r="J3990" s="2">
        <v>43537.581597222219</v>
      </c>
      <c r="K3990" s="2">
        <v>43543.581597222219</v>
      </c>
      <c r="L3990" s="2">
        <v>43541.581597222219</v>
      </c>
      <c r="M3990" s="1">
        <f>_xlfn.DAYS(Table1[[#This Row],[actual_delivery_date]],Table1[[#This Row],[dispatch_date]])</f>
        <v>6</v>
      </c>
      <c r="N3990">
        <v>27</v>
      </c>
      <c r="O3990">
        <f>Table1[[#This Row],[transit_storage_cost]] * (1-'What -if Analysis'!$D$26)</f>
        <v>27</v>
      </c>
      <c r="P3990">
        <v>107</v>
      </c>
      <c r="Q3990">
        <v>392.88403772681369</v>
      </c>
    </row>
    <row r="3991" spans="1:17" x14ac:dyDescent="0.3">
      <c r="A3991">
        <v>344194</v>
      </c>
      <c r="B3991" s="1" t="s">
        <v>38</v>
      </c>
      <c r="C3991" s="1" t="s">
        <v>16</v>
      </c>
      <c r="D3991" s="1" t="s">
        <v>23</v>
      </c>
      <c r="E3991" s="1" t="s">
        <v>28</v>
      </c>
      <c r="F3991" s="1" t="s">
        <v>31</v>
      </c>
      <c r="G3991" s="1" t="s">
        <v>20</v>
      </c>
      <c r="H3991" t="s">
        <v>21</v>
      </c>
      <c r="I3991" s="1" t="s">
        <v>22</v>
      </c>
      <c r="J3991" s="2">
        <v>43533.582361111112</v>
      </c>
      <c r="K3991" s="2">
        <v>43543.582361111112</v>
      </c>
      <c r="L3991" s="2">
        <v>43540.582361111112</v>
      </c>
      <c r="M3991" s="1">
        <f>_xlfn.DAYS(Table1[[#This Row],[actual_delivery_date]],Table1[[#This Row],[dispatch_date]])</f>
        <v>10</v>
      </c>
      <c r="N3991">
        <v>29</v>
      </c>
      <c r="O3991">
        <f>Table1[[#This Row],[transit_storage_cost]] * (1-'What -if Analysis'!$D$26)</f>
        <v>29</v>
      </c>
      <c r="P3991">
        <v>128</v>
      </c>
      <c r="Q3991">
        <v>2306.3864319802615</v>
      </c>
    </row>
    <row r="3992" spans="1:17" x14ac:dyDescent="0.3">
      <c r="A3992">
        <v>166951</v>
      </c>
      <c r="B3992" s="1" t="s">
        <v>37</v>
      </c>
      <c r="C3992" s="1" t="s">
        <v>16</v>
      </c>
      <c r="D3992" s="1" t="s">
        <v>17</v>
      </c>
      <c r="E3992" s="1" t="s">
        <v>18</v>
      </c>
      <c r="F3992" s="1" t="s">
        <v>29</v>
      </c>
      <c r="G3992" s="1" t="s">
        <v>20</v>
      </c>
      <c r="H3992" t="s">
        <v>30</v>
      </c>
      <c r="I3992" s="1" t="s">
        <v>22</v>
      </c>
      <c r="J3992" s="2">
        <v>43535.588136574072</v>
      </c>
      <c r="K3992" s="2">
        <v>43543.588136574072</v>
      </c>
      <c r="L3992" s="2">
        <v>43541.588136574072</v>
      </c>
      <c r="M3992" s="1">
        <f>_xlfn.DAYS(Table1[[#This Row],[actual_delivery_date]],Table1[[#This Row],[dispatch_date]])</f>
        <v>8</v>
      </c>
      <c r="N3992">
        <v>47</v>
      </c>
      <c r="O3992">
        <f>Table1[[#This Row],[transit_storage_cost]] * (1-'What -if Analysis'!$D$26)</f>
        <v>47</v>
      </c>
      <c r="P3992">
        <v>112</v>
      </c>
      <c r="Q3992">
        <v>3532</v>
      </c>
    </row>
    <row r="3993" spans="1:17" x14ac:dyDescent="0.3">
      <c r="A3993">
        <v>676818</v>
      </c>
      <c r="B3993" s="1" t="s">
        <v>38</v>
      </c>
      <c r="C3993" s="1" t="s">
        <v>16</v>
      </c>
      <c r="D3993" s="1" t="s">
        <v>24</v>
      </c>
      <c r="E3993" s="1" t="s">
        <v>25</v>
      </c>
      <c r="F3993" s="1" t="s">
        <v>31</v>
      </c>
      <c r="G3993" s="1" t="s">
        <v>20</v>
      </c>
      <c r="H3993" t="s">
        <v>21</v>
      </c>
      <c r="I3993" s="1" t="s">
        <v>26</v>
      </c>
      <c r="J3993" s="2">
        <v>43538.588310185187</v>
      </c>
      <c r="K3993" s="2">
        <v>43543.588310185187</v>
      </c>
      <c r="L3993" s="2">
        <v>43544.588310185187</v>
      </c>
      <c r="M3993" s="1">
        <f>_xlfn.DAYS(Table1[[#This Row],[actual_delivery_date]],Table1[[#This Row],[dispatch_date]])</f>
        <v>5</v>
      </c>
      <c r="N3993">
        <v>38</v>
      </c>
      <c r="O3993">
        <f>Table1[[#This Row],[transit_storage_cost]] * (1-'What -if Analysis'!$D$26)</f>
        <v>38</v>
      </c>
      <c r="P3993">
        <v>123</v>
      </c>
      <c r="Q3993">
        <v>2086.9119549528064</v>
      </c>
    </row>
    <row r="3994" spans="1:17" x14ac:dyDescent="0.3">
      <c r="A3994">
        <v>753810</v>
      </c>
      <c r="B3994" s="1" t="s">
        <v>40</v>
      </c>
      <c r="C3994" s="1" t="s">
        <v>23</v>
      </c>
      <c r="D3994" s="1" t="s">
        <v>17</v>
      </c>
      <c r="E3994" s="1" t="s">
        <v>18</v>
      </c>
      <c r="F3994" s="1" t="s">
        <v>31</v>
      </c>
      <c r="G3994" s="1" t="s">
        <v>20</v>
      </c>
      <c r="H3994" t="s">
        <v>21</v>
      </c>
      <c r="I3994" s="1" t="s">
        <v>26</v>
      </c>
      <c r="J3994" s="2">
        <v>43538.592268518521</v>
      </c>
      <c r="K3994" s="2">
        <v>43543.592268518521</v>
      </c>
      <c r="L3994" s="2">
        <v>43544.592268518521</v>
      </c>
      <c r="M3994" s="1">
        <f>_xlfn.DAYS(Table1[[#This Row],[actual_delivery_date]],Table1[[#This Row],[dispatch_date]])</f>
        <v>5</v>
      </c>
      <c r="N3994">
        <v>28</v>
      </c>
      <c r="O3994">
        <f>Table1[[#This Row],[transit_storage_cost]] * (1-'What -if Analysis'!$D$26)</f>
        <v>28</v>
      </c>
      <c r="P3994">
        <v>114</v>
      </c>
      <c r="Q3994">
        <v>2835.8204544462237</v>
      </c>
    </row>
    <row r="3995" spans="1:17" x14ac:dyDescent="0.3">
      <c r="A3995">
        <v>692686</v>
      </c>
      <c r="B3995" s="1" t="s">
        <v>38</v>
      </c>
      <c r="C3995" s="1" t="s">
        <v>23</v>
      </c>
      <c r="D3995" s="1" t="s">
        <v>24</v>
      </c>
      <c r="E3995" s="1" t="s">
        <v>25</v>
      </c>
      <c r="F3995" s="1" t="s">
        <v>31</v>
      </c>
      <c r="G3995" s="1" t="s">
        <v>20</v>
      </c>
      <c r="H3995" t="s">
        <v>21</v>
      </c>
      <c r="I3995" s="1" t="s">
        <v>22</v>
      </c>
      <c r="J3995" s="2">
        <v>43538.604108796295</v>
      </c>
      <c r="K3995" s="2">
        <v>43543.604108796295</v>
      </c>
      <c r="L3995" s="2">
        <v>43541.604108796295</v>
      </c>
      <c r="M3995" s="1">
        <f>_xlfn.DAYS(Table1[[#This Row],[actual_delivery_date]],Table1[[#This Row],[dispatch_date]])</f>
        <v>5</v>
      </c>
      <c r="N3995">
        <v>36</v>
      </c>
      <c r="O3995">
        <f>Table1[[#This Row],[transit_storage_cost]] * (1-'What -if Analysis'!$D$26)</f>
        <v>36</v>
      </c>
      <c r="P3995">
        <v>122</v>
      </c>
      <c r="Q3995">
        <v>509.81102422629056</v>
      </c>
    </row>
    <row r="3996" spans="1:17" x14ac:dyDescent="0.3">
      <c r="A3996">
        <v>793238</v>
      </c>
      <c r="B3996" s="1" t="s">
        <v>37</v>
      </c>
      <c r="C3996" s="1" t="s">
        <v>16</v>
      </c>
      <c r="D3996" s="1" t="s">
        <v>17</v>
      </c>
      <c r="E3996" s="1" t="s">
        <v>18</v>
      </c>
      <c r="F3996" s="1" t="s">
        <v>31</v>
      </c>
      <c r="G3996" s="1" t="s">
        <v>20</v>
      </c>
      <c r="H3996" t="s">
        <v>21</v>
      </c>
      <c r="I3996" s="1" t="s">
        <v>22</v>
      </c>
      <c r="J3996" s="2">
        <v>43538.613564814812</v>
      </c>
      <c r="K3996" s="2">
        <v>43543.613564814812</v>
      </c>
      <c r="L3996" s="2">
        <v>43542.613564814812</v>
      </c>
      <c r="M3996" s="1">
        <f>_xlfn.DAYS(Table1[[#This Row],[actual_delivery_date]],Table1[[#This Row],[dispatch_date]])</f>
        <v>5</v>
      </c>
      <c r="N3996">
        <v>49</v>
      </c>
      <c r="O3996">
        <f>Table1[[#This Row],[transit_storage_cost]] * (1-'What -if Analysis'!$D$26)</f>
        <v>49</v>
      </c>
      <c r="P3996">
        <v>113</v>
      </c>
      <c r="Q3996">
        <v>3604.0786395137743</v>
      </c>
    </row>
    <row r="3997" spans="1:17" x14ac:dyDescent="0.3">
      <c r="A3997">
        <v>89560</v>
      </c>
      <c r="B3997" s="1" t="s">
        <v>38</v>
      </c>
      <c r="C3997" s="1" t="s">
        <v>16</v>
      </c>
      <c r="D3997" s="1" t="s">
        <v>32</v>
      </c>
      <c r="E3997" s="1" t="s">
        <v>33</v>
      </c>
      <c r="F3997" s="1" t="s">
        <v>19</v>
      </c>
      <c r="G3997" s="1" t="s">
        <v>20</v>
      </c>
      <c r="H3997" t="s">
        <v>21</v>
      </c>
      <c r="I3997" s="1" t="s">
        <v>22</v>
      </c>
      <c r="J3997" s="2">
        <v>43538.617685185185</v>
      </c>
      <c r="K3997" s="2">
        <v>43543.617685185185</v>
      </c>
      <c r="L3997" s="2">
        <v>43541.617685185185</v>
      </c>
      <c r="M3997" s="1">
        <f>_xlfn.DAYS(Table1[[#This Row],[actual_delivery_date]],Table1[[#This Row],[dispatch_date]])</f>
        <v>5</v>
      </c>
      <c r="N3997">
        <v>35</v>
      </c>
      <c r="O3997">
        <f>Table1[[#This Row],[transit_storage_cost]] * (1-'What -if Analysis'!$D$26)</f>
        <v>35</v>
      </c>
      <c r="P3997">
        <v>109</v>
      </c>
      <c r="Q3997">
        <v>1496.5427878324481</v>
      </c>
    </row>
    <row r="3998" spans="1:17" x14ac:dyDescent="0.3">
      <c r="A3998">
        <v>818965</v>
      </c>
      <c r="B3998" s="1" t="s">
        <v>38</v>
      </c>
      <c r="C3998" s="1" t="s">
        <v>23</v>
      </c>
      <c r="D3998" s="1" t="s">
        <v>32</v>
      </c>
      <c r="E3998" s="1" t="s">
        <v>33</v>
      </c>
      <c r="F3998" s="1" t="s">
        <v>19</v>
      </c>
      <c r="G3998" s="1" t="s">
        <v>20</v>
      </c>
      <c r="H3998" t="s">
        <v>34</v>
      </c>
      <c r="I3998" s="1" t="s">
        <v>22</v>
      </c>
      <c r="J3998" s="2">
        <v>43536.621435185189</v>
      </c>
      <c r="K3998" s="2">
        <v>43543.621435185189</v>
      </c>
      <c r="L3998" s="2">
        <v>43539.621435185189</v>
      </c>
      <c r="M3998" s="1">
        <f>_xlfn.DAYS(Table1[[#This Row],[actual_delivery_date]],Table1[[#This Row],[dispatch_date]])</f>
        <v>7</v>
      </c>
      <c r="N3998">
        <v>82</v>
      </c>
      <c r="O3998">
        <f>Table1[[#This Row],[transit_storage_cost]] * (1-'What -if Analysis'!$D$26)</f>
        <v>82</v>
      </c>
      <c r="P3998">
        <v>93</v>
      </c>
      <c r="Q3998">
        <v>1180.0779580146384</v>
      </c>
    </row>
    <row r="3999" spans="1:17" x14ac:dyDescent="0.3">
      <c r="A3999">
        <v>55564</v>
      </c>
      <c r="B3999" s="1" t="s">
        <v>41</v>
      </c>
      <c r="C3999" s="1" t="s">
        <v>16</v>
      </c>
      <c r="D3999" s="1" t="s">
        <v>32</v>
      </c>
      <c r="E3999" s="1" t="s">
        <v>33</v>
      </c>
      <c r="F3999" s="1" t="s">
        <v>19</v>
      </c>
      <c r="G3999" s="1" t="s">
        <v>20</v>
      </c>
      <c r="H3999" t="s">
        <v>21</v>
      </c>
      <c r="I3999" s="1" t="s">
        <v>22</v>
      </c>
      <c r="J3999" s="2">
        <v>43534.622488425928</v>
      </c>
      <c r="K3999" s="2">
        <v>43543.622488425928</v>
      </c>
      <c r="L3999" s="2">
        <v>43537.622488425928</v>
      </c>
      <c r="M3999" s="1">
        <f>_xlfn.DAYS(Table1[[#This Row],[actual_delivery_date]],Table1[[#This Row],[dispatch_date]])</f>
        <v>9</v>
      </c>
      <c r="N3999">
        <v>40</v>
      </c>
      <c r="O3999">
        <f>Table1[[#This Row],[transit_storage_cost]] * (1-'What -if Analysis'!$D$26)</f>
        <v>40</v>
      </c>
      <c r="P3999">
        <v>114</v>
      </c>
      <c r="Q3999">
        <v>1827.4902850841424</v>
      </c>
    </row>
    <row r="4000" spans="1:17" x14ac:dyDescent="0.3">
      <c r="A4000">
        <v>130928</v>
      </c>
      <c r="B4000" s="1" t="s">
        <v>39</v>
      </c>
      <c r="C4000" s="1" t="s">
        <v>23</v>
      </c>
      <c r="D4000" s="1" t="s">
        <v>23</v>
      </c>
      <c r="E4000" s="1" t="s">
        <v>28</v>
      </c>
      <c r="F4000" s="1" t="s">
        <v>19</v>
      </c>
      <c r="G4000" s="1" t="s">
        <v>20</v>
      </c>
      <c r="H4000" t="s">
        <v>21</v>
      </c>
      <c r="I4000" s="1" t="s">
        <v>22</v>
      </c>
      <c r="J4000" s="2">
        <v>43538.628506944442</v>
      </c>
      <c r="K4000" s="2">
        <v>43543.628506944442</v>
      </c>
      <c r="L4000" s="2">
        <v>43542.628506944442</v>
      </c>
      <c r="M4000" s="1">
        <f>_xlfn.DAYS(Table1[[#This Row],[actual_delivery_date]],Table1[[#This Row],[dispatch_date]])</f>
        <v>5</v>
      </c>
      <c r="N4000">
        <v>0</v>
      </c>
      <c r="O4000">
        <f>Table1[[#This Row],[transit_storage_cost]] * (1-'What -if Analysis'!$D$26)</f>
        <v>0</v>
      </c>
      <c r="P4000">
        <v>101</v>
      </c>
      <c r="Q4000">
        <v>815.56989839509572</v>
      </c>
    </row>
    <row r="4001" spans="1:17" x14ac:dyDescent="0.3">
      <c r="A4001">
        <v>246979</v>
      </c>
      <c r="B4001" s="1" t="s">
        <v>15</v>
      </c>
      <c r="C4001" s="1" t="s">
        <v>16</v>
      </c>
      <c r="D4001" s="1" t="s">
        <v>32</v>
      </c>
      <c r="E4001" s="1" t="s">
        <v>33</v>
      </c>
      <c r="F4001" s="1" t="s">
        <v>29</v>
      </c>
      <c r="G4001" s="1" t="s">
        <v>20</v>
      </c>
      <c r="H4001" t="s">
        <v>30</v>
      </c>
      <c r="I4001" s="1" t="s">
        <v>22</v>
      </c>
      <c r="J4001" s="2">
        <v>43536.650682870371</v>
      </c>
      <c r="K4001" s="2">
        <v>43543.650682870371</v>
      </c>
      <c r="L4001" s="2">
        <v>43542.650682870371</v>
      </c>
      <c r="M4001" s="1">
        <f>_xlfn.DAYS(Table1[[#This Row],[actual_delivery_date]],Table1[[#This Row],[dispatch_date]])</f>
        <v>7</v>
      </c>
      <c r="N4001">
        <v>43</v>
      </c>
      <c r="O4001">
        <f>Table1[[#This Row],[transit_storage_cost]] * (1-'What -if Analysis'!$D$26)</f>
        <v>43</v>
      </c>
      <c r="P4001">
        <v>111</v>
      </c>
      <c r="Q4001">
        <v>3437.4169841267531</v>
      </c>
    </row>
    <row r="4002" spans="1:17" x14ac:dyDescent="0.3">
      <c r="A4002">
        <v>29264</v>
      </c>
      <c r="B4002" s="1" t="s">
        <v>40</v>
      </c>
      <c r="C4002" s="1" t="s">
        <v>16</v>
      </c>
      <c r="D4002" s="1" t="s">
        <v>23</v>
      </c>
      <c r="E4002" s="1" t="s">
        <v>28</v>
      </c>
      <c r="F4002" s="1" t="s">
        <v>19</v>
      </c>
      <c r="G4002" s="1" t="s">
        <v>20</v>
      </c>
      <c r="H4002" t="s">
        <v>21</v>
      </c>
      <c r="I4002" s="1" t="s">
        <v>22</v>
      </c>
      <c r="J4002" s="2">
        <v>43538.653287037036</v>
      </c>
      <c r="K4002" s="2">
        <v>43543.653287037036</v>
      </c>
      <c r="L4002" s="2">
        <v>43544.653287037036</v>
      </c>
      <c r="M4002" s="1">
        <f>_xlfn.DAYS(Table1[[#This Row],[actual_delivery_date]],Table1[[#This Row],[dispatch_date]])</f>
        <v>5</v>
      </c>
      <c r="N4002">
        <v>26</v>
      </c>
      <c r="O4002">
        <f>Table1[[#This Row],[transit_storage_cost]] * (1-'What -if Analysis'!$D$26)</f>
        <v>26</v>
      </c>
      <c r="P4002">
        <v>125</v>
      </c>
      <c r="Q4002">
        <v>1498.8666711719293</v>
      </c>
    </row>
    <row r="4003" spans="1:17" x14ac:dyDescent="0.3">
      <c r="A4003">
        <v>375158</v>
      </c>
      <c r="B4003" s="1" t="s">
        <v>15</v>
      </c>
      <c r="C4003" s="1" t="s">
        <v>23</v>
      </c>
      <c r="D4003" s="1" t="s">
        <v>17</v>
      </c>
      <c r="E4003" s="1" t="s">
        <v>18</v>
      </c>
      <c r="F4003" s="1" t="s">
        <v>31</v>
      </c>
      <c r="G4003" s="1" t="s">
        <v>20</v>
      </c>
      <c r="H4003" t="s">
        <v>21</v>
      </c>
      <c r="I4003" s="1" t="s">
        <v>22</v>
      </c>
      <c r="J4003" s="2">
        <v>43538.659907407404</v>
      </c>
      <c r="K4003" s="2">
        <v>43543.659907407404</v>
      </c>
      <c r="L4003" s="2">
        <v>43545.659907407404</v>
      </c>
      <c r="M4003" s="1">
        <f>_xlfn.DAYS(Table1[[#This Row],[actual_delivery_date]],Table1[[#This Row],[dispatch_date]])</f>
        <v>5</v>
      </c>
      <c r="N4003">
        <v>48</v>
      </c>
      <c r="O4003">
        <f>Table1[[#This Row],[transit_storage_cost]] * (1-'What -if Analysis'!$D$26)</f>
        <v>48</v>
      </c>
      <c r="P4003">
        <v>113</v>
      </c>
      <c r="Q4003">
        <v>2396.0968076042454</v>
      </c>
    </row>
    <row r="4004" spans="1:17" x14ac:dyDescent="0.3">
      <c r="A4004">
        <v>905811</v>
      </c>
      <c r="B4004" s="1" t="s">
        <v>41</v>
      </c>
      <c r="C4004" s="1" t="s">
        <v>23</v>
      </c>
      <c r="D4004" s="1" t="s">
        <v>17</v>
      </c>
      <c r="E4004" s="1" t="s">
        <v>18</v>
      </c>
      <c r="F4004" s="1" t="s">
        <v>29</v>
      </c>
      <c r="G4004" s="1" t="s">
        <v>20</v>
      </c>
      <c r="H4004" t="s">
        <v>30</v>
      </c>
      <c r="I4004" s="1" t="s">
        <v>26</v>
      </c>
      <c r="J4004" s="2">
        <v>43537.660555555558</v>
      </c>
      <c r="K4004" s="2">
        <v>43543.660555555558</v>
      </c>
      <c r="L4004" s="2">
        <v>43544.660555555558</v>
      </c>
      <c r="M4004" s="1">
        <f>_xlfn.DAYS(Table1[[#This Row],[actual_delivery_date]],Table1[[#This Row],[dispatch_date]])</f>
        <v>6</v>
      </c>
      <c r="N4004">
        <v>37</v>
      </c>
      <c r="O4004">
        <f>Table1[[#This Row],[transit_storage_cost]] * (1-'What -if Analysis'!$D$26)</f>
        <v>37</v>
      </c>
      <c r="P4004">
        <v>113</v>
      </c>
      <c r="Q4004">
        <v>3143</v>
      </c>
    </row>
    <row r="4005" spans="1:17" x14ac:dyDescent="0.3">
      <c r="A4005">
        <v>57928</v>
      </c>
      <c r="B4005" s="1" t="s">
        <v>37</v>
      </c>
      <c r="C4005" s="1" t="s">
        <v>16</v>
      </c>
      <c r="D4005" s="1" t="s">
        <v>24</v>
      </c>
      <c r="E4005" s="1" t="s">
        <v>25</v>
      </c>
      <c r="F4005" s="1" t="s">
        <v>19</v>
      </c>
      <c r="G4005" s="1" t="s">
        <v>20</v>
      </c>
      <c r="H4005" t="s">
        <v>21</v>
      </c>
      <c r="I4005" s="1" t="s">
        <v>22</v>
      </c>
      <c r="J4005" s="2">
        <v>43535.662326388891</v>
      </c>
      <c r="K4005" s="2">
        <v>43543.662326388891</v>
      </c>
      <c r="L4005" s="2">
        <v>43540.662326388891</v>
      </c>
      <c r="M4005" s="1">
        <f>_xlfn.DAYS(Table1[[#This Row],[actual_delivery_date]],Table1[[#This Row],[dispatch_date]])</f>
        <v>8</v>
      </c>
      <c r="N4005">
        <v>33</v>
      </c>
      <c r="O4005">
        <f>Table1[[#This Row],[transit_storage_cost]] * (1-'What -if Analysis'!$D$26)</f>
        <v>33</v>
      </c>
      <c r="P4005">
        <v>121</v>
      </c>
      <c r="Q4005">
        <v>3061</v>
      </c>
    </row>
    <row r="4006" spans="1:17" x14ac:dyDescent="0.3">
      <c r="A4006">
        <v>652681</v>
      </c>
      <c r="B4006" s="1" t="s">
        <v>38</v>
      </c>
      <c r="C4006" s="1" t="s">
        <v>16</v>
      </c>
      <c r="D4006" s="1" t="s">
        <v>24</v>
      </c>
      <c r="E4006" s="1" t="s">
        <v>25</v>
      </c>
      <c r="F4006" s="1" t="s">
        <v>29</v>
      </c>
      <c r="G4006" s="1" t="s">
        <v>20</v>
      </c>
      <c r="H4006" t="s">
        <v>30</v>
      </c>
      <c r="I4006" s="1" t="s">
        <v>22</v>
      </c>
      <c r="J4006" s="2">
        <v>43538.662395833337</v>
      </c>
      <c r="K4006" s="2">
        <v>43543.662395833337</v>
      </c>
      <c r="L4006" s="2">
        <v>43545.662395833337</v>
      </c>
      <c r="M4006" s="1">
        <f>_xlfn.DAYS(Table1[[#This Row],[actual_delivery_date]],Table1[[#This Row],[dispatch_date]])</f>
        <v>5</v>
      </c>
      <c r="N4006">
        <v>37</v>
      </c>
      <c r="O4006">
        <f>Table1[[#This Row],[transit_storage_cost]] * (1-'What -if Analysis'!$D$26)</f>
        <v>37</v>
      </c>
      <c r="P4006">
        <v>123</v>
      </c>
      <c r="Q4006">
        <v>1268</v>
      </c>
    </row>
    <row r="4007" spans="1:17" x14ac:dyDescent="0.3">
      <c r="A4007">
        <v>289191</v>
      </c>
      <c r="B4007" s="1" t="s">
        <v>39</v>
      </c>
      <c r="C4007" s="1" t="s">
        <v>16</v>
      </c>
      <c r="D4007" s="1" t="s">
        <v>23</v>
      </c>
      <c r="E4007" s="1" t="s">
        <v>28</v>
      </c>
      <c r="F4007" s="1" t="s">
        <v>19</v>
      </c>
      <c r="G4007" s="1" t="s">
        <v>20</v>
      </c>
      <c r="H4007" t="s">
        <v>34</v>
      </c>
      <c r="I4007" s="1" t="s">
        <v>26</v>
      </c>
      <c r="J4007" s="2">
        <v>43537.675659722219</v>
      </c>
      <c r="K4007" s="2">
        <v>43543.675659722219</v>
      </c>
      <c r="L4007" s="2">
        <v>43541.675659722219</v>
      </c>
      <c r="M4007" s="1">
        <f>_xlfn.DAYS(Table1[[#This Row],[actual_delivery_date]],Table1[[#This Row],[dispatch_date]])</f>
        <v>6</v>
      </c>
      <c r="N4007">
        <v>73</v>
      </c>
      <c r="O4007">
        <f>Table1[[#This Row],[transit_storage_cost]] * (1-'What -if Analysis'!$D$26)</f>
        <v>73</v>
      </c>
      <c r="P4007">
        <v>109</v>
      </c>
      <c r="Q4007">
        <v>991.96489122253467</v>
      </c>
    </row>
    <row r="4008" spans="1:17" x14ac:dyDescent="0.3">
      <c r="A4008">
        <v>277417</v>
      </c>
      <c r="B4008" s="1" t="s">
        <v>15</v>
      </c>
      <c r="C4008" s="1" t="s">
        <v>23</v>
      </c>
      <c r="D4008" s="1" t="s">
        <v>16</v>
      </c>
      <c r="E4008" s="1" t="s">
        <v>27</v>
      </c>
      <c r="F4008" s="1" t="s">
        <v>29</v>
      </c>
      <c r="G4008" s="1" t="s">
        <v>20</v>
      </c>
      <c r="H4008" t="s">
        <v>34</v>
      </c>
      <c r="I4008" s="1" t="s">
        <v>22</v>
      </c>
      <c r="J4008" s="2">
        <v>43535.678263888891</v>
      </c>
      <c r="K4008" s="2">
        <v>43543.678263888891</v>
      </c>
      <c r="L4008" s="2">
        <v>43541.678263888891</v>
      </c>
      <c r="M4008" s="1">
        <f>_xlfn.DAYS(Table1[[#This Row],[actual_delivery_date]],Table1[[#This Row],[dispatch_date]])</f>
        <v>8</v>
      </c>
      <c r="N4008">
        <v>41</v>
      </c>
      <c r="O4008">
        <f>Table1[[#This Row],[transit_storage_cost]] * (1-'What -if Analysis'!$D$26)</f>
        <v>41</v>
      </c>
      <c r="P4008">
        <v>127</v>
      </c>
      <c r="Q4008">
        <v>615.42042232827271</v>
      </c>
    </row>
    <row r="4009" spans="1:17" x14ac:dyDescent="0.3">
      <c r="A4009">
        <v>427447</v>
      </c>
      <c r="B4009" s="1" t="s">
        <v>37</v>
      </c>
      <c r="C4009" s="1" t="s">
        <v>23</v>
      </c>
      <c r="D4009" s="1" t="s">
        <v>23</v>
      </c>
      <c r="E4009" s="1" t="s">
        <v>28</v>
      </c>
      <c r="F4009" s="1" t="s">
        <v>29</v>
      </c>
      <c r="G4009" s="1" t="s">
        <v>20</v>
      </c>
      <c r="H4009" t="s">
        <v>30</v>
      </c>
      <c r="I4009" s="1" t="s">
        <v>22</v>
      </c>
      <c r="J4009" s="2">
        <v>43538.681388888886</v>
      </c>
      <c r="K4009" s="2">
        <v>43543.681388888886</v>
      </c>
      <c r="L4009" s="2">
        <v>43545.681388888886</v>
      </c>
      <c r="M4009" s="1">
        <f>_xlfn.DAYS(Table1[[#This Row],[actual_delivery_date]],Table1[[#This Row],[dispatch_date]])</f>
        <v>5</v>
      </c>
      <c r="N4009">
        <v>0</v>
      </c>
      <c r="O4009">
        <f>Table1[[#This Row],[transit_storage_cost]] * (1-'What -if Analysis'!$D$26)</f>
        <v>0</v>
      </c>
      <c r="P4009">
        <v>127</v>
      </c>
      <c r="Q4009">
        <v>313.82090790600273</v>
      </c>
    </row>
    <row r="4010" spans="1:17" x14ac:dyDescent="0.3">
      <c r="A4010">
        <v>159914</v>
      </c>
      <c r="B4010" s="1" t="s">
        <v>39</v>
      </c>
      <c r="C4010" s="1" t="s">
        <v>16</v>
      </c>
      <c r="D4010" s="1" t="s">
        <v>23</v>
      </c>
      <c r="E4010" s="1" t="s">
        <v>28</v>
      </c>
      <c r="F4010" s="1" t="s">
        <v>31</v>
      </c>
      <c r="G4010" s="1" t="s">
        <v>20</v>
      </c>
      <c r="H4010" t="s">
        <v>21</v>
      </c>
      <c r="I4010" s="1" t="s">
        <v>22</v>
      </c>
      <c r="J4010" s="2">
        <v>43536.685925925929</v>
      </c>
      <c r="K4010" s="2">
        <v>43543.685925925929</v>
      </c>
      <c r="L4010" s="2">
        <v>43540.685925925929</v>
      </c>
      <c r="M4010" s="1">
        <f>_xlfn.DAYS(Table1[[#This Row],[actual_delivery_date]],Table1[[#This Row],[dispatch_date]])</f>
        <v>7</v>
      </c>
      <c r="N4010">
        <v>29</v>
      </c>
      <c r="O4010">
        <f>Table1[[#This Row],[transit_storage_cost]] * (1-'What -if Analysis'!$D$26)</f>
        <v>29</v>
      </c>
      <c r="P4010">
        <v>126</v>
      </c>
      <c r="Q4010">
        <v>1104.4202420304605</v>
      </c>
    </row>
    <row r="4011" spans="1:17" x14ac:dyDescent="0.3">
      <c r="A4011">
        <v>810701</v>
      </c>
      <c r="B4011" s="1" t="s">
        <v>37</v>
      </c>
      <c r="C4011" s="1" t="s">
        <v>16</v>
      </c>
      <c r="D4011" s="1" t="s">
        <v>16</v>
      </c>
      <c r="E4011" s="1" t="s">
        <v>27</v>
      </c>
      <c r="F4011" s="1" t="s">
        <v>29</v>
      </c>
      <c r="G4011" s="1" t="s">
        <v>20</v>
      </c>
      <c r="H4011" t="s">
        <v>30</v>
      </c>
      <c r="I4011" s="1" t="s">
        <v>22</v>
      </c>
      <c r="J4011" s="2">
        <v>43536.705335648148</v>
      </c>
      <c r="K4011" s="2">
        <v>43543.705335648148</v>
      </c>
      <c r="L4011" s="2">
        <v>43539.705335648148</v>
      </c>
      <c r="M4011" s="1">
        <f>_xlfn.DAYS(Table1[[#This Row],[actual_delivery_date]],Table1[[#This Row],[dispatch_date]])</f>
        <v>7</v>
      </c>
      <c r="N4011">
        <v>0</v>
      </c>
      <c r="O4011">
        <f>Table1[[#This Row],[transit_storage_cost]] * (1-'What -if Analysis'!$D$26)</f>
        <v>0</v>
      </c>
      <c r="P4011">
        <v>129</v>
      </c>
      <c r="Q4011">
        <v>767.33564928548037</v>
      </c>
    </row>
    <row r="4012" spans="1:17" x14ac:dyDescent="0.3">
      <c r="A4012">
        <v>60636</v>
      </c>
      <c r="B4012" s="1" t="s">
        <v>37</v>
      </c>
      <c r="C4012" s="1" t="s">
        <v>23</v>
      </c>
      <c r="D4012" s="1" t="s">
        <v>24</v>
      </c>
      <c r="E4012" s="1" t="s">
        <v>25</v>
      </c>
      <c r="F4012" s="1" t="s">
        <v>19</v>
      </c>
      <c r="G4012" s="1" t="s">
        <v>20</v>
      </c>
      <c r="H4012" t="s">
        <v>21</v>
      </c>
      <c r="I4012" s="1" t="s">
        <v>26</v>
      </c>
      <c r="J4012" s="2">
        <v>43535.705370370371</v>
      </c>
      <c r="K4012" s="2">
        <v>43543.705370370371</v>
      </c>
      <c r="L4012" s="2">
        <v>43540.705370370371</v>
      </c>
      <c r="M4012" s="1">
        <f>_xlfn.DAYS(Table1[[#This Row],[actual_delivery_date]],Table1[[#This Row],[dispatch_date]])</f>
        <v>8</v>
      </c>
      <c r="N4012">
        <v>47</v>
      </c>
      <c r="O4012">
        <f>Table1[[#This Row],[transit_storage_cost]] * (1-'What -if Analysis'!$D$26)</f>
        <v>47</v>
      </c>
      <c r="P4012">
        <v>127</v>
      </c>
      <c r="Q4012">
        <v>3498.6541487581435</v>
      </c>
    </row>
    <row r="4013" spans="1:17" x14ac:dyDescent="0.3">
      <c r="A4013">
        <v>27669</v>
      </c>
      <c r="B4013" s="1" t="s">
        <v>38</v>
      </c>
      <c r="C4013" s="1" t="s">
        <v>23</v>
      </c>
      <c r="D4013" s="1" t="s">
        <v>17</v>
      </c>
      <c r="E4013" s="1" t="s">
        <v>18</v>
      </c>
      <c r="F4013" s="1" t="s">
        <v>29</v>
      </c>
      <c r="G4013" s="1" t="s">
        <v>20</v>
      </c>
      <c r="H4013" t="s">
        <v>30</v>
      </c>
      <c r="I4013" s="1" t="s">
        <v>26</v>
      </c>
      <c r="J4013" s="2">
        <v>43535.706666666665</v>
      </c>
      <c r="K4013" s="2">
        <v>43543.706666666665</v>
      </c>
      <c r="L4013" s="2">
        <v>43541.706666666665</v>
      </c>
      <c r="M4013" s="1">
        <f>_xlfn.DAYS(Table1[[#This Row],[actual_delivery_date]],Table1[[#This Row],[dispatch_date]])</f>
        <v>8</v>
      </c>
      <c r="N4013">
        <v>49</v>
      </c>
      <c r="O4013">
        <f>Table1[[#This Row],[transit_storage_cost]] * (1-'What -if Analysis'!$D$26)</f>
        <v>49</v>
      </c>
      <c r="P4013">
        <v>106</v>
      </c>
      <c r="Q4013">
        <v>3161.0873330676691</v>
      </c>
    </row>
    <row r="4014" spans="1:17" x14ac:dyDescent="0.3">
      <c r="A4014">
        <v>7139</v>
      </c>
      <c r="B4014" s="1" t="s">
        <v>38</v>
      </c>
      <c r="C4014" s="1" t="s">
        <v>23</v>
      </c>
      <c r="D4014" s="1" t="s">
        <v>16</v>
      </c>
      <c r="E4014" s="1" t="s">
        <v>27</v>
      </c>
      <c r="F4014" s="1" t="s">
        <v>29</v>
      </c>
      <c r="G4014" s="1" t="s">
        <v>20</v>
      </c>
      <c r="H4014" t="s">
        <v>30</v>
      </c>
      <c r="I4014" s="1" t="s">
        <v>22</v>
      </c>
      <c r="J4014" s="2">
        <v>43538.70722222222</v>
      </c>
      <c r="K4014" s="2">
        <v>43543.70722222222</v>
      </c>
      <c r="L4014" s="2">
        <v>43542.70722222222</v>
      </c>
      <c r="M4014" s="1">
        <f>_xlfn.DAYS(Table1[[#This Row],[actual_delivery_date]],Table1[[#This Row],[dispatch_date]])</f>
        <v>5</v>
      </c>
      <c r="N4014">
        <v>35</v>
      </c>
      <c r="O4014">
        <f>Table1[[#This Row],[transit_storage_cost]] * (1-'What -if Analysis'!$D$26)</f>
        <v>35</v>
      </c>
      <c r="P4014">
        <v>125</v>
      </c>
      <c r="Q4014">
        <v>435.38780948002915</v>
      </c>
    </row>
    <row r="4015" spans="1:17" x14ac:dyDescent="0.3">
      <c r="A4015">
        <v>847200</v>
      </c>
      <c r="B4015" s="1" t="s">
        <v>39</v>
      </c>
      <c r="C4015" s="1" t="s">
        <v>16</v>
      </c>
      <c r="D4015" s="1" t="s">
        <v>24</v>
      </c>
      <c r="E4015" s="1" t="s">
        <v>25</v>
      </c>
      <c r="F4015" s="1" t="s">
        <v>19</v>
      </c>
      <c r="G4015" s="1" t="s">
        <v>20</v>
      </c>
      <c r="H4015" t="s">
        <v>21</v>
      </c>
      <c r="I4015" s="1" t="s">
        <v>26</v>
      </c>
      <c r="J4015" s="2">
        <v>43538.712256944447</v>
      </c>
      <c r="K4015" s="2">
        <v>43543.712256944447</v>
      </c>
      <c r="L4015" s="2">
        <v>43542.712256944447</v>
      </c>
      <c r="M4015" s="1">
        <f>_xlfn.DAYS(Table1[[#This Row],[actual_delivery_date]],Table1[[#This Row],[dispatch_date]])</f>
        <v>5</v>
      </c>
      <c r="N4015">
        <v>43</v>
      </c>
      <c r="O4015">
        <f>Table1[[#This Row],[transit_storage_cost]] * (1-'What -if Analysis'!$D$26)</f>
        <v>43</v>
      </c>
      <c r="P4015">
        <v>123</v>
      </c>
      <c r="Q4015">
        <v>455.55961791918594</v>
      </c>
    </row>
    <row r="4016" spans="1:17" x14ac:dyDescent="0.3">
      <c r="A4016">
        <v>309094</v>
      </c>
      <c r="B4016" s="1" t="s">
        <v>37</v>
      </c>
      <c r="C4016" s="1" t="s">
        <v>16</v>
      </c>
      <c r="D4016" s="1" t="s">
        <v>32</v>
      </c>
      <c r="E4016" s="1" t="s">
        <v>33</v>
      </c>
      <c r="F4016" s="1" t="s">
        <v>31</v>
      </c>
      <c r="G4016" s="1" t="s">
        <v>20</v>
      </c>
      <c r="H4016" t="s">
        <v>21</v>
      </c>
      <c r="I4016" s="1" t="s">
        <v>22</v>
      </c>
      <c r="J4016" s="2">
        <v>43537.712395833332</v>
      </c>
      <c r="K4016" s="2">
        <v>43543.712395833332</v>
      </c>
      <c r="L4016" s="2">
        <v>43541.712395833332</v>
      </c>
      <c r="M4016" s="1">
        <f>_xlfn.DAYS(Table1[[#This Row],[actual_delivery_date]],Table1[[#This Row],[dispatch_date]])</f>
        <v>6</v>
      </c>
      <c r="N4016">
        <v>44</v>
      </c>
      <c r="O4016">
        <f>Table1[[#This Row],[transit_storage_cost]] * (1-'What -if Analysis'!$D$26)</f>
        <v>44</v>
      </c>
      <c r="P4016">
        <v>114</v>
      </c>
      <c r="Q4016">
        <v>308.42167536845835</v>
      </c>
    </row>
    <row r="4017" spans="1:17" x14ac:dyDescent="0.3">
      <c r="A4017">
        <v>140731</v>
      </c>
      <c r="B4017" s="1" t="s">
        <v>41</v>
      </c>
      <c r="C4017" s="1" t="s">
        <v>16</v>
      </c>
      <c r="D4017" s="1" t="s">
        <v>17</v>
      </c>
      <c r="E4017" s="1" t="s">
        <v>18</v>
      </c>
      <c r="F4017" s="1" t="s">
        <v>19</v>
      </c>
      <c r="G4017" s="1" t="s">
        <v>20</v>
      </c>
      <c r="H4017" t="s">
        <v>30</v>
      </c>
      <c r="I4017" s="1" t="s">
        <v>22</v>
      </c>
      <c r="J4017" s="2">
        <v>43537.716851851852</v>
      </c>
      <c r="K4017" s="2">
        <v>43543.716851851852</v>
      </c>
      <c r="L4017" s="2">
        <v>43540.716851851852</v>
      </c>
      <c r="M4017" s="1">
        <f>_xlfn.DAYS(Table1[[#This Row],[actual_delivery_date]],Table1[[#This Row],[dispatch_date]])</f>
        <v>6</v>
      </c>
      <c r="N4017">
        <v>82</v>
      </c>
      <c r="O4017">
        <f>Table1[[#This Row],[transit_storage_cost]] * (1-'What -if Analysis'!$D$26)</f>
        <v>82</v>
      </c>
      <c r="P4017">
        <v>93</v>
      </c>
      <c r="Q4017">
        <v>2850</v>
      </c>
    </row>
    <row r="4018" spans="1:17" x14ac:dyDescent="0.3">
      <c r="A4018">
        <v>411933</v>
      </c>
      <c r="B4018" s="1" t="s">
        <v>39</v>
      </c>
      <c r="C4018" s="1" t="s">
        <v>16</v>
      </c>
      <c r="D4018" s="1" t="s">
        <v>17</v>
      </c>
      <c r="E4018" s="1" t="s">
        <v>18</v>
      </c>
      <c r="F4018" s="1" t="s">
        <v>29</v>
      </c>
      <c r="G4018" s="1" t="s">
        <v>20</v>
      </c>
      <c r="H4018" t="s">
        <v>30</v>
      </c>
      <c r="I4018" s="1" t="s">
        <v>26</v>
      </c>
      <c r="J4018" s="2">
        <v>43536.744583333333</v>
      </c>
      <c r="K4018" s="2">
        <v>43543.744583333333</v>
      </c>
      <c r="L4018" s="2">
        <v>43542.744583333333</v>
      </c>
      <c r="M4018" s="1">
        <f>_xlfn.DAYS(Table1[[#This Row],[actual_delivery_date]],Table1[[#This Row],[dispatch_date]])</f>
        <v>7</v>
      </c>
      <c r="N4018">
        <v>40</v>
      </c>
      <c r="O4018">
        <f>Table1[[#This Row],[transit_storage_cost]] * (1-'What -if Analysis'!$D$26)</f>
        <v>40</v>
      </c>
      <c r="P4018">
        <v>111</v>
      </c>
      <c r="Q4018">
        <v>3736.5561749814942</v>
      </c>
    </row>
    <row r="4019" spans="1:17" x14ac:dyDescent="0.3">
      <c r="A4019">
        <v>748627</v>
      </c>
      <c r="B4019" s="1" t="s">
        <v>38</v>
      </c>
      <c r="C4019" s="1" t="s">
        <v>16</v>
      </c>
      <c r="D4019" s="1" t="s">
        <v>17</v>
      </c>
      <c r="E4019" s="1" t="s">
        <v>18</v>
      </c>
      <c r="F4019" s="1" t="s">
        <v>29</v>
      </c>
      <c r="G4019" s="1" t="s">
        <v>20</v>
      </c>
      <c r="H4019" t="s">
        <v>30</v>
      </c>
      <c r="I4019" s="1" t="s">
        <v>22</v>
      </c>
      <c r="J4019" s="2">
        <v>43535.751307870371</v>
      </c>
      <c r="K4019" s="2">
        <v>43543.751307870371</v>
      </c>
      <c r="L4019" s="2">
        <v>43538.751307870371</v>
      </c>
      <c r="M4019" s="1">
        <f>_xlfn.DAYS(Table1[[#This Row],[actual_delivery_date]],Table1[[#This Row],[dispatch_date]])</f>
        <v>8</v>
      </c>
      <c r="N4019">
        <v>26</v>
      </c>
      <c r="O4019">
        <f>Table1[[#This Row],[transit_storage_cost]] * (1-'What -if Analysis'!$D$26)</f>
        <v>26</v>
      </c>
      <c r="P4019">
        <v>115</v>
      </c>
      <c r="Q4019">
        <v>2173.2621898806342</v>
      </c>
    </row>
    <row r="4020" spans="1:17" x14ac:dyDescent="0.3">
      <c r="A4020">
        <v>249981</v>
      </c>
      <c r="B4020" s="1" t="s">
        <v>37</v>
      </c>
      <c r="C4020" s="1" t="s">
        <v>23</v>
      </c>
      <c r="D4020" s="1" t="s">
        <v>17</v>
      </c>
      <c r="E4020" s="1" t="s">
        <v>18</v>
      </c>
      <c r="F4020" s="1" t="s">
        <v>29</v>
      </c>
      <c r="G4020" s="1" t="s">
        <v>20</v>
      </c>
      <c r="H4020" t="s">
        <v>30</v>
      </c>
      <c r="I4020" s="1" t="s">
        <v>26</v>
      </c>
      <c r="J4020" s="2">
        <v>43538.756736111114</v>
      </c>
      <c r="K4020" s="2">
        <v>43543.756736111114</v>
      </c>
      <c r="L4020" s="2">
        <v>43543.756736111114</v>
      </c>
      <c r="M4020" s="1">
        <f>_xlfn.DAYS(Table1[[#This Row],[actual_delivery_date]],Table1[[#This Row],[dispatch_date]])</f>
        <v>5</v>
      </c>
      <c r="N4020">
        <v>44</v>
      </c>
      <c r="O4020">
        <f>Table1[[#This Row],[transit_storage_cost]] * (1-'What -if Analysis'!$D$26)</f>
        <v>44</v>
      </c>
      <c r="P4020">
        <v>111</v>
      </c>
      <c r="Q4020">
        <v>2068</v>
      </c>
    </row>
    <row r="4021" spans="1:17" x14ac:dyDescent="0.3">
      <c r="A4021">
        <v>362754</v>
      </c>
      <c r="B4021" s="1" t="s">
        <v>38</v>
      </c>
      <c r="C4021" s="1" t="s">
        <v>16</v>
      </c>
      <c r="D4021" s="1" t="s">
        <v>23</v>
      </c>
      <c r="E4021" s="1" t="s">
        <v>28</v>
      </c>
      <c r="F4021" s="1" t="s">
        <v>31</v>
      </c>
      <c r="G4021" s="1" t="s">
        <v>20</v>
      </c>
      <c r="H4021" t="s">
        <v>21</v>
      </c>
      <c r="I4021" s="1" t="s">
        <v>26</v>
      </c>
      <c r="J4021" s="2">
        <v>43533.771701388891</v>
      </c>
      <c r="K4021" s="2">
        <v>43543.771701388891</v>
      </c>
      <c r="L4021" s="2">
        <v>43536.771701388891</v>
      </c>
      <c r="M4021" s="1">
        <f>_xlfn.DAYS(Table1[[#This Row],[actual_delivery_date]],Table1[[#This Row],[dispatch_date]])</f>
        <v>10</v>
      </c>
      <c r="N4021">
        <v>30</v>
      </c>
      <c r="O4021">
        <f>Table1[[#This Row],[transit_storage_cost]] * (1-'What -if Analysis'!$D$26)</f>
        <v>30</v>
      </c>
      <c r="P4021">
        <v>121</v>
      </c>
      <c r="Q4021">
        <v>2294</v>
      </c>
    </row>
    <row r="4022" spans="1:17" x14ac:dyDescent="0.3">
      <c r="A4022">
        <v>698991</v>
      </c>
      <c r="B4022" s="1" t="s">
        <v>38</v>
      </c>
      <c r="C4022" s="1" t="s">
        <v>16</v>
      </c>
      <c r="D4022" s="1" t="s">
        <v>17</v>
      </c>
      <c r="E4022" s="1" t="s">
        <v>18</v>
      </c>
      <c r="F4022" s="1" t="s">
        <v>29</v>
      </c>
      <c r="G4022" s="1" t="s">
        <v>20</v>
      </c>
      <c r="H4022" t="s">
        <v>30</v>
      </c>
      <c r="I4022" s="1" t="s">
        <v>26</v>
      </c>
      <c r="J4022" s="2">
        <v>43535.772175925929</v>
      </c>
      <c r="K4022" s="2">
        <v>43543.772175925929</v>
      </c>
      <c r="L4022" s="2">
        <v>43541.772175925929</v>
      </c>
      <c r="M4022" s="1">
        <f>_xlfn.DAYS(Table1[[#This Row],[actual_delivery_date]],Table1[[#This Row],[dispatch_date]])</f>
        <v>8</v>
      </c>
      <c r="N4022">
        <v>42</v>
      </c>
      <c r="O4022">
        <f>Table1[[#This Row],[transit_storage_cost]] * (1-'What -if Analysis'!$D$26)</f>
        <v>42</v>
      </c>
      <c r="P4022">
        <v>111</v>
      </c>
      <c r="Q4022">
        <v>909.39805707271421</v>
      </c>
    </row>
    <row r="4023" spans="1:17" x14ac:dyDescent="0.3">
      <c r="A4023">
        <v>509355</v>
      </c>
      <c r="B4023" s="1" t="s">
        <v>37</v>
      </c>
      <c r="C4023" s="1" t="s">
        <v>23</v>
      </c>
      <c r="D4023" s="1" t="s">
        <v>16</v>
      </c>
      <c r="E4023" s="1" t="s">
        <v>27</v>
      </c>
      <c r="F4023" s="1" t="s">
        <v>29</v>
      </c>
      <c r="G4023" s="1" t="s">
        <v>20</v>
      </c>
      <c r="H4023" t="s">
        <v>34</v>
      </c>
      <c r="I4023" s="1" t="s">
        <v>26</v>
      </c>
      <c r="J4023" s="2">
        <v>43537.779328703706</v>
      </c>
      <c r="K4023" s="2">
        <v>43543.779328703706</v>
      </c>
      <c r="L4023" s="2">
        <v>43541.779328703706</v>
      </c>
      <c r="M4023" s="1">
        <f>_xlfn.DAYS(Table1[[#This Row],[actual_delivery_date]],Table1[[#This Row],[dispatch_date]])</f>
        <v>6</v>
      </c>
      <c r="N4023">
        <v>26</v>
      </c>
      <c r="O4023">
        <f>Table1[[#This Row],[transit_storage_cost]] * (1-'What -if Analysis'!$D$26)</f>
        <v>26</v>
      </c>
      <c r="P4023">
        <v>128</v>
      </c>
      <c r="Q4023">
        <v>2371</v>
      </c>
    </row>
    <row r="4024" spans="1:17" x14ac:dyDescent="0.3">
      <c r="A4024">
        <v>427124</v>
      </c>
      <c r="B4024" s="1" t="s">
        <v>39</v>
      </c>
      <c r="C4024" s="1" t="s">
        <v>16</v>
      </c>
      <c r="D4024" s="1" t="s">
        <v>24</v>
      </c>
      <c r="E4024" s="1" t="s">
        <v>25</v>
      </c>
      <c r="F4024" s="1" t="s">
        <v>19</v>
      </c>
      <c r="G4024" s="1" t="s">
        <v>20</v>
      </c>
      <c r="H4024" t="s">
        <v>21</v>
      </c>
      <c r="I4024" s="1" t="s">
        <v>22</v>
      </c>
      <c r="J4024" s="2">
        <v>43532.782708333332</v>
      </c>
      <c r="K4024" s="2">
        <v>43543.782708333332</v>
      </c>
      <c r="L4024" s="2">
        <v>43537.782708333332</v>
      </c>
      <c r="M4024" s="1">
        <f>_xlfn.DAYS(Table1[[#This Row],[actual_delivery_date]],Table1[[#This Row],[dispatch_date]])</f>
        <v>11</v>
      </c>
      <c r="N4024">
        <v>64</v>
      </c>
      <c r="O4024">
        <f>Table1[[#This Row],[transit_storage_cost]] * (1-'What -if Analysis'!$D$26)</f>
        <v>64</v>
      </c>
      <c r="P4024">
        <v>106</v>
      </c>
      <c r="Q4024">
        <v>320</v>
      </c>
    </row>
    <row r="4025" spans="1:17" x14ac:dyDescent="0.3">
      <c r="A4025">
        <v>87157</v>
      </c>
      <c r="B4025" s="1" t="s">
        <v>39</v>
      </c>
      <c r="C4025" s="1" t="s">
        <v>23</v>
      </c>
      <c r="D4025" s="1" t="s">
        <v>16</v>
      </c>
      <c r="E4025" s="1" t="s">
        <v>27</v>
      </c>
      <c r="F4025" s="1" t="s">
        <v>29</v>
      </c>
      <c r="G4025" s="1" t="s">
        <v>20</v>
      </c>
      <c r="H4025" t="s">
        <v>34</v>
      </c>
      <c r="I4025" s="1" t="s">
        <v>22</v>
      </c>
      <c r="J4025" s="2">
        <v>43537.784583333334</v>
      </c>
      <c r="K4025" s="2">
        <v>43543.784583333334</v>
      </c>
      <c r="L4025" s="2">
        <v>43540.784583333334</v>
      </c>
      <c r="M4025" s="1">
        <f>_xlfn.DAYS(Table1[[#This Row],[actual_delivery_date]],Table1[[#This Row],[dispatch_date]])</f>
        <v>6</v>
      </c>
      <c r="N4025">
        <v>40</v>
      </c>
      <c r="O4025">
        <f>Table1[[#This Row],[transit_storage_cost]] * (1-'What -if Analysis'!$D$26)</f>
        <v>40</v>
      </c>
      <c r="P4025">
        <v>123</v>
      </c>
      <c r="Q4025">
        <v>1613.6743273881505</v>
      </c>
    </row>
    <row r="4026" spans="1:17" x14ac:dyDescent="0.3">
      <c r="A4026">
        <v>865823</v>
      </c>
      <c r="B4026" s="1" t="s">
        <v>41</v>
      </c>
      <c r="C4026" s="1" t="s">
        <v>23</v>
      </c>
      <c r="D4026" s="1" t="s">
        <v>16</v>
      </c>
      <c r="E4026" s="1" t="s">
        <v>27</v>
      </c>
      <c r="F4026" s="1" t="s">
        <v>29</v>
      </c>
      <c r="G4026" s="1" t="s">
        <v>20</v>
      </c>
      <c r="H4026" t="s">
        <v>34</v>
      </c>
      <c r="I4026" s="1" t="s">
        <v>22</v>
      </c>
      <c r="J4026" s="2">
        <v>43538.787824074076</v>
      </c>
      <c r="K4026" s="2">
        <v>43543.787824074076</v>
      </c>
      <c r="L4026" s="2">
        <v>43543.787824074076</v>
      </c>
      <c r="M4026" s="1">
        <f>_xlfn.DAYS(Table1[[#This Row],[actual_delivery_date]],Table1[[#This Row],[dispatch_date]])</f>
        <v>5</v>
      </c>
      <c r="N4026">
        <v>42</v>
      </c>
      <c r="O4026">
        <f>Table1[[#This Row],[transit_storage_cost]] * (1-'What -if Analysis'!$D$26)</f>
        <v>42</v>
      </c>
      <c r="P4026">
        <v>122</v>
      </c>
      <c r="Q4026">
        <v>1447.6081713761489</v>
      </c>
    </row>
    <row r="4027" spans="1:17" x14ac:dyDescent="0.3">
      <c r="A4027">
        <v>715186</v>
      </c>
      <c r="B4027" s="1" t="s">
        <v>41</v>
      </c>
      <c r="C4027" s="1" t="s">
        <v>23</v>
      </c>
      <c r="D4027" s="1" t="s">
        <v>32</v>
      </c>
      <c r="E4027" s="1" t="s">
        <v>33</v>
      </c>
      <c r="F4027" s="1" t="s">
        <v>31</v>
      </c>
      <c r="G4027" s="1" t="s">
        <v>36</v>
      </c>
      <c r="H4027" t="s">
        <v>21</v>
      </c>
      <c r="I4027" s="1" t="s">
        <v>22</v>
      </c>
      <c r="J4027" s="2">
        <v>43536.791701388887</v>
      </c>
      <c r="K4027" s="2">
        <v>43543.791701388887</v>
      </c>
      <c r="L4027" s="2">
        <v>43542.791701388887</v>
      </c>
      <c r="M4027" s="1">
        <f>_xlfn.DAYS(Table1[[#This Row],[actual_delivery_date]],Table1[[#This Row],[dispatch_date]])</f>
        <v>7</v>
      </c>
      <c r="N4027">
        <v>36</v>
      </c>
      <c r="O4027">
        <f>Table1[[#This Row],[transit_storage_cost]] * (1-'What -if Analysis'!$D$26)</f>
        <v>36</v>
      </c>
      <c r="P4027">
        <v>106</v>
      </c>
      <c r="Q4027">
        <v>500.01656339955207</v>
      </c>
    </row>
    <row r="4028" spans="1:17" x14ac:dyDescent="0.3">
      <c r="A4028">
        <v>122810</v>
      </c>
      <c r="B4028" s="1" t="s">
        <v>40</v>
      </c>
      <c r="C4028" s="1" t="s">
        <v>23</v>
      </c>
      <c r="D4028" s="1" t="s">
        <v>23</v>
      </c>
      <c r="E4028" s="1" t="s">
        <v>28</v>
      </c>
      <c r="F4028" s="1" t="s">
        <v>31</v>
      </c>
      <c r="G4028" s="1" t="s">
        <v>20</v>
      </c>
      <c r="H4028" t="s">
        <v>21</v>
      </c>
      <c r="I4028" s="1" t="s">
        <v>22</v>
      </c>
      <c r="J4028" s="2">
        <v>43538.793252314812</v>
      </c>
      <c r="K4028" s="2">
        <v>43543.793252314812</v>
      </c>
      <c r="L4028" s="2">
        <v>43541.793252314812</v>
      </c>
      <c r="M4028" s="1">
        <f>_xlfn.DAYS(Table1[[#This Row],[actual_delivery_date]],Table1[[#This Row],[dispatch_date]])</f>
        <v>5</v>
      </c>
      <c r="N4028">
        <v>0</v>
      </c>
      <c r="O4028">
        <f>Table1[[#This Row],[transit_storage_cost]] * (1-'What -if Analysis'!$D$26)</f>
        <v>0</v>
      </c>
      <c r="P4028">
        <v>128</v>
      </c>
      <c r="Q4028">
        <v>3761.2407558010223</v>
      </c>
    </row>
    <row r="4029" spans="1:17" x14ac:dyDescent="0.3">
      <c r="A4029">
        <v>11492</v>
      </c>
      <c r="B4029" s="1" t="s">
        <v>37</v>
      </c>
      <c r="C4029" s="1" t="s">
        <v>16</v>
      </c>
      <c r="D4029" s="1" t="s">
        <v>24</v>
      </c>
      <c r="E4029" s="1" t="s">
        <v>25</v>
      </c>
      <c r="F4029" s="1" t="s">
        <v>19</v>
      </c>
      <c r="G4029" s="1" t="s">
        <v>20</v>
      </c>
      <c r="H4029" t="s">
        <v>21</v>
      </c>
      <c r="I4029" s="1" t="s">
        <v>22</v>
      </c>
      <c r="J4029" s="2">
        <v>43534.795798611114</v>
      </c>
      <c r="K4029" s="2">
        <v>43543.795798611114</v>
      </c>
      <c r="L4029" s="2">
        <v>43539.795798611114</v>
      </c>
      <c r="M4029" s="1">
        <f>_xlfn.DAYS(Table1[[#This Row],[actual_delivery_date]],Table1[[#This Row],[dispatch_date]])</f>
        <v>9</v>
      </c>
      <c r="N4029">
        <v>25</v>
      </c>
      <c r="O4029">
        <f>Table1[[#This Row],[transit_storage_cost]] * (1-'What -if Analysis'!$D$26)</f>
        <v>25</v>
      </c>
      <c r="P4029">
        <v>130</v>
      </c>
      <c r="Q4029">
        <v>931.11734211358271</v>
      </c>
    </row>
    <row r="4030" spans="1:17" x14ac:dyDescent="0.3">
      <c r="A4030">
        <v>133306</v>
      </c>
      <c r="B4030" s="1" t="s">
        <v>37</v>
      </c>
      <c r="C4030" s="1" t="s">
        <v>23</v>
      </c>
      <c r="D4030" s="1" t="s">
        <v>17</v>
      </c>
      <c r="E4030" s="1" t="s">
        <v>18</v>
      </c>
      <c r="F4030" s="1" t="s">
        <v>31</v>
      </c>
      <c r="G4030" s="1" t="s">
        <v>20</v>
      </c>
      <c r="H4030" t="s">
        <v>21</v>
      </c>
      <c r="I4030" s="1" t="s">
        <v>22</v>
      </c>
      <c r="J4030" s="2">
        <v>43537.809016203704</v>
      </c>
      <c r="K4030" s="2">
        <v>43543.809016203704</v>
      </c>
      <c r="L4030" s="2">
        <v>43542.809016203704</v>
      </c>
      <c r="M4030" s="1">
        <f>_xlfn.DAYS(Table1[[#This Row],[actual_delivery_date]],Table1[[#This Row],[dispatch_date]])</f>
        <v>6</v>
      </c>
      <c r="N4030">
        <v>50</v>
      </c>
      <c r="O4030">
        <f>Table1[[#This Row],[transit_storage_cost]] * (1-'What -if Analysis'!$D$26)</f>
        <v>50</v>
      </c>
      <c r="P4030">
        <v>113</v>
      </c>
      <c r="Q4030">
        <v>1910.9247965833652</v>
      </c>
    </row>
    <row r="4031" spans="1:17" x14ac:dyDescent="0.3">
      <c r="A4031">
        <v>722838</v>
      </c>
      <c r="B4031" s="1" t="s">
        <v>40</v>
      </c>
      <c r="C4031" s="1" t="s">
        <v>16</v>
      </c>
      <c r="D4031" s="1" t="s">
        <v>16</v>
      </c>
      <c r="E4031" s="1" t="s">
        <v>27</v>
      </c>
      <c r="F4031" s="1" t="s">
        <v>31</v>
      </c>
      <c r="G4031" s="1" t="s">
        <v>20</v>
      </c>
      <c r="H4031" t="s">
        <v>21</v>
      </c>
      <c r="I4031" s="1" t="s">
        <v>26</v>
      </c>
      <c r="J4031" s="2">
        <v>43537.817465277774</v>
      </c>
      <c r="K4031" s="2">
        <v>43543.817465277774</v>
      </c>
      <c r="L4031" s="2">
        <v>43541.817465277774</v>
      </c>
      <c r="M4031" s="1">
        <f>_xlfn.DAYS(Table1[[#This Row],[actual_delivery_date]],Table1[[#This Row],[dispatch_date]])</f>
        <v>6</v>
      </c>
      <c r="N4031">
        <v>0</v>
      </c>
      <c r="O4031">
        <f>Table1[[#This Row],[transit_storage_cost]] * (1-'What -if Analysis'!$D$26)</f>
        <v>0</v>
      </c>
      <c r="P4031">
        <v>120</v>
      </c>
      <c r="Q4031">
        <v>2889.5137945054157</v>
      </c>
    </row>
    <row r="4032" spans="1:17" x14ac:dyDescent="0.3">
      <c r="A4032">
        <v>328200</v>
      </c>
      <c r="B4032" s="1" t="s">
        <v>38</v>
      </c>
      <c r="C4032" s="1" t="s">
        <v>23</v>
      </c>
      <c r="D4032" s="1" t="s">
        <v>17</v>
      </c>
      <c r="E4032" s="1" t="s">
        <v>18</v>
      </c>
      <c r="F4032" s="1" t="s">
        <v>19</v>
      </c>
      <c r="G4032" s="1" t="s">
        <v>20</v>
      </c>
      <c r="H4032" t="s">
        <v>21</v>
      </c>
      <c r="I4032" s="1" t="s">
        <v>26</v>
      </c>
      <c r="J4032" s="2">
        <v>43538.818657407406</v>
      </c>
      <c r="K4032" s="2">
        <v>43543.818657407406</v>
      </c>
      <c r="L4032" s="2">
        <v>43541.818657407406</v>
      </c>
      <c r="M4032" s="1">
        <f>_xlfn.DAYS(Table1[[#This Row],[actual_delivery_date]],Table1[[#This Row],[dispatch_date]])</f>
        <v>5</v>
      </c>
      <c r="N4032">
        <v>28</v>
      </c>
      <c r="O4032">
        <f>Table1[[#This Row],[transit_storage_cost]] * (1-'What -if Analysis'!$D$26)</f>
        <v>28</v>
      </c>
      <c r="P4032">
        <v>108</v>
      </c>
      <c r="Q4032">
        <v>3574</v>
      </c>
    </row>
    <row r="4033" spans="1:17" x14ac:dyDescent="0.3">
      <c r="A4033">
        <v>193911</v>
      </c>
      <c r="B4033" s="1" t="s">
        <v>15</v>
      </c>
      <c r="C4033" s="1" t="s">
        <v>23</v>
      </c>
      <c r="D4033" s="1" t="s">
        <v>17</v>
      </c>
      <c r="E4033" s="1" t="s">
        <v>18</v>
      </c>
      <c r="F4033" s="1" t="s">
        <v>29</v>
      </c>
      <c r="G4033" s="1" t="s">
        <v>20</v>
      </c>
      <c r="H4033" t="s">
        <v>30</v>
      </c>
      <c r="I4033" s="1" t="s">
        <v>26</v>
      </c>
      <c r="J4033" s="2">
        <v>43534.820891203701</v>
      </c>
      <c r="K4033" s="2">
        <v>43543.820891203701</v>
      </c>
      <c r="L4033" s="2">
        <v>43541.820891203701</v>
      </c>
      <c r="M4033" s="1">
        <f>_xlfn.DAYS(Table1[[#This Row],[actual_delivery_date]],Table1[[#This Row],[dispatch_date]])</f>
        <v>9</v>
      </c>
      <c r="N4033">
        <v>48</v>
      </c>
      <c r="O4033">
        <f>Table1[[#This Row],[transit_storage_cost]] * (1-'What -if Analysis'!$D$26)</f>
        <v>48</v>
      </c>
      <c r="P4033">
        <v>115</v>
      </c>
      <c r="Q4033">
        <v>1596.271510255237</v>
      </c>
    </row>
    <row r="4034" spans="1:17" x14ac:dyDescent="0.3">
      <c r="A4034">
        <v>986696</v>
      </c>
      <c r="B4034" s="1" t="s">
        <v>37</v>
      </c>
      <c r="C4034" s="1" t="s">
        <v>23</v>
      </c>
      <c r="D4034" s="1" t="s">
        <v>24</v>
      </c>
      <c r="E4034" s="1" t="s">
        <v>25</v>
      </c>
      <c r="F4034" s="1" t="s">
        <v>19</v>
      </c>
      <c r="G4034" s="1" t="s">
        <v>20</v>
      </c>
      <c r="H4034" t="s">
        <v>21</v>
      </c>
      <c r="I4034" s="1" t="s">
        <v>22</v>
      </c>
      <c r="J4034" s="2">
        <v>43533.82739583333</v>
      </c>
      <c r="K4034" s="2">
        <v>43543.82739583333</v>
      </c>
      <c r="L4034" s="2">
        <v>43536.82739583333</v>
      </c>
      <c r="M4034" s="1">
        <f>_xlfn.DAYS(Table1[[#This Row],[actual_delivery_date]],Table1[[#This Row],[dispatch_date]])</f>
        <v>10</v>
      </c>
      <c r="N4034">
        <v>33</v>
      </c>
      <c r="O4034">
        <f>Table1[[#This Row],[transit_storage_cost]] * (1-'What -if Analysis'!$D$26)</f>
        <v>33</v>
      </c>
      <c r="P4034">
        <v>129</v>
      </c>
      <c r="Q4034">
        <v>1024</v>
      </c>
    </row>
    <row r="4035" spans="1:17" x14ac:dyDescent="0.3">
      <c r="A4035">
        <v>439996</v>
      </c>
      <c r="B4035" s="1" t="s">
        <v>37</v>
      </c>
      <c r="C4035" s="1" t="s">
        <v>23</v>
      </c>
      <c r="D4035" s="1" t="s">
        <v>17</v>
      </c>
      <c r="E4035" s="1" t="s">
        <v>18</v>
      </c>
      <c r="F4035" s="1" t="s">
        <v>19</v>
      </c>
      <c r="G4035" s="1" t="s">
        <v>20</v>
      </c>
      <c r="H4035" t="s">
        <v>21</v>
      </c>
      <c r="I4035" s="1" t="s">
        <v>22</v>
      </c>
      <c r="J4035" s="2">
        <v>43537.832789351851</v>
      </c>
      <c r="K4035" s="2">
        <v>43543.832789351851</v>
      </c>
      <c r="L4035" s="2">
        <v>43543.832789351851</v>
      </c>
      <c r="M4035" s="1">
        <f>_xlfn.DAYS(Table1[[#This Row],[actual_delivery_date]],Table1[[#This Row],[dispatch_date]])</f>
        <v>6</v>
      </c>
      <c r="N4035">
        <v>42</v>
      </c>
      <c r="O4035">
        <f>Table1[[#This Row],[transit_storage_cost]] * (1-'What -if Analysis'!$D$26)</f>
        <v>42</v>
      </c>
      <c r="P4035">
        <v>109</v>
      </c>
      <c r="Q4035">
        <v>1845.419614320112</v>
      </c>
    </row>
    <row r="4036" spans="1:17" x14ac:dyDescent="0.3">
      <c r="A4036">
        <v>963946</v>
      </c>
      <c r="B4036" s="1" t="s">
        <v>15</v>
      </c>
      <c r="C4036" s="1" t="s">
        <v>23</v>
      </c>
      <c r="D4036" s="1" t="s">
        <v>24</v>
      </c>
      <c r="E4036" s="1" t="s">
        <v>25</v>
      </c>
      <c r="F4036" s="1" t="s">
        <v>31</v>
      </c>
      <c r="G4036" s="1" t="s">
        <v>20</v>
      </c>
      <c r="H4036" t="s">
        <v>21</v>
      </c>
      <c r="I4036" s="1" t="s">
        <v>22</v>
      </c>
      <c r="J4036" s="2">
        <v>43537.843240740738</v>
      </c>
      <c r="K4036" s="2">
        <v>43543.843240740738</v>
      </c>
      <c r="L4036" s="2">
        <v>43543.843240740738</v>
      </c>
      <c r="M4036" s="1">
        <f>_xlfn.DAYS(Table1[[#This Row],[actual_delivery_date]],Table1[[#This Row],[dispatch_date]])</f>
        <v>6</v>
      </c>
      <c r="N4036">
        <v>46</v>
      </c>
      <c r="O4036">
        <f>Table1[[#This Row],[transit_storage_cost]] * (1-'What -if Analysis'!$D$26)</f>
        <v>46</v>
      </c>
      <c r="P4036">
        <v>129</v>
      </c>
      <c r="Q4036">
        <v>594.94854404805255</v>
      </c>
    </row>
    <row r="4037" spans="1:17" x14ac:dyDescent="0.3">
      <c r="A4037">
        <v>102565</v>
      </c>
      <c r="B4037" s="1" t="s">
        <v>37</v>
      </c>
      <c r="C4037" s="1" t="s">
        <v>16</v>
      </c>
      <c r="D4037" s="1" t="s">
        <v>16</v>
      </c>
      <c r="E4037" s="1" t="s">
        <v>27</v>
      </c>
      <c r="F4037" s="1" t="s">
        <v>29</v>
      </c>
      <c r="G4037" s="1" t="s">
        <v>20</v>
      </c>
      <c r="H4037" t="s">
        <v>30</v>
      </c>
      <c r="I4037" s="1" t="s">
        <v>22</v>
      </c>
      <c r="J4037" s="2">
        <v>43537.843402777777</v>
      </c>
      <c r="K4037" s="2">
        <v>43543.843402777777</v>
      </c>
      <c r="L4037" s="2">
        <v>43543.843402777777</v>
      </c>
      <c r="M4037" s="1">
        <f>_xlfn.DAYS(Table1[[#This Row],[actual_delivery_date]],Table1[[#This Row],[dispatch_date]])</f>
        <v>6</v>
      </c>
      <c r="N4037">
        <v>0</v>
      </c>
      <c r="O4037">
        <f>Table1[[#This Row],[transit_storage_cost]] * (1-'What -if Analysis'!$D$26)</f>
        <v>0</v>
      </c>
      <c r="P4037">
        <v>123</v>
      </c>
      <c r="Q4037">
        <v>732.78784707782245</v>
      </c>
    </row>
    <row r="4038" spans="1:17" x14ac:dyDescent="0.3">
      <c r="A4038">
        <v>429289</v>
      </c>
      <c r="B4038" s="1" t="s">
        <v>37</v>
      </c>
      <c r="C4038" s="1" t="s">
        <v>16</v>
      </c>
      <c r="D4038" s="1" t="s">
        <v>23</v>
      </c>
      <c r="E4038" s="1" t="s">
        <v>28</v>
      </c>
      <c r="F4038" s="1" t="s">
        <v>29</v>
      </c>
      <c r="G4038" s="1" t="s">
        <v>20</v>
      </c>
      <c r="H4038" t="s">
        <v>34</v>
      </c>
      <c r="I4038" s="1" t="s">
        <v>22</v>
      </c>
      <c r="J4038" s="2">
        <v>43537.844351851854</v>
      </c>
      <c r="K4038" s="2">
        <v>43543.844351851854</v>
      </c>
      <c r="L4038" s="2">
        <v>43543.844351851854</v>
      </c>
      <c r="M4038" s="1">
        <f>_xlfn.DAYS(Table1[[#This Row],[actual_delivery_date]],Table1[[#This Row],[dispatch_date]])</f>
        <v>6</v>
      </c>
      <c r="N4038">
        <v>27</v>
      </c>
      <c r="O4038">
        <f>Table1[[#This Row],[transit_storage_cost]] * (1-'What -if Analysis'!$D$26)</f>
        <v>27</v>
      </c>
      <c r="P4038">
        <v>120</v>
      </c>
      <c r="Q4038">
        <v>3368</v>
      </c>
    </row>
    <row r="4039" spans="1:17" x14ac:dyDescent="0.3">
      <c r="A4039">
        <v>322668</v>
      </c>
      <c r="B4039" s="1" t="s">
        <v>37</v>
      </c>
      <c r="C4039" s="1" t="s">
        <v>16</v>
      </c>
      <c r="D4039" s="1" t="s">
        <v>16</v>
      </c>
      <c r="E4039" s="1" t="s">
        <v>27</v>
      </c>
      <c r="F4039" s="1" t="s">
        <v>19</v>
      </c>
      <c r="G4039" s="1" t="s">
        <v>20</v>
      </c>
      <c r="H4039" t="s">
        <v>21</v>
      </c>
      <c r="I4039" s="1" t="s">
        <v>26</v>
      </c>
      <c r="J4039" s="2">
        <v>43538.845023148147</v>
      </c>
      <c r="K4039" s="2">
        <v>43543.845023148147</v>
      </c>
      <c r="L4039" s="2">
        <v>43544.845023148147</v>
      </c>
      <c r="M4039" s="1">
        <f>_xlfn.DAYS(Table1[[#This Row],[actual_delivery_date]],Table1[[#This Row],[dispatch_date]])</f>
        <v>5</v>
      </c>
      <c r="N4039">
        <v>0</v>
      </c>
      <c r="O4039">
        <f>Table1[[#This Row],[transit_storage_cost]] * (1-'What -if Analysis'!$D$26)</f>
        <v>0</v>
      </c>
      <c r="P4039">
        <v>130</v>
      </c>
      <c r="Q4039">
        <v>617.78270929982205</v>
      </c>
    </row>
    <row r="4040" spans="1:17" x14ac:dyDescent="0.3">
      <c r="A4040">
        <v>370316</v>
      </c>
      <c r="B4040" s="1" t="s">
        <v>40</v>
      </c>
      <c r="C4040" s="1" t="s">
        <v>23</v>
      </c>
      <c r="D4040" s="1" t="s">
        <v>16</v>
      </c>
      <c r="E4040" s="1" t="s">
        <v>27</v>
      </c>
      <c r="F4040" s="1" t="s">
        <v>19</v>
      </c>
      <c r="G4040" s="1" t="s">
        <v>20</v>
      </c>
      <c r="H4040" t="s">
        <v>21</v>
      </c>
      <c r="I4040" s="1" t="s">
        <v>22</v>
      </c>
      <c r="J4040" s="2">
        <v>43538.848055555558</v>
      </c>
      <c r="K4040" s="2">
        <v>43543.848055555558</v>
      </c>
      <c r="L4040" s="2">
        <v>43542.848055555558</v>
      </c>
      <c r="M4040" s="1">
        <f>_xlfn.DAYS(Table1[[#This Row],[actual_delivery_date]],Table1[[#This Row],[dispatch_date]])</f>
        <v>5</v>
      </c>
      <c r="N4040">
        <v>64</v>
      </c>
      <c r="O4040">
        <f>Table1[[#This Row],[transit_storage_cost]] * (1-'What -if Analysis'!$D$26)</f>
        <v>64</v>
      </c>
      <c r="P4040">
        <v>108</v>
      </c>
      <c r="Q4040">
        <v>769.49091314189855</v>
      </c>
    </row>
    <row r="4041" spans="1:17" x14ac:dyDescent="0.3">
      <c r="A4041">
        <v>969823</v>
      </c>
      <c r="B4041" s="1" t="s">
        <v>37</v>
      </c>
      <c r="C4041" s="1" t="s">
        <v>16</v>
      </c>
      <c r="D4041" s="1" t="s">
        <v>17</v>
      </c>
      <c r="E4041" s="1" t="s">
        <v>18</v>
      </c>
      <c r="F4041" s="1" t="s">
        <v>29</v>
      </c>
      <c r="G4041" s="1" t="s">
        <v>20</v>
      </c>
      <c r="H4041" t="s">
        <v>30</v>
      </c>
      <c r="I4041" s="1" t="s">
        <v>22</v>
      </c>
      <c r="J4041" s="2">
        <v>43537.85365740741</v>
      </c>
      <c r="K4041" s="2">
        <v>43543.85365740741</v>
      </c>
      <c r="L4041" s="2">
        <v>43542.85365740741</v>
      </c>
      <c r="M4041" s="1">
        <f>_xlfn.DAYS(Table1[[#This Row],[actual_delivery_date]],Table1[[#This Row],[dispatch_date]])</f>
        <v>6</v>
      </c>
      <c r="N4041">
        <v>28</v>
      </c>
      <c r="O4041">
        <f>Table1[[#This Row],[transit_storage_cost]] * (1-'What -if Analysis'!$D$26)</f>
        <v>28</v>
      </c>
      <c r="P4041">
        <v>105</v>
      </c>
      <c r="Q4041">
        <v>3215.5457342917457</v>
      </c>
    </row>
    <row r="4042" spans="1:17" x14ac:dyDescent="0.3">
      <c r="A4042">
        <v>67688</v>
      </c>
      <c r="B4042" s="1" t="s">
        <v>38</v>
      </c>
      <c r="C4042" s="1" t="s">
        <v>23</v>
      </c>
      <c r="D4042" s="1" t="s">
        <v>32</v>
      </c>
      <c r="E4042" s="1" t="s">
        <v>33</v>
      </c>
      <c r="F4042" s="1" t="s">
        <v>19</v>
      </c>
      <c r="G4042" s="1" t="s">
        <v>20</v>
      </c>
      <c r="H4042" t="s">
        <v>21</v>
      </c>
      <c r="I4042" s="1" t="s">
        <v>22</v>
      </c>
      <c r="J4042" s="2">
        <v>43536.860590277778</v>
      </c>
      <c r="K4042" s="2">
        <v>43543.860590277778</v>
      </c>
      <c r="L4042" s="2">
        <v>43540.860590277778</v>
      </c>
      <c r="M4042" s="1">
        <f>_xlfn.DAYS(Table1[[#This Row],[actual_delivery_date]],Table1[[#This Row],[dispatch_date]])</f>
        <v>7</v>
      </c>
      <c r="N4042">
        <v>64</v>
      </c>
      <c r="O4042">
        <f>Table1[[#This Row],[transit_storage_cost]] * (1-'What -if Analysis'!$D$26)</f>
        <v>64</v>
      </c>
      <c r="P4042">
        <v>90</v>
      </c>
      <c r="Q4042">
        <v>1798.5083034775669</v>
      </c>
    </row>
    <row r="4043" spans="1:17" x14ac:dyDescent="0.3">
      <c r="A4043">
        <v>562345</v>
      </c>
      <c r="B4043" s="1" t="s">
        <v>38</v>
      </c>
      <c r="C4043" s="1" t="s">
        <v>23</v>
      </c>
      <c r="D4043" s="1" t="s">
        <v>23</v>
      </c>
      <c r="E4043" s="1" t="s">
        <v>28</v>
      </c>
      <c r="F4043" s="1" t="s">
        <v>29</v>
      </c>
      <c r="G4043" s="1" t="s">
        <v>20</v>
      </c>
      <c r="H4043" t="s">
        <v>34</v>
      </c>
      <c r="I4043" s="1" t="s">
        <v>22</v>
      </c>
      <c r="J4043" s="2">
        <v>43537.865648148145</v>
      </c>
      <c r="K4043" s="2">
        <v>43543.865648148145</v>
      </c>
      <c r="L4043" s="2">
        <v>43543.865648148145</v>
      </c>
      <c r="M4043" s="1">
        <f>_xlfn.DAYS(Table1[[#This Row],[actual_delivery_date]],Table1[[#This Row],[dispatch_date]])</f>
        <v>6</v>
      </c>
      <c r="N4043">
        <v>0</v>
      </c>
      <c r="O4043">
        <f>Table1[[#This Row],[transit_storage_cost]] * (1-'What -if Analysis'!$D$26)</f>
        <v>0</v>
      </c>
      <c r="P4043">
        <v>121</v>
      </c>
      <c r="Q4043">
        <v>620.47957674409588</v>
      </c>
    </row>
    <row r="4044" spans="1:17" x14ac:dyDescent="0.3">
      <c r="A4044">
        <v>179200</v>
      </c>
      <c r="B4044" s="1" t="s">
        <v>41</v>
      </c>
      <c r="C4044" s="1" t="s">
        <v>16</v>
      </c>
      <c r="D4044" s="1" t="s">
        <v>24</v>
      </c>
      <c r="E4044" s="1" t="s">
        <v>25</v>
      </c>
      <c r="F4044" s="1" t="s">
        <v>19</v>
      </c>
      <c r="G4044" s="1" t="s">
        <v>20</v>
      </c>
      <c r="H4044" t="s">
        <v>21</v>
      </c>
      <c r="I4044" s="1" t="s">
        <v>22</v>
      </c>
      <c r="J4044" s="2">
        <v>43532.867789351854</v>
      </c>
      <c r="K4044" s="2">
        <v>43543.867789351854</v>
      </c>
      <c r="L4044" s="2">
        <v>43535.867789351854</v>
      </c>
      <c r="M4044" s="1">
        <f>_xlfn.DAYS(Table1[[#This Row],[actual_delivery_date]],Table1[[#This Row],[dispatch_date]])</f>
        <v>11</v>
      </c>
      <c r="N4044">
        <v>43</v>
      </c>
      <c r="O4044">
        <f>Table1[[#This Row],[transit_storage_cost]] * (1-'What -if Analysis'!$D$26)</f>
        <v>43</v>
      </c>
      <c r="P4044">
        <v>128</v>
      </c>
      <c r="Q4044">
        <v>2546.4541226411202</v>
      </c>
    </row>
    <row r="4045" spans="1:17" x14ac:dyDescent="0.3">
      <c r="A4045">
        <v>783527</v>
      </c>
      <c r="B4045" s="1" t="s">
        <v>37</v>
      </c>
      <c r="C4045" s="1" t="s">
        <v>23</v>
      </c>
      <c r="D4045" s="1" t="s">
        <v>23</v>
      </c>
      <c r="E4045" s="1" t="s">
        <v>28</v>
      </c>
      <c r="F4045" s="1" t="s">
        <v>29</v>
      </c>
      <c r="G4045" s="1" t="s">
        <v>36</v>
      </c>
      <c r="H4045" t="s">
        <v>30</v>
      </c>
      <c r="I4045" s="1" t="s">
        <v>22</v>
      </c>
      <c r="J4045" s="2">
        <v>43538.892407407409</v>
      </c>
      <c r="K4045" s="2">
        <v>43543.892407407409</v>
      </c>
      <c r="L4045" s="2">
        <v>43545.892407407409</v>
      </c>
      <c r="M4045" s="1">
        <f>_xlfn.DAYS(Table1[[#This Row],[actual_delivery_date]],Table1[[#This Row],[dispatch_date]])</f>
        <v>5</v>
      </c>
      <c r="N4045">
        <v>0</v>
      </c>
      <c r="O4045">
        <f>Table1[[#This Row],[transit_storage_cost]] * (1-'What -if Analysis'!$D$26)</f>
        <v>0</v>
      </c>
      <c r="P4045">
        <v>124</v>
      </c>
      <c r="Q4045">
        <v>339</v>
      </c>
    </row>
    <row r="4046" spans="1:17" x14ac:dyDescent="0.3">
      <c r="A4046">
        <v>630382</v>
      </c>
      <c r="B4046" s="1" t="s">
        <v>15</v>
      </c>
      <c r="C4046" s="1" t="s">
        <v>16</v>
      </c>
      <c r="D4046" s="1" t="s">
        <v>23</v>
      </c>
      <c r="E4046" s="1" t="s">
        <v>28</v>
      </c>
      <c r="F4046" s="1" t="s">
        <v>31</v>
      </c>
      <c r="G4046" s="1" t="s">
        <v>20</v>
      </c>
      <c r="H4046" t="s">
        <v>21</v>
      </c>
      <c r="I4046" s="1" t="s">
        <v>22</v>
      </c>
      <c r="J4046" s="2">
        <v>43537.899583333332</v>
      </c>
      <c r="K4046" s="2">
        <v>43543.899583333332</v>
      </c>
      <c r="L4046" s="2">
        <v>43541.899583333332</v>
      </c>
      <c r="M4046" s="1">
        <f>_xlfn.DAYS(Table1[[#This Row],[actual_delivery_date]],Table1[[#This Row],[dispatch_date]])</f>
        <v>6</v>
      </c>
      <c r="N4046">
        <v>35</v>
      </c>
      <c r="O4046">
        <f>Table1[[#This Row],[transit_storage_cost]] * (1-'What -if Analysis'!$D$26)</f>
        <v>35</v>
      </c>
      <c r="P4046">
        <v>129</v>
      </c>
      <c r="Q4046">
        <v>1513.2646671920045</v>
      </c>
    </row>
    <row r="4047" spans="1:17" x14ac:dyDescent="0.3">
      <c r="A4047">
        <v>308350</v>
      </c>
      <c r="B4047" s="1" t="s">
        <v>40</v>
      </c>
      <c r="C4047" s="1" t="s">
        <v>16</v>
      </c>
      <c r="D4047" s="1" t="s">
        <v>24</v>
      </c>
      <c r="E4047" s="1" t="s">
        <v>25</v>
      </c>
      <c r="F4047" s="1" t="s">
        <v>31</v>
      </c>
      <c r="G4047" s="1" t="s">
        <v>20</v>
      </c>
      <c r="H4047" t="s">
        <v>21</v>
      </c>
      <c r="I4047" s="1" t="s">
        <v>22</v>
      </c>
      <c r="J4047" s="2">
        <v>43538.901631944442</v>
      </c>
      <c r="K4047" s="2">
        <v>43543.901631944442</v>
      </c>
      <c r="L4047" s="2">
        <v>43542.901631944442</v>
      </c>
      <c r="M4047" s="1">
        <f>_xlfn.DAYS(Table1[[#This Row],[actual_delivery_date]],Table1[[#This Row],[dispatch_date]])</f>
        <v>5</v>
      </c>
      <c r="N4047">
        <v>33</v>
      </c>
      <c r="O4047">
        <f>Table1[[#This Row],[transit_storage_cost]] * (1-'What -if Analysis'!$D$26)</f>
        <v>33</v>
      </c>
      <c r="P4047">
        <v>125</v>
      </c>
      <c r="Q4047">
        <v>1920.3094178542424</v>
      </c>
    </row>
    <row r="4048" spans="1:17" x14ac:dyDescent="0.3">
      <c r="A4048">
        <v>126040</v>
      </c>
      <c r="B4048" s="1" t="s">
        <v>37</v>
      </c>
      <c r="C4048" s="1" t="s">
        <v>16</v>
      </c>
      <c r="D4048" s="1" t="s">
        <v>23</v>
      </c>
      <c r="E4048" s="1" t="s">
        <v>28</v>
      </c>
      <c r="F4048" s="1" t="s">
        <v>19</v>
      </c>
      <c r="G4048" s="1" t="s">
        <v>20</v>
      </c>
      <c r="H4048" t="s">
        <v>21</v>
      </c>
      <c r="I4048" s="1" t="s">
        <v>22</v>
      </c>
      <c r="J4048" s="2">
        <v>43538.902592592596</v>
      </c>
      <c r="K4048" s="2">
        <v>43543.902592592596</v>
      </c>
      <c r="L4048" s="2">
        <v>43544.902592592596</v>
      </c>
      <c r="M4048" s="1">
        <f>_xlfn.DAYS(Table1[[#This Row],[actual_delivery_date]],Table1[[#This Row],[dispatch_date]])</f>
        <v>5</v>
      </c>
      <c r="N4048">
        <v>48</v>
      </c>
      <c r="O4048">
        <f>Table1[[#This Row],[transit_storage_cost]] * (1-'What -if Analysis'!$D$26)</f>
        <v>48</v>
      </c>
      <c r="P4048">
        <v>121</v>
      </c>
      <c r="Q4048">
        <v>489</v>
      </c>
    </row>
    <row r="4049" spans="1:17" x14ac:dyDescent="0.3">
      <c r="A4049">
        <v>537846</v>
      </c>
      <c r="B4049" s="1" t="s">
        <v>37</v>
      </c>
      <c r="C4049" s="1" t="s">
        <v>16</v>
      </c>
      <c r="D4049" s="1" t="s">
        <v>17</v>
      </c>
      <c r="E4049" s="1" t="s">
        <v>18</v>
      </c>
      <c r="F4049" s="1" t="s">
        <v>19</v>
      </c>
      <c r="G4049" s="1" t="s">
        <v>20</v>
      </c>
      <c r="H4049" t="s">
        <v>21</v>
      </c>
      <c r="I4049" s="1" t="s">
        <v>26</v>
      </c>
      <c r="J4049" s="2">
        <v>43537.90425925926</v>
      </c>
      <c r="K4049" s="2">
        <v>43543.90425925926</v>
      </c>
      <c r="L4049" s="2">
        <v>43543.90425925926</v>
      </c>
      <c r="M4049" s="1">
        <f>_xlfn.DAYS(Table1[[#This Row],[actual_delivery_date]],Table1[[#This Row],[dispatch_date]])</f>
        <v>6</v>
      </c>
      <c r="N4049">
        <v>59</v>
      </c>
      <c r="O4049">
        <f>Table1[[#This Row],[transit_storage_cost]] * (1-'What -if Analysis'!$D$26)</f>
        <v>59</v>
      </c>
      <c r="P4049">
        <v>88</v>
      </c>
      <c r="Q4049">
        <v>2090</v>
      </c>
    </row>
    <row r="4050" spans="1:17" x14ac:dyDescent="0.3">
      <c r="A4050">
        <v>822202</v>
      </c>
      <c r="B4050" s="1" t="s">
        <v>38</v>
      </c>
      <c r="C4050" s="1" t="s">
        <v>16</v>
      </c>
      <c r="D4050" s="1" t="s">
        <v>17</v>
      </c>
      <c r="E4050" s="1" t="s">
        <v>18</v>
      </c>
      <c r="F4050" s="1" t="s">
        <v>31</v>
      </c>
      <c r="G4050" s="1" t="s">
        <v>20</v>
      </c>
      <c r="H4050" t="s">
        <v>21</v>
      </c>
      <c r="I4050" s="1" t="s">
        <v>22</v>
      </c>
      <c r="J4050" s="2">
        <v>43536.912499999999</v>
      </c>
      <c r="K4050" s="2">
        <v>43543.912499999999</v>
      </c>
      <c r="L4050" s="2">
        <v>43542.912499999999</v>
      </c>
      <c r="M4050" s="1">
        <f>_xlfn.DAYS(Table1[[#This Row],[actual_delivery_date]],Table1[[#This Row],[dispatch_date]])</f>
        <v>7</v>
      </c>
      <c r="N4050">
        <v>30</v>
      </c>
      <c r="O4050">
        <f>Table1[[#This Row],[transit_storage_cost]] * (1-'What -if Analysis'!$D$26)</f>
        <v>30</v>
      </c>
      <c r="P4050">
        <v>111</v>
      </c>
      <c r="Q4050">
        <v>2984</v>
      </c>
    </row>
    <row r="4051" spans="1:17" x14ac:dyDescent="0.3">
      <c r="A4051">
        <v>821953</v>
      </c>
      <c r="B4051" s="1" t="s">
        <v>38</v>
      </c>
      <c r="C4051" s="1" t="s">
        <v>23</v>
      </c>
      <c r="D4051" s="1" t="s">
        <v>17</v>
      </c>
      <c r="E4051" s="1" t="s">
        <v>18</v>
      </c>
      <c r="F4051" s="1" t="s">
        <v>29</v>
      </c>
      <c r="G4051" s="1" t="s">
        <v>20</v>
      </c>
      <c r="H4051" t="s">
        <v>30</v>
      </c>
      <c r="I4051" s="1" t="s">
        <v>22</v>
      </c>
      <c r="J4051" s="2">
        <v>43534.914583333331</v>
      </c>
      <c r="K4051" s="2">
        <v>43543.914583333331</v>
      </c>
      <c r="L4051" s="2">
        <v>43540.914583333331</v>
      </c>
      <c r="M4051" s="1">
        <f>_xlfn.DAYS(Table1[[#This Row],[actual_delivery_date]],Table1[[#This Row],[dispatch_date]])</f>
        <v>9</v>
      </c>
      <c r="N4051">
        <v>42</v>
      </c>
      <c r="O4051">
        <f>Table1[[#This Row],[transit_storage_cost]] * (1-'What -if Analysis'!$D$26)</f>
        <v>42</v>
      </c>
      <c r="P4051">
        <v>110</v>
      </c>
      <c r="Q4051">
        <v>2575.798730071087</v>
      </c>
    </row>
    <row r="4052" spans="1:17" x14ac:dyDescent="0.3">
      <c r="A4052">
        <v>724320</v>
      </c>
      <c r="B4052" s="1" t="s">
        <v>37</v>
      </c>
      <c r="C4052" s="1" t="s">
        <v>16</v>
      </c>
      <c r="D4052" s="1" t="s">
        <v>17</v>
      </c>
      <c r="E4052" s="1" t="s">
        <v>18</v>
      </c>
      <c r="F4052" s="1" t="s">
        <v>19</v>
      </c>
      <c r="G4052" s="1" t="s">
        <v>20</v>
      </c>
      <c r="H4052" t="s">
        <v>21</v>
      </c>
      <c r="I4052" s="1" t="s">
        <v>26</v>
      </c>
      <c r="J4052" s="2">
        <v>43537.918530092589</v>
      </c>
      <c r="K4052" s="2">
        <v>43543.918530092589</v>
      </c>
      <c r="L4052" s="2">
        <v>43542.918530092589</v>
      </c>
      <c r="M4052" s="1">
        <f>_xlfn.DAYS(Table1[[#This Row],[actual_delivery_date]],Table1[[#This Row],[dispatch_date]])</f>
        <v>6</v>
      </c>
      <c r="N4052">
        <v>26</v>
      </c>
      <c r="O4052">
        <f>Table1[[#This Row],[transit_storage_cost]] * (1-'What -if Analysis'!$D$26)</f>
        <v>26</v>
      </c>
      <c r="P4052">
        <v>106</v>
      </c>
      <c r="Q4052">
        <v>991.5595497917036</v>
      </c>
    </row>
    <row r="4053" spans="1:17" x14ac:dyDescent="0.3">
      <c r="A4053">
        <v>947460</v>
      </c>
      <c r="B4053" s="1" t="s">
        <v>39</v>
      </c>
      <c r="C4053" s="1" t="s">
        <v>23</v>
      </c>
      <c r="D4053" s="1" t="s">
        <v>32</v>
      </c>
      <c r="E4053" s="1" t="s">
        <v>33</v>
      </c>
      <c r="F4053" s="1" t="s">
        <v>19</v>
      </c>
      <c r="G4053" s="1" t="s">
        <v>20</v>
      </c>
      <c r="H4053" t="s">
        <v>21</v>
      </c>
      <c r="I4053" s="1" t="s">
        <v>26</v>
      </c>
      <c r="J4053" s="2">
        <v>43536.930752314816</v>
      </c>
      <c r="K4053" s="2">
        <v>43543.930752314816</v>
      </c>
      <c r="L4053" s="2">
        <v>43539.930752314816</v>
      </c>
      <c r="M4053" s="1">
        <f>_xlfn.DAYS(Table1[[#This Row],[actual_delivery_date]],Table1[[#This Row],[dispatch_date]])</f>
        <v>7</v>
      </c>
      <c r="N4053">
        <v>36</v>
      </c>
      <c r="O4053">
        <f>Table1[[#This Row],[transit_storage_cost]] * (1-'What -if Analysis'!$D$26)</f>
        <v>36</v>
      </c>
      <c r="P4053">
        <v>106</v>
      </c>
      <c r="Q4053">
        <v>3423.9365232809155</v>
      </c>
    </row>
    <row r="4054" spans="1:17" x14ac:dyDescent="0.3">
      <c r="A4054">
        <v>187287</v>
      </c>
      <c r="B4054" s="1" t="s">
        <v>39</v>
      </c>
      <c r="C4054" s="1" t="s">
        <v>23</v>
      </c>
      <c r="D4054" s="1" t="s">
        <v>24</v>
      </c>
      <c r="E4054" s="1" t="s">
        <v>25</v>
      </c>
      <c r="F4054" s="1" t="s">
        <v>29</v>
      </c>
      <c r="G4054" s="1" t="s">
        <v>20</v>
      </c>
      <c r="H4054" t="s">
        <v>30</v>
      </c>
      <c r="I4054" s="1" t="s">
        <v>26</v>
      </c>
      <c r="J4054" s="2">
        <v>43537.935601851852</v>
      </c>
      <c r="K4054" s="2">
        <v>43543.935601851852</v>
      </c>
      <c r="L4054" s="2">
        <v>43541.935601851852</v>
      </c>
      <c r="M4054" s="1">
        <f>_xlfn.DAYS(Table1[[#This Row],[actual_delivery_date]],Table1[[#This Row],[dispatch_date]])</f>
        <v>6</v>
      </c>
      <c r="N4054">
        <v>46</v>
      </c>
      <c r="O4054">
        <f>Table1[[#This Row],[transit_storage_cost]] * (1-'What -if Analysis'!$D$26)</f>
        <v>46</v>
      </c>
      <c r="P4054">
        <v>123</v>
      </c>
      <c r="Q4054">
        <v>3412</v>
      </c>
    </row>
    <row r="4055" spans="1:17" x14ac:dyDescent="0.3">
      <c r="A4055">
        <v>774596</v>
      </c>
      <c r="B4055" s="1" t="s">
        <v>38</v>
      </c>
      <c r="C4055" s="1" t="s">
        <v>16</v>
      </c>
      <c r="D4055" s="1" t="s">
        <v>32</v>
      </c>
      <c r="E4055" s="1" t="s">
        <v>33</v>
      </c>
      <c r="F4055" s="1" t="s">
        <v>19</v>
      </c>
      <c r="G4055" s="1" t="s">
        <v>20</v>
      </c>
      <c r="H4055" t="s">
        <v>21</v>
      </c>
      <c r="I4055" s="1" t="s">
        <v>22</v>
      </c>
      <c r="J4055" s="2">
        <v>43538.951435185183</v>
      </c>
      <c r="K4055" s="2">
        <v>43543.951435185183</v>
      </c>
      <c r="L4055" s="2">
        <v>43545.951435185183</v>
      </c>
      <c r="M4055" s="1">
        <f>_xlfn.DAYS(Table1[[#This Row],[actual_delivery_date]],Table1[[#This Row],[dispatch_date]])</f>
        <v>5</v>
      </c>
      <c r="N4055">
        <v>81</v>
      </c>
      <c r="O4055">
        <f>Table1[[#This Row],[transit_storage_cost]] * (1-'What -if Analysis'!$D$26)</f>
        <v>81</v>
      </c>
      <c r="P4055">
        <v>87</v>
      </c>
      <c r="Q4055">
        <v>2288.0775800305059</v>
      </c>
    </row>
    <row r="4056" spans="1:17" x14ac:dyDescent="0.3">
      <c r="A4056">
        <v>883466</v>
      </c>
      <c r="B4056" s="1" t="s">
        <v>38</v>
      </c>
      <c r="C4056" s="1" t="s">
        <v>23</v>
      </c>
      <c r="D4056" s="1" t="s">
        <v>23</v>
      </c>
      <c r="E4056" s="1" t="s">
        <v>28</v>
      </c>
      <c r="F4056" s="1" t="s">
        <v>31</v>
      </c>
      <c r="G4056" s="1" t="s">
        <v>20</v>
      </c>
      <c r="H4056" t="s">
        <v>21</v>
      </c>
      <c r="I4056" s="1" t="s">
        <v>22</v>
      </c>
      <c r="J4056" s="2">
        <v>43537.953738425924</v>
      </c>
      <c r="K4056" s="2">
        <v>43543.953738425924</v>
      </c>
      <c r="L4056" s="2">
        <v>43540.953738425924</v>
      </c>
      <c r="M4056" s="1">
        <f>_xlfn.DAYS(Table1[[#This Row],[actual_delivery_date]],Table1[[#This Row],[dispatch_date]])</f>
        <v>6</v>
      </c>
      <c r="N4056">
        <v>0</v>
      </c>
      <c r="O4056">
        <f>Table1[[#This Row],[transit_storage_cost]] * (1-'What -if Analysis'!$D$26)</f>
        <v>0</v>
      </c>
      <c r="P4056">
        <v>128</v>
      </c>
      <c r="Q4056">
        <v>3344</v>
      </c>
    </row>
    <row r="4057" spans="1:17" x14ac:dyDescent="0.3">
      <c r="A4057">
        <v>932908</v>
      </c>
      <c r="B4057" s="1" t="s">
        <v>37</v>
      </c>
      <c r="C4057" s="1" t="s">
        <v>16</v>
      </c>
      <c r="D4057" s="1" t="s">
        <v>23</v>
      </c>
      <c r="E4057" s="1" t="s">
        <v>28</v>
      </c>
      <c r="F4057" s="1" t="s">
        <v>19</v>
      </c>
      <c r="G4057" s="1" t="s">
        <v>20</v>
      </c>
      <c r="H4057" t="s">
        <v>21</v>
      </c>
      <c r="I4057" s="1" t="s">
        <v>22</v>
      </c>
      <c r="J4057" s="2">
        <v>43537.958194444444</v>
      </c>
      <c r="K4057" s="2">
        <v>43543.958194444444</v>
      </c>
      <c r="L4057" s="2">
        <v>43540.958194444444</v>
      </c>
      <c r="M4057" s="1">
        <f>_xlfn.DAYS(Table1[[#This Row],[actual_delivery_date]],Table1[[#This Row],[dispatch_date]])</f>
        <v>6</v>
      </c>
      <c r="N4057">
        <v>40</v>
      </c>
      <c r="O4057">
        <f>Table1[[#This Row],[transit_storage_cost]] * (1-'What -if Analysis'!$D$26)</f>
        <v>40</v>
      </c>
      <c r="P4057">
        <v>122</v>
      </c>
      <c r="Q4057">
        <v>379.64664426716183</v>
      </c>
    </row>
    <row r="4058" spans="1:17" x14ac:dyDescent="0.3">
      <c r="A4058">
        <v>686141</v>
      </c>
      <c r="B4058" s="1" t="s">
        <v>37</v>
      </c>
      <c r="C4058" s="1" t="s">
        <v>16</v>
      </c>
      <c r="D4058" s="1" t="s">
        <v>17</v>
      </c>
      <c r="E4058" s="1" t="s">
        <v>18</v>
      </c>
      <c r="F4058" s="1" t="s">
        <v>29</v>
      </c>
      <c r="G4058" s="1" t="s">
        <v>20</v>
      </c>
      <c r="H4058" t="s">
        <v>30</v>
      </c>
      <c r="I4058" s="1" t="s">
        <v>22</v>
      </c>
      <c r="J4058" s="2">
        <v>43537.959710648145</v>
      </c>
      <c r="K4058" s="2">
        <v>43543.959710648145</v>
      </c>
      <c r="L4058" s="2">
        <v>43540.959710648145</v>
      </c>
      <c r="M4058" s="1">
        <f>_xlfn.DAYS(Table1[[#This Row],[actual_delivery_date]],Table1[[#This Row],[dispatch_date]])</f>
        <v>6</v>
      </c>
      <c r="N4058">
        <v>35</v>
      </c>
      <c r="O4058">
        <f>Table1[[#This Row],[transit_storage_cost]] * (1-'What -if Analysis'!$D$26)</f>
        <v>35</v>
      </c>
      <c r="P4058">
        <v>112</v>
      </c>
      <c r="Q4058">
        <v>3246.7561007138092</v>
      </c>
    </row>
    <row r="4059" spans="1:17" x14ac:dyDescent="0.3">
      <c r="A4059">
        <v>549168</v>
      </c>
      <c r="B4059" s="1" t="s">
        <v>37</v>
      </c>
      <c r="C4059" s="1" t="s">
        <v>23</v>
      </c>
      <c r="D4059" s="1" t="s">
        <v>32</v>
      </c>
      <c r="E4059" s="1" t="s">
        <v>33</v>
      </c>
      <c r="F4059" s="1" t="s">
        <v>19</v>
      </c>
      <c r="G4059" s="1" t="s">
        <v>20</v>
      </c>
      <c r="H4059" t="s">
        <v>21</v>
      </c>
      <c r="I4059" s="1" t="s">
        <v>26</v>
      </c>
      <c r="J4059" s="2">
        <v>43536.961423611108</v>
      </c>
      <c r="K4059" s="2">
        <v>43543.961423611108</v>
      </c>
      <c r="L4059" s="2">
        <v>43540.961423611108</v>
      </c>
      <c r="M4059" s="1">
        <f>_xlfn.DAYS(Table1[[#This Row],[actual_delivery_date]],Table1[[#This Row],[dispatch_date]])</f>
        <v>7</v>
      </c>
      <c r="N4059">
        <v>78</v>
      </c>
      <c r="O4059">
        <f>Table1[[#This Row],[transit_storage_cost]] * (1-'What -if Analysis'!$D$26)</f>
        <v>78</v>
      </c>
      <c r="P4059">
        <v>95</v>
      </c>
      <c r="Q4059">
        <v>532.28438075126849</v>
      </c>
    </row>
    <row r="4060" spans="1:17" x14ac:dyDescent="0.3">
      <c r="A4060">
        <v>515815</v>
      </c>
      <c r="B4060" s="1" t="s">
        <v>38</v>
      </c>
      <c r="C4060" s="1" t="s">
        <v>23</v>
      </c>
      <c r="D4060" s="1" t="s">
        <v>17</v>
      </c>
      <c r="E4060" s="1" t="s">
        <v>18</v>
      </c>
      <c r="F4060" s="1" t="s">
        <v>29</v>
      </c>
      <c r="G4060" s="1" t="s">
        <v>20</v>
      </c>
      <c r="H4060" t="s">
        <v>30</v>
      </c>
      <c r="I4060" s="1" t="s">
        <v>22</v>
      </c>
      <c r="J4060" s="2">
        <v>43537.971851851849</v>
      </c>
      <c r="K4060" s="2">
        <v>43543.971851851849</v>
      </c>
      <c r="L4060" s="2">
        <v>43541.971851851849</v>
      </c>
      <c r="M4060" s="1">
        <f>_xlfn.DAYS(Table1[[#This Row],[actual_delivery_date]],Table1[[#This Row],[dispatch_date]])</f>
        <v>6</v>
      </c>
      <c r="N4060">
        <v>33</v>
      </c>
      <c r="O4060">
        <f>Table1[[#This Row],[transit_storage_cost]] * (1-'What -if Analysis'!$D$26)</f>
        <v>33</v>
      </c>
      <c r="P4060">
        <v>109</v>
      </c>
      <c r="Q4060">
        <v>1792.1624072316499</v>
      </c>
    </row>
    <row r="4061" spans="1:17" x14ac:dyDescent="0.3">
      <c r="A4061">
        <v>176962</v>
      </c>
      <c r="B4061" s="1" t="s">
        <v>38</v>
      </c>
      <c r="C4061" s="1" t="s">
        <v>16</v>
      </c>
      <c r="D4061" s="1" t="s">
        <v>16</v>
      </c>
      <c r="E4061" s="1" t="s">
        <v>27</v>
      </c>
      <c r="F4061" s="1" t="s">
        <v>31</v>
      </c>
      <c r="G4061" s="1" t="s">
        <v>20</v>
      </c>
      <c r="H4061" t="s">
        <v>21</v>
      </c>
      <c r="I4061" s="1" t="s">
        <v>22</v>
      </c>
      <c r="J4061" s="2">
        <v>43537.978900462964</v>
      </c>
      <c r="K4061" s="2">
        <v>43543.978900462964</v>
      </c>
      <c r="L4061" s="2">
        <v>43544.978900462964</v>
      </c>
      <c r="M4061" s="1">
        <f>_xlfn.DAYS(Table1[[#This Row],[actual_delivery_date]],Table1[[#This Row],[dispatch_date]])</f>
        <v>6</v>
      </c>
      <c r="N4061">
        <v>0</v>
      </c>
      <c r="O4061">
        <f>Table1[[#This Row],[transit_storage_cost]] * (1-'What -if Analysis'!$D$26)</f>
        <v>0</v>
      </c>
      <c r="P4061">
        <v>123</v>
      </c>
      <c r="Q4061">
        <v>236.2881583621872</v>
      </c>
    </row>
    <row r="4062" spans="1:17" x14ac:dyDescent="0.3">
      <c r="A4062">
        <v>292525</v>
      </c>
      <c r="B4062" s="1" t="s">
        <v>41</v>
      </c>
      <c r="C4062" s="1" t="s">
        <v>16</v>
      </c>
      <c r="D4062" s="1" t="s">
        <v>32</v>
      </c>
      <c r="E4062" s="1" t="s">
        <v>33</v>
      </c>
      <c r="F4062" s="1" t="s">
        <v>29</v>
      </c>
      <c r="G4062" s="1" t="s">
        <v>20</v>
      </c>
      <c r="H4062" t="s">
        <v>30</v>
      </c>
      <c r="I4062" s="1" t="s">
        <v>22</v>
      </c>
      <c r="J4062" s="2">
        <v>43537.979791666665</v>
      </c>
      <c r="K4062" s="2">
        <v>43543.979791666665</v>
      </c>
      <c r="L4062" s="2">
        <v>43541.979791666665</v>
      </c>
      <c r="M4062" s="1">
        <f>_xlfn.DAYS(Table1[[#This Row],[actual_delivery_date]],Table1[[#This Row],[dispatch_date]])</f>
        <v>6</v>
      </c>
      <c r="N4062">
        <v>40</v>
      </c>
      <c r="O4062">
        <f>Table1[[#This Row],[transit_storage_cost]] * (1-'What -if Analysis'!$D$26)</f>
        <v>40</v>
      </c>
      <c r="P4062">
        <v>109</v>
      </c>
      <c r="Q4062">
        <v>2554.152957317503</v>
      </c>
    </row>
    <row r="4063" spans="1:17" x14ac:dyDescent="0.3">
      <c r="A4063">
        <v>634757</v>
      </c>
      <c r="B4063" s="1" t="s">
        <v>38</v>
      </c>
      <c r="C4063" s="1" t="s">
        <v>23</v>
      </c>
      <c r="D4063" s="1" t="s">
        <v>23</v>
      </c>
      <c r="E4063" s="1" t="s">
        <v>28</v>
      </c>
      <c r="F4063" s="1" t="s">
        <v>29</v>
      </c>
      <c r="G4063" s="1" t="s">
        <v>20</v>
      </c>
      <c r="H4063" t="s">
        <v>30</v>
      </c>
      <c r="I4063" s="1" t="s">
        <v>22</v>
      </c>
      <c r="J4063" s="2">
        <v>43537.981747685182</v>
      </c>
      <c r="K4063" s="2">
        <v>43543.981747685182</v>
      </c>
      <c r="L4063" s="2">
        <v>43543.981747685182</v>
      </c>
      <c r="M4063" s="1">
        <f>_xlfn.DAYS(Table1[[#This Row],[actual_delivery_date]],Table1[[#This Row],[dispatch_date]])</f>
        <v>6</v>
      </c>
      <c r="N4063">
        <v>0</v>
      </c>
      <c r="O4063">
        <f>Table1[[#This Row],[transit_storage_cost]] * (1-'What -if Analysis'!$D$26)</f>
        <v>0</v>
      </c>
      <c r="P4063">
        <v>126</v>
      </c>
      <c r="Q4063">
        <v>1817.4864327579055</v>
      </c>
    </row>
    <row r="4064" spans="1:17" x14ac:dyDescent="0.3">
      <c r="A4064">
        <v>863730</v>
      </c>
      <c r="B4064" s="1" t="s">
        <v>38</v>
      </c>
      <c r="C4064" s="1" t="s">
        <v>16</v>
      </c>
      <c r="D4064" s="1" t="s">
        <v>23</v>
      </c>
      <c r="E4064" s="1" t="s">
        <v>28</v>
      </c>
      <c r="F4064" s="1" t="s">
        <v>31</v>
      </c>
      <c r="G4064" s="1" t="s">
        <v>20</v>
      </c>
      <c r="H4064" t="s">
        <v>21</v>
      </c>
      <c r="I4064" s="1" t="s">
        <v>26</v>
      </c>
      <c r="J4064" s="2">
        <v>43533.982453703706</v>
      </c>
      <c r="K4064" s="2">
        <v>43543.982453703706</v>
      </c>
      <c r="L4064" s="2">
        <v>43539.982453703706</v>
      </c>
      <c r="M4064" s="1">
        <f>_xlfn.DAYS(Table1[[#This Row],[actual_delivery_date]],Table1[[#This Row],[dispatch_date]])</f>
        <v>10</v>
      </c>
      <c r="N4064">
        <v>47</v>
      </c>
      <c r="O4064">
        <f>Table1[[#This Row],[transit_storage_cost]] * (1-'What -if Analysis'!$D$26)</f>
        <v>47</v>
      </c>
      <c r="P4064">
        <v>127</v>
      </c>
      <c r="Q4064">
        <v>426.75007862766694</v>
      </c>
    </row>
    <row r="4065" spans="1:17" x14ac:dyDescent="0.3">
      <c r="A4065">
        <v>248945</v>
      </c>
      <c r="B4065" s="1" t="s">
        <v>38</v>
      </c>
      <c r="C4065" s="1" t="s">
        <v>16</v>
      </c>
      <c r="D4065" s="1" t="s">
        <v>23</v>
      </c>
      <c r="E4065" s="1" t="s">
        <v>28</v>
      </c>
      <c r="F4065" s="1" t="s">
        <v>29</v>
      </c>
      <c r="G4065" s="1" t="s">
        <v>20</v>
      </c>
      <c r="H4065" t="s">
        <v>30</v>
      </c>
      <c r="I4065" s="1" t="s">
        <v>22</v>
      </c>
      <c r="J4065" s="2">
        <v>43536.992893518516</v>
      </c>
      <c r="K4065" s="2">
        <v>43543.992893518516</v>
      </c>
      <c r="L4065" s="2">
        <v>43539.992893518516</v>
      </c>
      <c r="M4065" s="1">
        <f>_xlfn.DAYS(Table1[[#This Row],[actual_delivery_date]],Table1[[#This Row],[dispatch_date]])</f>
        <v>7</v>
      </c>
      <c r="N4065">
        <v>47</v>
      </c>
      <c r="O4065">
        <f>Table1[[#This Row],[transit_storage_cost]] * (1-'What -if Analysis'!$D$26)</f>
        <v>47</v>
      </c>
      <c r="P4065">
        <v>122</v>
      </c>
      <c r="Q4065">
        <v>1349.7770500508009</v>
      </c>
    </row>
    <row r="4066" spans="1:17" x14ac:dyDescent="0.3">
      <c r="A4066">
        <v>919364</v>
      </c>
      <c r="B4066" s="1" t="s">
        <v>38</v>
      </c>
      <c r="C4066" s="1" t="s">
        <v>16</v>
      </c>
      <c r="D4066" s="1" t="s">
        <v>24</v>
      </c>
      <c r="E4066" s="1" t="s">
        <v>25</v>
      </c>
      <c r="F4066" s="1" t="s">
        <v>19</v>
      </c>
      <c r="G4066" s="1" t="s">
        <v>20</v>
      </c>
      <c r="H4066" t="s">
        <v>21</v>
      </c>
      <c r="I4066" s="1" t="s">
        <v>22</v>
      </c>
      <c r="J4066" s="2">
        <v>43534.014178240737</v>
      </c>
      <c r="K4066" s="2">
        <v>43544.014178240737</v>
      </c>
      <c r="L4066" s="2">
        <v>43538.014178240737</v>
      </c>
      <c r="M4066" s="1">
        <f>_xlfn.DAYS(Table1[[#This Row],[actual_delivery_date]],Table1[[#This Row],[dispatch_date]])</f>
        <v>10</v>
      </c>
      <c r="N4066">
        <v>79</v>
      </c>
      <c r="O4066">
        <f>Table1[[#This Row],[transit_storage_cost]] * (1-'What -if Analysis'!$D$26)</f>
        <v>79</v>
      </c>
      <c r="P4066">
        <v>109</v>
      </c>
      <c r="Q4066">
        <v>2156</v>
      </c>
    </row>
    <row r="4067" spans="1:17" x14ac:dyDescent="0.3">
      <c r="A4067">
        <v>548910</v>
      </c>
      <c r="B4067" s="1" t="s">
        <v>15</v>
      </c>
      <c r="C4067" s="1" t="s">
        <v>16</v>
      </c>
      <c r="D4067" s="1" t="s">
        <v>16</v>
      </c>
      <c r="E4067" s="1" t="s">
        <v>27</v>
      </c>
      <c r="F4067" s="1" t="s">
        <v>31</v>
      </c>
      <c r="G4067" s="1" t="s">
        <v>20</v>
      </c>
      <c r="H4067" t="s">
        <v>21</v>
      </c>
      <c r="I4067" s="1" t="s">
        <v>26</v>
      </c>
      <c r="J4067" s="2">
        <v>43538.028136574074</v>
      </c>
      <c r="K4067" s="2">
        <v>43544.028136574074</v>
      </c>
      <c r="L4067" s="2">
        <v>43542.028136574074</v>
      </c>
      <c r="M4067" s="1">
        <f>_xlfn.DAYS(Table1[[#This Row],[actual_delivery_date]],Table1[[#This Row],[dispatch_date]])</f>
        <v>6</v>
      </c>
      <c r="N4067">
        <v>0</v>
      </c>
      <c r="O4067">
        <f>Table1[[#This Row],[transit_storage_cost]] * (1-'What -if Analysis'!$D$26)</f>
        <v>0</v>
      </c>
      <c r="P4067">
        <v>121</v>
      </c>
      <c r="Q4067">
        <v>2846</v>
      </c>
    </row>
    <row r="4068" spans="1:17" x14ac:dyDescent="0.3">
      <c r="A4068">
        <v>905663</v>
      </c>
      <c r="B4068" s="1" t="s">
        <v>37</v>
      </c>
      <c r="C4068" s="1" t="s">
        <v>23</v>
      </c>
      <c r="D4068" s="1" t="s">
        <v>32</v>
      </c>
      <c r="E4068" s="1" t="s">
        <v>33</v>
      </c>
      <c r="F4068" s="1" t="s">
        <v>29</v>
      </c>
      <c r="G4068" s="1" t="s">
        <v>20</v>
      </c>
      <c r="H4068" t="s">
        <v>30</v>
      </c>
      <c r="I4068" s="1" t="s">
        <v>22</v>
      </c>
      <c r="J4068" s="2">
        <v>43537.041574074072</v>
      </c>
      <c r="K4068" s="2">
        <v>43544.041574074072</v>
      </c>
      <c r="L4068" s="2">
        <v>43543.041574074072</v>
      </c>
      <c r="M4068" s="1">
        <f>_xlfn.DAYS(Table1[[#This Row],[actual_delivery_date]],Table1[[#This Row],[dispatch_date]])</f>
        <v>7</v>
      </c>
      <c r="N4068">
        <v>28</v>
      </c>
      <c r="O4068">
        <f>Table1[[#This Row],[transit_storage_cost]] * (1-'What -if Analysis'!$D$26)</f>
        <v>28</v>
      </c>
      <c r="P4068">
        <v>110</v>
      </c>
      <c r="Q4068">
        <v>3019</v>
      </c>
    </row>
    <row r="4069" spans="1:17" x14ac:dyDescent="0.3">
      <c r="A4069">
        <v>906537</v>
      </c>
      <c r="B4069" s="1" t="s">
        <v>39</v>
      </c>
      <c r="C4069" s="1" t="s">
        <v>16</v>
      </c>
      <c r="D4069" s="1" t="s">
        <v>23</v>
      </c>
      <c r="E4069" s="1" t="s">
        <v>28</v>
      </c>
      <c r="F4069" s="1" t="s">
        <v>29</v>
      </c>
      <c r="G4069" s="1" t="s">
        <v>20</v>
      </c>
      <c r="H4069" t="s">
        <v>30</v>
      </c>
      <c r="I4069" s="1" t="s">
        <v>26</v>
      </c>
      <c r="J4069" s="2">
        <v>43535.042800925927</v>
      </c>
      <c r="K4069" s="2">
        <v>43544.042800925927</v>
      </c>
      <c r="L4069" s="2">
        <v>43542.042800925927</v>
      </c>
      <c r="M4069" s="1">
        <f>_xlfn.DAYS(Table1[[#This Row],[actual_delivery_date]],Table1[[#This Row],[dispatch_date]])</f>
        <v>9</v>
      </c>
      <c r="N4069">
        <v>48</v>
      </c>
      <c r="O4069">
        <f>Table1[[#This Row],[transit_storage_cost]] * (1-'What -if Analysis'!$D$26)</f>
        <v>48</v>
      </c>
      <c r="P4069">
        <v>126</v>
      </c>
      <c r="Q4069">
        <v>3386</v>
      </c>
    </row>
    <row r="4070" spans="1:17" x14ac:dyDescent="0.3">
      <c r="A4070">
        <v>289999</v>
      </c>
      <c r="B4070" s="1" t="s">
        <v>41</v>
      </c>
      <c r="C4070" s="1" t="s">
        <v>16</v>
      </c>
      <c r="D4070" s="1" t="s">
        <v>24</v>
      </c>
      <c r="E4070" s="1" t="s">
        <v>25</v>
      </c>
      <c r="F4070" s="1" t="s">
        <v>29</v>
      </c>
      <c r="G4070" s="1" t="s">
        <v>20</v>
      </c>
      <c r="H4070" t="s">
        <v>30</v>
      </c>
      <c r="I4070" s="1" t="s">
        <v>22</v>
      </c>
      <c r="J4070" s="2">
        <v>43537.048564814817</v>
      </c>
      <c r="K4070" s="2">
        <v>43544.048564814817</v>
      </c>
      <c r="L4070" s="2">
        <v>43542.048564814817</v>
      </c>
      <c r="M4070" s="1">
        <f>_xlfn.DAYS(Table1[[#This Row],[actual_delivery_date]],Table1[[#This Row],[dispatch_date]])</f>
        <v>7</v>
      </c>
      <c r="N4070">
        <v>37</v>
      </c>
      <c r="O4070">
        <f>Table1[[#This Row],[transit_storage_cost]] * (1-'What -if Analysis'!$D$26)</f>
        <v>37</v>
      </c>
      <c r="P4070">
        <v>125</v>
      </c>
      <c r="Q4070">
        <v>782.15099024545907</v>
      </c>
    </row>
    <row r="4071" spans="1:17" x14ac:dyDescent="0.3">
      <c r="A4071">
        <v>537663</v>
      </c>
      <c r="B4071" s="1" t="s">
        <v>40</v>
      </c>
      <c r="C4071" s="1" t="s">
        <v>16</v>
      </c>
      <c r="D4071" s="1" t="s">
        <v>17</v>
      </c>
      <c r="E4071" s="1" t="s">
        <v>18</v>
      </c>
      <c r="F4071" s="1" t="s">
        <v>29</v>
      </c>
      <c r="G4071" s="1" t="s">
        <v>20</v>
      </c>
      <c r="H4071" t="s">
        <v>34</v>
      </c>
      <c r="I4071" s="1" t="s">
        <v>26</v>
      </c>
      <c r="J4071" s="2">
        <v>43538.049398148149</v>
      </c>
      <c r="K4071" s="2">
        <v>43544.049398148149</v>
      </c>
      <c r="L4071" s="2">
        <v>43543.049398148149</v>
      </c>
      <c r="M4071" s="1">
        <f>_xlfn.DAYS(Table1[[#This Row],[actual_delivery_date]],Table1[[#This Row],[dispatch_date]])</f>
        <v>6</v>
      </c>
      <c r="N4071">
        <v>26</v>
      </c>
      <c r="O4071">
        <f>Table1[[#This Row],[transit_storage_cost]] * (1-'What -if Analysis'!$D$26)</f>
        <v>26</v>
      </c>
      <c r="P4071">
        <v>106</v>
      </c>
      <c r="Q4071">
        <v>933.02583043901723</v>
      </c>
    </row>
    <row r="4072" spans="1:17" x14ac:dyDescent="0.3">
      <c r="A4072">
        <v>473763</v>
      </c>
      <c r="B4072" s="1" t="s">
        <v>37</v>
      </c>
      <c r="C4072" s="1" t="s">
        <v>16</v>
      </c>
      <c r="D4072" s="1" t="s">
        <v>23</v>
      </c>
      <c r="E4072" s="1" t="s">
        <v>28</v>
      </c>
      <c r="F4072" s="1" t="s">
        <v>29</v>
      </c>
      <c r="G4072" s="1" t="s">
        <v>36</v>
      </c>
      <c r="H4072" t="s">
        <v>30</v>
      </c>
      <c r="I4072" s="1" t="s">
        <v>26</v>
      </c>
      <c r="J4072" s="2">
        <v>43534.052893518521</v>
      </c>
      <c r="K4072" s="2">
        <v>43544.052893518521</v>
      </c>
      <c r="L4072" s="2">
        <v>43539.052893518521</v>
      </c>
      <c r="M4072" s="1">
        <f>_xlfn.DAYS(Table1[[#This Row],[actual_delivery_date]],Table1[[#This Row],[dispatch_date]])</f>
        <v>10</v>
      </c>
      <c r="N4072">
        <v>38</v>
      </c>
      <c r="O4072">
        <f>Table1[[#This Row],[transit_storage_cost]] * (1-'What -if Analysis'!$D$26)</f>
        <v>38</v>
      </c>
      <c r="P4072">
        <v>121</v>
      </c>
      <c r="Q4072">
        <v>1522.3155534712289</v>
      </c>
    </row>
    <row r="4073" spans="1:17" x14ac:dyDescent="0.3">
      <c r="A4073">
        <v>442383</v>
      </c>
      <c r="B4073" s="1" t="s">
        <v>38</v>
      </c>
      <c r="C4073" s="1" t="s">
        <v>16</v>
      </c>
      <c r="D4073" s="1" t="s">
        <v>32</v>
      </c>
      <c r="E4073" s="1" t="s">
        <v>33</v>
      </c>
      <c r="F4073" s="1" t="s">
        <v>29</v>
      </c>
      <c r="G4073" s="1" t="s">
        <v>20</v>
      </c>
      <c r="H4073" t="s">
        <v>30</v>
      </c>
      <c r="I4073" s="1" t="s">
        <v>26</v>
      </c>
      <c r="J4073" s="2">
        <v>43537.055289351854</v>
      </c>
      <c r="K4073" s="2">
        <v>43544.055289351854</v>
      </c>
      <c r="L4073" s="2">
        <v>43541.055289351854</v>
      </c>
      <c r="M4073" s="1">
        <f>_xlfn.DAYS(Table1[[#This Row],[actual_delivery_date]],Table1[[#This Row],[dispatch_date]])</f>
        <v>7</v>
      </c>
      <c r="N4073">
        <v>28</v>
      </c>
      <c r="O4073">
        <f>Table1[[#This Row],[transit_storage_cost]] * (1-'What -if Analysis'!$D$26)</f>
        <v>28</v>
      </c>
      <c r="P4073">
        <v>106</v>
      </c>
      <c r="Q4073">
        <v>1582.0464965867234</v>
      </c>
    </row>
    <row r="4074" spans="1:17" x14ac:dyDescent="0.3">
      <c r="A4074">
        <v>295805</v>
      </c>
      <c r="B4074" s="1" t="s">
        <v>38</v>
      </c>
      <c r="C4074" s="1" t="s">
        <v>16</v>
      </c>
      <c r="D4074" s="1" t="s">
        <v>32</v>
      </c>
      <c r="E4074" s="1" t="s">
        <v>33</v>
      </c>
      <c r="F4074" s="1" t="s">
        <v>19</v>
      </c>
      <c r="G4074" s="1" t="s">
        <v>20</v>
      </c>
      <c r="H4074" t="s">
        <v>30</v>
      </c>
      <c r="I4074" s="1" t="s">
        <v>22</v>
      </c>
      <c r="J4074" s="2">
        <v>43538.056469907409</v>
      </c>
      <c r="K4074" s="2">
        <v>43544.056469907409</v>
      </c>
      <c r="L4074" s="2">
        <v>43544.056469907409</v>
      </c>
      <c r="M4074" s="1">
        <f>_xlfn.DAYS(Table1[[#This Row],[actual_delivery_date]],Table1[[#This Row],[dispatch_date]])</f>
        <v>6</v>
      </c>
      <c r="N4074">
        <v>82</v>
      </c>
      <c r="O4074">
        <f>Table1[[#This Row],[transit_storage_cost]] * (1-'What -if Analysis'!$D$26)</f>
        <v>82</v>
      </c>
      <c r="P4074">
        <v>94</v>
      </c>
      <c r="Q4074">
        <v>1451.4281538427947</v>
      </c>
    </row>
    <row r="4075" spans="1:17" x14ac:dyDescent="0.3">
      <c r="A4075">
        <v>988298</v>
      </c>
      <c r="B4075" s="1" t="s">
        <v>38</v>
      </c>
      <c r="C4075" s="1" t="s">
        <v>16</v>
      </c>
      <c r="D4075" s="1" t="s">
        <v>17</v>
      </c>
      <c r="E4075" s="1" t="s">
        <v>18</v>
      </c>
      <c r="F4075" s="1" t="s">
        <v>19</v>
      </c>
      <c r="G4075" s="1" t="s">
        <v>20</v>
      </c>
      <c r="H4075" t="s">
        <v>21</v>
      </c>
      <c r="I4075" s="1" t="s">
        <v>22</v>
      </c>
      <c r="J4075" s="2">
        <v>43538.063611111109</v>
      </c>
      <c r="K4075" s="2">
        <v>43544.063611111109</v>
      </c>
      <c r="L4075" s="2">
        <v>43542.063611111109</v>
      </c>
      <c r="M4075" s="1">
        <f>_xlfn.DAYS(Table1[[#This Row],[actual_delivery_date]],Table1[[#This Row],[dispatch_date]])</f>
        <v>6</v>
      </c>
      <c r="N4075">
        <v>71</v>
      </c>
      <c r="O4075">
        <f>Table1[[#This Row],[transit_storage_cost]] * (1-'What -if Analysis'!$D$26)</f>
        <v>71</v>
      </c>
      <c r="P4075">
        <v>90</v>
      </c>
      <c r="Q4075">
        <v>2104</v>
      </c>
    </row>
    <row r="4076" spans="1:17" x14ac:dyDescent="0.3">
      <c r="A4076">
        <v>575755</v>
      </c>
      <c r="B4076" s="1" t="s">
        <v>38</v>
      </c>
      <c r="C4076" s="1" t="s">
        <v>16</v>
      </c>
      <c r="D4076" s="1" t="s">
        <v>23</v>
      </c>
      <c r="E4076" s="1" t="s">
        <v>28</v>
      </c>
      <c r="F4076" s="1" t="s">
        <v>29</v>
      </c>
      <c r="G4076" s="1" t="s">
        <v>20</v>
      </c>
      <c r="H4076" t="s">
        <v>30</v>
      </c>
      <c r="I4076" s="1" t="s">
        <v>22</v>
      </c>
      <c r="J4076" s="2">
        <v>43537.074965277781</v>
      </c>
      <c r="K4076" s="2">
        <v>43544.074965277781</v>
      </c>
      <c r="L4076" s="2">
        <v>43543.074965277781</v>
      </c>
      <c r="M4076" s="1">
        <f>_xlfn.DAYS(Table1[[#This Row],[actual_delivery_date]],Table1[[#This Row],[dispatch_date]])</f>
        <v>7</v>
      </c>
      <c r="N4076">
        <v>37</v>
      </c>
      <c r="O4076">
        <f>Table1[[#This Row],[transit_storage_cost]] * (1-'What -if Analysis'!$D$26)</f>
        <v>37</v>
      </c>
      <c r="P4076">
        <v>128</v>
      </c>
      <c r="Q4076">
        <v>3357.3572805557924</v>
      </c>
    </row>
    <row r="4077" spans="1:17" x14ac:dyDescent="0.3">
      <c r="A4077">
        <v>458589</v>
      </c>
      <c r="B4077" s="1" t="s">
        <v>38</v>
      </c>
      <c r="C4077" s="1" t="s">
        <v>16</v>
      </c>
      <c r="D4077" s="1" t="s">
        <v>17</v>
      </c>
      <c r="E4077" s="1" t="s">
        <v>18</v>
      </c>
      <c r="F4077" s="1" t="s">
        <v>29</v>
      </c>
      <c r="G4077" s="1" t="s">
        <v>20</v>
      </c>
      <c r="H4077" t="s">
        <v>30</v>
      </c>
      <c r="I4077" s="1" t="s">
        <v>26</v>
      </c>
      <c r="J4077" s="2">
        <v>43537.075486111113</v>
      </c>
      <c r="K4077" s="2">
        <v>43544.075486111113</v>
      </c>
      <c r="L4077" s="2">
        <v>43540.075486111113</v>
      </c>
      <c r="M4077" s="1">
        <f>_xlfn.DAYS(Table1[[#This Row],[actual_delivery_date]],Table1[[#This Row],[dispatch_date]])</f>
        <v>7</v>
      </c>
      <c r="N4077">
        <v>44</v>
      </c>
      <c r="O4077">
        <f>Table1[[#This Row],[transit_storage_cost]] * (1-'What -if Analysis'!$D$26)</f>
        <v>44</v>
      </c>
      <c r="P4077">
        <v>114</v>
      </c>
      <c r="Q4077">
        <v>880.59132748702757</v>
      </c>
    </row>
    <row r="4078" spans="1:17" x14ac:dyDescent="0.3">
      <c r="A4078">
        <v>966103</v>
      </c>
      <c r="B4078" s="1" t="s">
        <v>39</v>
      </c>
      <c r="C4078" s="1" t="s">
        <v>23</v>
      </c>
      <c r="D4078" s="1" t="s">
        <v>32</v>
      </c>
      <c r="E4078" s="1" t="s">
        <v>33</v>
      </c>
      <c r="F4078" s="1" t="s">
        <v>19</v>
      </c>
      <c r="G4078" s="1" t="s">
        <v>20</v>
      </c>
      <c r="H4078" t="s">
        <v>30</v>
      </c>
      <c r="I4078" s="1" t="s">
        <v>22</v>
      </c>
      <c r="J4078" s="2">
        <v>43537.104259259257</v>
      </c>
      <c r="K4078" s="2">
        <v>43544.104259259257</v>
      </c>
      <c r="L4078" s="2">
        <v>43543.104259259257</v>
      </c>
      <c r="M4078" s="1">
        <f>_xlfn.DAYS(Table1[[#This Row],[actual_delivery_date]],Table1[[#This Row],[dispatch_date]])</f>
        <v>7</v>
      </c>
      <c r="N4078">
        <v>73</v>
      </c>
      <c r="O4078">
        <f>Table1[[#This Row],[transit_storage_cost]] * (1-'What -if Analysis'!$D$26)</f>
        <v>73</v>
      </c>
      <c r="P4078">
        <v>91</v>
      </c>
      <c r="Q4078">
        <v>2993</v>
      </c>
    </row>
    <row r="4079" spans="1:17" x14ac:dyDescent="0.3">
      <c r="A4079">
        <v>899277</v>
      </c>
      <c r="B4079" s="1" t="s">
        <v>37</v>
      </c>
      <c r="C4079" s="1" t="s">
        <v>23</v>
      </c>
      <c r="D4079" s="1" t="s">
        <v>32</v>
      </c>
      <c r="E4079" s="1" t="s">
        <v>33</v>
      </c>
      <c r="F4079" s="1" t="s">
        <v>19</v>
      </c>
      <c r="G4079" s="1" t="s">
        <v>20</v>
      </c>
      <c r="H4079" t="s">
        <v>30</v>
      </c>
      <c r="I4079" s="1" t="s">
        <v>26</v>
      </c>
      <c r="J4079" s="2">
        <v>43536.110960648148</v>
      </c>
      <c r="K4079" s="2">
        <v>43544.110960648148</v>
      </c>
      <c r="L4079" s="2">
        <v>43541.110960648148</v>
      </c>
      <c r="M4079" s="1">
        <f>_xlfn.DAYS(Table1[[#This Row],[actual_delivery_date]],Table1[[#This Row],[dispatch_date]])</f>
        <v>8</v>
      </c>
      <c r="N4079">
        <v>85</v>
      </c>
      <c r="O4079">
        <f>Table1[[#This Row],[transit_storage_cost]] * (1-'What -if Analysis'!$D$26)</f>
        <v>85</v>
      </c>
      <c r="P4079">
        <v>91</v>
      </c>
      <c r="Q4079">
        <v>2373</v>
      </c>
    </row>
    <row r="4080" spans="1:17" x14ac:dyDescent="0.3">
      <c r="A4080">
        <v>684198</v>
      </c>
      <c r="B4080" s="1" t="s">
        <v>37</v>
      </c>
      <c r="C4080" s="1" t="s">
        <v>23</v>
      </c>
      <c r="D4080" s="1" t="s">
        <v>16</v>
      </c>
      <c r="E4080" s="1" t="s">
        <v>27</v>
      </c>
      <c r="F4080" s="1" t="s">
        <v>31</v>
      </c>
      <c r="G4080" s="1" t="s">
        <v>20</v>
      </c>
      <c r="H4080" t="s">
        <v>21</v>
      </c>
      <c r="I4080" s="1" t="s">
        <v>26</v>
      </c>
      <c r="J4080" s="2">
        <v>43536.123761574076</v>
      </c>
      <c r="K4080" s="2">
        <v>43544.123761574076</v>
      </c>
      <c r="L4080" s="2">
        <v>43539.123761574076</v>
      </c>
      <c r="M4080" s="1">
        <f>_xlfn.DAYS(Table1[[#This Row],[actual_delivery_date]],Table1[[#This Row],[dispatch_date]])</f>
        <v>8</v>
      </c>
      <c r="N4080">
        <v>45</v>
      </c>
      <c r="O4080">
        <f>Table1[[#This Row],[transit_storage_cost]] * (1-'What -if Analysis'!$D$26)</f>
        <v>45</v>
      </c>
      <c r="P4080">
        <v>122</v>
      </c>
      <c r="Q4080">
        <v>2167.1098319210619</v>
      </c>
    </row>
    <row r="4081" spans="1:17" x14ac:dyDescent="0.3">
      <c r="A4081">
        <v>704777</v>
      </c>
      <c r="B4081" s="1" t="s">
        <v>38</v>
      </c>
      <c r="C4081" s="1" t="s">
        <v>23</v>
      </c>
      <c r="D4081" s="1" t="s">
        <v>24</v>
      </c>
      <c r="E4081" s="1" t="s">
        <v>25</v>
      </c>
      <c r="F4081" s="1" t="s">
        <v>19</v>
      </c>
      <c r="G4081" s="1" t="s">
        <v>20</v>
      </c>
      <c r="H4081" t="s">
        <v>30</v>
      </c>
      <c r="I4081" s="1" t="s">
        <v>22</v>
      </c>
      <c r="J4081" s="2">
        <v>43536.127210648148</v>
      </c>
      <c r="K4081" s="2">
        <v>43544.127210648148</v>
      </c>
      <c r="L4081" s="2">
        <v>43539.127210648148</v>
      </c>
      <c r="M4081" s="1">
        <f>_xlfn.DAYS(Table1[[#This Row],[actual_delivery_date]],Table1[[#This Row],[dispatch_date]])</f>
        <v>8</v>
      </c>
      <c r="N4081">
        <v>77</v>
      </c>
      <c r="O4081">
        <f>Table1[[#This Row],[transit_storage_cost]] * (1-'What -if Analysis'!$D$26)</f>
        <v>77</v>
      </c>
      <c r="P4081">
        <v>103</v>
      </c>
      <c r="Q4081">
        <v>3816.8602740361312</v>
      </c>
    </row>
    <row r="4082" spans="1:17" x14ac:dyDescent="0.3">
      <c r="A4082">
        <v>457504</v>
      </c>
      <c r="B4082" s="1" t="s">
        <v>39</v>
      </c>
      <c r="C4082" s="1" t="s">
        <v>16</v>
      </c>
      <c r="D4082" s="1" t="s">
        <v>17</v>
      </c>
      <c r="E4082" s="1" t="s">
        <v>18</v>
      </c>
      <c r="F4082" s="1" t="s">
        <v>19</v>
      </c>
      <c r="G4082" s="1" t="s">
        <v>20</v>
      </c>
      <c r="H4082" t="s">
        <v>21</v>
      </c>
      <c r="I4082" s="1" t="s">
        <v>22</v>
      </c>
      <c r="J4082" s="2">
        <v>43538.139976851853</v>
      </c>
      <c r="K4082" s="2">
        <v>43544.139976851853</v>
      </c>
      <c r="L4082" s="2">
        <v>43544.139976851853</v>
      </c>
      <c r="M4082" s="1">
        <f>_xlfn.DAYS(Table1[[#This Row],[actual_delivery_date]],Table1[[#This Row],[dispatch_date]])</f>
        <v>6</v>
      </c>
      <c r="N4082">
        <v>47</v>
      </c>
      <c r="O4082">
        <f>Table1[[#This Row],[transit_storage_cost]] * (1-'What -if Analysis'!$D$26)</f>
        <v>47</v>
      </c>
      <c r="P4082">
        <v>113</v>
      </c>
      <c r="Q4082">
        <v>3096.6721010517995</v>
      </c>
    </row>
    <row r="4083" spans="1:17" x14ac:dyDescent="0.3">
      <c r="A4083">
        <v>10999</v>
      </c>
      <c r="B4083" s="1" t="s">
        <v>41</v>
      </c>
      <c r="C4083" s="1" t="s">
        <v>16</v>
      </c>
      <c r="D4083" s="1" t="s">
        <v>17</v>
      </c>
      <c r="E4083" s="1" t="s">
        <v>18</v>
      </c>
      <c r="F4083" s="1" t="s">
        <v>19</v>
      </c>
      <c r="G4083" s="1" t="s">
        <v>36</v>
      </c>
      <c r="H4083" t="s">
        <v>30</v>
      </c>
      <c r="I4083" s="1" t="s">
        <v>22</v>
      </c>
      <c r="J4083" s="2">
        <v>43538.140567129631</v>
      </c>
      <c r="K4083" s="2">
        <v>43544.140567129631</v>
      </c>
      <c r="L4083" s="2">
        <v>43545.140567129631</v>
      </c>
      <c r="M4083" s="1">
        <f>_xlfn.DAYS(Table1[[#This Row],[actual_delivery_date]],Table1[[#This Row],[dispatch_date]])</f>
        <v>6</v>
      </c>
      <c r="N4083">
        <v>83</v>
      </c>
      <c r="O4083">
        <f>Table1[[#This Row],[transit_storage_cost]] * (1-'What -if Analysis'!$D$26)</f>
        <v>83</v>
      </c>
      <c r="P4083">
        <v>92</v>
      </c>
      <c r="Q4083">
        <v>2058</v>
      </c>
    </row>
    <row r="4084" spans="1:17" x14ac:dyDescent="0.3">
      <c r="A4084">
        <v>154613</v>
      </c>
      <c r="B4084" s="1" t="s">
        <v>41</v>
      </c>
      <c r="C4084" s="1" t="s">
        <v>16</v>
      </c>
      <c r="D4084" s="1" t="s">
        <v>17</v>
      </c>
      <c r="E4084" s="1" t="s">
        <v>18</v>
      </c>
      <c r="F4084" s="1" t="s">
        <v>29</v>
      </c>
      <c r="G4084" s="1" t="s">
        <v>20</v>
      </c>
      <c r="H4084" t="s">
        <v>30</v>
      </c>
      <c r="I4084" s="1" t="s">
        <v>22</v>
      </c>
      <c r="J4084" s="2">
        <v>43537.155277777776</v>
      </c>
      <c r="K4084" s="2">
        <v>43544.155277777776</v>
      </c>
      <c r="L4084" s="2">
        <v>43544.155277777776</v>
      </c>
      <c r="M4084" s="1">
        <f>_xlfn.DAYS(Table1[[#This Row],[actual_delivery_date]],Table1[[#This Row],[dispatch_date]])</f>
        <v>7</v>
      </c>
      <c r="N4084">
        <v>45</v>
      </c>
      <c r="O4084">
        <f>Table1[[#This Row],[transit_storage_cost]] * (1-'What -if Analysis'!$D$26)</f>
        <v>45</v>
      </c>
      <c r="P4084">
        <v>110</v>
      </c>
      <c r="Q4084">
        <v>3162</v>
      </c>
    </row>
    <row r="4085" spans="1:17" x14ac:dyDescent="0.3">
      <c r="A4085">
        <v>573064</v>
      </c>
      <c r="B4085" s="1" t="s">
        <v>15</v>
      </c>
      <c r="C4085" s="1" t="s">
        <v>23</v>
      </c>
      <c r="D4085" s="1" t="s">
        <v>17</v>
      </c>
      <c r="E4085" s="1" t="s">
        <v>18</v>
      </c>
      <c r="F4085" s="1" t="s">
        <v>19</v>
      </c>
      <c r="G4085" s="1" t="s">
        <v>20</v>
      </c>
      <c r="H4085" t="s">
        <v>21</v>
      </c>
      <c r="I4085" s="1" t="s">
        <v>22</v>
      </c>
      <c r="J4085" s="2">
        <v>43538.170775462961</v>
      </c>
      <c r="K4085" s="2">
        <v>43544.170775462961</v>
      </c>
      <c r="L4085" s="2">
        <v>43543.170775462961</v>
      </c>
      <c r="M4085" s="1">
        <f>_xlfn.DAYS(Table1[[#This Row],[actual_delivery_date]],Table1[[#This Row],[dispatch_date]])</f>
        <v>6</v>
      </c>
      <c r="N4085">
        <v>78</v>
      </c>
      <c r="O4085">
        <f>Table1[[#This Row],[transit_storage_cost]] * (1-'What -if Analysis'!$D$26)</f>
        <v>78</v>
      </c>
      <c r="P4085">
        <v>91</v>
      </c>
      <c r="Q4085">
        <v>1863.3872711698632</v>
      </c>
    </row>
    <row r="4086" spans="1:17" x14ac:dyDescent="0.3">
      <c r="A4086">
        <v>644662</v>
      </c>
      <c r="B4086" s="1" t="s">
        <v>40</v>
      </c>
      <c r="C4086" s="1" t="s">
        <v>23</v>
      </c>
      <c r="D4086" s="1" t="s">
        <v>24</v>
      </c>
      <c r="E4086" s="1" t="s">
        <v>25</v>
      </c>
      <c r="F4086" s="1" t="s">
        <v>19</v>
      </c>
      <c r="G4086" s="1" t="s">
        <v>20</v>
      </c>
      <c r="H4086" t="s">
        <v>21</v>
      </c>
      <c r="I4086" s="1" t="s">
        <v>22</v>
      </c>
      <c r="J4086" s="2">
        <v>43536.177465277775</v>
      </c>
      <c r="K4086" s="2">
        <v>43544.177465277775</v>
      </c>
      <c r="L4086" s="2">
        <v>43541.177465277775</v>
      </c>
      <c r="M4086" s="1">
        <f>_xlfn.DAYS(Table1[[#This Row],[actual_delivery_date]],Table1[[#This Row],[dispatch_date]])</f>
        <v>8</v>
      </c>
      <c r="N4086">
        <v>59</v>
      </c>
      <c r="O4086">
        <f>Table1[[#This Row],[transit_storage_cost]] * (1-'What -if Analysis'!$D$26)</f>
        <v>59</v>
      </c>
      <c r="P4086">
        <v>103</v>
      </c>
      <c r="Q4086">
        <v>335.89480878227766</v>
      </c>
    </row>
    <row r="4087" spans="1:17" x14ac:dyDescent="0.3">
      <c r="A4087">
        <v>708939</v>
      </c>
      <c r="B4087" s="1" t="s">
        <v>39</v>
      </c>
      <c r="C4087" s="1" t="s">
        <v>16</v>
      </c>
      <c r="D4087" s="1" t="s">
        <v>32</v>
      </c>
      <c r="E4087" s="1" t="s">
        <v>33</v>
      </c>
      <c r="F4087" s="1" t="s">
        <v>29</v>
      </c>
      <c r="G4087" s="1" t="s">
        <v>20</v>
      </c>
      <c r="H4087" t="s">
        <v>34</v>
      </c>
      <c r="I4087" s="1" t="s">
        <v>26</v>
      </c>
      <c r="J4087" s="2">
        <v>43537.182060185187</v>
      </c>
      <c r="K4087" s="2">
        <v>43544.182060185187</v>
      </c>
      <c r="L4087" s="2">
        <v>43540.182060185187</v>
      </c>
      <c r="M4087" s="1">
        <f>_xlfn.DAYS(Table1[[#This Row],[actual_delivery_date]],Table1[[#This Row],[dispatch_date]])</f>
        <v>7</v>
      </c>
      <c r="N4087">
        <v>38</v>
      </c>
      <c r="O4087">
        <f>Table1[[#This Row],[transit_storage_cost]] * (1-'What -if Analysis'!$D$26)</f>
        <v>38</v>
      </c>
      <c r="P4087">
        <v>110</v>
      </c>
      <c r="Q4087">
        <v>3527.4432017476552</v>
      </c>
    </row>
    <row r="4088" spans="1:17" x14ac:dyDescent="0.3">
      <c r="A4088">
        <v>338732</v>
      </c>
      <c r="B4088" s="1" t="s">
        <v>38</v>
      </c>
      <c r="C4088" s="1" t="s">
        <v>23</v>
      </c>
      <c r="D4088" s="1" t="s">
        <v>32</v>
      </c>
      <c r="E4088" s="1" t="s">
        <v>33</v>
      </c>
      <c r="F4088" s="1" t="s">
        <v>19</v>
      </c>
      <c r="G4088" s="1" t="s">
        <v>20</v>
      </c>
      <c r="H4088" t="s">
        <v>21</v>
      </c>
      <c r="I4088" s="1" t="s">
        <v>22</v>
      </c>
      <c r="J4088" s="2">
        <v>43535.187881944446</v>
      </c>
      <c r="K4088" s="2">
        <v>43544.187881944446</v>
      </c>
      <c r="L4088" s="2">
        <v>43540.187881944446</v>
      </c>
      <c r="M4088" s="1">
        <f>_xlfn.DAYS(Table1[[#This Row],[actual_delivery_date]],Table1[[#This Row],[dispatch_date]])</f>
        <v>9</v>
      </c>
      <c r="N4088">
        <v>33</v>
      </c>
      <c r="O4088">
        <f>Table1[[#This Row],[transit_storage_cost]] * (1-'What -if Analysis'!$D$26)</f>
        <v>33</v>
      </c>
      <c r="P4088">
        <v>115</v>
      </c>
      <c r="Q4088">
        <v>1274.4384997978302</v>
      </c>
    </row>
    <row r="4089" spans="1:17" x14ac:dyDescent="0.3">
      <c r="A4089">
        <v>896807</v>
      </c>
      <c r="B4089" s="1" t="s">
        <v>40</v>
      </c>
      <c r="C4089" s="1" t="s">
        <v>23</v>
      </c>
      <c r="D4089" s="1" t="s">
        <v>17</v>
      </c>
      <c r="E4089" s="1" t="s">
        <v>18</v>
      </c>
      <c r="F4089" s="1" t="s">
        <v>29</v>
      </c>
      <c r="G4089" s="1" t="s">
        <v>20</v>
      </c>
      <c r="H4089" t="s">
        <v>30</v>
      </c>
      <c r="I4089" s="1" t="s">
        <v>22</v>
      </c>
      <c r="J4089" s="2">
        <v>43537.196215277778</v>
      </c>
      <c r="K4089" s="2">
        <v>43544.196215277778</v>
      </c>
      <c r="L4089" s="2">
        <v>43540.196215277778</v>
      </c>
      <c r="M4089" s="1">
        <f>_xlfn.DAYS(Table1[[#This Row],[actual_delivery_date]],Table1[[#This Row],[dispatch_date]])</f>
        <v>7</v>
      </c>
      <c r="N4089">
        <v>49</v>
      </c>
      <c r="O4089">
        <f>Table1[[#This Row],[transit_storage_cost]] * (1-'What -if Analysis'!$D$26)</f>
        <v>49</v>
      </c>
      <c r="P4089">
        <v>109</v>
      </c>
      <c r="Q4089">
        <v>975</v>
      </c>
    </row>
    <row r="4090" spans="1:17" x14ac:dyDescent="0.3">
      <c r="A4090">
        <v>103910</v>
      </c>
      <c r="B4090" s="1" t="s">
        <v>41</v>
      </c>
      <c r="C4090" s="1" t="s">
        <v>23</v>
      </c>
      <c r="D4090" s="1" t="s">
        <v>16</v>
      </c>
      <c r="E4090" s="1" t="s">
        <v>27</v>
      </c>
      <c r="F4090" s="1" t="s">
        <v>31</v>
      </c>
      <c r="G4090" s="1" t="s">
        <v>20</v>
      </c>
      <c r="H4090" t="s">
        <v>21</v>
      </c>
      <c r="I4090" s="1" t="s">
        <v>22</v>
      </c>
      <c r="J4090" s="2">
        <v>43538.20753472222</v>
      </c>
      <c r="K4090" s="2">
        <v>43544.20753472222</v>
      </c>
      <c r="L4090" s="2">
        <v>43543.20753472222</v>
      </c>
      <c r="M4090" s="1">
        <f>_xlfn.DAYS(Table1[[#This Row],[actual_delivery_date]],Table1[[#This Row],[dispatch_date]])</f>
        <v>6</v>
      </c>
      <c r="N4090">
        <v>45</v>
      </c>
      <c r="O4090">
        <f>Table1[[#This Row],[transit_storage_cost]] * (1-'What -if Analysis'!$D$26)</f>
        <v>45</v>
      </c>
      <c r="P4090">
        <v>127</v>
      </c>
      <c r="Q4090">
        <v>1513.9383794009348</v>
      </c>
    </row>
    <row r="4091" spans="1:17" x14ac:dyDescent="0.3">
      <c r="A4091">
        <v>952744</v>
      </c>
      <c r="B4091" s="1" t="s">
        <v>37</v>
      </c>
      <c r="C4091" s="1" t="s">
        <v>16</v>
      </c>
      <c r="D4091" s="1" t="s">
        <v>24</v>
      </c>
      <c r="E4091" s="1" t="s">
        <v>25</v>
      </c>
      <c r="F4091" s="1" t="s">
        <v>19</v>
      </c>
      <c r="G4091" s="1" t="s">
        <v>36</v>
      </c>
      <c r="H4091" t="s">
        <v>21</v>
      </c>
      <c r="I4091" s="1" t="s">
        <v>22</v>
      </c>
      <c r="J4091" s="2">
        <v>43536.212118055555</v>
      </c>
      <c r="K4091" s="2">
        <v>43544.212118055555</v>
      </c>
      <c r="L4091" s="2">
        <v>43541.212118055555</v>
      </c>
      <c r="M4091" s="1">
        <f>_xlfn.DAYS(Table1[[#This Row],[actual_delivery_date]],Table1[[#This Row],[dispatch_date]])</f>
        <v>8</v>
      </c>
      <c r="N4091">
        <v>43</v>
      </c>
      <c r="O4091">
        <f>Table1[[#This Row],[transit_storage_cost]] * (1-'What -if Analysis'!$D$26)</f>
        <v>43</v>
      </c>
      <c r="P4091">
        <v>122</v>
      </c>
      <c r="Q4091">
        <v>1456.8887428294838</v>
      </c>
    </row>
    <row r="4092" spans="1:17" x14ac:dyDescent="0.3">
      <c r="A4092">
        <v>671332</v>
      </c>
      <c r="B4092" s="1" t="s">
        <v>41</v>
      </c>
      <c r="C4092" s="1" t="s">
        <v>16</v>
      </c>
      <c r="D4092" s="1" t="s">
        <v>32</v>
      </c>
      <c r="E4092" s="1" t="s">
        <v>33</v>
      </c>
      <c r="F4092" s="1" t="s">
        <v>19</v>
      </c>
      <c r="G4092" s="1" t="s">
        <v>20</v>
      </c>
      <c r="H4092" t="s">
        <v>21</v>
      </c>
      <c r="I4092" s="1" t="s">
        <v>22</v>
      </c>
      <c r="J4092" s="2">
        <v>43538.236643518518</v>
      </c>
      <c r="K4092" s="2">
        <v>43544.236643518518</v>
      </c>
      <c r="L4092" s="2">
        <v>43544.236643518518</v>
      </c>
      <c r="M4092" s="1">
        <f>_xlfn.DAYS(Table1[[#This Row],[actual_delivery_date]],Table1[[#This Row],[dispatch_date]])</f>
        <v>6</v>
      </c>
      <c r="N4092">
        <v>26</v>
      </c>
      <c r="O4092">
        <f>Table1[[#This Row],[transit_storage_cost]] * (1-'What -if Analysis'!$D$26)</f>
        <v>26</v>
      </c>
      <c r="P4092">
        <v>112</v>
      </c>
      <c r="Q4092">
        <v>2813</v>
      </c>
    </row>
    <row r="4093" spans="1:17" x14ac:dyDescent="0.3">
      <c r="A4093">
        <v>262927</v>
      </c>
      <c r="B4093" s="1" t="s">
        <v>38</v>
      </c>
      <c r="C4093" s="1" t="s">
        <v>16</v>
      </c>
      <c r="D4093" s="1" t="s">
        <v>23</v>
      </c>
      <c r="E4093" s="1" t="s">
        <v>28</v>
      </c>
      <c r="F4093" s="1" t="s">
        <v>19</v>
      </c>
      <c r="G4093" s="1" t="s">
        <v>20</v>
      </c>
      <c r="H4093" t="s">
        <v>34</v>
      </c>
      <c r="I4093" s="1" t="s">
        <v>22</v>
      </c>
      <c r="J4093" s="2">
        <v>43538.24628472222</v>
      </c>
      <c r="K4093" s="2">
        <v>43544.24628472222</v>
      </c>
      <c r="L4093" s="2">
        <v>43542.24628472222</v>
      </c>
      <c r="M4093" s="1">
        <f>_xlfn.DAYS(Table1[[#This Row],[actual_delivery_date]],Table1[[#This Row],[dispatch_date]])</f>
        <v>6</v>
      </c>
      <c r="N4093">
        <v>87</v>
      </c>
      <c r="O4093">
        <f>Table1[[#This Row],[transit_storage_cost]] * (1-'What -if Analysis'!$D$26)</f>
        <v>87</v>
      </c>
      <c r="P4093">
        <v>104</v>
      </c>
      <c r="Q4093">
        <v>3624.4062133488624</v>
      </c>
    </row>
    <row r="4094" spans="1:17" x14ac:dyDescent="0.3">
      <c r="A4094">
        <v>128022</v>
      </c>
      <c r="B4094" s="1" t="s">
        <v>39</v>
      </c>
      <c r="C4094" s="1" t="s">
        <v>23</v>
      </c>
      <c r="D4094" s="1" t="s">
        <v>17</v>
      </c>
      <c r="E4094" s="1" t="s">
        <v>18</v>
      </c>
      <c r="F4094" s="1" t="s">
        <v>31</v>
      </c>
      <c r="G4094" s="1" t="s">
        <v>20</v>
      </c>
      <c r="H4094" t="s">
        <v>21</v>
      </c>
      <c r="I4094" s="1" t="s">
        <v>26</v>
      </c>
      <c r="J4094" s="2">
        <v>43537.261307870373</v>
      </c>
      <c r="K4094" s="2">
        <v>43544.261307870373</v>
      </c>
      <c r="L4094" s="2">
        <v>43541.261307870373</v>
      </c>
      <c r="M4094" s="1">
        <f>_xlfn.DAYS(Table1[[#This Row],[actual_delivery_date]],Table1[[#This Row],[dispatch_date]])</f>
        <v>7</v>
      </c>
      <c r="N4094">
        <v>41</v>
      </c>
      <c r="O4094">
        <f>Table1[[#This Row],[transit_storage_cost]] * (1-'What -if Analysis'!$D$26)</f>
        <v>41</v>
      </c>
      <c r="P4094">
        <v>108</v>
      </c>
      <c r="Q4094">
        <v>1261.627756425368</v>
      </c>
    </row>
    <row r="4095" spans="1:17" x14ac:dyDescent="0.3">
      <c r="A4095">
        <v>872621</v>
      </c>
      <c r="B4095" s="1" t="s">
        <v>41</v>
      </c>
      <c r="C4095" s="1" t="s">
        <v>16</v>
      </c>
      <c r="D4095" s="1" t="s">
        <v>17</v>
      </c>
      <c r="E4095" s="1" t="s">
        <v>18</v>
      </c>
      <c r="F4095" s="1" t="s">
        <v>29</v>
      </c>
      <c r="G4095" s="1" t="s">
        <v>20</v>
      </c>
      <c r="H4095" t="s">
        <v>30</v>
      </c>
      <c r="I4095" s="1" t="s">
        <v>22</v>
      </c>
      <c r="J4095" s="2">
        <v>43536.266701388886</v>
      </c>
      <c r="K4095" s="2">
        <v>43544.266701388886</v>
      </c>
      <c r="L4095" s="2">
        <v>43540.266701388886</v>
      </c>
      <c r="M4095" s="1">
        <f>_xlfn.DAYS(Table1[[#This Row],[actual_delivery_date]],Table1[[#This Row],[dispatch_date]])</f>
        <v>8</v>
      </c>
      <c r="N4095">
        <v>47</v>
      </c>
      <c r="O4095">
        <f>Table1[[#This Row],[transit_storage_cost]] * (1-'What -if Analysis'!$D$26)</f>
        <v>47</v>
      </c>
      <c r="P4095">
        <v>115</v>
      </c>
      <c r="Q4095">
        <v>3141.8175826696033</v>
      </c>
    </row>
    <row r="4096" spans="1:17" x14ac:dyDescent="0.3">
      <c r="A4096">
        <v>322106</v>
      </c>
      <c r="B4096" s="1" t="s">
        <v>38</v>
      </c>
      <c r="C4096" s="1" t="s">
        <v>16</v>
      </c>
      <c r="D4096" s="1" t="s">
        <v>24</v>
      </c>
      <c r="E4096" s="1" t="s">
        <v>25</v>
      </c>
      <c r="F4096" s="1" t="s">
        <v>19</v>
      </c>
      <c r="G4096" s="1" t="s">
        <v>20</v>
      </c>
      <c r="H4096" t="s">
        <v>21</v>
      </c>
      <c r="I4096" s="1" t="s">
        <v>22</v>
      </c>
      <c r="J4096" s="2">
        <v>43533.274988425925</v>
      </c>
      <c r="K4096" s="2">
        <v>43544.274988425925</v>
      </c>
      <c r="L4096" s="2">
        <v>43539.274988425925</v>
      </c>
      <c r="M4096" s="1">
        <f>_xlfn.DAYS(Table1[[#This Row],[actual_delivery_date]],Table1[[#This Row],[dispatch_date]])</f>
        <v>11</v>
      </c>
      <c r="N4096">
        <v>79</v>
      </c>
      <c r="O4096">
        <f>Table1[[#This Row],[transit_storage_cost]] * (1-'What -if Analysis'!$D$26)</f>
        <v>79</v>
      </c>
      <c r="P4096">
        <v>106</v>
      </c>
      <c r="Q4096">
        <v>3733.014480477264</v>
      </c>
    </row>
    <row r="4097" spans="1:17" x14ac:dyDescent="0.3">
      <c r="A4097">
        <v>68443</v>
      </c>
      <c r="B4097" s="1" t="s">
        <v>39</v>
      </c>
      <c r="C4097" s="1" t="s">
        <v>16</v>
      </c>
      <c r="D4097" s="1" t="s">
        <v>23</v>
      </c>
      <c r="E4097" s="1" t="s">
        <v>28</v>
      </c>
      <c r="F4097" s="1" t="s">
        <v>29</v>
      </c>
      <c r="G4097" s="1" t="s">
        <v>20</v>
      </c>
      <c r="H4097" t="s">
        <v>30</v>
      </c>
      <c r="I4097" s="1" t="s">
        <v>22</v>
      </c>
      <c r="J4097" s="2">
        <v>43536.286400462966</v>
      </c>
      <c r="K4097" s="2">
        <v>43544.286400462966</v>
      </c>
      <c r="L4097" s="2">
        <v>43539.286400462966</v>
      </c>
      <c r="M4097" s="1">
        <f>_xlfn.DAYS(Table1[[#This Row],[actual_delivery_date]],Table1[[#This Row],[dispatch_date]])</f>
        <v>8</v>
      </c>
      <c r="N4097">
        <v>33</v>
      </c>
      <c r="O4097">
        <f>Table1[[#This Row],[transit_storage_cost]] * (1-'What -if Analysis'!$D$26)</f>
        <v>33</v>
      </c>
      <c r="P4097">
        <v>123</v>
      </c>
      <c r="Q4097">
        <v>3434.5225082564871</v>
      </c>
    </row>
    <row r="4098" spans="1:17" x14ac:dyDescent="0.3">
      <c r="A4098">
        <v>532104</v>
      </c>
      <c r="B4098" s="1" t="s">
        <v>38</v>
      </c>
      <c r="C4098" s="1" t="s">
        <v>16</v>
      </c>
      <c r="D4098" s="1" t="s">
        <v>24</v>
      </c>
      <c r="E4098" s="1" t="s">
        <v>25</v>
      </c>
      <c r="F4098" s="1" t="s">
        <v>19</v>
      </c>
      <c r="G4098" s="1" t="s">
        <v>20</v>
      </c>
      <c r="H4098" t="s">
        <v>21</v>
      </c>
      <c r="I4098" s="1" t="s">
        <v>26</v>
      </c>
      <c r="J4098" s="2">
        <v>43535.297523148147</v>
      </c>
      <c r="K4098" s="2">
        <v>43544.297523148147</v>
      </c>
      <c r="L4098" s="2">
        <v>43542.297523148147</v>
      </c>
      <c r="M4098" s="1">
        <f>_xlfn.DAYS(Table1[[#This Row],[actual_delivery_date]],Table1[[#This Row],[dispatch_date]])</f>
        <v>9</v>
      </c>
      <c r="N4098">
        <v>48</v>
      </c>
      <c r="O4098">
        <f>Table1[[#This Row],[transit_storage_cost]] * (1-'What -if Analysis'!$D$26)</f>
        <v>48</v>
      </c>
      <c r="P4098">
        <v>126</v>
      </c>
      <c r="Q4098">
        <v>2469.8335059346091</v>
      </c>
    </row>
    <row r="4099" spans="1:17" x14ac:dyDescent="0.3">
      <c r="A4099">
        <v>624881</v>
      </c>
      <c r="B4099" s="1" t="s">
        <v>40</v>
      </c>
      <c r="C4099" s="1" t="s">
        <v>16</v>
      </c>
      <c r="D4099" s="1" t="s">
        <v>17</v>
      </c>
      <c r="E4099" s="1" t="s">
        <v>18</v>
      </c>
      <c r="F4099" s="1" t="s">
        <v>29</v>
      </c>
      <c r="G4099" s="1" t="s">
        <v>20</v>
      </c>
      <c r="H4099" t="s">
        <v>30</v>
      </c>
      <c r="I4099" s="1" t="s">
        <v>22</v>
      </c>
      <c r="J4099" s="2">
        <v>43537.303472222222</v>
      </c>
      <c r="K4099" s="2">
        <v>43544.303472222222</v>
      </c>
      <c r="L4099" s="2">
        <v>43542.303472222222</v>
      </c>
      <c r="M4099" s="1">
        <f>_xlfn.DAYS(Table1[[#This Row],[actual_delivery_date]],Table1[[#This Row],[dispatch_date]])</f>
        <v>7</v>
      </c>
      <c r="N4099">
        <v>39</v>
      </c>
      <c r="O4099">
        <f>Table1[[#This Row],[transit_storage_cost]] * (1-'What -if Analysis'!$D$26)</f>
        <v>39</v>
      </c>
      <c r="P4099">
        <v>110</v>
      </c>
      <c r="Q4099">
        <v>1537.3403414560044</v>
      </c>
    </row>
    <row r="4100" spans="1:17" x14ac:dyDescent="0.3">
      <c r="A4100">
        <v>819914</v>
      </c>
      <c r="B4100" s="1" t="s">
        <v>41</v>
      </c>
      <c r="C4100" s="1" t="s">
        <v>23</v>
      </c>
      <c r="D4100" s="1" t="s">
        <v>17</v>
      </c>
      <c r="E4100" s="1" t="s">
        <v>18</v>
      </c>
      <c r="F4100" s="1" t="s">
        <v>31</v>
      </c>
      <c r="G4100" s="1" t="s">
        <v>20</v>
      </c>
      <c r="H4100" t="s">
        <v>21</v>
      </c>
      <c r="I4100" s="1" t="s">
        <v>22</v>
      </c>
      <c r="J4100" s="2">
        <v>43538.308831018519</v>
      </c>
      <c r="K4100" s="2">
        <v>43544.308831018519</v>
      </c>
      <c r="L4100" s="2">
        <v>43545.308831018519</v>
      </c>
      <c r="M4100" s="1">
        <f>_xlfn.DAYS(Table1[[#This Row],[actual_delivery_date]],Table1[[#This Row],[dispatch_date]])</f>
        <v>6</v>
      </c>
      <c r="N4100">
        <v>41</v>
      </c>
      <c r="O4100">
        <f>Table1[[#This Row],[transit_storage_cost]] * (1-'What -if Analysis'!$D$26)</f>
        <v>41</v>
      </c>
      <c r="P4100">
        <v>105</v>
      </c>
      <c r="Q4100">
        <v>2431</v>
      </c>
    </row>
    <row r="4101" spans="1:17" x14ac:dyDescent="0.3">
      <c r="A4101">
        <v>169383</v>
      </c>
      <c r="B4101" s="1" t="s">
        <v>38</v>
      </c>
      <c r="C4101" s="1" t="s">
        <v>23</v>
      </c>
      <c r="D4101" s="1" t="s">
        <v>23</v>
      </c>
      <c r="E4101" s="1" t="s">
        <v>28</v>
      </c>
      <c r="F4101" s="1" t="s">
        <v>29</v>
      </c>
      <c r="G4101" s="1" t="s">
        <v>20</v>
      </c>
      <c r="H4101" t="s">
        <v>30</v>
      </c>
      <c r="I4101" s="1" t="s">
        <v>26</v>
      </c>
      <c r="J4101" s="2">
        <v>43538.312650462962</v>
      </c>
      <c r="K4101" s="2">
        <v>43544.312650462962</v>
      </c>
      <c r="L4101" s="2">
        <v>43543.312650462962</v>
      </c>
      <c r="M4101" s="1">
        <f>_xlfn.DAYS(Table1[[#This Row],[actual_delivery_date]],Table1[[#This Row],[dispatch_date]])</f>
        <v>6</v>
      </c>
      <c r="N4101">
        <v>0</v>
      </c>
      <c r="O4101">
        <f>Table1[[#This Row],[transit_storage_cost]] * (1-'What -if Analysis'!$D$26)</f>
        <v>0</v>
      </c>
      <c r="P4101">
        <v>128</v>
      </c>
      <c r="Q4101">
        <v>2981.7448138547561</v>
      </c>
    </row>
    <row r="4102" spans="1:17" x14ac:dyDescent="0.3">
      <c r="A4102">
        <v>795377</v>
      </c>
      <c r="B4102" s="1" t="s">
        <v>40</v>
      </c>
      <c r="C4102" s="1" t="s">
        <v>16</v>
      </c>
      <c r="D4102" s="1" t="s">
        <v>24</v>
      </c>
      <c r="E4102" s="1" t="s">
        <v>25</v>
      </c>
      <c r="F4102" s="1" t="s">
        <v>29</v>
      </c>
      <c r="G4102" s="1" t="s">
        <v>36</v>
      </c>
      <c r="H4102" t="s">
        <v>30</v>
      </c>
      <c r="I4102" s="1" t="s">
        <v>22</v>
      </c>
      <c r="J4102" s="2">
        <v>43537.345358796294</v>
      </c>
      <c r="K4102" s="2">
        <v>43544.345358796294</v>
      </c>
      <c r="L4102" s="2">
        <v>43541.345358796294</v>
      </c>
      <c r="M4102" s="1">
        <f>_xlfn.DAYS(Table1[[#This Row],[actual_delivery_date]],Table1[[#This Row],[dispatch_date]])</f>
        <v>7</v>
      </c>
      <c r="N4102">
        <v>35</v>
      </c>
      <c r="O4102">
        <f>Table1[[#This Row],[transit_storage_cost]] * (1-'What -if Analysis'!$D$26)</f>
        <v>35</v>
      </c>
      <c r="P4102">
        <v>124</v>
      </c>
      <c r="Q4102">
        <v>726</v>
      </c>
    </row>
    <row r="4103" spans="1:17" x14ac:dyDescent="0.3">
      <c r="A4103">
        <v>104107</v>
      </c>
      <c r="B4103" s="1" t="s">
        <v>40</v>
      </c>
      <c r="C4103" s="1" t="s">
        <v>23</v>
      </c>
      <c r="D4103" s="1" t="s">
        <v>16</v>
      </c>
      <c r="E4103" s="1" t="s">
        <v>27</v>
      </c>
      <c r="F4103" s="1" t="s">
        <v>29</v>
      </c>
      <c r="G4103" s="1" t="s">
        <v>20</v>
      </c>
      <c r="H4103" t="s">
        <v>30</v>
      </c>
      <c r="I4103" s="1" t="s">
        <v>22</v>
      </c>
      <c r="J4103" s="2">
        <v>43536.345486111109</v>
      </c>
      <c r="K4103" s="2">
        <v>43544.345486111109</v>
      </c>
      <c r="L4103" s="2">
        <v>43540.345486111109</v>
      </c>
      <c r="M4103" s="1">
        <f>_xlfn.DAYS(Table1[[#This Row],[actual_delivery_date]],Table1[[#This Row],[dispatch_date]])</f>
        <v>8</v>
      </c>
      <c r="N4103">
        <v>25</v>
      </c>
      <c r="O4103">
        <f>Table1[[#This Row],[transit_storage_cost]] * (1-'What -if Analysis'!$D$26)</f>
        <v>25</v>
      </c>
      <c r="P4103">
        <v>127</v>
      </c>
      <c r="Q4103">
        <v>1083.728860445548</v>
      </c>
    </row>
    <row r="4104" spans="1:17" x14ac:dyDescent="0.3">
      <c r="A4104">
        <v>177852</v>
      </c>
      <c r="B4104" s="1" t="s">
        <v>37</v>
      </c>
      <c r="C4104" s="1" t="s">
        <v>23</v>
      </c>
      <c r="D4104" s="1" t="s">
        <v>17</v>
      </c>
      <c r="E4104" s="1" t="s">
        <v>18</v>
      </c>
      <c r="F4104" s="1" t="s">
        <v>19</v>
      </c>
      <c r="G4104" s="1" t="s">
        <v>20</v>
      </c>
      <c r="H4104" t="s">
        <v>21</v>
      </c>
      <c r="I4104" s="1" t="s">
        <v>26</v>
      </c>
      <c r="J4104" s="2">
        <v>43538.348043981481</v>
      </c>
      <c r="K4104" s="2">
        <v>43544.348043981481</v>
      </c>
      <c r="L4104" s="2">
        <v>43542.348043981481</v>
      </c>
      <c r="M4104" s="1">
        <f>_xlfn.DAYS(Table1[[#This Row],[actual_delivery_date]],Table1[[#This Row],[dispatch_date]])</f>
        <v>6</v>
      </c>
      <c r="N4104">
        <v>29</v>
      </c>
      <c r="O4104">
        <f>Table1[[#This Row],[transit_storage_cost]] * (1-'What -if Analysis'!$D$26)</f>
        <v>29</v>
      </c>
      <c r="P4104">
        <v>111</v>
      </c>
      <c r="Q4104">
        <v>2746</v>
      </c>
    </row>
    <row r="4105" spans="1:17" x14ac:dyDescent="0.3">
      <c r="A4105">
        <v>816689</v>
      </c>
      <c r="B4105" s="1" t="s">
        <v>40</v>
      </c>
      <c r="C4105" s="1" t="s">
        <v>16</v>
      </c>
      <c r="D4105" s="1" t="s">
        <v>17</v>
      </c>
      <c r="E4105" s="1" t="s">
        <v>18</v>
      </c>
      <c r="F4105" s="1" t="s">
        <v>29</v>
      </c>
      <c r="G4105" s="1" t="s">
        <v>20</v>
      </c>
      <c r="H4105" t="s">
        <v>30</v>
      </c>
      <c r="I4105" s="1" t="s">
        <v>22</v>
      </c>
      <c r="J4105" s="2">
        <v>43537.349849537037</v>
      </c>
      <c r="K4105" s="2">
        <v>43544.349849537037</v>
      </c>
      <c r="L4105" s="2">
        <v>43543.349849537037</v>
      </c>
      <c r="M4105" s="1">
        <f>_xlfn.DAYS(Table1[[#This Row],[actual_delivery_date]],Table1[[#This Row],[dispatch_date]])</f>
        <v>7</v>
      </c>
      <c r="N4105">
        <v>29</v>
      </c>
      <c r="O4105">
        <f>Table1[[#This Row],[transit_storage_cost]] * (1-'What -if Analysis'!$D$26)</f>
        <v>29</v>
      </c>
      <c r="P4105">
        <v>111</v>
      </c>
      <c r="Q4105">
        <v>3625.9009615298442</v>
      </c>
    </row>
    <row r="4106" spans="1:17" x14ac:dyDescent="0.3">
      <c r="A4106">
        <v>585254</v>
      </c>
      <c r="B4106" s="1" t="s">
        <v>37</v>
      </c>
      <c r="C4106" s="1" t="s">
        <v>16</v>
      </c>
      <c r="D4106" s="1" t="s">
        <v>16</v>
      </c>
      <c r="E4106" s="1" t="s">
        <v>27</v>
      </c>
      <c r="F4106" s="1" t="s">
        <v>31</v>
      </c>
      <c r="G4106" s="1" t="s">
        <v>20</v>
      </c>
      <c r="H4106" t="s">
        <v>21</v>
      </c>
      <c r="I4106" s="1" t="s">
        <v>22</v>
      </c>
      <c r="J4106" s="2">
        <v>43537.354664351849</v>
      </c>
      <c r="K4106" s="2">
        <v>43544.354664351849</v>
      </c>
      <c r="L4106" s="2">
        <v>43540.354664351849</v>
      </c>
      <c r="M4106" s="1">
        <f>_xlfn.DAYS(Table1[[#This Row],[actual_delivery_date]],Table1[[#This Row],[dispatch_date]])</f>
        <v>7</v>
      </c>
      <c r="N4106">
        <v>0</v>
      </c>
      <c r="O4106">
        <f>Table1[[#This Row],[transit_storage_cost]] * (1-'What -if Analysis'!$D$26)</f>
        <v>0</v>
      </c>
      <c r="P4106">
        <v>123</v>
      </c>
      <c r="Q4106">
        <v>1494</v>
      </c>
    </row>
    <row r="4107" spans="1:17" x14ac:dyDescent="0.3">
      <c r="A4107">
        <v>31702</v>
      </c>
      <c r="B4107" s="1" t="s">
        <v>37</v>
      </c>
      <c r="C4107" s="1" t="s">
        <v>23</v>
      </c>
      <c r="D4107" s="1" t="s">
        <v>23</v>
      </c>
      <c r="E4107" s="1" t="s">
        <v>28</v>
      </c>
      <c r="F4107" s="1" t="s">
        <v>31</v>
      </c>
      <c r="G4107" s="1" t="s">
        <v>20</v>
      </c>
      <c r="H4107" t="s">
        <v>21</v>
      </c>
      <c r="I4107" s="1" t="s">
        <v>22</v>
      </c>
      <c r="J4107" s="2">
        <v>43538.372372685182</v>
      </c>
      <c r="K4107" s="2">
        <v>43544.372372685182</v>
      </c>
      <c r="L4107" s="2">
        <v>43543.372372685182</v>
      </c>
      <c r="M4107" s="1">
        <f>_xlfn.DAYS(Table1[[#This Row],[actual_delivery_date]],Table1[[#This Row],[dispatch_date]])</f>
        <v>6</v>
      </c>
      <c r="N4107">
        <v>0</v>
      </c>
      <c r="O4107">
        <f>Table1[[#This Row],[transit_storage_cost]] * (1-'What -if Analysis'!$D$26)</f>
        <v>0</v>
      </c>
      <c r="P4107">
        <v>121</v>
      </c>
      <c r="Q4107">
        <v>1192.4088161996308</v>
      </c>
    </row>
    <row r="4108" spans="1:17" x14ac:dyDescent="0.3">
      <c r="A4108">
        <v>2139</v>
      </c>
      <c r="B4108" s="1" t="s">
        <v>37</v>
      </c>
      <c r="C4108" s="1" t="s">
        <v>16</v>
      </c>
      <c r="D4108" s="1" t="s">
        <v>16</v>
      </c>
      <c r="E4108" s="1" t="s">
        <v>27</v>
      </c>
      <c r="F4108" s="1" t="s">
        <v>29</v>
      </c>
      <c r="G4108" s="1" t="s">
        <v>20</v>
      </c>
      <c r="H4108" t="s">
        <v>30</v>
      </c>
      <c r="I4108" s="1" t="s">
        <v>26</v>
      </c>
      <c r="J4108" s="2">
        <v>43537.409988425927</v>
      </c>
      <c r="K4108" s="2">
        <v>43544.409988425927</v>
      </c>
      <c r="L4108" s="2">
        <v>43540.409988425927</v>
      </c>
      <c r="M4108" s="1">
        <f>_xlfn.DAYS(Table1[[#This Row],[actual_delivery_date]],Table1[[#This Row],[dispatch_date]])</f>
        <v>7</v>
      </c>
      <c r="N4108">
        <v>0</v>
      </c>
      <c r="O4108">
        <f>Table1[[#This Row],[transit_storage_cost]] * (1-'What -if Analysis'!$D$26)</f>
        <v>0</v>
      </c>
      <c r="P4108">
        <v>127</v>
      </c>
      <c r="Q4108">
        <v>406.64692478323474</v>
      </c>
    </row>
    <row r="4109" spans="1:17" x14ac:dyDescent="0.3">
      <c r="A4109">
        <v>63343</v>
      </c>
      <c r="B4109" s="1" t="s">
        <v>39</v>
      </c>
      <c r="C4109" s="1" t="s">
        <v>16</v>
      </c>
      <c r="D4109" s="1" t="s">
        <v>24</v>
      </c>
      <c r="E4109" s="1" t="s">
        <v>25</v>
      </c>
      <c r="F4109" s="1" t="s">
        <v>19</v>
      </c>
      <c r="G4109" s="1" t="s">
        <v>20</v>
      </c>
      <c r="H4109" t="s">
        <v>34</v>
      </c>
      <c r="I4109" s="1" t="s">
        <v>22</v>
      </c>
      <c r="J4109" s="2">
        <v>43537.414363425924</v>
      </c>
      <c r="K4109" s="2">
        <v>43544.414363425924</v>
      </c>
      <c r="L4109" s="2">
        <v>43540.414363425924</v>
      </c>
      <c r="M4109" s="1">
        <f>_xlfn.DAYS(Table1[[#This Row],[actual_delivery_date]],Table1[[#This Row],[dispatch_date]])</f>
        <v>7</v>
      </c>
      <c r="N4109">
        <v>72</v>
      </c>
      <c r="O4109">
        <f>Table1[[#This Row],[transit_storage_cost]] * (1-'What -if Analysis'!$D$26)</f>
        <v>72</v>
      </c>
      <c r="P4109">
        <v>101</v>
      </c>
      <c r="Q4109">
        <v>1478.9352181272654</v>
      </c>
    </row>
    <row r="4110" spans="1:17" x14ac:dyDescent="0.3">
      <c r="A4110">
        <v>665527</v>
      </c>
      <c r="B4110" s="1" t="s">
        <v>41</v>
      </c>
      <c r="C4110" s="1" t="s">
        <v>23</v>
      </c>
      <c r="D4110" s="1" t="s">
        <v>16</v>
      </c>
      <c r="E4110" s="1" t="s">
        <v>27</v>
      </c>
      <c r="F4110" s="1" t="s">
        <v>19</v>
      </c>
      <c r="G4110" s="1" t="s">
        <v>20</v>
      </c>
      <c r="H4110" t="s">
        <v>30</v>
      </c>
      <c r="I4110" s="1" t="s">
        <v>22</v>
      </c>
      <c r="J4110" s="2">
        <v>43538.431504629632</v>
      </c>
      <c r="K4110" s="2">
        <v>43544.431504629632</v>
      </c>
      <c r="L4110" s="2">
        <v>43543.431504629632</v>
      </c>
      <c r="M4110" s="1">
        <f>_xlfn.DAYS(Table1[[#This Row],[actual_delivery_date]],Table1[[#This Row],[dispatch_date]])</f>
        <v>6</v>
      </c>
      <c r="N4110">
        <v>72</v>
      </c>
      <c r="O4110">
        <f>Table1[[#This Row],[transit_storage_cost]] * (1-'What -if Analysis'!$D$26)</f>
        <v>72</v>
      </c>
      <c r="P4110">
        <v>110</v>
      </c>
      <c r="Q4110">
        <v>2773.4603297184453</v>
      </c>
    </row>
    <row r="4111" spans="1:17" x14ac:dyDescent="0.3">
      <c r="A4111">
        <v>260314</v>
      </c>
      <c r="B4111" s="1" t="s">
        <v>37</v>
      </c>
      <c r="C4111" s="1" t="s">
        <v>16</v>
      </c>
      <c r="D4111" s="1" t="s">
        <v>32</v>
      </c>
      <c r="E4111" s="1" t="s">
        <v>33</v>
      </c>
      <c r="F4111" s="1" t="s">
        <v>19</v>
      </c>
      <c r="G4111" s="1" t="s">
        <v>20</v>
      </c>
      <c r="H4111" t="s">
        <v>21</v>
      </c>
      <c r="I4111" s="1" t="s">
        <v>22</v>
      </c>
      <c r="J4111" s="2">
        <v>43535.434050925927</v>
      </c>
      <c r="K4111" s="2">
        <v>43544.434050925927</v>
      </c>
      <c r="L4111" s="2">
        <v>43538.434050925927</v>
      </c>
      <c r="M4111" s="1">
        <f>_xlfn.DAYS(Table1[[#This Row],[actual_delivery_date]],Table1[[#This Row],[dispatch_date]])</f>
        <v>9</v>
      </c>
      <c r="N4111">
        <v>78</v>
      </c>
      <c r="O4111">
        <f>Table1[[#This Row],[transit_storage_cost]] * (1-'What -if Analysis'!$D$26)</f>
        <v>78</v>
      </c>
      <c r="P4111">
        <v>91</v>
      </c>
      <c r="Q4111">
        <v>640.45225092922112</v>
      </c>
    </row>
    <row r="4112" spans="1:17" x14ac:dyDescent="0.3">
      <c r="A4112">
        <v>691659</v>
      </c>
      <c r="B4112" s="1" t="s">
        <v>38</v>
      </c>
      <c r="C4112" s="1" t="s">
        <v>16</v>
      </c>
      <c r="D4112" s="1" t="s">
        <v>24</v>
      </c>
      <c r="E4112" s="1" t="s">
        <v>25</v>
      </c>
      <c r="F4112" s="1" t="s">
        <v>19</v>
      </c>
      <c r="G4112" s="1" t="s">
        <v>20</v>
      </c>
      <c r="H4112" t="s">
        <v>30</v>
      </c>
      <c r="I4112" s="1" t="s">
        <v>26</v>
      </c>
      <c r="J4112" s="2">
        <v>43533.435937499999</v>
      </c>
      <c r="K4112" s="2">
        <v>43544.435937499999</v>
      </c>
      <c r="L4112" s="2">
        <v>43536.435937499999</v>
      </c>
      <c r="M4112" s="1">
        <f>_xlfn.DAYS(Table1[[#This Row],[actual_delivery_date]],Table1[[#This Row],[dispatch_date]])</f>
        <v>11</v>
      </c>
      <c r="N4112">
        <v>75</v>
      </c>
      <c r="O4112">
        <f>Table1[[#This Row],[transit_storage_cost]] * (1-'What -if Analysis'!$D$26)</f>
        <v>75</v>
      </c>
      <c r="P4112">
        <v>102</v>
      </c>
      <c r="Q4112">
        <v>3022.5512179685311</v>
      </c>
    </row>
    <row r="4113" spans="1:17" x14ac:dyDescent="0.3">
      <c r="A4113">
        <v>530763</v>
      </c>
      <c r="B4113" s="1" t="s">
        <v>39</v>
      </c>
      <c r="C4113" s="1" t="s">
        <v>23</v>
      </c>
      <c r="D4113" s="1" t="s">
        <v>24</v>
      </c>
      <c r="E4113" s="1" t="s">
        <v>25</v>
      </c>
      <c r="F4113" s="1" t="s">
        <v>19</v>
      </c>
      <c r="G4113" s="1" t="s">
        <v>20</v>
      </c>
      <c r="H4113" t="s">
        <v>30</v>
      </c>
      <c r="I4113" s="1" t="s">
        <v>26</v>
      </c>
      <c r="J4113" s="2">
        <v>43538.443032407406</v>
      </c>
      <c r="K4113" s="2">
        <v>43544.443032407406</v>
      </c>
      <c r="L4113" s="2">
        <v>43542.443032407406</v>
      </c>
      <c r="M4113" s="1">
        <f>_xlfn.DAYS(Table1[[#This Row],[actual_delivery_date]],Table1[[#This Row],[dispatch_date]])</f>
        <v>6</v>
      </c>
      <c r="N4113">
        <v>75</v>
      </c>
      <c r="O4113">
        <f>Table1[[#This Row],[transit_storage_cost]] * (1-'What -if Analysis'!$D$26)</f>
        <v>75</v>
      </c>
      <c r="P4113">
        <v>104</v>
      </c>
      <c r="Q4113">
        <v>1546.9186162415399</v>
      </c>
    </row>
    <row r="4114" spans="1:17" x14ac:dyDescent="0.3">
      <c r="A4114">
        <v>146166</v>
      </c>
      <c r="B4114" s="1" t="s">
        <v>37</v>
      </c>
      <c r="C4114" s="1" t="s">
        <v>16</v>
      </c>
      <c r="D4114" s="1" t="s">
        <v>23</v>
      </c>
      <c r="E4114" s="1" t="s">
        <v>28</v>
      </c>
      <c r="F4114" s="1" t="s">
        <v>31</v>
      </c>
      <c r="G4114" s="1" t="s">
        <v>20</v>
      </c>
      <c r="H4114" t="s">
        <v>21</v>
      </c>
      <c r="I4114" s="1" t="s">
        <v>26</v>
      </c>
      <c r="J4114" s="2">
        <v>43537.460312499999</v>
      </c>
      <c r="K4114" s="2">
        <v>43544.460312499999</v>
      </c>
      <c r="L4114" s="2">
        <v>43543.460312499999</v>
      </c>
      <c r="M4114" s="1">
        <f>_xlfn.DAYS(Table1[[#This Row],[actual_delivery_date]],Table1[[#This Row],[dispatch_date]])</f>
        <v>7</v>
      </c>
      <c r="N4114">
        <v>29</v>
      </c>
      <c r="O4114">
        <f>Table1[[#This Row],[transit_storage_cost]] * (1-'What -if Analysis'!$D$26)</f>
        <v>29</v>
      </c>
      <c r="P4114">
        <v>128</v>
      </c>
      <c r="Q4114">
        <v>2994.2550435725248</v>
      </c>
    </row>
    <row r="4115" spans="1:17" x14ac:dyDescent="0.3">
      <c r="A4115">
        <v>7475</v>
      </c>
      <c r="B4115" s="1" t="s">
        <v>40</v>
      </c>
      <c r="C4115" s="1" t="s">
        <v>16</v>
      </c>
      <c r="D4115" s="1" t="s">
        <v>23</v>
      </c>
      <c r="E4115" s="1" t="s">
        <v>28</v>
      </c>
      <c r="F4115" s="1" t="s">
        <v>29</v>
      </c>
      <c r="G4115" s="1" t="s">
        <v>20</v>
      </c>
      <c r="H4115" t="s">
        <v>30</v>
      </c>
      <c r="I4115" s="1" t="s">
        <v>22</v>
      </c>
      <c r="J4115" s="2">
        <v>43538.461423611108</v>
      </c>
      <c r="K4115" s="2">
        <v>43544.461423611108</v>
      </c>
      <c r="L4115" s="2">
        <v>43543.461423611108</v>
      </c>
      <c r="M4115" s="1">
        <f>_xlfn.DAYS(Table1[[#This Row],[actual_delivery_date]],Table1[[#This Row],[dispatch_date]])</f>
        <v>6</v>
      </c>
      <c r="N4115">
        <v>33</v>
      </c>
      <c r="O4115">
        <f>Table1[[#This Row],[transit_storage_cost]] * (1-'What -if Analysis'!$D$26)</f>
        <v>33</v>
      </c>
      <c r="P4115">
        <v>122</v>
      </c>
      <c r="Q4115">
        <v>3272.6203403581667</v>
      </c>
    </row>
    <row r="4116" spans="1:17" x14ac:dyDescent="0.3">
      <c r="A4116">
        <v>394360</v>
      </c>
      <c r="B4116" s="1" t="s">
        <v>38</v>
      </c>
      <c r="C4116" s="1" t="s">
        <v>16</v>
      </c>
      <c r="D4116" s="1" t="s">
        <v>24</v>
      </c>
      <c r="E4116" s="1" t="s">
        <v>25</v>
      </c>
      <c r="F4116" s="1" t="s">
        <v>19</v>
      </c>
      <c r="G4116" s="1" t="s">
        <v>20</v>
      </c>
      <c r="H4116" t="s">
        <v>21</v>
      </c>
      <c r="I4116" s="1" t="s">
        <v>22</v>
      </c>
      <c r="J4116" s="2">
        <v>43537.491643518515</v>
      </c>
      <c r="K4116" s="2">
        <v>43544.491643518515</v>
      </c>
      <c r="L4116" s="2">
        <v>43544.491643518515</v>
      </c>
      <c r="M4116" s="1">
        <f>_xlfn.DAYS(Table1[[#This Row],[actual_delivery_date]],Table1[[#This Row],[dispatch_date]])</f>
        <v>7</v>
      </c>
      <c r="N4116">
        <v>44</v>
      </c>
      <c r="O4116">
        <f>Table1[[#This Row],[transit_storage_cost]] * (1-'What -if Analysis'!$D$26)</f>
        <v>44</v>
      </c>
      <c r="P4116">
        <v>122</v>
      </c>
      <c r="Q4116">
        <v>1633</v>
      </c>
    </row>
    <row r="4117" spans="1:17" x14ac:dyDescent="0.3">
      <c r="A4117">
        <v>285284</v>
      </c>
      <c r="B4117" s="1" t="s">
        <v>37</v>
      </c>
      <c r="C4117" s="1" t="s">
        <v>23</v>
      </c>
      <c r="D4117" s="1" t="s">
        <v>17</v>
      </c>
      <c r="E4117" s="1" t="s">
        <v>18</v>
      </c>
      <c r="F4117" s="1" t="s">
        <v>19</v>
      </c>
      <c r="G4117" s="1" t="s">
        <v>20</v>
      </c>
      <c r="H4117" t="s">
        <v>21</v>
      </c>
      <c r="I4117" s="1" t="s">
        <v>22</v>
      </c>
      <c r="J4117" s="2">
        <v>43538.498391203706</v>
      </c>
      <c r="K4117" s="2">
        <v>43544.498391203706</v>
      </c>
      <c r="L4117" s="2">
        <v>43544.498391203706</v>
      </c>
      <c r="M4117" s="1">
        <f>_xlfn.DAYS(Table1[[#This Row],[actual_delivery_date]],Table1[[#This Row],[dispatch_date]])</f>
        <v>6</v>
      </c>
      <c r="N4117">
        <v>27</v>
      </c>
      <c r="O4117">
        <f>Table1[[#This Row],[transit_storage_cost]] * (1-'What -if Analysis'!$D$26)</f>
        <v>27</v>
      </c>
      <c r="P4117">
        <v>110</v>
      </c>
      <c r="Q4117">
        <v>3066</v>
      </c>
    </row>
    <row r="4118" spans="1:17" x14ac:dyDescent="0.3">
      <c r="A4118">
        <v>639883</v>
      </c>
      <c r="B4118" s="1" t="s">
        <v>37</v>
      </c>
      <c r="C4118" s="1" t="s">
        <v>16</v>
      </c>
      <c r="D4118" s="1" t="s">
        <v>17</v>
      </c>
      <c r="E4118" s="1" t="s">
        <v>18</v>
      </c>
      <c r="F4118" s="1" t="s">
        <v>29</v>
      </c>
      <c r="G4118" s="1" t="s">
        <v>20</v>
      </c>
      <c r="H4118" t="s">
        <v>30</v>
      </c>
      <c r="I4118" s="1" t="s">
        <v>22</v>
      </c>
      <c r="J4118" s="2">
        <v>43536.515162037038</v>
      </c>
      <c r="K4118" s="2">
        <v>43544.515162037038</v>
      </c>
      <c r="L4118" s="2">
        <v>43541.515162037038</v>
      </c>
      <c r="M4118" s="1">
        <f>_xlfn.DAYS(Table1[[#This Row],[actual_delivery_date]],Table1[[#This Row],[dispatch_date]])</f>
        <v>8</v>
      </c>
      <c r="N4118">
        <v>36</v>
      </c>
      <c r="O4118">
        <f>Table1[[#This Row],[transit_storage_cost]] * (1-'What -if Analysis'!$D$26)</f>
        <v>36</v>
      </c>
      <c r="P4118">
        <v>108</v>
      </c>
      <c r="Q4118">
        <v>2504</v>
      </c>
    </row>
    <row r="4119" spans="1:17" x14ac:dyDescent="0.3">
      <c r="A4119">
        <v>42973</v>
      </c>
      <c r="B4119" s="1" t="s">
        <v>39</v>
      </c>
      <c r="C4119" s="1" t="s">
        <v>23</v>
      </c>
      <c r="D4119" s="1" t="s">
        <v>16</v>
      </c>
      <c r="E4119" s="1" t="s">
        <v>27</v>
      </c>
      <c r="F4119" s="1" t="s">
        <v>29</v>
      </c>
      <c r="G4119" s="1" t="s">
        <v>20</v>
      </c>
      <c r="H4119" t="s">
        <v>34</v>
      </c>
      <c r="I4119" s="1" t="s">
        <v>22</v>
      </c>
      <c r="J4119" s="2">
        <v>43535.518391203703</v>
      </c>
      <c r="K4119" s="2">
        <v>43544.518391203703</v>
      </c>
      <c r="L4119" s="2">
        <v>43540.518391203703</v>
      </c>
      <c r="M4119" s="1">
        <f>_xlfn.DAYS(Table1[[#This Row],[actual_delivery_date]],Table1[[#This Row],[dispatch_date]])</f>
        <v>9</v>
      </c>
      <c r="N4119">
        <v>47</v>
      </c>
      <c r="O4119">
        <f>Table1[[#This Row],[transit_storage_cost]] * (1-'What -if Analysis'!$D$26)</f>
        <v>47</v>
      </c>
      <c r="P4119">
        <v>128</v>
      </c>
      <c r="Q4119">
        <v>2010.839083632284</v>
      </c>
    </row>
    <row r="4120" spans="1:17" x14ac:dyDescent="0.3">
      <c r="A4120">
        <v>862433</v>
      </c>
      <c r="B4120" s="1" t="s">
        <v>15</v>
      </c>
      <c r="C4120" s="1" t="s">
        <v>16</v>
      </c>
      <c r="D4120" s="1" t="s">
        <v>17</v>
      </c>
      <c r="E4120" s="1" t="s">
        <v>18</v>
      </c>
      <c r="F4120" s="1" t="s">
        <v>29</v>
      </c>
      <c r="G4120" s="1" t="s">
        <v>36</v>
      </c>
      <c r="H4120" t="s">
        <v>30</v>
      </c>
      <c r="I4120" s="1" t="s">
        <v>22</v>
      </c>
      <c r="J4120" s="2">
        <v>43536.566979166666</v>
      </c>
      <c r="K4120" s="2">
        <v>43544.566979166666</v>
      </c>
      <c r="L4120" s="2">
        <v>43541.566979166666</v>
      </c>
      <c r="M4120" s="1">
        <f>_xlfn.DAYS(Table1[[#This Row],[actual_delivery_date]],Table1[[#This Row],[dispatch_date]])</f>
        <v>8</v>
      </c>
      <c r="N4120">
        <v>42</v>
      </c>
      <c r="O4120">
        <f>Table1[[#This Row],[transit_storage_cost]] * (1-'What -if Analysis'!$D$26)</f>
        <v>42</v>
      </c>
      <c r="P4120">
        <v>109</v>
      </c>
      <c r="Q4120">
        <v>745.33174394550224</v>
      </c>
    </row>
    <row r="4121" spans="1:17" x14ac:dyDescent="0.3">
      <c r="A4121">
        <v>989105</v>
      </c>
      <c r="B4121" s="1" t="s">
        <v>38</v>
      </c>
      <c r="C4121" s="1" t="s">
        <v>23</v>
      </c>
      <c r="D4121" s="1" t="s">
        <v>16</v>
      </c>
      <c r="E4121" s="1" t="s">
        <v>27</v>
      </c>
      <c r="F4121" s="1" t="s">
        <v>29</v>
      </c>
      <c r="G4121" s="1" t="s">
        <v>20</v>
      </c>
      <c r="H4121" t="s">
        <v>30</v>
      </c>
      <c r="I4121" s="1" t="s">
        <v>22</v>
      </c>
      <c r="J4121" s="2">
        <v>43535.577847222223</v>
      </c>
      <c r="K4121" s="2">
        <v>43544.577847222223</v>
      </c>
      <c r="L4121" s="2">
        <v>43539.577847222223</v>
      </c>
      <c r="M4121" s="1">
        <f>_xlfn.DAYS(Table1[[#This Row],[actual_delivery_date]],Table1[[#This Row],[dispatch_date]])</f>
        <v>9</v>
      </c>
      <c r="N4121">
        <v>35</v>
      </c>
      <c r="O4121">
        <f>Table1[[#This Row],[transit_storage_cost]] * (1-'What -if Analysis'!$D$26)</f>
        <v>35</v>
      </c>
      <c r="P4121">
        <v>126</v>
      </c>
      <c r="Q4121">
        <v>2062.1433095705715</v>
      </c>
    </row>
    <row r="4122" spans="1:17" x14ac:dyDescent="0.3">
      <c r="A4122">
        <v>875847</v>
      </c>
      <c r="B4122" s="1" t="s">
        <v>38</v>
      </c>
      <c r="C4122" s="1" t="s">
        <v>16</v>
      </c>
      <c r="D4122" s="1" t="s">
        <v>17</v>
      </c>
      <c r="E4122" s="1" t="s">
        <v>18</v>
      </c>
      <c r="F4122" s="1" t="s">
        <v>29</v>
      </c>
      <c r="G4122" s="1" t="s">
        <v>20</v>
      </c>
      <c r="H4122" t="s">
        <v>34</v>
      </c>
      <c r="I4122" s="1" t="s">
        <v>26</v>
      </c>
      <c r="J4122" s="2">
        <v>43537.581030092595</v>
      </c>
      <c r="K4122" s="2">
        <v>43544.581030092595</v>
      </c>
      <c r="L4122" s="2">
        <v>43541.581030092595</v>
      </c>
      <c r="M4122" s="1">
        <f>_xlfn.DAYS(Table1[[#This Row],[actual_delivery_date]],Table1[[#This Row],[dispatch_date]])</f>
        <v>7</v>
      </c>
      <c r="N4122">
        <v>48</v>
      </c>
      <c r="O4122">
        <f>Table1[[#This Row],[transit_storage_cost]] * (1-'What -if Analysis'!$D$26)</f>
        <v>48</v>
      </c>
      <c r="P4122">
        <v>112</v>
      </c>
      <c r="Q4122">
        <v>2198.7378520396551</v>
      </c>
    </row>
    <row r="4123" spans="1:17" x14ac:dyDescent="0.3">
      <c r="A4123">
        <v>790878</v>
      </c>
      <c r="B4123" s="1" t="s">
        <v>15</v>
      </c>
      <c r="C4123" s="1" t="s">
        <v>23</v>
      </c>
      <c r="D4123" s="1" t="s">
        <v>17</v>
      </c>
      <c r="E4123" s="1" t="s">
        <v>18</v>
      </c>
      <c r="F4123" s="1" t="s">
        <v>31</v>
      </c>
      <c r="G4123" s="1" t="s">
        <v>20</v>
      </c>
      <c r="H4123" t="s">
        <v>21</v>
      </c>
      <c r="I4123" s="1" t="s">
        <v>26</v>
      </c>
      <c r="J4123" s="2">
        <v>43536.584050925929</v>
      </c>
      <c r="K4123" s="2">
        <v>43544.584050925929</v>
      </c>
      <c r="L4123" s="2">
        <v>43543.584050925929</v>
      </c>
      <c r="M4123" s="1">
        <f>_xlfn.DAYS(Table1[[#This Row],[actual_delivery_date]],Table1[[#This Row],[dispatch_date]])</f>
        <v>8</v>
      </c>
      <c r="N4123">
        <v>46</v>
      </c>
      <c r="O4123">
        <f>Table1[[#This Row],[transit_storage_cost]] * (1-'What -if Analysis'!$D$26)</f>
        <v>46</v>
      </c>
      <c r="P4123">
        <v>106</v>
      </c>
      <c r="Q4123">
        <v>1060.9570758141151</v>
      </c>
    </row>
    <row r="4124" spans="1:17" x14ac:dyDescent="0.3">
      <c r="A4124">
        <v>90979</v>
      </c>
      <c r="B4124" s="1" t="s">
        <v>38</v>
      </c>
      <c r="C4124" s="1" t="s">
        <v>23</v>
      </c>
      <c r="D4124" s="1" t="s">
        <v>23</v>
      </c>
      <c r="E4124" s="1" t="s">
        <v>28</v>
      </c>
      <c r="F4124" s="1" t="s">
        <v>29</v>
      </c>
      <c r="G4124" s="1" t="s">
        <v>20</v>
      </c>
      <c r="H4124" t="s">
        <v>34</v>
      </c>
      <c r="I4124" s="1" t="s">
        <v>22</v>
      </c>
      <c r="J4124" s="2">
        <v>43538.585555555554</v>
      </c>
      <c r="K4124" s="2">
        <v>43544.585555555554</v>
      </c>
      <c r="L4124" s="2">
        <v>43541.585555555554</v>
      </c>
      <c r="M4124" s="1">
        <f>_xlfn.DAYS(Table1[[#This Row],[actual_delivery_date]],Table1[[#This Row],[dispatch_date]])</f>
        <v>6</v>
      </c>
      <c r="N4124">
        <v>0</v>
      </c>
      <c r="O4124">
        <f>Table1[[#This Row],[transit_storage_cost]] * (1-'What -if Analysis'!$D$26)</f>
        <v>0</v>
      </c>
      <c r="P4124">
        <v>122</v>
      </c>
      <c r="Q4124">
        <v>1226.0338030938451</v>
      </c>
    </row>
    <row r="4125" spans="1:17" x14ac:dyDescent="0.3">
      <c r="A4125">
        <v>987538</v>
      </c>
      <c r="B4125" s="1" t="s">
        <v>38</v>
      </c>
      <c r="C4125" s="1" t="s">
        <v>16</v>
      </c>
      <c r="D4125" s="1" t="s">
        <v>16</v>
      </c>
      <c r="E4125" s="1" t="s">
        <v>27</v>
      </c>
      <c r="F4125" s="1" t="s">
        <v>31</v>
      </c>
      <c r="G4125" s="1" t="s">
        <v>20</v>
      </c>
      <c r="H4125" t="s">
        <v>21</v>
      </c>
      <c r="I4125" s="1" t="s">
        <v>22</v>
      </c>
      <c r="J4125" s="2">
        <v>43537.590543981481</v>
      </c>
      <c r="K4125" s="2">
        <v>43544.590543981481</v>
      </c>
      <c r="L4125" s="2">
        <v>43540.590543981481</v>
      </c>
      <c r="M4125" s="1">
        <f>_xlfn.DAYS(Table1[[#This Row],[actual_delivery_date]],Table1[[#This Row],[dispatch_date]])</f>
        <v>7</v>
      </c>
      <c r="N4125">
        <v>0</v>
      </c>
      <c r="O4125">
        <f>Table1[[#This Row],[transit_storage_cost]] * (1-'What -if Analysis'!$D$26)</f>
        <v>0</v>
      </c>
      <c r="P4125">
        <v>130</v>
      </c>
      <c r="Q4125">
        <v>1143.5597485227863</v>
      </c>
    </row>
    <row r="4126" spans="1:17" x14ac:dyDescent="0.3">
      <c r="A4126">
        <v>406327</v>
      </c>
      <c r="B4126" s="1" t="s">
        <v>37</v>
      </c>
      <c r="C4126" s="1" t="s">
        <v>16</v>
      </c>
      <c r="D4126" s="1" t="s">
        <v>23</v>
      </c>
      <c r="E4126" s="1" t="s">
        <v>28</v>
      </c>
      <c r="F4126" s="1" t="s">
        <v>29</v>
      </c>
      <c r="G4126" s="1" t="s">
        <v>20</v>
      </c>
      <c r="H4126" t="s">
        <v>30</v>
      </c>
      <c r="I4126" s="1" t="s">
        <v>22</v>
      </c>
      <c r="J4126" s="2">
        <v>43535.593946759262</v>
      </c>
      <c r="K4126" s="2">
        <v>43544.593946759262</v>
      </c>
      <c r="L4126" s="2">
        <v>43540.593946759262</v>
      </c>
      <c r="M4126" s="1">
        <f>_xlfn.DAYS(Table1[[#This Row],[actual_delivery_date]],Table1[[#This Row],[dispatch_date]])</f>
        <v>9</v>
      </c>
      <c r="N4126">
        <v>40</v>
      </c>
      <c r="O4126">
        <f>Table1[[#This Row],[transit_storage_cost]] * (1-'What -if Analysis'!$D$26)</f>
        <v>40</v>
      </c>
      <c r="P4126">
        <v>126</v>
      </c>
      <c r="Q4126">
        <v>3773.9263092632946</v>
      </c>
    </row>
    <row r="4127" spans="1:17" x14ac:dyDescent="0.3">
      <c r="A4127">
        <v>779664</v>
      </c>
      <c r="B4127" s="1" t="s">
        <v>38</v>
      </c>
      <c r="C4127" s="1" t="s">
        <v>23</v>
      </c>
      <c r="D4127" s="1" t="s">
        <v>24</v>
      </c>
      <c r="E4127" s="1" t="s">
        <v>25</v>
      </c>
      <c r="F4127" s="1" t="s">
        <v>19</v>
      </c>
      <c r="G4127" s="1" t="s">
        <v>20</v>
      </c>
      <c r="H4127" t="s">
        <v>21</v>
      </c>
      <c r="I4127" s="1" t="s">
        <v>26</v>
      </c>
      <c r="J4127" s="2">
        <v>43538.599583333336</v>
      </c>
      <c r="K4127" s="2">
        <v>43544.599583333336</v>
      </c>
      <c r="L4127" s="2">
        <v>43542.599583333336</v>
      </c>
      <c r="M4127" s="1">
        <f>_xlfn.DAYS(Table1[[#This Row],[actual_delivery_date]],Table1[[#This Row],[dispatch_date]])</f>
        <v>6</v>
      </c>
      <c r="N4127">
        <v>27</v>
      </c>
      <c r="O4127">
        <f>Table1[[#This Row],[transit_storage_cost]] * (1-'What -if Analysis'!$D$26)</f>
        <v>27</v>
      </c>
      <c r="P4127">
        <v>128</v>
      </c>
      <c r="Q4127">
        <v>2256.4734623850795</v>
      </c>
    </row>
    <row r="4128" spans="1:17" x14ac:dyDescent="0.3">
      <c r="A4128">
        <v>792770</v>
      </c>
      <c r="B4128" s="1" t="s">
        <v>41</v>
      </c>
      <c r="C4128" s="1" t="s">
        <v>16</v>
      </c>
      <c r="D4128" s="1" t="s">
        <v>17</v>
      </c>
      <c r="E4128" s="1" t="s">
        <v>18</v>
      </c>
      <c r="F4128" s="1" t="s">
        <v>31</v>
      </c>
      <c r="G4128" s="1" t="s">
        <v>20</v>
      </c>
      <c r="H4128" t="s">
        <v>21</v>
      </c>
      <c r="I4128" s="1" t="s">
        <v>22</v>
      </c>
      <c r="J4128" s="2">
        <v>43538.615243055552</v>
      </c>
      <c r="K4128" s="2">
        <v>43544.615243055552</v>
      </c>
      <c r="L4128" s="2">
        <v>43541.615243055552</v>
      </c>
      <c r="M4128" s="1">
        <f>_xlfn.DAYS(Table1[[#This Row],[actual_delivery_date]],Table1[[#This Row],[dispatch_date]])</f>
        <v>6</v>
      </c>
      <c r="N4128">
        <v>34</v>
      </c>
      <c r="O4128">
        <f>Table1[[#This Row],[transit_storage_cost]] * (1-'What -if Analysis'!$D$26)</f>
        <v>34</v>
      </c>
      <c r="P4128">
        <v>106</v>
      </c>
      <c r="Q4128">
        <v>1916.1798402332297</v>
      </c>
    </row>
    <row r="4129" spans="1:17" x14ac:dyDescent="0.3">
      <c r="A4129">
        <v>630867</v>
      </c>
      <c r="B4129" s="1" t="s">
        <v>38</v>
      </c>
      <c r="C4129" s="1" t="s">
        <v>16</v>
      </c>
      <c r="D4129" s="1" t="s">
        <v>23</v>
      </c>
      <c r="E4129" s="1" t="s">
        <v>28</v>
      </c>
      <c r="F4129" s="1" t="s">
        <v>29</v>
      </c>
      <c r="G4129" s="1" t="s">
        <v>20</v>
      </c>
      <c r="H4129" t="s">
        <v>30</v>
      </c>
      <c r="I4129" s="1" t="s">
        <v>26</v>
      </c>
      <c r="J4129" s="2">
        <v>43535.617569444446</v>
      </c>
      <c r="K4129" s="2">
        <v>43544.617569444446</v>
      </c>
      <c r="L4129" s="2">
        <v>43540.617569444446</v>
      </c>
      <c r="M4129" s="1">
        <f>_xlfn.DAYS(Table1[[#This Row],[actual_delivery_date]],Table1[[#This Row],[dispatch_date]])</f>
        <v>9</v>
      </c>
      <c r="N4129">
        <v>49</v>
      </c>
      <c r="O4129">
        <f>Table1[[#This Row],[transit_storage_cost]] * (1-'What -if Analysis'!$D$26)</f>
        <v>49</v>
      </c>
      <c r="P4129">
        <v>124</v>
      </c>
      <c r="Q4129">
        <v>658.12368740323336</v>
      </c>
    </row>
    <row r="4130" spans="1:17" x14ac:dyDescent="0.3">
      <c r="A4130">
        <v>229262</v>
      </c>
      <c r="B4130" s="1" t="s">
        <v>37</v>
      </c>
      <c r="C4130" s="1" t="s">
        <v>23</v>
      </c>
      <c r="D4130" s="1" t="s">
        <v>16</v>
      </c>
      <c r="E4130" s="1" t="s">
        <v>27</v>
      </c>
      <c r="F4130" s="1" t="s">
        <v>31</v>
      </c>
      <c r="G4130" s="1" t="s">
        <v>20</v>
      </c>
      <c r="H4130" t="s">
        <v>21</v>
      </c>
      <c r="I4130" s="1" t="s">
        <v>22</v>
      </c>
      <c r="J4130" s="2">
        <v>43537.623263888891</v>
      </c>
      <c r="K4130" s="2">
        <v>43544.623263888891</v>
      </c>
      <c r="L4130" s="2">
        <v>43543.623263888891</v>
      </c>
      <c r="M4130" s="1">
        <f>_xlfn.DAYS(Table1[[#This Row],[actual_delivery_date]],Table1[[#This Row],[dispatch_date]])</f>
        <v>7</v>
      </c>
      <c r="N4130">
        <v>34</v>
      </c>
      <c r="O4130">
        <f>Table1[[#This Row],[transit_storage_cost]] * (1-'What -if Analysis'!$D$26)</f>
        <v>34</v>
      </c>
      <c r="P4130">
        <v>124</v>
      </c>
      <c r="Q4130">
        <v>3639.429414758034</v>
      </c>
    </row>
    <row r="4131" spans="1:17" x14ac:dyDescent="0.3">
      <c r="A4131">
        <v>415249</v>
      </c>
      <c r="B4131" s="1" t="s">
        <v>37</v>
      </c>
      <c r="C4131" s="1" t="s">
        <v>16</v>
      </c>
      <c r="D4131" s="1" t="s">
        <v>24</v>
      </c>
      <c r="E4131" s="1" t="s">
        <v>25</v>
      </c>
      <c r="F4131" s="1" t="s">
        <v>19</v>
      </c>
      <c r="G4131" s="1" t="s">
        <v>20</v>
      </c>
      <c r="H4131" t="s">
        <v>30</v>
      </c>
      <c r="I4131" s="1" t="s">
        <v>22</v>
      </c>
      <c r="J4131" s="2">
        <v>43534.631053240744</v>
      </c>
      <c r="K4131" s="2">
        <v>43544.631053240744</v>
      </c>
      <c r="L4131" s="2">
        <v>43540.631053240744</v>
      </c>
      <c r="M4131" s="1">
        <f>_xlfn.DAYS(Table1[[#This Row],[actual_delivery_date]],Table1[[#This Row],[dispatch_date]])</f>
        <v>10</v>
      </c>
      <c r="N4131">
        <v>65</v>
      </c>
      <c r="O4131">
        <f>Table1[[#This Row],[transit_storage_cost]] * (1-'What -if Analysis'!$D$26)</f>
        <v>65</v>
      </c>
      <c r="P4131">
        <v>102</v>
      </c>
      <c r="Q4131">
        <v>212</v>
      </c>
    </row>
    <row r="4132" spans="1:17" x14ac:dyDescent="0.3">
      <c r="A4132">
        <v>553060</v>
      </c>
      <c r="B4132" s="1" t="s">
        <v>38</v>
      </c>
      <c r="C4132" s="1" t="s">
        <v>16</v>
      </c>
      <c r="D4132" s="1" t="s">
        <v>24</v>
      </c>
      <c r="E4132" s="1" t="s">
        <v>25</v>
      </c>
      <c r="F4132" s="1" t="s">
        <v>19</v>
      </c>
      <c r="G4132" s="1" t="s">
        <v>20</v>
      </c>
      <c r="H4132" t="s">
        <v>21</v>
      </c>
      <c r="I4132" s="1" t="s">
        <v>22</v>
      </c>
      <c r="J4132" s="2">
        <v>43534.656157407408</v>
      </c>
      <c r="K4132" s="2">
        <v>43544.656157407408</v>
      </c>
      <c r="L4132" s="2">
        <v>43537.656157407408</v>
      </c>
      <c r="M4132" s="1">
        <f>_xlfn.DAYS(Table1[[#This Row],[actual_delivery_date]],Table1[[#This Row],[dispatch_date]])</f>
        <v>10</v>
      </c>
      <c r="N4132">
        <v>83</v>
      </c>
      <c r="O4132">
        <f>Table1[[#This Row],[transit_storage_cost]] * (1-'What -if Analysis'!$D$26)</f>
        <v>83</v>
      </c>
      <c r="P4132">
        <v>103</v>
      </c>
      <c r="Q4132">
        <v>1186</v>
      </c>
    </row>
    <row r="4133" spans="1:17" x14ac:dyDescent="0.3">
      <c r="A4133">
        <v>819966</v>
      </c>
      <c r="B4133" s="1" t="s">
        <v>38</v>
      </c>
      <c r="C4133" s="1" t="s">
        <v>23</v>
      </c>
      <c r="D4133" s="1" t="s">
        <v>16</v>
      </c>
      <c r="E4133" s="1" t="s">
        <v>27</v>
      </c>
      <c r="F4133" s="1" t="s">
        <v>31</v>
      </c>
      <c r="G4133" s="1" t="s">
        <v>20</v>
      </c>
      <c r="H4133" t="s">
        <v>21</v>
      </c>
      <c r="I4133" s="1" t="s">
        <v>26</v>
      </c>
      <c r="J4133" s="2">
        <v>43537.672071759262</v>
      </c>
      <c r="K4133" s="2">
        <v>43544.672071759262</v>
      </c>
      <c r="L4133" s="2">
        <v>43543.672071759262</v>
      </c>
      <c r="M4133" s="1">
        <f>_xlfn.DAYS(Table1[[#This Row],[actual_delivery_date]],Table1[[#This Row],[dispatch_date]])</f>
        <v>7</v>
      </c>
      <c r="N4133">
        <v>49</v>
      </c>
      <c r="O4133">
        <f>Table1[[#This Row],[transit_storage_cost]] * (1-'What -if Analysis'!$D$26)</f>
        <v>49</v>
      </c>
      <c r="P4133">
        <v>124</v>
      </c>
      <c r="Q4133">
        <v>2963</v>
      </c>
    </row>
    <row r="4134" spans="1:17" x14ac:dyDescent="0.3">
      <c r="A4134">
        <v>756597</v>
      </c>
      <c r="B4134" s="1" t="s">
        <v>37</v>
      </c>
      <c r="C4134" s="1" t="s">
        <v>23</v>
      </c>
      <c r="D4134" s="1" t="s">
        <v>17</v>
      </c>
      <c r="E4134" s="1" t="s">
        <v>18</v>
      </c>
      <c r="F4134" s="1" t="s">
        <v>29</v>
      </c>
      <c r="G4134" s="1" t="s">
        <v>20</v>
      </c>
      <c r="H4134" t="s">
        <v>30</v>
      </c>
      <c r="I4134" s="1" t="s">
        <v>26</v>
      </c>
      <c r="J4134" s="2">
        <v>43537.67224537037</v>
      </c>
      <c r="K4134" s="2">
        <v>43544.67224537037</v>
      </c>
      <c r="L4134" s="2">
        <v>43542.67224537037</v>
      </c>
      <c r="M4134" s="1">
        <f>_xlfn.DAYS(Table1[[#This Row],[actual_delivery_date]],Table1[[#This Row],[dispatch_date]])</f>
        <v>7</v>
      </c>
      <c r="N4134">
        <v>27</v>
      </c>
      <c r="O4134">
        <f>Table1[[#This Row],[transit_storage_cost]] * (1-'What -if Analysis'!$D$26)</f>
        <v>27</v>
      </c>
      <c r="P4134">
        <v>106</v>
      </c>
      <c r="Q4134">
        <v>2026.7149752317723</v>
      </c>
    </row>
    <row r="4135" spans="1:17" x14ac:dyDescent="0.3">
      <c r="A4135">
        <v>583638</v>
      </c>
      <c r="B4135" s="1" t="s">
        <v>39</v>
      </c>
      <c r="C4135" s="1" t="s">
        <v>16</v>
      </c>
      <c r="D4135" s="1" t="s">
        <v>24</v>
      </c>
      <c r="E4135" s="1" t="s">
        <v>25</v>
      </c>
      <c r="F4135" s="1" t="s">
        <v>31</v>
      </c>
      <c r="G4135" s="1" t="s">
        <v>20</v>
      </c>
      <c r="H4135" t="s">
        <v>21</v>
      </c>
      <c r="I4135" s="1" t="s">
        <v>26</v>
      </c>
      <c r="J4135" s="2">
        <v>43537.674571759257</v>
      </c>
      <c r="K4135" s="2">
        <v>43544.674571759257</v>
      </c>
      <c r="L4135" s="2">
        <v>43542.674571759257</v>
      </c>
      <c r="M4135" s="1">
        <f>_xlfn.DAYS(Table1[[#This Row],[actual_delivery_date]],Table1[[#This Row],[dispatch_date]])</f>
        <v>7</v>
      </c>
      <c r="N4135">
        <v>35</v>
      </c>
      <c r="O4135">
        <f>Table1[[#This Row],[transit_storage_cost]] * (1-'What -if Analysis'!$D$26)</f>
        <v>35</v>
      </c>
      <c r="P4135">
        <v>124</v>
      </c>
      <c r="Q4135">
        <v>2873.8057397035459</v>
      </c>
    </row>
    <row r="4136" spans="1:17" x14ac:dyDescent="0.3">
      <c r="A4136">
        <v>52636</v>
      </c>
      <c r="B4136" s="1" t="s">
        <v>38</v>
      </c>
      <c r="C4136" s="1" t="s">
        <v>23</v>
      </c>
      <c r="D4136" s="1" t="s">
        <v>32</v>
      </c>
      <c r="E4136" s="1" t="s">
        <v>33</v>
      </c>
      <c r="F4136" s="1" t="s">
        <v>19</v>
      </c>
      <c r="G4136" s="1" t="s">
        <v>20</v>
      </c>
      <c r="H4136" t="s">
        <v>21</v>
      </c>
      <c r="I4136" s="1" t="s">
        <v>22</v>
      </c>
      <c r="J4136" s="2">
        <v>43537.675150462965</v>
      </c>
      <c r="K4136" s="2">
        <v>43544.675150462965</v>
      </c>
      <c r="L4136" s="2">
        <v>43544.675150462965</v>
      </c>
      <c r="M4136" s="1">
        <f>_xlfn.DAYS(Table1[[#This Row],[actual_delivery_date]],Table1[[#This Row],[dispatch_date]])</f>
        <v>7</v>
      </c>
      <c r="N4136">
        <v>40</v>
      </c>
      <c r="O4136">
        <f>Table1[[#This Row],[transit_storage_cost]] * (1-'What -if Analysis'!$D$26)</f>
        <v>40</v>
      </c>
      <c r="P4136">
        <v>115</v>
      </c>
      <c r="Q4136">
        <v>2564</v>
      </c>
    </row>
    <row r="4137" spans="1:17" x14ac:dyDescent="0.3">
      <c r="A4137">
        <v>200574</v>
      </c>
      <c r="B4137" s="1" t="s">
        <v>38</v>
      </c>
      <c r="C4137" s="1" t="s">
        <v>16</v>
      </c>
      <c r="D4137" s="1" t="s">
        <v>23</v>
      </c>
      <c r="E4137" s="1" t="s">
        <v>28</v>
      </c>
      <c r="F4137" s="1" t="s">
        <v>31</v>
      </c>
      <c r="G4137" s="1" t="s">
        <v>20</v>
      </c>
      <c r="H4137" t="s">
        <v>21</v>
      </c>
      <c r="I4137" s="1" t="s">
        <v>26</v>
      </c>
      <c r="J4137" s="2">
        <v>43537.69427083333</v>
      </c>
      <c r="K4137" s="2">
        <v>43544.69427083333</v>
      </c>
      <c r="L4137" s="2">
        <v>43544.69427083333</v>
      </c>
      <c r="M4137" s="1">
        <f>_xlfn.DAYS(Table1[[#This Row],[actual_delivery_date]],Table1[[#This Row],[dispatch_date]])</f>
        <v>7</v>
      </c>
      <c r="N4137">
        <v>47</v>
      </c>
      <c r="O4137">
        <f>Table1[[#This Row],[transit_storage_cost]] * (1-'What -if Analysis'!$D$26)</f>
        <v>47</v>
      </c>
      <c r="P4137">
        <v>124</v>
      </c>
      <c r="Q4137">
        <v>438.91831927921129</v>
      </c>
    </row>
    <row r="4138" spans="1:17" x14ac:dyDescent="0.3">
      <c r="A4138">
        <v>652389</v>
      </c>
      <c r="B4138" s="1" t="s">
        <v>38</v>
      </c>
      <c r="C4138" s="1" t="s">
        <v>23</v>
      </c>
      <c r="D4138" s="1" t="s">
        <v>23</v>
      </c>
      <c r="E4138" s="1" t="s">
        <v>28</v>
      </c>
      <c r="F4138" s="1" t="s">
        <v>29</v>
      </c>
      <c r="G4138" s="1" t="s">
        <v>20</v>
      </c>
      <c r="H4138" t="s">
        <v>30</v>
      </c>
      <c r="I4138" s="1" t="s">
        <v>26</v>
      </c>
      <c r="J4138" s="2">
        <v>43538.697152777779</v>
      </c>
      <c r="K4138" s="2">
        <v>43544.697152777779</v>
      </c>
      <c r="L4138" s="2">
        <v>43544.697152777779</v>
      </c>
      <c r="M4138" s="1">
        <f>_xlfn.DAYS(Table1[[#This Row],[actual_delivery_date]],Table1[[#This Row],[dispatch_date]])</f>
        <v>6</v>
      </c>
      <c r="N4138">
        <v>0</v>
      </c>
      <c r="O4138">
        <f>Table1[[#This Row],[transit_storage_cost]] * (1-'What -if Analysis'!$D$26)</f>
        <v>0</v>
      </c>
      <c r="P4138">
        <v>121</v>
      </c>
      <c r="Q4138">
        <v>2431.4900606731603</v>
      </c>
    </row>
    <row r="4139" spans="1:17" x14ac:dyDescent="0.3">
      <c r="A4139">
        <v>65737</v>
      </c>
      <c r="B4139" s="1" t="s">
        <v>41</v>
      </c>
      <c r="C4139" s="1" t="s">
        <v>16</v>
      </c>
      <c r="D4139" s="1" t="s">
        <v>17</v>
      </c>
      <c r="E4139" s="1" t="s">
        <v>18</v>
      </c>
      <c r="F4139" s="1" t="s">
        <v>29</v>
      </c>
      <c r="G4139" s="1" t="s">
        <v>20</v>
      </c>
      <c r="H4139" t="s">
        <v>34</v>
      </c>
      <c r="I4139" s="1" t="s">
        <v>22</v>
      </c>
      <c r="J4139" s="2">
        <v>43535.701793981483</v>
      </c>
      <c r="K4139" s="2">
        <v>43544.701793981483</v>
      </c>
      <c r="L4139" s="2">
        <v>43539.701793981483</v>
      </c>
      <c r="M4139" s="1">
        <f>_xlfn.DAYS(Table1[[#This Row],[actual_delivery_date]],Table1[[#This Row],[dispatch_date]])</f>
        <v>9</v>
      </c>
      <c r="N4139">
        <v>42</v>
      </c>
      <c r="O4139">
        <f>Table1[[#This Row],[transit_storage_cost]] * (1-'What -if Analysis'!$D$26)</f>
        <v>42</v>
      </c>
      <c r="P4139">
        <v>112</v>
      </c>
      <c r="Q4139">
        <v>1611.3838977211733</v>
      </c>
    </row>
    <row r="4140" spans="1:17" x14ac:dyDescent="0.3">
      <c r="A4140">
        <v>832915</v>
      </c>
      <c r="B4140" s="1" t="s">
        <v>40</v>
      </c>
      <c r="C4140" s="1" t="s">
        <v>23</v>
      </c>
      <c r="D4140" s="1" t="s">
        <v>32</v>
      </c>
      <c r="E4140" s="1" t="s">
        <v>33</v>
      </c>
      <c r="F4140" s="1" t="s">
        <v>29</v>
      </c>
      <c r="G4140" s="1" t="s">
        <v>20</v>
      </c>
      <c r="H4140" t="s">
        <v>30</v>
      </c>
      <c r="I4140" s="1" t="s">
        <v>22</v>
      </c>
      <c r="J4140" s="2">
        <v>43538.705868055556</v>
      </c>
      <c r="K4140" s="2">
        <v>43544.705868055556</v>
      </c>
      <c r="L4140" s="2">
        <v>43541.705868055556</v>
      </c>
      <c r="M4140" s="1">
        <f>_xlfn.DAYS(Table1[[#This Row],[actual_delivery_date]],Table1[[#This Row],[dispatch_date]])</f>
        <v>6</v>
      </c>
      <c r="N4140">
        <v>38</v>
      </c>
      <c r="O4140">
        <f>Table1[[#This Row],[transit_storage_cost]] * (1-'What -if Analysis'!$D$26)</f>
        <v>38</v>
      </c>
      <c r="P4140">
        <v>105</v>
      </c>
      <c r="Q4140">
        <v>2939.3055300291562</v>
      </c>
    </row>
    <row r="4141" spans="1:17" x14ac:dyDescent="0.3">
      <c r="A4141">
        <v>125893</v>
      </c>
      <c r="B4141" s="1" t="s">
        <v>39</v>
      </c>
      <c r="C4141" s="1" t="s">
        <v>16</v>
      </c>
      <c r="D4141" s="1" t="s">
        <v>23</v>
      </c>
      <c r="E4141" s="1" t="s">
        <v>28</v>
      </c>
      <c r="F4141" s="1" t="s">
        <v>29</v>
      </c>
      <c r="G4141" s="1" t="s">
        <v>36</v>
      </c>
      <c r="H4141" t="s">
        <v>30</v>
      </c>
      <c r="I4141" s="1" t="s">
        <v>22</v>
      </c>
      <c r="J4141" s="2">
        <v>43537.707615740743</v>
      </c>
      <c r="K4141" s="2">
        <v>43544.707615740743</v>
      </c>
      <c r="L4141" s="2">
        <v>43542.707615740743</v>
      </c>
      <c r="M4141" s="1">
        <f>_xlfn.DAYS(Table1[[#This Row],[actual_delivery_date]],Table1[[#This Row],[dispatch_date]])</f>
        <v>7</v>
      </c>
      <c r="N4141">
        <v>41</v>
      </c>
      <c r="O4141">
        <f>Table1[[#This Row],[transit_storage_cost]] * (1-'What -if Analysis'!$D$26)</f>
        <v>41</v>
      </c>
      <c r="P4141">
        <v>122</v>
      </c>
      <c r="Q4141">
        <v>3247.5758167399968</v>
      </c>
    </row>
    <row r="4142" spans="1:17" x14ac:dyDescent="0.3">
      <c r="A4142">
        <v>575584</v>
      </c>
      <c r="B4142" s="1" t="s">
        <v>40</v>
      </c>
      <c r="C4142" s="1" t="s">
        <v>23</v>
      </c>
      <c r="D4142" s="1" t="s">
        <v>17</v>
      </c>
      <c r="E4142" s="1" t="s">
        <v>18</v>
      </c>
      <c r="F4142" s="1" t="s">
        <v>19</v>
      </c>
      <c r="G4142" s="1" t="s">
        <v>20</v>
      </c>
      <c r="H4142" t="s">
        <v>21</v>
      </c>
      <c r="I4142" s="1" t="s">
        <v>22</v>
      </c>
      <c r="J4142" s="2">
        <v>43538.722210648149</v>
      </c>
      <c r="K4142" s="2">
        <v>43544.722210648149</v>
      </c>
      <c r="L4142" s="2">
        <v>43543.722210648149</v>
      </c>
      <c r="M4142" s="1">
        <f>_xlfn.DAYS(Table1[[#This Row],[actual_delivery_date]],Table1[[#This Row],[dispatch_date]])</f>
        <v>6</v>
      </c>
      <c r="N4142">
        <v>27</v>
      </c>
      <c r="O4142">
        <f>Table1[[#This Row],[transit_storage_cost]] * (1-'What -if Analysis'!$D$26)</f>
        <v>27</v>
      </c>
      <c r="P4142">
        <v>111</v>
      </c>
      <c r="Q4142">
        <v>3173</v>
      </c>
    </row>
    <row r="4143" spans="1:17" x14ac:dyDescent="0.3">
      <c r="A4143">
        <v>83159</v>
      </c>
      <c r="B4143" s="1" t="s">
        <v>37</v>
      </c>
      <c r="C4143" s="1" t="s">
        <v>23</v>
      </c>
      <c r="D4143" s="1" t="s">
        <v>32</v>
      </c>
      <c r="E4143" s="1" t="s">
        <v>33</v>
      </c>
      <c r="F4143" s="1" t="s">
        <v>19</v>
      </c>
      <c r="G4143" s="1" t="s">
        <v>20</v>
      </c>
      <c r="H4143" t="s">
        <v>30</v>
      </c>
      <c r="I4143" s="1" t="s">
        <v>22</v>
      </c>
      <c r="J4143" s="2">
        <v>43538.732430555552</v>
      </c>
      <c r="K4143" s="2">
        <v>43544.732430555552</v>
      </c>
      <c r="L4143" s="2">
        <v>43543.732430555552</v>
      </c>
      <c r="M4143" s="1">
        <f>_xlfn.DAYS(Table1[[#This Row],[actual_delivery_date]],Table1[[#This Row],[dispatch_date]])</f>
        <v>6</v>
      </c>
      <c r="N4143">
        <v>81</v>
      </c>
      <c r="O4143">
        <f>Table1[[#This Row],[transit_storage_cost]] * (1-'What -if Analysis'!$D$26)</f>
        <v>81</v>
      </c>
      <c r="P4143">
        <v>88</v>
      </c>
      <c r="Q4143">
        <v>930.42010041215451</v>
      </c>
    </row>
    <row r="4144" spans="1:17" x14ac:dyDescent="0.3">
      <c r="A4144">
        <v>659931</v>
      </c>
      <c r="B4144" s="1" t="s">
        <v>39</v>
      </c>
      <c r="C4144" s="1" t="s">
        <v>16</v>
      </c>
      <c r="D4144" s="1" t="s">
        <v>23</v>
      </c>
      <c r="E4144" s="1" t="s">
        <v>28</v>
      </c>
      <c r="F4144" s="1" t="s">
        <v>29</v>
      </c>
      <c r="G4144" s="1" t="s">
        <v>20</v>
      </c>
      <c r="H4144" t="s">
        <v>30</v>
      </c>
      <c r="I4144" s="1" t="s">
        <v>26</v>
      </c>
      <c r="J4144" s="2">
        <v>43535.752881944441</v>
      </c>
      <c r="K4144" s="2">
        <v>43544.752881944441</v>
      </c>
      <c r="L4144" s="2">
        <v>43541.752881944441</v>
      </c>
      <c r="M4144" s="1">
        <f>_xlfn.DAYS(Table1[[#This Row],[actual_delivery_date]],Table1[[#This Row],[dispatch_date]])</f>
        <v>9</v>
      </c>
      <c r="N4144">
        <v>27</v>
      </c>
      <c r="O4144">
        <f>Table1[[#This Row],[transit_storage_cost]] * (1-'What -if Analysis'!$D$26)</f>
        <v>27</v>
      </c>
      <c r="P4144">
        <v>124</v>
      </c>
      <c r="Q4144">
        <v>3503.6992086598584</v>
      </c>
    </row>
    <row r="4145" spans="1:17" x14ac:dyDescent="0.3">
      <c r="A4145">
        <v>354469</v>
      </c>
      <c r="B4145" s="1" t="s">
        <v>37</v>
      </c>
      <c r="C4145" s="1" t="s">
        <v>23</v>
      </c>
      <c r="D4145" s="1" t="s">
        <v>32</v>
      </c>
      <c r="E4145" s="1" t="s">
        <v>33</v>
      </c>
      <c r="F4145" s="1" t="s">
        <v>29</v>
      </c>
      <c r="G4145" s="1" t="s">
        <v>20</v>
      </c>
      <c r="H4145" t="s">
        <v>30</v>
      </c>
      <c r="I4145" s="1" t="s">
        <v>22</v>
      </c>
      <c r="J4145" s="2">
        <v>43537.767233796294</v>
      </c>
      <c r="K4145" s="2">
        <v>43544.767233796294</v>
      </c>
      <c r="L4145" s="2">
        <v>43540.767233796294</v>
      </c>
      <c r="M4145" s="1">
        <f>_xlfn.DAYS(Table1[[#This Row],[actual_delivery_date]],Table1[[#This Row],[dispatch_date]])</f>
        <v>7</v>
      </c>
      <c r="N4145">
        <v>40</v>
      </c>
      <c r="O4145">
        <f>Table1[[#This Row],[transit_storage_cost]] * (1-'What -if Analysis'!$D$26)</f>
        <v>40</v>
      </c>
      <c r="P4145">
        <v>110</v>
      </c>
      <c r="Q4145">
        <v>1077</v>
      </c>
    </row>
    <row r="4146" spans="1:17" x14ac:dyDescent="0.3">
      <c r="A4146">
        <v>532753</v>
      </c>
      <c r="B4146" s="1" t="s">
        <v>39</v>
      </c>
      <c r="C4146" s="1" t="s">
        <v>23</v>
      </c>
      <c r="D4146" s="1" t="s">
        <v>16</v>
      </c>
      <c r="E4146" s="1" t="s">
        <v>27</v>
      </c>
      <c r="F4146" s="1" t="s">
        <v>29</v>
      </c>
      <c r="G4146" s="1" t="s">
        <v>20</v>
      </c>
      <c r="H4146" t="s">
        <v>30</v>
      </c>
      <c r="I4146" s="1" t="s">
        <v>22</v>
      </c>
      <c r="J4146" s="2">
        <v>43536.775914351849</v>
      </c>
      <c r="K4146" s="2">
        <v>43544.775914351849</v>
      </c>
      <c r="L4146" s="2">
        <v>43542.775914351849</v>
      </c>
      <c r="M4146" s="1">
        <f>_xlfn.DAYS(Table1[[#This Row],[actual_delivery_date]],Table1[[#This Row],[dispatch_date]])</f>
        <v>8</v>
      </c>
      <c r="N4146">
        <v>37</v>
      </c>
      <c r="O4146">
        <f>Table1[[#This Row],[transit_storage_cost]] * (1-'What -if Analysis'!$D$26)</f>
        <v>37</v>
      </c>
      <c r="P4146">
        <v>121</v>
      </c>
      <c r="Q4146">
        <v>855.09499088768337</v>
      </c>
    </row>
    <row r="4147" spans="1:17" x14ac:dyDescent="0.3">
      <c r="A4147">
        <v>613003</v>
      </c>
      <c r="B4147" s="1" t="s">
        <v>37</v>
      </c>
      <c r="C4147" s="1" t="s">
        <v>16</v>
      </c>
      <c r="D4147" s="1" t="s">
        <v>17</v>
      </c>
      <c r="E4147" s="1" t="s">
        <v>18</v>
      </c>
      <c r="F4147" s="1" t="s">
        <v>29</v>
      </c>
      <c r="G4147" s="1" t="s">
        <v>20</v>
      </c>
      <c r="H4147" t="s">
        <v>30</v>
      </c>
      <c r="I4147" s="1" t="s">
        <v>22</v>
      </c>
      <c r="J4147" s="2">
        <v>43536.780960648146</v>
      </c>
      <c r="K4147" s="2">
        <v>43544.780960648146</v>
      </c>
      <c r="L4147" s="2">
        <v>43541.780960648146</v>
      </c>
      <c r="M4147" s="1">
        <f>_xlfn.DAYS(Table1[[#This Row],[actual_delivery_date]],Table1[[#This Row],[dispatch_date]])</f>
        <v>8</v>
      </c>
      <c r="N4147">
        <v>33</v>
      </c>
      <c r="O4147">
        <f>Table1[[#This Row],[transit_storage_cost]] * (1-'What -if Analysis'!$D$26)</f>
        <v>33</v>
      </c>
      <c r="P4147">
        <v>110</v>
      </c>
      <c r="Q4147">
        <v>1851</v>
      </c>
    </row>
    <row r="4148" spans="1:17" x14ac:dyDescent="0.3">
      <c r="A4148">
        <v>855381</v>
      </c>
      <c r="B4148" s="1" t="s">
        <v>37</v>
      </c>
      <c r="C4148" s="1" t="s">
        <v>16</v>
      </c>
      <c r="D4148" s="1" t="s">
        <v>17</v>
      </c>
      <c r="E4148" s="1" t="s">
        <v>18</v>
      </c>
      <c r="F4148" s="1" t="s">
        <v>29</v>
      </c>
      <c r="G4148" s="1" t="s">
        <v>20</v>
      </c>
      <c r="H4148" t="s">
        <v>30</v>
      </c>
      <c r="I4148" s="1" t="s">
        <v>26</v>
      </c>
      <c r="J4148" s="2">
        <v>43535.781087962961</v>
      </c>
      <c r="K4148" s="2">
        <v>43544.781087962961</v>
      </c>
      <c r="L4148" s="2">
        <v>43540.781087962961</v>
      </c>
      <c r="M4148" s="1">
        <f>_xlfn.DAYS(Table1[[#This Row],[actual_delivery_date]],Table1[[#This Row],[dispatch_date]])</f>
        <v>9</v>
      </c>
      <c r="N4148">
        <v>42</v>
      </c>
      <c r="O4148">
        <f>Table1[[#This Row],[transit_storage_cost]] * (1-'What -if Analysis'!$D$26)</f>
        <v>42</v>
      </c>
      <c r="P4148">
        <v>114</v>
      </c>
      <c r="Q4148">
        <v>2627.3259289560265</v>
      </c>
    </row>
    <row r="4149" spans="1:17" x14ac:dyDescent="0.3">
      <c r="A4149">
        <v>768813</v>
      </c>
      <c r="B4149" s="1" t="s">
        <v>40</v>
      </c>
      <c r="C4149" s="1" t="s">
        <v>23</v>
      </c>
      <c r="D4149" s="1" t="s">
        <v>23</v>
      </c>
      <c r="E4149" s="1" t="s">
        <v>28</v>
      </c>
      <c r="F4149" s="1" t="s">
        <v>29</v>
      </c>
      <c r="G4149" s="1" t="s">
        <v>20</v>
      </c>
      <c r="H4149" t="s">
        <v>30</v>
      </c>
      <c r="I4149" s="1" t="s">
        <v>26</v>
      </c>
      <c r="J4149" s="2">
        <v>43538.791712962964</v>
      </c>
      <c r="K4149" s="2">
        <v>43544.791712962964</v>
      </c>
      <c r="L4149" s="2">
        <v>43544.791712962964</v>
      </c>
      <c r="M4149" s="1">
        <f>_xlfn.DAYS(Table1[[#This Row],[actual_delivery_date]],Table1[[#This Row],[dispatch_date]])</f>
        <v>6</v>
      </c>
      <c r="N4149">
        <v>0</v>
      </c>
      <c r="O4149">
        <f>Table1[[#This Row],[transit_storage_cost]] * (1-'What -if Analysis'!$D$26)</f>
        <v>0</v>
      </c>
      <c r="P4149">
        <v>129</v>
      </c>
      <c r="Q4149">
        <v>3202.0882133195087</v>
      </c>
    </row>
    <row r="4150" spans="1:17" x14ac:dyDescent="0.3">
      <c r="A4150">
        <v>387455</v>
      </c>
      <c r="B4150" s="1" t="s">
        <v>15</v>
      </c>
      <c r="C4150" s="1" t="s">
        <v>23</v>
      </c>
      <c r="D4150" s="1" t="s">
        <v>16</v>
      </c>
      <c r="E4150" s="1" t="s">
        <v>27</v>
      </c>
      <c r="F4150" s="1" t="s">
        <v>29</v>
      </c>
      <c r="G4150" s="1" t="s">
        <v>20</v>
      </c>
      <c r="H4150" t="s">
        <v>30</v>
      </c>
      <c r="I4150" s="1" t="s">
        <v>22</v>
      </c>
      <c r="J4150" s="2">
        <v>43536.817627314813</v>
      </c>
      <c r="K4150" s="2">
        <v>43544.817627314813</v>
      </c>
      <c r="L4150" s="2">
        <v>43542.817627314813</v>
      </c>
      <c r="M4150" s="1">
        <f>_xlfn.DAYS(Table1[[#This Row],[actual_delivery_date]],Table1[[#This Row],[dispatch_date]])</f>
        <v>8</v>
      </c>
      <c r="N4150">
        <v>39</v>
      </c>
      <c r="O4150">
        <f>Table1[[#This Row],[transit_storage_cost]] * (1-'What -if Analysis'!$D$26)</f>
        <v>39</v>
      </c>
      <c r="P4150">
        <v>128</v>
      </c>
      <c r="Q4150">
        <v>1517</v>
      </c>
    </row>
    <row r="4151" spans="1:17" x14ac:dyDescent="0.3">
      <c r="A4151">
        <v>885360</v>
      </c>
      <c r="B4151" s="1" t="s">
        <v>37</v>
      </c>
      <c r="C4151" s="1" t="s">
        <v>23</v>
      </c>
      <c r="D4151" s="1" t="s">
        <v>32</v>
      </c>
      <c r="E4151" s="1" t="s">
        <v>33</v>
      </c>
      <c r="F4151" s="1" t="s">
        <v>19</v>
      </c>
      <c r="G4151" s="1" t="s">
        <v>20</v>
      </c>
      <c r="H4151" t="s">
        <v>21</v>
      </c>
      <c r="I4151" s="1" t="s">
        <v>26</v>
      </c>
      <c r="J4151" s="2">
        <v>43537.822789351849</v>
      </c>
      <c r="K4151" s="2">
        <v>43544.822789351849</v>
      </c>
      <c r="L4151" s="2">
        <v>43541.822789351849</v>
      </c>
      <c r="M4151" s="1">
        <f>_xlfn.DAYS(Table1[[#This Row],[actual_delivery_date]],Table1[[#This Row],[dispatch_date]])</f>
        <v>7</v>
      </c>
      <c r="N4151">
        <v>26</v>
      </c>
      <c r="O4151">
        <f>Table1[[#This Row],[transit_storage_cost]] * (1-'What -if Analysis'!$D$26)</f>
        <v>26</v>
      </c>
      <c r="P4151">
        <v>109</v>
      </c>
      <c r="Q4151">
        <v>3561.9157014781917</v>
      </c>
    </row>
    <row r="4152" spans="1:17" x14ac:dyDescent="0.3">
      <c r="A4152">
        <v>729866</v>
      </c>
      <c r="B4152" s="1" t="s">
        <v>37</v>
      </c>
      <c r="C4152" s="1" t="s">
        <v>16</v>
      </c>
      <c r="D4152" s="1" t="s">
        <v>23</v>
      </c>
      <c r="E4152" s="1" t="s">
        <v>28</v>
      </c>
      <c r="F4152" s="1" t="s">
        <v>19</v>
      </c>
      <c r="G4152" s="1" t="s">
        <v>20</v>
      </c>
      <c r="H4152" t="s">
        <v>21</v>
      </c>
      <c r="I4152" s="1" t="s">
        <v>22</v>
      </c>
      <c r="J4152" s="2">
        <v>43538.825752314813</v>
      </c>
      <c r="K4152" s="2">
        <v>43544.825752314813</v>
      </c>
      <c r="L4152" s="2">
        <v>43545.825752314813</v>
      </c>
      <c r="M4152" s="1">
        <f>_xlfn.DAYS(Table1[[#This Row],[actual_delivery_date]],Table1[[#This Row],[dispatch_date]])</f>
        <v>6</v>
      </c>
      <c r="N4152">
        <v>70</v>
      </c>
      <c r="O4152">
        <f>Table1[[#This Row],[transit_storage_cost]] * (1-'What -if Analysis'!$D$26)</f>
        <v>70</v>
      </c>
      <c r="P4152">
        <v>100</v>
      </c>
      <c r="Q4152">
        <v>350.41731971340158</v>
      </c>
    </row>
    <row r="4153" spans="1:17" x14ac:dyDescent="0.3">
      <c r="A4153">
        <v>460919</v>
      </c>
      <c r="B4153" s="1" t="s">
        <v>37</v>
      </c>
      <c r="C4153" s="1" t="s">
        <v>23</v>
      </c>
      <c r="D4153" s="1" t="s">
        <v>16</v>
      </c>
      <c r="E4153" s="1" t="s">
        <v>27</v>
      </c>
      <c r="F4153" s="1" t="s">
        <v>29</v>
      </c>
      <c r="G4153" s="1" t="s">
        <v>20</v>
      </c>
      <c r="H4153" t="s">
        <v>30</v>
      </c>
      <c r="I4153" s="1" t="s">
        <v>22</v>
      </c>
      <c r="J4153" s="2">
        <v>43538.849710648145</v>
      </c>
      <c r="K4153" s="2">
        <v>43544.849710648145</v>
      </c>
      <c r="L4153" s="2">
        <v>43543.849710648145</v>
      </c>
      <c r="M4153" s="1">
        <f>_xlfn.DAYS(Table1[[#This Row],[actual_delivery_date]],Table1[[#This Row],[dispatch_date]])</f>
        <v>6</v>
      </c>
      <c r="N4153">
        <v>38</v>
      </c>
      <c r="O4153">
        <f>Table1[[#This Row],[transit_storage_cost]] * (1-'What -if Analysis'!$D$26)</f>
        <v>38</v>
      </c>
      <c r="P4153">
        <v>125</v>
      </c>
      <c r="Q4153">
        <v>2101.2926862348668</v>
      </c>
    </row>
    <row r="4154" spans="1:17" x14ac:dyDescent="0.3">
      <c r="A4154">
        <v>112449</v>
      </c>
      <c r="B4154" s="1" t="s">
        <v>41</v>
      </c>
      <c r="C4154" s="1" t="s">
        <v>16</v>
      </c>
      <c r="D4154" s="1" t="s">
        <v>17</v>
      </c>
      <c r="E4154" s="1" t="s">
        <v>18</v>
      </c>
      <c r="F4154" s="1" t="s">
        <v>29</v>
      </c>
      <c r="G4154" s="1" t="s">
        <v>20</v>
      </c>
      <c r="H4154" t="s">
        <v>30</v>
      </c>
      <c r="I4154" s="1" t="s">
        <v>26</v>
      </c>
      <c r="J4154" s="2">
        <v>43537.859016203707</v>
      </c>
      <c r="K4154" s="2">
        <v>43544.859016203707</v>
      </c>
      <c r="L4154" s="2">
        <v>43543.859016203707</v>
      </c>
      <c r="M4154" s="1">
        <f>_xlfn.DAYS(Table1[[#This Row],[actual_delivery_date]],Table1[[#This Row],[dispatch_date]])</f>
        <v>7</v>
      </c>
      <c r="N4154">
        <v>37</v>
      </c>
      <c r="O4154">
        <f>Table1[[#This Row],[transit_storage_cost]] * (1-'What -if Analysis'!$D$26)</f>
        <v>37</v>
      </c>
      <c r="P4154">
        <v>111</v>
      </c>
      <c r="Q4154">
        <v>3420</v>
      </c>
    </row>
    <row r="4155" spans="1:17" x14ac:dyDescent="0.3">
      <c r="A4155">
        <v>935041</v>
      </c>
      <c r="B4155" s="1" t="s">
        <v>39</v>
      </c>
      <c r="C4155" s="1" t="s">
        <v>16</v>
      </c>
      <c r="D4155" s="1" t="s">
        <v>23</v>
      </c>
      <c r="E4155" s="1" t="s">
        <v>28</v>
      </c>
      <c r="F4155" s="1" t="s">
        <v>29</v>
      </c>
      <c r="G4155" s="1" t="s">
        <v>20</v>
      </c>
      <c r="H4155" t="s">
        <v>30</v>
      </c>
      <c r="I4155" s="1" t="s">
        <v>22</v>
      </c>
      <c r="J4155" s="2">
        <v>43535.867685185185</v>
      </c>
      <c r="K4155" s="2">
        <v>43544.867685185185</v>
      </c>
      <c r="L4155" s="2">
        <v>43541.867685185185</v>
      </c>
      <c r="M4155" s="1">
        <f>_xlfn.DAYS(Table1[[#This Row],[actual_delivery_date]],Table1[[#This Row],[dispatch_date]])</f>
        <v>9</v>
      </c>
      <c r="N4155">
        <v>43</v>
      </c>
      <c r="O4155">
        <f>Table1[[#This Row],[transit_storage_cost]] * (1-'What -if Analysis'!$D$26)</f>
        <v>43</v>
      </c>
      <c r="P4155">
        <v>125</v>
      </c>
      <c r="Q4155">
        <v>2053</v>
      </c>
    </row>
    <row r="4156" spans="1:17" x14ac:dyDescent="0.3">
      <c r="A4156">
        <v>282345</v>
      </c>
      <c r="B4156" s="1" t="s">
        <v>37</v>
      </c>
      <c r="C4156" s="1" t="s">
        <v>16</v>
      </c>
      <c r="D4156" s="1" t="s">
        <v>32</v>
      </c>
      <c r="E4156" s="1" t="s">
        <v>33</v>
      </c>
      <c r="F4156" s="1" t="s">
        <v>19</v>
      </c>
      <c r="G4156" s="1" t="s">
        <v>20</v>
      </c>
      <c r="H4156" t="s">
        <v>34</v>
      </c>
      <c r="I4156" s="1" t="s">
        <v>26</v>
      </c>
      <c r="J4156" s="2">
        <v>43536.879432870373</v>
      </c>
      <c r="K4156" s="2">
        <v>43544.879432870373</v>
      </c>
      <c r="L4156" s="2">
        <v>43539.879432870373</v>
      </c>
      <c r="M4156" s="1">
        <f>_xlfn.DAYS(Table1[[#This Row],[actual_delivery_date]],Table1[[#This Row],[dispatch_date]])</f>
        <v>8</v>
      </c>
      <c r="N4156">
        <v>60</v>
      </c>
      <c r="O4156">
        <f>Table1[[#This Row],[transit_storage_cost]] * (1-'What -if Analysis'!$D$26)</f>
        <v>60</v>
      </c>
      <c r="P4156">
        <v>85</v>
      </c>
      <c r="Q4156">
        <v>737.48744098361124</v>
      </c>
    </row>
    <row r="4157" spans="1:17" x14ac:dyDescent="0.3">
      <c r="A4157">
        <v>217654</v>
      </c>
      <c r="B4157" s="1" t="s">
        <v>38</v>
      </c>
      <c r="C4157" s="1" t="s">
        <v>16</v>
      </c>
      <c r="D4157" s="1" t="s">
        <v>32</v>
      </c>
      <c r="E4157" s="1" t="s">
        <v>33</v>
      </c>
      <c r="F4157" s="1" t="s">
        <v>31</v>
      </c>
      <c r="G4157" s="1" t="s">
        <v>20</v>
      </c>
      <c r="H4157" t="s">
        <v>21</v>
      </c>
      <c r="I4157" s="1" t="s">
        <v>22</v>
      </c>
      <c r="J4157" s="2">
        <v>43537.897291666668</v>
      </c>
      <c r="K4157" s="2">
        <v>43544.897291666668</v>
      </c>
      <c r="L4157" s="2">
        <v>43540.897291666668</v>
      </c>
      <c r="M4157" s="1">
        <f>_xlfn.DAYS(Table1[[#This Row],[actual_delivery_date]],Table1[[#This Row],[dispatch_date]])</f>
        <v>7</v>
      </c>
      <c r="N4157">
        <v>36</v>
      </c>
      <c r="O4157">
        <f>Table1[[#This Row],[transit_storage_cost]] * (1-'What -if Analysis'!$D$26)</f>
        <v>36</v>
      </c>
      <c r="P4157">
        <v>112</v>
      </c>
      <c r="Q4157">
        <v>1485</v>
      </c>
    </row>
    <row r="4158" spans="1:17" x14ac:dyDescent="0.3">
      <c r="A4158">
        <v>626369</v>
      </c>
      <c r="B4158" s="1" t="s">
        <v>38</v>
      </c>
      <c r="C4158" s="1" t="s">
        <v>23</v>
      </c>
      <c r="D4158" s="1" t="s">
        <v>16</v>
      </c>
      <c r="E4158" s="1" t="s">
        <v>27</v>
      </c>
      <c r="F4158" s="1" t="s">
        <v>29</v>
      </c>
      <c r="G4158" s="1" t="s">
        <v>20</v>
      </c>
      <c r="H4158" t="s">
        <v>30</v>
      </c>
      <c r="I4158" s="1" t="s">
        <v>22</v>
      </c>
      <c r="J4158" s="2">
        <v>43537.898900462962</v>
      </c>
      <c r="K4158" s="2">
        <v>43544.898900462962</v>
      </c>
      <c r="L4158" s="2">
        <v>43540.898900462962</v>
      </c>
      <c r="M4158" s="1">
        <f>_xlfn.DAYS(Table1[[#This Row],[actual_delivery_date]],Table1[[#This Row],[dispatch_date]])</f>
        <v>7</v>
      </c>
      <c r="N4158">
        <v>30</v>
      </c>
      <c r="O4158">
        <f>Table1[[#This Row],[transit_storage_cost]] * (1-'What -if Analysis'!$D$26)</f>
        <v>30</v>
      </c>
      <c r="P4158">
        <v>123</v>
      </c>
      <c r="Q4158">
        <v>1550.2842906209637</v>
      </c>
    </row>
    <row r="4159" spans="1:17" x14ac:dyDescent="0.3">
      <c r="A4159">
        <v>71667</v>
      </c>
      <c r="B4159" s="1" t="s">
        <v>39</v>
      </c>
      <c r="C4159" s="1" t="s">
        <v>23</v>
      </c>
      <c r="D4159" s="1" t="s">
        <v>17</v>
      </c>
      <c r="E4159" s="1" t="s">
        <v>18</v>
      </c>
      <c r="F4159" s="1" t="s">
        <v>29</v>
      </c>
      <c r="G4159" s="1" t="s">
        <v>20</v>
      </c>
      <c r="H4159" t="s">
        <v>30</v>
      </c>
      <c r="I4159" s="1" t="s">
        <v>26</v>
      </c>
      <c r="J4159" s="2">
        <v>43535.911979166667</v>
      </c>
      <c r="K4159" s="2">
        <v>43544.911979166667</v>
      </c>
      <c r="L4159" s="2">
        <v>43540.911979166667</v>
      </c>
      <c r="M4159" s="1">
        <f>_xlfn.DAYS(Table1[[#This Row],[actual_delivery_date]],Table1[[#This Row],[dispatch_date]])</f>
        <v>9</v>
      </c>
      <c r="N4159">
        <v>45</v>
      </c>
      <c r="O4159">
        <f>Table1[[#This Row],[transit_storage_cost]] * (1-'What -if Analysis'!$D$26)</f>
        <v>45</v>
      </c>
      <c r="P4159">
        <v>107</v>
      </c>
      <c r="Q4159">
        <v>1541.4048909439398</v>
      </c>
    </row>
    <row r="4160" spans="1:17" x14ac:dyDescent="0.3">
      <c r="A4160">
        <v>906465</v>
      </c>
      <c r="B4160" s="1" t="s">
        <v>39</v>
      </c>
      <c r="C4160" s="1" t="s">
        <v>16</v>
      </c>
      <c r="D4160" s="1" t="s">
        <v>24</v>
      </c>
      <c r="E4160" s="1" t="s">
        <v>25</v>
      </c>
      <c r="F4160" s="1" t="s">
        <v>29</v>
      </c>
      <c r="G4160" s="1" t="s">
        <v>20</v>
      </c>
      <c r="H4160" t="s">
        <v>34</v>
      </c>
      <c r="I4160" s="1" t="s">
        <v>26</v>
      </c>
      <c r="J4160" s="2">
        <v>43538.916817129626</v>
      </c>
      <c r="K4160" s="2">
        <v>43544.916817129626</v>
      </c>
      <c r="L4160" s="2">
        <v>43545.916817129626</v>
      </c>
      <c r="M4160" s="1">
        <f>_xlfn.DAYS(Table1[[#This Row],[actual_delivery_date]],Table1[[#This Row],[dispatch_date]])</f>
        <v>6</v>
      </c>
      <c r="N4160">
        <v>27</v>
      </c>
      <c r="O4160">
        <f>Table1[[#This Row],[transit_storage_cost]] * (1-'What -if Analysis'!$D$26)</f>
        <v>27</v>
      </c>
      <c r="P4160">
        <v>127</v>
      </c>
      <c r="Q4160">
        <v>1535.3889844311047</v>
      </c>
    </row>
    <row r="4161" spans="1:17" x14ac:dyDescent="0.3">
      <c r="A4161">
        <v>173081</v>
      </c>
      <c r="B4161" s="1" t="s">
        <v>39</v>
      </c>
      <c r="C4161" s="1" t="s">
        <v>23</v>
      </c>
      <c r="D4161" s="1" t="s">
        <v>16</v>
      </c>
      <c r="E4161" s="1" t="s">
        <v>27</v>
      </c>
      <c r="F4161" s="1" t="s">
        <v>29</v>
      </c>
      <c r="G4161" s="1" t="s">
        <v>20</v>
      </c>
      <c r="H4161" t="s">
        <v>30</v>
      </c>
      <c r="I4161" s="1" t="s">
        <v>22</v>
      </c>
      <c r="J4161" s="2">
        <v>43536.928587962961</v>
      </c>
      <c r="K4161" s="2">
        <v>43544.928587962961</v>
      </c>
      <c r="L4161" s="2">
        <v>43541.928587962961</v>
      </c>
      <c r="M4161" s="1">
        <f>_xlfn.DAYS(Table1[[#This Row],[actual_delivery_date]],Table1[[#This Row],[dispatch_date]])</f>
        <v>8</v>
      </c>
      <c r="N4161">
        <v>28</v>
      </c>
      <c r="O4161">
        <f>Table1[[#This Row],[transit_storage_cost]] * (1-'What -if Analysis'!$D$26)</f>
        <v>28</v>
      </c>
      <c r="P4161">
        <v>127</v>
      </c>
      <c r="Q4161">
        <v>2670.0950994475043</v>
      </c>
    </row>
    <row r="4162" spans="1:17" x14ac:dyDescent="0.3">
      <c r="A4162">
        <v>251026</v>
      </c>
      <c r="B4162" s="1" t="s">
        <v>37</v>
      </c>
      <c r="C4162" s="1" t="s">
        <v>23</v>
      </c>
      <c r="D4162" s="1" t="s">
        <v>16</v>
      </c>
      <c r="E4162" s="1" t="s">
        <v>27</v>
      </c>
      <c r="F4162" s="1" t="s">
        <v>31</v>
      </c>
      <c r="G4162" s="1" t="s">
        <v>20</v>
      </c>
      <c r="H4162" t="s">
        <v>21</v>
      </c>
      <c r="I4162" s="1" t="s">
        <v>22</v>
      </c>
      <c r="J4162" s="2">
        <v>43538.932638888888</v>
      </c>
      <c r="K4162" s="2">
        <v>43544.932638888888</v>
      </c>
      <c r="L4162" s="2">
        <v>43543.932638888888</v>
      </c>
      <c r="M4162" s="1">
        <f>_xlfn.DAYS(Table1[[#This Row],[actual_delivery_date]],Table1[[#This Row],[dispatch_date]])</f>
        <v>6</v>
      </c>
      <c r="N4162">
        <v>34</v>
      </c>
      <c r="O4162">
        <f>Table1[[#This Row],[transit_storage_cost]] * (1-'What -if Analysis'!$D$26)</f>
        <v>34</v>
      </c>
      <c r="P4162">
        <v>128</v>
      </c>
      <c r="Q4162">
        <v>1547.0322194002604</v>
      </c>
    </row>
    <row r="4163" spans="1:17" x14ac:dyDescent="0.3">
      <c r="A4163">
        <v>214977</v>
      </c>
      <c r="B4163" s="1" t="s">
        <v>15</v>
      </c>
      <c r="C4163" s="1" t="s">
        <v>16</v>
      </c>
      <c r="D4163" s="1" t="s">
        <v>23</v>
      </c>
      <c r="E4163" s="1" t="s">
        <v>28</v>
      </c>
      <c r="F4163" s="1" t="s">
        <v>29</v>
      </c>
      <c r="G4163" s="1" t="s">
        <v>36</v>
      </c>
      <c r="H4163" t="s">
        <v>34</v>
      </c>
      <c r="I4163" s="1" t="s">
        <v>26</v>
      </c>
      <c r="J4163" s="2">
        <v>43536.93409722222</v>
      </c>
      <c r="K4163" s="2">
        <v>43544.93409722222</v>
      </c>
      <c r="L4163" s="2">
        <v>43541.93409722222</v>
      </c>
      <c r="M4163" s="1">
        <f>_xlfn.DAYS(Table1[[#This Row],[actual_delivery_date]],Table1[[#This Row],[dispatch_date]])</f>
        <v>8</v>
      </c>
      <c r="N4163">
        <v>38</v>
      </c>
      <c r="O4163">
        <f>Table1[[#This Row],[transit_storage_cost]] * (1-'What -if Analysis'!$D$26)</f>
        <v>38</v>
      </c>
      <c r="P4163">
        <v>127</v>
      </c>
      <c r="Q4163">
        <v>1092.2596177732107</v>
      </c>
    </row>
    <row r="4164" spans="1:17" x14ac:dyDescent="0.3">
      <c r="A4164">
        <v>800855</v>
      </c>
      <c r="B4164" s="1" t="s">
        <v>38</v>
      </c>
      <c r="C4164" s="1" t="s">
        <v>16</v>
      </c>
      <c r="D4164" s="1" t="s">
        <v>32</v>
      </c>
      <c r="E4164" s="1" t="s">
        <v>33</v>
      </c>
      <c r="F4164" s="1" t="s">
        <v>19</v>
      </c>
      <c r="G4164" s="1" t="s">
        <v>20</v>
      </c>
      <c r="H4164" t="s">
        <v>30</v>
      </c>
      <c r="I4164" s="1" t="s">
        <v>22</v>
      </c>
      <c r="J4164" s="2">
        <v>43535.935925925929</v>
      </c>
      <c r="K4164" s="2">
        <v>43544.935925925929</v>
      </c>
      <c r="L4164" s="2">
        <v>43542.935925925929</v>
      </c>
      <c r="M4164" s="1">
        <f>_xlfn.DAYS(Table1[[#This Row],[actual_delivery_date]],Table1[[#This Row],[dispatch_date]])</f>
        <v>9</v>
      </c>
      <c r="N4164">
        <v>75</v>
      </c>
      <c r="O4164">
        <f>Table1[[#This Row],[transit_storage_cost]] * (1-'What -if Analysis'!$D$26)</f>
        <v>75</v>
      </c>
      <c r="P4164">
        <v>89</v>
      </c>
      <c r="Q4164">
        <v>1079</v>
      </c>
    </row>
    <row r="4165" spans="1:17" x14ac:dyDescent="0.3">
      <c r="A4165">
        <v>913347</v>
      </c>
      <c r="B4165" s="1" t="s">
        <v>37</v>
      </c>
      <c r="C4165" s="1" t="s">
        <v>16</v>
      </c>
      <c r="D4165" s="1" t="s">
        <v>32</v>
      </c>
      <c r="E4165" s="1" t="s">
        <v>33</v>
      </c>
      <c r="F4165" s="1" t="s">
        <v>19</v>
      </c>
      <c r="G4165" s="1" t="s">
        <v>20</v>
      </c>
      <c r="H4165" t="s">
        <v>30</v>
      </c>
      <c r="I4165" s="1" t="s">
        <v>26</v>
      </c>
      <c r="J4165" s="2">
        <v>43536.942754629628</v>
      </c>
      <c r="K4165" s="2">
        <v>43544.942754629628</v>
      </c>
      <c r="L4165" s="2">
        <v>43543.942754629628</v>
      </c>
      <c r="M4165" s="1">
        <f>_xlfn.DAYS(Table1[[#This Row],[actual_delivery_date]],Table1[[#This Row],[dispatch_date]])</f>
        <v>8</v>
      </c>
      <c r="N4165">
        <v>79</v>
      </c>
      <c r="O4165">
        <f>Table1[[#This Row],[transit_storage_cost]] * (1-'What -if Analysis'!$D$26)</f>
        <v>79</v>
      </c>
      <c r="P4165">
        <v>94</v>
      </c>
      <c r="Q4165">
        <v>3175.2337755193448</v>
      </c>
    </row>
    <row r="4166" spans="1:17" x14ac:dyDescent="0.3">
      <c r="A4166">
        <v>617527</v>
      </c>
      <c r="B4166" s="1" t="s">
        <v>15</v>
      </c>
      <c r="C4166" s="1" t="s">
        <v>16</v>
      </c>
      <c r="D4166" s="1" t="s">
        <v>17</v>
      </c>
      <c r="E4166" s="1" t="s">
        <v>18</v>
      </c>
      <c r="F4166" s="1" t="s">
        <v>29</v>
      </c>
      <c r="G4166" s="1" t="s">
        <v>20</v>
      </c>
      <c r="H4166" t="s">
        <v>30</v>
      </c>
      <c r="I4166" s="1" t="s">
        <v>22</v>
      </c>
      <c r="J4166" s="2">
        <v>43535.979259259257</v>
      </c>
      <c r="K4166" s="2">
        <v>43544.979259259257</v>
      </c>
      <c r="L4166" s="2">
        <v>43542.979259259257</v>
      </c>
      <c r="M4166" s="1">
        <f>_xlfn.DAYS(Table1[[#This Row],[actual_delivery_date]],Table1[[#This Row],[dispatch_date]])</f>
        <v>9</v>
      </c>
      <c r="N4166">
        <v>39</v>
      </c>
      <c r="O4166">
        <f>Table1[[#This Row],[transit_storage_cost]] * (1-'What -if Analysis'!$D$26)</f>
        <v>39</v>
      </c>
      <c r="P4166">
        <v>105</v>
      </c>
      <c r="Q4166">
        <v>2695</v>
      </c>
    </row>
    <row r="4167" spans="1:17" x14ac:dyDescent="0.3">
      <c r="A4167">
        <v>221709</v>
      </c>
      <c r="B4167" s="1" t="s">
        <v>37</v>
      </c>
      <c r="C4167" s="1" t="s">
        <v>16</v>
      </c>
      <c r="D4167" s="1" t="s">
        <v>17</v>
      </c>
      <c r="E4167" s="1" t="s">
        <v>18</v>
      </c>
      <c r="F4167" s="1" t="s">
        <v>29</v>
      </c>
      <c r="G4167" s="1" t="s">
        <v>20</v>
      </c>
      <c r="H4167" t="s">
        <v>30</v>
      </c>
      <c r="I4167" s="1" t="s">
        <v>26</v>
      </c>
      <c r="J4167" s="2">
        <v>43537.994618055556</v>
      </c>
      <c r="K4167" s="2">
        <v>43544.994618055556</v>
      </c>
      <c r="L4167" s="2">
        <v>43542.994618055556</v>
      </c>
      <c r="M4167" s="1">
        <f>_xlfn.DAYS(Table1[[#This Row],[actual_delivery_date]],Table1[[#This Row],[dispatch_date]])</f>
        <v>7</v>
      </c>
      <c r="N4167">
        <v>43</v>
      </c>
      <c r="O4167">
        <f>Table1[[#This Row],[transit_storage_cost]] * (1-'What -if Analysis'!$D$26)</f>
        <v>43</v>
      </c>
      <c r="P4167">
        <v>106</v>
      </c>
      <c r="Q4167">
        <v>557.53992586331071</v>
      </c>
    </row>
    <row r="4168" spans="1:17" x14ac:dyDescent="0.3">
      <c r="A4168">
        <v>399058</v>
      </c>
      <c r="B4168" s="1" t="s">
        <v>37</v>
      </c>
      <c r="C4168" s="1" t="s">
        <v>23</v>
      </c>
      <c r="D4168" s="1" t="s">
        <v>24</v>
      </c>
      <c r="E4168" s="1" t="s">
        <v>25</v>
      </c>
      <c r="F4168" s="1" t="s">
        <v>19</v>
      </c>
      <c r="G4168" s="1" t="s">
        <v>20</v>
      </c>
      <c r="H4168" t="s">
        <v>21</v>
      </c>
      <c r="I4168" s="1" t="s">
        <v>22</v>
      </c>
      <c r="J4168" s="2">
        <v>43538.005486111113</v>
      </c>
      <c r="K4168" s="2">
        <v>43545.005486111113</v>
      </c>
      <c r="L4168" s="2">
        <v>43541.005486111113</v>
      </c>
      <c r="M4168" s="1">
        <f>_xlfn.DAYS(Table1[[#This Row],[actual_delivery_date]],Table1[[#This Row],[dispatch_date]])</f>
        <v>7</v>
      </c>
      <c r="N4168">
        <v>80</v>
      </c>
      <c r="O4168">
        <f>Table1[[#This Row],[transit_storage_cost]] * (1-'What -if Analysis'!$D$26)</f>
        <v>80</v>
      </c>
      <c r="P4168">
        <v>107</v>
      </c>
      <c r="Q4168">
        <v>1794</v>
      </c>
    </row>
    <row r="4169" spans="1:17" x14ac:dyDescent="0.3">
      <c r="A4169">
        <v>900046</v>
      </c>
      <c r="B4169" s="1" t="s">
        <v>41</v>
      </c>
      <c r="C4169" s="1" t="s">
        <v>16</v>
      </c>
      <c r="D4169" s="1" t="s">
        <v>23</v>
      </c>
      <c r="E4169" s="1" t="s">
        <v>28</v>
      </c>
      <c r="F4169" s="1" t="s">
        <v>31</v>
      </c>
      <c r="G4169" s="1" t="s">
        <v>20</v>
      </c>
      <c r="H4169" t="s">
        <v>21</v>
      </c>
      <c r="I4169" s="1" t="s">
        <v>22</v>
      </c>
      <c r="J4169" s="2">
        <v>43535.008206018516</v>
      </c>
      <c r="K4169" s="2">
        <v>43545.008206018516</v>
      </c>
      <c r="L4169" s="2">
        <v>43542.008206018516</v>
      </c>
      <c r="M4169" s="1">
        <f>_xlfn.DAYS(Table1[[#This Row],[actual_delivery_date]],Table1[[#This Row],[dispatch_date]])</f>
        <v>10</v>
      </c>
      <c r="N4169">
        <v>25</v>
      </c>
      <c r="O4169">
        <f>Table1[[#This Row],[transit_storage_cost]] * (1-'What -if Analysis'!$D$26)</f>
        <v>25</v>
      </c>
      <c r="P4169">
        <v>122</v>
      </c>
      <c r="Q4169">
        <v>2362.0738035723889</v>
      </c>
    </row>
    <row r="4170" spans="1:17" x14ac:dyDescent="0.3">
      <c r="A4170">
        <v>683537</v>
      </c>
      <c r="B4170" s="1" t="s">
        <v>40</v>
      </c>
      <c r="C4170" s="1" t="s">
        <v>23</v>
      </c>
      <c r="D4170" s="1" t="s">
        <v>32</v>
      </c>
      <c r="E4170" s="1" t="s">
        <v>33</v>
      </c>
      <c r="F4170" s="1" t="s">
        <v>29</v>
      </c>
      <c r="G4170" s="1" t="s">
        <v>20</v>
      </c>
      <c r="H4170" t="s">
        <v>30</v>
      </c>
      <c r="I4170" s="1" t="s">
        <v>22</v>
      </c>
      <c r="J4170" s="2">
        <v>43538.035520833335</v>
      </c>
      <c r="K4170" s="2">
        <v>43545.035520833335</v>
      </c>
      <c r="L4170" s="2">
        <v>43541.035520833335</v>
      </c>
      <c r="M4170" s="1">
        <f>_xlfn.DAYS(Table1[[#This Row],[actual_delivery_date]],Table1[[#This Row],[dispatch_date]])</f>
        <v>7</v>
      </c>
      <c r="N4170">
        <v>45</v>
      </c>
      <c r="O4170">
        <f>Table1[[#This Row],[transit_storage_cost]] * (1-'What -if Analysis'!$D$26)</f>
        <v>45</v>
      </c>
      <c r="P4170">
        <v>106</v>
      </c>
      <c r="Q4170">
        <v>328.14049507097025</v>
      </c>
    </row>
    <row r="4171" spans="1:17" x14ac:dyDescent="0.3">
      <c r="A4171">
        <v>335513</v>
      </c>
      <c r="B4171" s="1" t="s">
        <v>38</v>
      </c>
      <c r="C4171" s="1" t="s">
        <v>16</v>
      </c>
      <c r="D4171" s="1" t="s">
        <v>24</v>
      </c>
      <c r="E4171" s="1" t="s">
        <v>25</v>
      </c>
      <c r="F4171" s="1" t="s">
        <v>19</v>
      </c>
      <c r="G4171" s="1" t="s">
        <v>20</v>
      </c>
      <c r="H4171" t="s">
        <v>30</v>
      </c>
      <c r="I4171" s="1" t="s">
        <v>22</v>
      </c>
      <c r="J4171" s="2">
        <v>43535.081689814811</v>
      </c>
      <c r="K4171" s="2">
        <v>43545.081689814811</v>
      </c>
      <c r="L4171" s="2">
        <v>43538.081689814811</v>
      </c>
      <c r="M4171" s="1">
        <f>_xlfn.DAYS(Table1[[#This Row],[actual_delivery_date]],Table1[[#This Row],[dispatch_date]])</f>
        <v>10</v>
      </c>
      <c r="N4171">
        <v>67</v>
      </c>
      <c r="O4171">
        <f>Table1[[#This Row],[transit_storage_cost]] * (1-'What -if Analysis'!$D$26)</f>
        <v>67</v>
      </c>
      <c r="P4171">
        <v>109</v>
      </c>
      <c r="Q4171">
        <v>2922.5943688715529</v>
      </c>
    </row>
    <row r="4172" spans="1:17" x14ac:dyDescent="0.3">
      <c r="A4172">
        <v>865631</v>
      </c>
      <c r="B4172" s="1" t="s">
        <v>37</v>
      </c>
      <c r="C4172" s="1" t="s">
        <v>23</v>
      </c>
      <c r="D4172" s="1" t="s">
        <v>16</v>
      </c>
      <c r="E4172" s="1" t="s">
        <v>27</v>
      </c>
      <c r="F4172" s="1" t="s">
        <v>29</v>
      </c>
      <c r="G4172" s="1" t="s">
        <v>20</v>
      </c>
      <c r="H4172" t="s">
        <v>30</v>
      </c>
      <c r="I4172" s="1" t="s">
        <v>22</v>
      </c>
      <c r="J4172" s="2">
        <v>43536.092476851853</v>
      </c>
      <c r="K4172" s="2">
        <v>43545.092476851853</v>
      </c>
      <c r="L4172" s="2">
        <v>43539.092476851853</v>
      </c>
      <c r="M4172" s="1">
        <f>_xlfn.DAYS(Table1[[#This Row],[actual_delivery_date]],Table1[[#This Row],[dispatch_date]])</f>
        <v>9</v>
      </c>
      <c r="N4172">
        <v>25</v>
      </c>
      <c r="O4172">
        <f>Table1[[#This Row],[transit_storage_cost]] * (1-'What -if Analysis'!$D$26)</f>
        <v>25</v>
      </c>
      <c r="P4172">
        <v>128</v>
      </c>
      <c r="Q4172">
        <v>3611.1875919166105</v>
      </c>
    </row>
    <row r="4173" spans="1:17" x14ac:dyDescent="0.3">
      <c r="A4173">
        <v>505267</v>
      </c>
      <c r="B4173" s="1" t="s">
        <v>40</v>
      </c>
      <c r="C4173" s="1" t="s">
        <v>23</v>
      </c>
      <c r="D4173" s="1" t="s">
        <v>32</v>
      </c>
      <c r="E4173" s="1" t="s">
        <v>33</v>
      </c>
      <c r="F4173" s="1" t="s">
        <v>29</v>
      </c>
      <c r="G4173" s="1" t="s">
        <v>20</v>
      </c>
      <c r="H4173" t="s">
        <v>34</v>
      </c>
      <c r="I4173" s="1" t="s">
        <v>22</v>
      </c>
      <c r="J4173" s="2">
        <v>43538.092881944445</v>
      </c>
      <c r="K4173" s="2">
        <v>43545.092881944445</v>
      </c>
      <c r="L4173" s="2">
        <v>43544.092881944445</v>
      </c>
      <c r="M4173" s="1">
        <f>_xlfn.DAYS(Table1[[#This Row],[actual_delivery_date]],Table1[[#This Row],[dispatch_date]])</f>
        <v>7</v>
      </c>
      <c r="N4173">
        <v>34</v>
      </c>
      <c r="O4173">
        <f>Table1[[#This Row],[transit_storage_cost]] * (1-'What -if Analysis'!$D$26)</f>
        <v>34</v>
      </c>
      <c r="P4173">
        <v>110</v>
      </c>
      <c r="Q4173">
        <v>2566</v>
      </c>
    </row>
    <row r="4174" spans="1:17" x14ac:dyDescent="0.3">
      <c r="A4174">
        <v>44476</v>
      </c>
      <c r="B4174" s="1" t="s">
        <v>40</v>
      </c>
      <c r="C4174" s="1" t="s">
        <v>23</v>
      </c>
      <c r="D4174" s="1" t="s">
        <v>32</v>
      </c>
      <c r="E4174" s="1" t="s">
        <v>33</v>
      </c>
      <c r="F4174" s="1" t="s">
        <v>19</v>
      </c>
      <c r="G4174" s="1" t="s">
        <v>20</v>
      </c>
      <c r="H4174" t="s">
        <v>21</v>
      </c>
      <c r="I4174" s="1" t="s">
        <v>22</v>
      </c>
      <c r="J4174" s="2">
        <v>43538.095000000001</v>
      </c>
      <c r="K4174" s="2">
        <v>43545.095000000001</v>
      </c>
      <c r="L4174" s="2">
        <v>43545.095000000001</v>
      </c>
      <c r="M4174" s="1">
        <f>_xlfn.DAYS(Table1[[#This Row],[actual_delivery_date]],Table1[[#This Row],[dispatch_date]])</f>
        <v>7</v>
      </c>
      <c r="N4174">
        <v>46</v>
      </c>
      <c r="O4174">
        <f>Table1[[#This Row],[transit_storage_cost]] * (1-'What -if Analysis'!$D$26)</f>
        <v>46</v>
      </c>
      <c r="P4174">
        <v>112</v>
      </c>
      <c r="Q4174">
        <v>3118.7322293886309</v>
      </c>
    </row>
    <row r="4175" spans="1:17" x14ac:dyDescent="0.3">
      <c r="A4175">
        <v>363032</v>
      </c>
      <c r="B4175" s="1" t="s">
        <v>38</v>
      </c>
      <c r="C4175" s="1" t="s">
        <v>16</v>
      </c>
      <c r="D4175" s="1" t="s">
        <v>24</v>
      </c>
      <c r="E4175" s="1" t="s">
        <v>25</v>
      </c>
      <c r="F4175" s="1" t="s">
        <v>19</v>
      </c>
      <c r="G4175" s="1" t="s">
        <v>20</v>
      </c>
      <c r="H4175" t="s">
        <v>21</v>
      </c>
      <c r="I4175" s="1" t="s">
        <v>22</v>
      </c>
      <c r="J4175" s="2">
        <v>43537.100995370369</v>
      </c>
      <c r="K4175" s="2">
        <v>43545.100995370369</v>
      </c>
      <c r="L4175" s="2">
        <v>43542.100995370369</v>
      </c>
      <c r="M4175" s="1">
        <f>_xlfn.DAYS(Table1[[#This Row],[actual_delivery_date]],Table1[[#This Row],[dispatch_date]])</f>
        <v>8</v>
      </c>
      <c r="N4175">
        <v>49</v>
      </c>
      <c r="O4175">
        <f>Table1[[#This Row],[transit_storage_cost]] * (1-'What -if Analysis'!$D$26)</f>
        <v>49</v>
      </c>
      <c r="P4175">
        <v>130</v>
      </c>
      <c r="Q4175">
        <v>1719.2817363146005</v>
      </c>
    </row>
    <row r="4176" spans="1:17" x14ac:dyDescent="0.3">
      <c r="A4176">
        <v>307362</v>
      </c>
      <c r="B4176" s="1" t="s">
        <v>40</v>
      </c>
      <c r="C4176" s="1" t="s">
        <v>16</v>
      </c>
      <c r="D4176" s="1" t="s">
        <v>24</v>
      </c>
      <c r="E4176" s="1" t="s">
        <v>25</v>
      </c>
      <c r="F4176" s="1" t="s">
        <v>19</v>
      </c>
      <c r="G4176" s="1" t="s">
        <v>20</v>
      </c>
      <c r="H4176" t="s">
        <v>21</v>
      </c>
      <c r="I4176" s="1" t="s">
        <v>26</v>
      </c>
      <c r="J4176" s="2">
        <v>43537.115428240744</v>
      </c>
      <c r="K4176" s="2">
        <v>43545.115428240744</v>
      </c>
      <c r="L4176" s="2">
        <v>43541.115428240744</v>
      </c>
      <c r="M4176" s="1">
        <f>_xlfn.DAYS(Table1[[#This Row],[actual_delivery_date]],Table1[[#This Row],[dispatch_date]])</f>
        <v>8</v>
      </c>
      <c r="N4176">
        <v>59</v>
      </c>
      <c r="O4176">
        <f>Table1[[#This Row],[transit_storage_cost]] * (1-'What -if Analysis'!$D$26)</f>
        <v>59</v>
      </c>
      <c r="P4176">
        <v>106</v>
      </c>
      <c r="Q4176">
        <v>2441.4369195515128</v>
      </c>
    </row>
    <row r="4177" spans="1:17" x14ac:dyDescent="0.3">
      <c r="A4177">
        <v>990749</v>
      </c>
      <c r="B4177" s="1" t="s">
        <v>15</v>
      </c>
      <c r="C4177" s="1" t="s">
        <v>16</v>
      </c>
      <c r="D4177" s="1" t="s">
        <v>17</v>
      </c>
      <c r="E4177" s="1" t="s">
        <v>18</v>
      </c>
      <c r="F4177" s="1" t="s">
        <v>29</v>
      </c>
      <c r="G4177" s="1" t="s">
        <v>20</v>
      </c>
      <c r="H4177" t="s">
        <v>30</v>
      </c>
      <c r="I4177" s="1" t="s">
        <v>22</v>
      </c>
      <c r="J4177" s="2">
        <v>43536.116909722223</v>
      </c>
      <c r="K4177" s="2">
        <v>43545.116909722223</v>
      </c>
      <c r="L4177" s="2">
        <v>43543.116909722223</v>
      </c>
      <c r="M4177" s="1">
        <f>_xlfn.DAYS(Table1[[#This Row],[actual_delivery_date]],Table1[[#This Row],[dispatch_date]])</f>
        <v>9</v>
      </c>
      <c r="N4177">
        <v>49</v>
      </c>
      <c r="O4177">
        <f>Table1[[#This Row],[transit_storage_cost]] * (1-'What -if Analysis'!$D$26)</f>
        <v>49</v>
      </c>
      <c r="P4177">
        <v>106</v>
      </c>
      <c r="Q4177">
        <v>3397.7003072661446</v>
      </c>
    </row>
    <row r="4178" spans="1:17" x14ac:dyDescent="0.3">
      <c r="A4178">
        <v>531007</v>
      </c>
      <c r="B4178" s="1" t="s">
        <v>15</v>
      </c>
      <c r="C4178" s="1" t="s">
        <v>16</v>
      </c>
      <c r="D4178" s="1" t="s">
        <v>17</v>
      </c>
      <c r="E4178" s="1" t="s">
        <v>18</v>
      </c>
      <c r="F4178" s="1" t="s">
        <v>29</v>
      </c>
      <c r="G4178" s="1" t="s">
        <v>20</v>
      </c>
      <c r="H4178" t="s">
        <v>30</v>
      </c>
      <c r="I4178" s="1" t="s">
        <v>22</v>
      </c>
      <c r="J4178" s="2">
        <v>43536.139641203707</v>
      </c>
      <c r="K4178" s="2">
        <v>43545.139641203707</v>
      </c>
      <c r="L4178" s="2">
        <v>43542.139641203707</v>
      </c>
      <c r="M4178" s="1">
        <f>_xlfn.DAYS(Table1[[#This Row],[actual_delivery_date]],Table1[[#This Row],[dispatch_date]])</f>
        <v>9</v>
      </c>
      <c r="N4178">
        <v>25</v>
      </c>
      <c r="O4178">
        <f>Table1[[#This Row],[transit_storage_cost]] * (1-'What -if Analysis'!$D$26)</f>
        <v>25</v>
      </c>
      <c r="P4178">
        <v>108</v>
      </c>
      <c r="Q4178">
        <v>3473</v>
      </c>
    </row>
    <row r="4179" spans="1:17" x14ac:dyDescent="0.3">
      <c r="A4179">
        <v>62430</v>
      </c>
      <c r="B4179" s="1" t="s">
        <v>38</v>
      </c>
      <c r="C4179" s="1" t="s">
        <v>16</v>
      </c>
      <c r="D4179" s="1" t="s">
        <v>23</v>
      </c>
      <c r="E4179" s="1" t="s">
        <v>28</v>
      </c>
      <c r="F4179" s="1" t="s">
        <v>31</v>
      </c>
      <c r="G4179" s="1" t="s">
        <v>20</v>
      </c>
      <c r="H4179" t="s">
        <v>21</v>
      </c>
      <c r="I4179" s="1" t="s">
        <v>26</v>
      </c>
      <c r="J4179" s="2">
        <v>43537.156550925924</v>
      </c>
      <c r="K4179" s="2">
        <v>43545.156550925924</v>
      </c>
      <c r="L4179" s="2">
        <v>43544.156550925924</v>
      </c>
      <c r="M4179" s="1">
        <f>_xlfn.DAYS(Table1[[#This Row],[actual_delivery_date]],Table1[[#This Row],[dispatch_date]])</f>
        <v>8</v>
      </c>
      <c r="N4179">
        <v>44</v>
      </c>
      <c r="O4179">
        <f>Table1[[#This Row],[transit_storage_cost]] * (1-'What -if Analysis'!$D$26)</f>
        <v>44</v>
      </c>
      <c r="P4179">
        <v>124</v>
      </c>
      <c r="Q4179">
        <v>1775.784401301783</v>
      </c>
    </row>
    <row r="4180" spans="1:17" x14ac:dyDescent="0.3">
      <c r="A4180">
        <v>742532</v>
      </c>
      <c r="B4180" s="1" t="s">
        <v>15</v>
      </c>
      <c r="C4180" s="1" t="s">
        <v>16</v>
      </c>
      <c r="D4180" s="1" t="s">
        <v>24</v>
      </c>
      <c r="E4180" s="1" t="s">
        <v>25</v>
      </c>
      <c r="F4180" s="1" t="s">
        <v>19</v>
      </c>
      <c r="G4180" s="1" t="s">
        <v>20</v>
      </c>
      <c r="H4180" t="s">
        <v>21</v>
      </c>
      <c r="I4180" s="1" t="s">
        <v>22</v>
      </c>
      <c r="J4180" s="2">
        <v>43535.172569444447</v>
      </c>
      <c r="K4180" s="2">
        <v>43545.172569444447</v>
      </c>
      <c r="L4180" s="2">
        <v>43540.172569444447</v>
      </c>
      <c r="M4180" s="1">
        <f>_xlfn.DAYS(Table1[[#This Row],[actual_delivery_date]],Table1[[#This Row],[dispatch_date]])</f>
        <v>10</v>
      </c>
      <c r="N4180">
        <v>35</v>
      </c>
      <c r="O4180">
        <f>Table1[[#This Row],[transit_storage_cost]] * (1-'What -if Analysis'!$D$26)</f>
        <v>35</v>
      </c>
      <c r="P4180">
        <v>124</v>
      </c>
      <c r="Q4180">
        <v>342.37520122728932</v>
      </c>
    </row>
    <row r="4181" spans="1:17" x14ac:dyDescent="0.3">
      <c r="A4181">
        <v>45753</v>
      </c>
      <c r="B4181" s="1" t="s">
        <v>38</v>
      </c>
      <c r="C4181" s="1" t="s">
        <v>23</v>
      </c>
      <c r="D4181" s="1" t="s">
        <v>16</v>
      </c>
      <c r="E4181" s="1" t="s">
        <v>27</v>
      </c>
      <c r="F4181" s="1" t="s">
        <v>19</v>
      </c>
      <c r="G4181" s="1" t="s">
        <v>36</v>
      </c>
      <c r="H4181" t="s">
        <v>30</v>
      </c>
      <c r="I4181" s="1" t="s">
        <v>26</v>
      </c>
      <c r="J4181" s="2">
        <v>43538.183518518519</v>
      </c>
      <c r="K4181" s="2">
        <v>43545.183518518519</v>
      </c>
      <c r="L4181" s="2">
        <v>43543.183518518519</v>
      </c>
      <c r="M4181" s="1">
        <f>_xlfn.DAYS(Table1[[#This Row],[actual_delivery_date]],Table1[[#This Row],[dispatch_date]])</f>
        <v>7</v>
      </c>
      <c r="N4181">
        <v>69</v>
      </c>
      <c r="O4181">
        <f>Table1[[#This Row],[transit_storage_cost]] * (1-'What -if Analysis'!$D$26)</f>
        <v>69</v>
      </c>
      <c r="P4181">
        <v>105</v>
      </c>
      <c r="Q4181">
        <v>609</v>
      </c>
    </row>
    <row r="4182" spans="1:17" x14ac:dyDescent="0.3">
      <c r="A4182">
        <v>191134</v>
      </c>
      <c r="B4182" s="1" t="s">
        <v>38</v>
      </c>
      <c r="C4182" s="1" t="s">
        <v>23</v>
      </c>
      <c r="D4182" s="1" t="s">
        <v>17</v>
      </c>
      <c r="E4182" s="1" t="s">
        <v>18</v>
      </c>
      <c r="F4182" s="1" t="s">
        <v>31</v>
      </c>
      <c r="G4182" s="1" t="s">
        <v>20</v>
      </c>
      <c r="H4182" t="s">
        <v>21</v>
      </c>
      <c r="I4182" s="1" t="s">
        <v>22</v>
      </c>
      <c r="J4182" s="2">
        <v>43536.184166666666</v>
      </c>
      <c r="K4182" s="2">
        <v>43545.184166666666</v>
      </c>
      <c r="L4182" s="2">
        <v>43539.184166666666</v>
      </c>
      <c r="M4182" s="1">
        <f>_xlfn.DAYS(Table1[[#This Row],[actual_delivery_date]],Table1[[#This Row],[dispatch_date]])</f>
        <v>9</v>
      </c>
      <c r="N4182">
        <v>47</v>
      </c>
      <c r="O4182">
        <f>Table1[[#This Row],[transit_storage_cost]] * (1-'What -if Analysis'!$D$26)</f>
        <v>47</v>
      </c>
      <c r="P4182">
        <v>110</v>
      </c>
      <c r="Q4182">
        <v>3787.9823324534982</v>
      </c>
    </row>
    <row r="4183" spans="1:17" x14ac:dyDescent="0.3">
      <c r="A4183">
        <v>711101</v>
      </c>
      <c r="B4183" s="1" t="s">
        <v>41</v>
      </c>
      <c r="C4183" s="1" t="s">
        <v>16</v>
      </c>
      <c r="D4183" s="1" t="s">
        <v>24</v>
      </c>
      <c r="E4183" s="1" t="s">
        <v>25</v>
      </c>
      <c r="F4183" s="1" t="s">
        <v>29</v>
      </c>
      <c r="G4183" s="1" t="s">
        <v>20</v>
      </c>
      <c r="H4183" t="s">
        <v>30</v>
      </c>
      <c r="I4183" s="1" t="s">
        <v>22</v>
      </c>
      <c r="J4183" s="2">
        <v>43538.195706018516</v>
      </c>
      <c r="K4183" s="2">
        <v>43545.195706018516</v>
      </c>
      <c r="L4183" s="2">
        <v>43545.195706018516</v>
      </c>
      <c r="M4183" s="1">
        <f>_xlfn.DAYS(Table1[[#This Row],[actual_delivery_date]],Table1[[#This Row],[dispatch_date]])</f>
        <v>7</v>
      </c>
      <c r="N4183">
        <v>38</v>
      </c>
      <c r="O4183">
        <f>Table1[[#This Row],[transit_storage_cost]] * (1-'What -if Analysis'!$D$26)</f>
        <v>38</v>
      </c>
      <c r="P4183">
        <v>120</v>
      </c>
      <c r="Q4183">
        <v>2728.747915792791</v>
      </c>
    </row>
    <row r="4184" spans="1:17" x14ac:dyDescent="0.3">
      <c r="A4184">
        <v>30702</v>
      </c>
      <c r="B4184" s="1" t="s">
        <v>38</v>
      </c>
      <c r="C4184" s="1" t="s">
        <v>23</v>
      </c>
      <c r="D4184" s="1" t="s">
        <v>17</v>
      </c>
      <c r="E4184" s="1" t="s">
        <v>18</v>
      </c>
      <c r="F4184" s="1" t="s">
        <v>31</v>
      </c>
      <c r="G4184" s="1" t="s">
        <v>20</v>
      </c>
      <c r="H4184" t="s">
        <v>21</v>
      </c>
      <c r="I4184" s="1" t="s">
        <v>26</v>
      </c>
      <c r="J4184" s="2">
        <v>43537.20685185185</v>
      </c>
      <c r="K4184" s="2">
        <v>43545.20685185185</v>
      </c>
      <c r="L4184" s="2">
        <v>43544.20685185185</v>
      </c>
      <c r="M4184" s="1">
        <f>_xlfn.DAYS(Table1[[#This Row],[actual_delivery_date]],Table1[[#This Row],[dispatch_date]])</f>
        <v>8</v>
      </c>
      <c r="N4184">
        <v>9999</v>
      </c>
      <c r="O4184">
        <f>Table1[[#This Row],[transit_storage_cost]] * (1-'What -if Analysis'!$D$26)</f>
        <v>9999</v>
      </c>
      <c r="P4184">
        <v>109</v>
      </c>
      <c r="Q4184">
        <v>915</v>
      </c>
    </row>
    <row r="4185" spans="1:17" x14ac:dyDescent="0.3">
      <c r="A4185">
        <v>352730</v>
      </c>
      <c r="B4185" s="1" t="s">
        <v>38</v>
      </c>
      <c r="C4185" s="1" t="s">
        <v>23</v>
      </c>
      <c r="D4185" s="1" t="s">
        <v>17</v>
      </c>
      <c r="E4185" s="1" t="s">
        <v>18</v>
      </c>
      <c r="F4185" s="1" t="s">
        <v>31</v>
      </c>
      <c r="G4185" s="1" t="s">
        <v>20</v>
      </c>
      <c r="H4185" t="s">
        <v>21</v>
      </c>
      <c r="I4185" s="1" t="s">
        <v>22</v>
      </c>
      <c r="J4185" s="2">
        <v>43538.208020833335</v>
      </c>
      <c r="K4185" s="2">
        <v>43545.208020833335</v>
      </c>
      <c r="L4185" s="2">
        <v>43545.208020833335</v>
      </c>
      <c r="M4185" s="1">
        <f>_xlfn.DAYS(Table1[[#This Row],[actual_delivery_date]],Table1[[#This Row],[dispatch_date]])</f>
        <v>7</v>
      </c>
      <c r="N4185">
        <v>28</v>
      </c>
      <c r="O4185">
        <f>Table1[[#This Row],[transit_storage_cost]] * (1-'What -if Analysis'!$D$26)</f>
        <v>28</v>
      </c>
      <c r="P4185">
        <v>114</v>
      </c>
      <c r="Q4185">
        <v>3185.5922678159131</v>
      </c>
    </row>
    <row r="4186" spans="1:17" x14ac:dyDescent="0.3">
      <c r="A4186">
        <v>4836</v>
      </c>
      <c r="B4186" s="1" t="s">
        <v>37</v>
      </c>
      <c r="C4186" s="1" t="s">
        <v>23</v>
      </c>
      <c r="D4186" s="1" t="s">
        <v>24</v>
      </c>
      <c r="E4186" s="1" t="s">
        <v>25</v>
      </c>
      <c r="F4186" s="1" t="s">
        <v>19</v>
      </c>
      <c r="G4186" s="1" t="s">
        <v>20</v>
      </c>
      <c r="H4186" t="s">
        <v>21</v>
      </c>
      <c r="I4186" s="1" t="s">
        <v>26</v>
      </c>
      <c r="J4186" s="2">
        <v>43537.20921296296</v>
      </c>
      <c r="K4186" s="2">
        <v>43545.20921296296</v>
      </c>
      <c r="L4186" s="2">
        <v>43542.20921296296</v>
      </c>
      <c r="M4186" s="1">
        <f>_xlfn.DAYS(Table1[[#This Row],[actual_delivery_date]],Table1[[#This Row],[dispatch_date]])</f>
        <v>8</v>
      </c>
      <c r="N4186">
        <v>35</v>
      </c>
      <c r="O4186">
        <f>Table1[[#This Row],[transit_storage_cost]] * (1-'What -if Analysis'!$D$26)</f>
        <v>35</v>
      </c>
      <c r="P4186">
        <v>121</v>
      </c>
      <c r="Q4186">
        <v>3137.7045980096382</v>
      </c>
    </row>
    <row r="4187" spans="1:17" x14ac:dyDescent="0.3">
      <c r="A4187">
        <v>110243</v>
      </c>
      <c r="B4187" s="1" t="s">
        <v>41</v>
      </c>
      <c r="C4187" s="1" t="s">
        <v>16</v>
      </c>
      <c r="D4187" s="1" t="s">
        <v>24</v>
      </c>
      <c r="E4187" s="1" t="s">
        <v>25</v>
      </c>
      <c r="F4187" s="1" t="s">
        <v>19</v>
      </c>
      <c r="G4187" s="1" t="s">
        <v>20</v>
      </c>
      <c r="H4187" t="s">
        <v>34</v>
      </c>
      <c r="I4187" s="1" t="s">
        <v>22</v>
      </c>
      <c r="J4187" s="2">
        <v>43535.247708333336</v>
      </c>
      <c r="K4187" s="2">
        <v>43545.247708333336</v>
      </c>
      <c r="L4187" s="2">
        <v>43539.247708333336</v>
      </c>
      <c r="M4187" s="1">
        <f>_xlfn.DAYS(Table1[[#This Row],[actual_delivery_date]],Table1[[#This Row],[dispatch_date]])</f>
        <v>10</v>
      </c>
      <c r="N4187">
        <v>80</v>
      </c>
      <c r="O4187">
        <f>Table1[[#This Row],[transit_storage_cost]] * (1-'What -if Analysis'!$D$26)</f>
        <v>80</v>
      </c>
      <c r="P4187">
        <v>109</v>
      </c>
      <c r="Q4187">
        <v>1514</v>
      </c>
    </row>
    <row r="4188" spans="1:17" x14ac:dyDescent="0.3">
      <c r="A4188">
        <v>286483</v>
      </c>
      <c r="B4188" s="1" t="s">
        <v>38</v>
      </c>
      <c r="C4188" s="1" t="s">
        <v>16</v>
      </c>
      <c r="D4188" s="1" t="s">
        <v>23</v>
      </c>
      <c r="E4188" s="1" t="s">
        <v>28</v>
      </c>
      <c r="F4188" s="1" t="s">
        <v>29</v>
      </c>
      <c r="G4188" s="1" t="s">
        <v>20</v>
      </c>
      <c r="H4188" t="s">
        <v>30</v>
      </c>
      <c r="I4188" s="1" t="s">
        <v>22</v>
      </c>
      <c r="J4188" s="2">
        <v>43538.253946759258</v>
      </c>
      <c r="K4188" s="2">
        <v>43545.253946759258</v>
      </c>
      <c r="L4188" s="2">
        <v>43545.253946759258</v>
      </c>
      <c r="M4188" s="1">
        <f>_xlfn.DAYS(Table1[[#This Row],[actual_delivery_date]],Table1[[#This Row],[dispatch_date]])</f>
        <v>7</v>
      </c>
      <c r="N4188">
        <v>50</v>
      </c>
      <c r="O4188">
        <f>Table1[[#This Row],[transit_storage_cost]] * (1-'What -if Analysis'!$D$26)</f>
        <v>50</v>
      </c>
      <c r="P4188">
        <v>128</v>
      </c>
      <c r="Q4188">
        <v>3430</v>
      </c>
    </row>
    <row r="4189" spans="1:17" x14ac:dyDescent="0.3">
      <c r="A4189">
        <v>375456</v>
      </c>
      <c r="B4189" s="1" t="s">
        <v>39</v>
      </c>
      <c r="C4189" s="1" t="s">
        <v>16</v>
      </c>
      <c r="D4189" s="1" t="s">
        <v>24</v>
      </c>
      <c r="E4189" s="1" t="s">
        <v>25</v>
      </c>
      <c r="F4189" s="1" t="s">
        <v>19</v>
      </c>
      <c r="G4189" s="1" t="s">
        <v>20</v>
      </c>
      <c r="H4189" t="s">
        <v>21</v>
      </c>
      <c r="I4189" s="1" t="s">
        <v>26</v>
      </c>
      <c r="J4189" s="2">
        <v>43538.279305555552</v>
      </c>
      <c r="K4189" s="2">
        <v>43545.279305555552</v>
      </c>
      <c r="L4189" s="2">
        <v>43541.279305555552</v>
      </c>
      <c r="M4189" s="1">
        <f>_xlfn.DAYS(Table1[[#This Row],[actual_delivery_date]],Table1[[#This Row],[dispatch_date]])</f>
        <v>7</v>
      </c>
      <c r="N4189">
        <v>27</v>
      </c>
      <c r="O4189">
        <f>Table1[[#This Row],[transit_storage_cost]] * (1-'What -if Analysis'!$D$26)</f>
        <v>27</v>
      </c>
      <c r="P4189">
        <v>124</v>
      </c>
      <c r="Q4189">
        <v>662</v>
      </c>
    </row>
    <row r="4190" spans="1:17" x14ac:dyDescent="0.3">
      <c r="A4190">
        <v>732363</v>
      </c>
      <c r="B4190" s="1" t="s">
        <v>37</v>
      </c>
      <c r="C4190" s="1" t="s">
        <v>23</v>
      </c>
      <c r="D4190" s="1" t="s">
        <v>17</v>
      </c>
      <c r="E4190" s="1" t="s">
        <v>18</v>
      </c>
      <c r="F4190" s="1" t="s">
        <v>29</v>
      </c>
      <c r="G4190" s="1" t="s">
        <v>20</v>
      </c>
      <c r="H4190" t="s">
        <v>30</v>
      </c>
      <c r="I4190" s="1" t="s">
        <v>26</v>
      </c>
      <c r="J4190" s="2">
        <v>43538.281087962961</v>
      </c>
      <c r="K4190" s="2">
        <v>43545.281087962961</v>
      </c>
      <c r="L4190" s="2">
        <v>43541.281087962961</v>
      </c>
      <c r="M4190" s="1">
        <f>_xlfn.DAYS(Table1[[#This Row],[actual_delivery_date]],Table1[[#This Row],[dispatch_date]])</f>
        <v>7</v>
      </c>
      <c r="N4190">
        <v>26</v>
      </c>
      <c r="O4190">
        <f>Table1[[#This Row],[transit_storage_cost]] * (1-'What -if Analysis'!$D$26)</f>
        <v>26</v>
      </c>
      <c r="P4190">
        <v>111</v>
      </c>
      <c r="Q4190">
        <v>2915</v>
      </c>
    </row>
    <row r="4191" spans="1:17" x14ac:dyDescent="0.3">
      <c r="A4191">
        <v>865524</v>
      </c>
      <c r="B4191" s="1" t="s">
        <v>37</v>
      </c>
      <c r="C4191" s="1" t="s">
        <v>23</v>
      </c>
      <c r="D4191" s="1" t="s">
        <v>32</v>
      </c>
      <c r="E4191" s="1" t="s">
        <v>33</v>
      </c>
      <c r="F4191" s="1" t="s">
        <v>19</v>
      </c>
      <c r="G4191" s="1" t="s">
        <v>20</v>
      </c>
      <c r="H4191" t="s">
        <v>21</v>
      </c>
      <c r="I4191" s="1" t="s">
        <v>26</v>
      </c>
      <c r="J4191" s="2">
        <v>43537.321076388886</v>
      </c>
      <c r="K4191" s="2">
        <v>43545.321076388886</v>
      </c>
      <c r="L4191" s="2">
        <v>43540.321076388886</v>
      </c>
      <c r="M4191" s="1">
        <f>_xlfn.DAYS(Table1[[#This Row],[actual_delivery_date]],Table1[[#This Row],[dispatch_date]])</f>
        <v>8</v>
      </c>
      <c r="N4191">
        <v>44</v>
      </c>
      <c r="O4191">
        <f>Table1[[#This Row],[transit_storage_cost]] * (1-'What -if Analysis'!$D$26)</f>
        <v>44</v>
      </c>
      <c r="P4191">
        <v>114</v>
      </c>
      <c r="Q4191">
        <v>3166.5901836139542</v>
      </c>
    </row>
    <row r="4192" spans="1:17" x14ac:dyDescent="0.3">
      <c r="A4192">
        <v>461128</v>
      </c>
      <c r="B4192" s="1" t="s">
        <v>15</v>
      </c>
      <c r="C4192" s="1" t="s">
        <v>16</v>
      </c>
      <c r="D4192" s="1" t="s">
        <v>32</v>
      </c>
      <c r="E4192" s="1" t="s">
        <v>33</v>
      </c>
      <c r="F4192" s="1" t="s">
        <v>19</v>
      </c>
      <c r="G4192" s="1" t="s">
        <v>20</v>
      </c>
      <c r="H4192" t="s">
        <v>21</v>
      </c>
      <c r="I4192" s="1" t="s">
        <v>22</v>
      </c>
      <c r="J4192" s="2">
        <v>43538.329583333332</v>
      </c>
      <c r="K4192" s="2">
        <v>43545.329583333332</v>
      </c>
      <c r="L4192" s="2">
        <v>43544.329583333332</v>
      </c>
      <c r="M4192" s="1">
        <f>_xlfn.DAYS(Table1[[#This Row],[actual_delivery_date]],Table1[[#This Row],[dispatch_date]])</f>
        <v>7</v>
      </c>
      <c r="N4192">
        <v>81</v>
      </c>
      <c r="O4192">
        <f>Table1[[#This Row],[transit_storage_cost]] * (1-'What -if Analysis'!$D$26)</f>
        <v>81</v>
      </c>
      <c r="P4192">
        <v>86</v>
      </c>
      <c r="Q4192">
        <v>958.00976192489452</v>
      </c>
    </row>
    <row r="4193" spans="1:17" x14ac:dyDescent="0.3">
      <c r="A4193">
        <v>385288</v>
      </c>
      <c r="B4193" s="1" t="s">
        <v>38</v>
      </c>
      <c r="C4193" s="1" t="s">
        <v>23</v>
      </c>
      <c r="D4193" s="1" t="s">
        <v>24</v>
      </c>
      <c r="E4193" s="1" t="s">
        <v>25</v>
      </c>
      <c r="F4193" s="1" t="s">
        <v>19</v>
      </c>
      <c r="G4193" s="1" t="s">
        <v>20</v>
      </c>
      <c r="H4193" t="s">
        <v>21</v>
      </c>
      <c r="I4193" s="1" t="s">
        <v>22</v>
      </c>
      <c r="J4193" s="2">
        <v>43536.331111111111</v>
      </c>
      <c r="K4193" s="2">
        <v>43545.331111111111</v>
      </c>
      <c r="L4193" s="2">
        <v>43543.331111111111</v>
      </c>
      <c r="M4193" s="1">
        <f>_xlfn.DAYS(Table1[[#This Row],[actual_delivery_date]],Table1[[#This Row],[dispatch_date]])</f>
        <v>9</v>
      </c>
      <c r="N4193">
        <v>70</v>
      </c>
      <c r="O4193">
        <f>Table1[[#This Row],[transit_storage_cost]] * (1-'What -if Analysis'!$D$26)</f>
        <v>70</v>
      </c>
      <c r="P4193">
        <v>103</v>
      </c>
      <c r="Q4193">
        <v>2875.1226467111933</v>
      </c>
    </row>
    <row r="4194" spans="1:17" x14ac:dyDescent="0.3">
      <c r="A4194">
        <v>728699</v>
      </c>
      <c r="B4194" s="1" t="s">
        <v>37</v>
      </c>
      <c r="C4194" s="1" t="s">
        <v>16</v>
      </c>
      <c r="D4194" s="1" t="s">
        <v>17</v>
      </c>
      <c r="E4194" s="1" t="s">
        <v>18</v>
      </c>
      <c r="F4194" s="1" t="s">
        <v>29</v>
      </c>
      <c r="G4194" s="1" t="s">
        <v>20</v>
      </c>
      <c r="H4194" t="s">
        <v>30</v>
      </c>
      <c r="I4194" s="1" t="s">
        <v>22</v>
      </c>
      <c r="J4194" s="2">
        <v>43536.340381944443</v>
      </c>
      <c r="K4194" s="2">
        <v>43545.340381944443</v>
      </c>
      <c r="L4194" s="2">
        <v>43543.340381944443</v>
      </c>
      <c r="M4194" s="1">
        <f>_xlfn.DAYS(Table1[[#This Row],[actual_delivery_date]],Table1[[#This Row],[dispatch_date]])</f>
        <v>9</v>
      </c>
      <c r="N4194">
        <v>39</v>
      </c>
      <c r="O4194">
        <f>Table1[[#This Row],[transit_storage_cost]] * (1-'What -if Analysis'!$D$26)</f>
        <v>39</v>
      </c>
      <c r="P4194">
        <v>109</v>
      </c>
      <c r="Q4194">
        <v>3151.0515790733275</v>
      </c>
    </row>
    <row r="4195" spans="1:17" x14ac:dyDescent="0.3">
      <c r="A4195">
        <v>409056</v>
      </c>
      <c r="B4195" s="1" t="s">
        <v>38</v>
      </c>
      <c r="C4195" s="1" t="s">
        <v>23</v>
      </c>
      <c r="D4195" s="1" t="s">
        <v>32</v>
      </c>
      <c r="E4195" s="1" t="s">
        <v>33</v>
      </c>
      <c r="F4195" s="1" t="s">
        <v>19</v>
      </c>
      <c r="G4195" s="1" t="s">
        <v>20</v>
      </c>
      <c r="H4195" t="s">
        <v>21</v>
      </c>
      <c r="I4195" s="1" t="s">
        <v>26</v>
      </c>
      <c r="J4195" s="2">
        <v>43538.345682870371</v>
      </c>
      <c r="K4195" s="2">
        <v>43545.345682870371</v>
      </c>
      <c r="L4195" s="2">
        <v>43544.345682870371</v>
      </c>
      <c r="M4195" s="1">
        <f>_xlfn.DAYS(Table1[[#This Row],[actual_delivery_date]],Table1[[#This Row],[dispatch_date]])</f>
        <v>7</v>
      </c>
      <c r="N4195">
        <v>35</v>
      </c>
      <c r="O4195">
        <f>Table1[[#This Row],[transit_storage_cost]] * (1-'What -if Analysis'!$D$26)</f>
        <v>35</v>
      </c>
      <c r="P4195">
        <v>110</v>
      </c>
      <c r="Q4195">
        <v>2443.7608796226677</v>
      </c>
    </row>
    <row r="4196" spans="1:17" x14ac:dyDescent="0.3">
      <c r="A4196">
        <v>754001</v>
      </c>
      <c r="B4196" s="1" t="s">
        <v>38</v>
      </c>
      <c r="C4196" s="1" t="s">
        <v>16</v>
      </c>
      <c r="D4196" s="1" t="s">
        <v>16</v>
      </c>
      <c r="E4196" s="1" t="s">
        <v>27</v>
      </c>
      <c r="F4196" s="1" t="s">
        <v>29</v>
      </c>
      <c r="G4196" s="1" t="s">
        <v>20</v>
      </c>
      <c r="H4196" t="s">
        <v>30</v>
      </c>
      <c r="I4196" s="1" t="s">
        <v>22</v>
      </c>
      <c r="J4196" s="2">
        <v>43538.346747685187</v>
      </c>
      <c r="K4196" s="2">
        <v>43545.346747685187</v>
      </c>
      <c r="L4196" s="2">
        <v>43545.346747685187</v>
      </c>
      <c r="M4196" s="1">
        <f>_xlfn.DAYS(Table1[[#This Row],[actual_delivery_date]],Table1[[#This Row],[dispatch_date]])</f>
        <v>7</v>
      </c>
      <c r="N4196">
        <v>0</v>
      </c>
      <c r="O4196">
        <f>Table1[[#This Row],[transit_storage_cost]] * (1-'What -if Analysis'!$D$26)</f>
        <v>0</v>
      </c>
      <c r="P4196">
        <v>127</v>
      </c>
      <c r="Q4196">
        <v>2061</v>
      </c>
    </row>
    <row r="4197" spans="1:17" x14ac:dyDescent="0.3">
      <c r="A4197">
        <v>187461</v>
      </c>
      <c r="B4197" s="1" t="s">
        <v>38</v>
      </c>
      <c r="C4197" s="1" t="s">
        <v>23</v>
      </c>
      <c r="D4197" s="1" t="s">
        <v>17</v>
      </c>
      <c r="E4197" s="1" t="s">
        <v>18</v>
      </c>
      <c r="F4197" s="1" t="s">
        <v>29</v>
      </c>
      <c r="G4197" s="1" t="s">
        <v>20</v>
      </c>
      <c r="H4197" t="s">
        <v>30</v>
      </c>
      <c r="I4197" s="1" t="s">
        <v>26</v>
      </c>
      <c r="J4197" s="2">
        <v>43537.402060185188</v>
      </c>
      <c r="K4197" s="2">
        <v>43545.402060185188</v>
      </c>
      <c r="L4197" s="2">
        <v>43541.402060185188</v>
      </c>
      <c r="M4197" s="1">
        <f>_xlfn.DAYS(Table1[[#This Row],[actual_delivery_date]],Table1[[#This Row],[dispatch_date]])</f>
        <v>8</v>
      </c>
      <c r="N4197">
        <v>44</v>
      </c>
      <c r="O4197">
        <f>Table1[[#This Row],[transit_storage_cost]] * (1-'What -if Analysis'!$D$26)</f>
        <v>44</v>
      </c>
      <c r="P4197">
        <v>107</v>
      </c>
      <c r="Q4197">
        <v>451.13204136080674</v>
      </c>
    </row>
    <row r="4198" spans="1:17" x14ac:dyDescent="0.3">
      <c r="A4198">
        <v>169129</v>
      </c>
      <c r="B4198" s="1" t="s">
        <v>40</v>
      </c>
      <c r="C4198" s="1" t="s">
        <v>23</v>
      </c>
      <c r="D4198" s="1" t="s">
        <v>17</v>
      </c>
      <c r="E4198" s="1" t="s">
        <v>18</v>
      </c>
      <c r="F4198" s="1" t="s">
        <v>29</v>
      </c>
      <c r="G4198" s="1" t="s">
        <v>20</v>
      </c>
      <c r="H4198" t="s">
        <v>30</v>
      </c>
      <c r="I4198" s="1" t="s">
        <v>22</v>
      </c>
      <c r="J4198" s="2">
        <v>43538.403645833336</v>
      </c>
      <c r="K4198" s="2">
        <v>43545.403645833336</v>
      </c>
      <c r="L4198" s="2">
        <v>43541.403645833336</v>
      </c>
      <c r="M4198" s="1">
        <f>_xlfn.DAYS(Table1[[#This Row],[actual_delivery_date]],Table1[[#This Row],[dispatch_date]])</f>
        <v>7</v>
      </c>
      <c r="N4198">
        <v>42</v>
      </c>
      <c r="O4198">
        <f>Table1[[#This Row],[transit_storage_cost]] * (1-'What -if Analysis'!$D$26)</f>
        <v>42</v>
      </c>
      <c r="P4198">
        <v>108</v>
      </c>
      <c r="Q4198">
        <v>1125</v>
      </c>
    </row>
    <row r="4199" spans="1:17" x14ac:dyDescent="0.3">
      <c r="A4199">
        <v>679030</v>
      </c>
      <c r="B4199" s="1" t="s">
        <v>37</v>
      </c>
      <c r="C4199" s="1" t="s">
        <v>23</v>
      </c>
      <c r="D4199" s="1" t="s">
        <v>24</v>
      </c>
      <c r="E4199" s="1" t="s">
        <v>25</v>
      </c>
      <c r="F4199" s="1" t="s">
        <v>19</v>
      </c>
      <c r="G4199" s="1" t="s">
        <v>20</v>
      </c>
      <c r="H4199" t="s">
        <v>21</v>
      </c>
      <c r="I4199" s="1" t="s">
        <v>22</v>
      </c>
      <c r="J4199" s="2">
        <v>43535.441550925927</v>
      </c>
      <c r="K4199" s="2">
        <v>43545.441550925927</v>
      </c>
      <c r="L4199" s="2">
        <v>43540.441550925927</v>
      </c>
      <c r="M4199" s="1">
        <f>_xlfn.DAYS(Table1[[#This Row],[actual_delivery_date]],Table1[[#This Row],[dispatch_date]])</f>
        <v>10</v>
      </c>
      <c r="N4199">
        <v>84</v>
      </c>
      <c r="O4199">
        <f>Table1[[#This Row],[transit_storage_cost]] * (1-'What -if Analysis'!$D$26)</f>
        <v>84</v>
      </c>
      <c r="P4199">
        <v>103</v>
      </c>
      <c r="Q4199">
        <v>2861</v>
      </c>
    </row>
    <row r="4200" spans="1:17" x14ac:dyDescent="0.3">
      <c r="A4200">
        <v>46130</v>
      </c>
      <c r="B4200" s="1" t="s">
        <v>38</v>
      </c>
      <c r="C4200" s="1" t="s">
        <v>23</v>
      </c>
      <c r="D4200" s="1" t="s">
        <v>32</v>
      </c>
      <c r="E4200" s="1" t="s">
        <v>33</v>
      </c>
      <c r="F4200" s="1" t="s">
        <v>31</v>
      </c>
      <c r="G4200" s="1" t="s">
        <v>20</v>
      </c>
      <c r="H4200" t="s">
        <v>21</v>
      </c>
      <c r="I4200" s="1" t="s">
        <v>22</v>
      </c>
      <c r="J4200" s="2">
        <v>43538.448437500003</v>
      </c>
      <c r="K4200" s="2">
        <v>43545.448437500003</v>
      </c>
      <c r="L4200" s="2">
        <v>43541.448437500003</v>
      </c>
      <c r="M4200" s="1">
        <f>_xlfn.DAYS(Table1[[#This Row],[actual_delivery_date]],Table1[[#This Row],[dispatch_date]])</f>
        <v>7</v>
      </c>
      <c r="N4200">
        <v>25</v>
      </c>
      <c r="O4200">
        <f>Table1[[#This Row],[transit_storage_cost]] * (1-'What -if Analysis'!$D$26)</f>
        <v>25</v>
      </c>
      <c r="P4200">
        <v>115</v>
      </c>
      <c r="Q4200">
        <v>2499.9694236968794</v>
      </c>
    </row>
    <row r="4201" spans="1:17" x14ac:dyDescent="0.3">
      <c r="A4201">
        <v>812370</v>
      </c>
      <c r="B4201" s="1" t="s">
        <v>38</v>
      </c>
      <c r="C4201" s="1" t="s">
        <v>16</v>
      </c>
      <c r="D4201" s="1" t="s">
        <v>32</v>
      </c>
      <c r="E4201" s="1" t="s">
        <v>33</v>
      </c>
      <c r="F4201" s="1" t="s">
        <v>31</v>
      </c>
      <c r="G4201" s="1" t="s">
        <v>20</v>
      </c>
      <c r="H4201" t="s">
        <v>21</v>
      </c>
      <c r="I4201" s="1" t="s">
        <v>26</v>
      </c>
      <c r="J4201" s="2">
        <v>43538.468530092592</v>
      </c>
      <c r="K4201" s="2">
        <v>43545.468530092592</v>
      </c>
      <c r="L4201" s="2">
        <v>43545.468530092592</v>
      </c>
      <c r="M4201" s="1">
        <f>_xlfn.DAYS(Table1[[#This Row],[actual_delivery_date]],Table1[[#This Row],[dispatch_date]])</f>
        <v>7</v>
      </c>
      <c r="N4201">
        <v>50</v>
      </c>
      <c r="O4201">
        <f>Table1[[#This Row],[transit_storage_cost]] * (1-'What -if Analysis'!$D$26)</f>
        <v>50</v>
      </c>
      <c r="P4201">
        <v>114</v>
      </c>
      <c r="Q4201">
        <v>2920</v>
      </c>
    </row>
    <row r="4202" spans="1:17" x14ac:dyDescent="0.3">
      <c r="A4202">
        <v>171196</v>
      </c>
      <c r="B4202" s="1" t="s">
        <v>38</v>
      </c>
      <c r="C4202" s="1" t="s">
        <v>16</v>
      </c>
      <c r="D4202" s="1" t="s">
        <v>24</v>
      </c>
      <c r="E4202" s="1" t="s">
        <v>25</v>
      </c>
      <c r="F4202" s="1" t="s">
        <v>19</v>
      </c>
      <c r="G4202" s="1" t="s">
        <v>20</v>
      </c>
      <c r="H4202" t="s">
        <v>21</v>
      </c>
      <c r="I4202" s="1" t="s">
        <v>22</v>
      </c>
      <c r="J4202" s="2">
        <v>43537.47556712963</v>
      </c>
      <c r="K4202" s="2">
        <v>43545.47556712963</v>
      </c>
      <c r="L4202" s="2">
        <v>43540.47556712963</v>
      </c>
      <c r="M4202" s="1">
        <f>_xlfn.DAYS(Table1[[#This Row],[actual_delivery_date]],Table1[[#This Row],[dispatch_date]])</f>
        <v>8</v>
      </c>
      <c r="N4202">
        <v>39</v>
      </c>
      <c r="O4202">
        <f>Table1[[#This Row],[transit_storage_cost]] * (1-'What -if Analysis'!$D$26)</f>
        <v>39</v>
      </c>
      <c r="P4202">
        <v>130</v>
      </c>
      <c r="Q4202">
        <v>1153.0131222974769</v>
      </c>
    </row>
    <row r="4203" spans="1:17" x14ac:dyDescent="0.3">
      <c r="A4203">
        <v>409632</v>
      </c>
      <c r="B4203" s="1" t="s">
        <v>39</v>
      </c>
      <c r="C4203" s="1" t="s">
        <v>23</v>
      </c>
      <c r="D4203" s="1" t="s">
        <v>24</v>
      </c>
      <c r="E4203" s="1" t="s">
        <v>25</v>
      </c>
      <c r="F4203" s="1" t="s">
        <v>19</v>
      </c>
      <c r="G4203" s="1" t="s">
        <v>20</v>
      </c>
      <c r="H4203" t="s">
        <v>21</v>
      </c>
      <c r="I4203" s="1" t="s">
        <v>26</v>
      </c>
      <c r="J4203" s="2">
        <v>43537.477569444447</v>
      </c>
      <c r="K4203" s="2">
        <v>43545.477569444447</v>
      </c>
      <c r="L4203" s="2">
        <v>43542.477569444447</v>
      </c>
      <c r="M4203" s="1">
        <f>_xlfn.DAYS(Table1[[#This Row],[actual_delivery_date]],Table1[[#This Row],[dispatch_date]])</f>
        <v>8</v>
      </c>
      <c r="N4203">
        <v>59</v>
      </c>
      <c r="O4203">
        <f>Table1[[#This Row],[transit_storage_cost]] * (1-'What -if Analysis'!$D$26)</f>
        <v>59</v>
      </c>
      <c r="P4203">
        <v>108</v>
      </c>
      <c r="Q4203">
        <v>2132.0628955306129</v>
      </c>
    </row>
    <row r="4204" spans="1:17" x14ac:dyDescent="0.3">
      <c r="A4204">
        <v>918570</v>
      </c>
      <c r="B4204" s="1" t="s">
        <v>37</v>
      </c>
      <c r="C4204" s="1" t="s">
        <v>23</v>
      </c>
      <c r="D4204" s="1" t="s">
        <v>17</v>
      </c>
      <c r="E4204" s="1" t="s">
        <v>18</v>
      </c>
      <c r="F4204" s="1" t="s">
        <v>31</v>
      </c>
      <c r="G4204" s="1" t="s">
        <v>20</v>
      </c>
      <c r="H4204" t="s">
        <v>21</v>
      </c>
      <c r="I4204" s="1" t="s">
        <v>26</v>
      </c>
      <c r="J4204" s="2">
        <v>43537.493425925924</v>
      </c>
      <c r="K4204" s="2">
        <v>43545.493425925924</v>
      </c>
      <c r="L4204" s="2">
        <v>43541.493425925924</v>
      </c>
      <c r="M4204" s="1">
        <f>_xlfn.DAYS(Table1[[#This Row],[actual_delivery_date]],Table1[[#This Row],[dispatch_date]])</f>
        <v>8</v>
      </c>
      <c r="N4204">
        <v>0</v>
      </c>
      <c r="O4204">
        <f>Table1[[#This Row],[transit_storage_cost]] * (1-'What -if Analysis'!$D$26)</f>
        <v>0</v>
      </c>
      <c r="P4204">
        <v>115</v>
      </c>
      <c r="Q4204">
        <v>3074</v>
      </c>
    </row>
    <row r="4205" spans="1:17" x14ac:dyDescent="0.3">
      <c r="A4205">
        <v>258145</v>
      </c>
      <c r="B4205" s="1" t="s">
        <v>40</v>
      </c>
      <c r="C4205" s="1" t="s">
        <v>16</v>
      </c>
      <c r="D4205" s="1" t="s">
        <v>17</v>
      </c>
      <c r="E4205" s="1" t="s">
        <v>18</v>
      </c>
      <c r="F4205" s="1" t="s">
        <v>29</v>
      </c>
      <c r="G4205" s="1" t="s">
        <v>20</v>
      </c>
      <c r="H4205" t="s">
        <v>30</v>
      </c>
      <c r="I4205" s="1" t="s">
        <v>22</v>
      </c>
      <c r="J4205" s="2">
        <v>43537.497916666667</v>
      </c>
      <c r="K4205" s="2">
        <v>43545.497916666667</v>
      </c>
      <c r="L4205" s="2">
        <v>43540.497916666667</v>
      </c>
      <c r="M4205" s="1">
        <f>_xlfn.DAYS(Table1[[#This Row],[actual_delivery_date]],Table1[[#This Row],[dispatch_date]])</f>
        <v>8</v>
      </c>
      <c r="N4205">
        <v>29</v>
      </c>
      <c r="O4205">
        <f>Table1[[#This Row],[transit_storage_cost]] * (1-'What -if Analysis'!$D$26)</f>
        <v>29</v>
      </c>
      <c r="P4205">
        <v>110</v>
      </c>
      <c r="Q4205">
        <v>2239.1774022900631</v>
      </c>
    </row>
    <row r="4206" spans="1:17" x14ac:dyDescent="0.3">
      <c r="A4206">
        <v>896986</v>
      </c>
      <c r="B4206" s="1" t="s">
        <v>37</v>
      </c>
      <c r="C4206" s="1" t="s">
        <v>16</v>
      </c>
      <c r="D4206" s="1" t="s">
        <v>24</v>
      </c>
      <c r="E4206" s="1" t="s">
        <v>25</v>
      </c>
      <c r="F4206" s="1" t="s">
        <v>19</v>
      </c>
      <c r="G4206" s="1" t="s">
        <v>20</v>
      </c>
      <c r="H4206" t="s">
        <v>21</v>
      </c>
      <c r="I4206" s="1" t="s">
        <v>22</v>
      </c>
      <c r="J4206" s="2">
        <v>43537.53396990741</v>
      </c>
      <c r="K4206" s="2">
        <v>43545.53396990741</v>
      </c>
      <c r="L4206" s="2">
        <v>43541.53396990741</v>
      </c>
      <c r="M4206" s="1">
        <f>_xlfn.DAYS(Table1[[#This Row],[actual_delivery_date]],Table1[[#This Row],[dispatch_date]])</f>
        <v>8</v>
      </c>
      <c r="N4206">
        <v>71</v>
      </c>
      <c r="O4206">
        <f>Table1[[#This Row],[transit_storage_cost]] * (1-'What -if Analysis'!$D$26)</f>
        <v>71</v>
      </c>
      <c r="P4206">
        <v>106</v>
      </c>
      <c r="Q4206">
        <v>2414.3857053658485</v>
      </c>
    </row>
    <row r="4207" spans="1:17" x14ac:dyDescent="0.3">
      <c r="A4207">
        <v>423046</v>
      </c>
      <c r="B4207" s="1" t="s">
        <v>39</v>
      </c>
      <c r="C4207" s="1" t="s">
        <v>16</v>
      </c>
      <c r="D4207" s="1" t="s">
        <v>32</v>
      </c>
      <c r="E4207" s="1" t="s">
        <v>33</v>
      </c>
      <c r="F4207" s="1" t="s">
        <v>31</v>
      </c>
      <c r="G4207" s="1" t="s">
        <v>20</v>
      </c>
      <c r="H4207" t="s">
        <v>21</v>
      </c>
      <c r="I4207" s="1" t="s">
        <v>22</v>
      </c>
      <c r="J4207" s="2">
        <v>43538.563206018516</v>
      </c>
      <c r="K4207" s="2">
        <v>43545.563206018516</v>
      </c>
      <c r="L4207" s="2">
        <v>43543.563206018516</v>
      </c>
      <c r="M4207" s="1">
        <f>_xlfn.DAYS(Table1[[#This Row],[actual_delivery_date]],Table1[[#This Row],[dispatch_date]])</f>
        <v>7</v>
      </c>
      <c r="N4207">
        <v>50</v>
      </c>
      <c r="O4207">
        <f>Table1[[#This Row],[transit_storage_cost]] * (1-'What -if Analysis'!$D$26)</f>
        <v>50</v>
      </c>
      <c r="P4207">
        <v>114</v>
      </c>
      <c r="Q4207">
        <v>846.26221958030374</v>
      </c>
    </row>
    <row r="4208" spans="1:17" x14ac:dyDescent="0.3">
      <c r="A4208">
        <v>705727</v>
      </c>
      <c r="B4208" s="1" t="s">
        <v>37</v>
      </c>
      <c r="C4208" s="1" t="s">
        <v>16</v>
      </c>
      <c r="D4208" s="1" t="s">
        <v>17</v>
      </c>
      <c r="E4208" s="1" t="s">
        <v>18</v>
      </c>
      <c r="F4208" s="1" t="s">
        <v>29</v>
      </c>
      <c r="G4208" s="1" t="s">
        <v>20</v>
      </c>
      <c r="H4208" t="s">
        <v>30</v>
      </c>
      <c r="I4208" s="1" t="s">
        <v>22</v>
      </c>
      <c r="J4208" s="2">
        <v>43537.588761574072</v>
      </c>
      <c r="K4208" s="2">
        <v>43545.588761574072</v>
      </c>
      <c r="L4208" s="2">
        <v>43544.588761574072</v>
      </c>
      <c r="M4208" s="1">
        <f>_xlfn.DAYS(Table1[[#This Row],[actual_delivery_date]],Table1[[#This Row],[dispatch_date]])</f>
        <v>8</v>
      </c>
      <c r="N4208">
        <v>45</v>
      </c>
      <c r="O4208">
        <f>Table1[[#This Row],[transit_storage_cost]] * (1-'What -if Analysis'!$D$26)</f>
        <v>45</v>
      </c>
      <c r="P4208">
        <v>112</v>
      </c>
      <c r="Q4208">
        <v>2559</v>
      </c>
    </row>
    <row r="4209" spans="1:17" x14ac:dyDescent="0.3">
      <c r="A4209">
        <v>558026</v>
      </c>
      <c r="B4209" s="1" t="s">
        <v>37</v>
      </c>
      <c r="C4209" s="1" t="s">
        <v>23</v>
      </c>
      <c r="D4209" s="1" t="s">
        <v>32</v>
      </c>
      <c r="E4209" s="1" t="s">
        <v>33</v>
      </c>
      <c r="F4209" s="1" t="s">
        <v>19</v>
      </c>
      <c r="G4209" s="1" t="s">
        <v>20</v>
      </c>
      <c r="H4209" t="s">
        <v>21</v>
      </c>
      <c r="I4209" s="1" t="s">
        <v>22</v>
      </c>
      <c r="J4209" s="2">
        <v>43538.643414351849</v>
      </c>
      <c r="K4209" s="2">
        <v>43545.643414351849</v>
      </c>
      <c r="L4209" s="2">
        <v>43545.643414351849</v>
      </c>
      <c r="M4209" s="1">
        <f>_xlfn.DAYS(Table1[[#This Row],[actual_delivery_date]],Table1[[#This Row],[dispatch_date]])</f>
        <v>7</v>
      </c>
      <c r="N4209">
        <v>71</v>
      </c>
      <c r="O4209">
        <f>Table1[[#This Row],[transit_storage_cost]] * (1-'What -if Analysis'!$D$26)</f>
        <v>71</v>
      </c>
      <c r="P4209">
        <v>85</v>
      </c>
      <c r="Q4209">
        <v>1965</v>
      </c>
    </row>
    <row r="4210" spans="1:17" x14ac:dyDescent="0.3">
      <c r="A4210">
        <v>39350</v>
      </c>
      <c r="B4210" s="1" t="s">
        <v>37</v>
      </c>
      <c r="C4210" s="1" t="s">
        <v>16</v>
      </c>
      <c r="D4210" s="1" t="s">
        <v>32</v>
      </c>
      <c r="E4210" s="1" t="s">
        <v>33</v>
      </c>
      <c r="F4210" s="1" t="s">
        <v>19</v>
      </c>
      <c r="G4210" s="1" t="s">
        <v>20</v>
      </c>
      <c r="H4210" t="s">
        <v>21</v>
      </c>
      <c r="I4210" s="1" t="s">
        <v>22</v>
      </c>
      <c r="J4210" s="2">
        <v>43536.655902777777</v>
      </c>
      <c r="K4210" s="2">
        <v>43545.655902777777</v>
      </c>
      <c r="L4210" s="2">
        <v>43543.655902777777</v>
      </c>
      <c r="M4210" s="1">
        <f>_xlfn.DAYS(Table1[[#This Row],[actual_delivery_date]],Table1[[#This Row],[dispatch_date]])</f>
        <v>9</v>
      </c>
      <c r="N4210">
        <v>62</v>
      </c>
      <c r="O4210">
        <f>Table1[[#This Row],[transit_storage_cost]] * (1-'What -if Analysis'!$D$26)</f>
        <v>62</v>
      </c>
      <c r="P4210">
        <v>93</v>
      </c>
      <c r="Q4210">
        <v>3579.7441150345926</v>
      </c>
    </row>
    <row r="4211" spans="1:17" x14ac:dyDescent="0.3">
      <c r="A4211">
        <v>450375</v>
      </c>
      <c r="B4211" s="1" t="s">
        <v>39</v>
      </c>
      <c r="C4211" s="1" t="s">
        <v>16</v>
      </c>
      <c r="D4211" s="1" t="s">
        <v>23</v>
      </c>
      <c r="E4211" s="1" t="s">
        <v>28</v>
      </c>
      <c r="F4211" s="1" t="s">
        <v>29</v>
      </c>
      <c r="G4211" s="1" t="s">
        <v>20</v>
      </c>
      <c r="H4211" t="s">
        <v>30</v>
      </c>
      <c r="I4211" s="1" t="s">
        <v>26</v>
      </c>
      <c r="J4211" s="2">
        <v>43538.664120370369</v>
      </c>
      <c r="K4211" s="2">
        <v>43545.664120370369</v>
      </c>
      <c r="L4211" s="2">
        <v>43544.664120370369</v>
      </c>
      <c r="M4211" s="1">
        <f>_xlfn.DAYS(Table1[[#This Row],[actual_delivery_date]],Table1[[#This Row],[dispatch_date]])</f>
        <v>7</v>
      </c>
      <c r="N4211">
        <v>44</v>
      </c>
      <c r="O4211">
        <f>Table1[[#This Row],[transit_storage_cost]] * (1-'What -if Analysis'!$D$26)</f>
        <v>44</v>
      </c>
      <c r="P4211">
        <v>121</v>
      </c>
      <c r="Q4211">
        <v>1299.6501541118089</v>
      </c>
    </row>
    <row r="4212" spans="1:17" x14ac:dyDescent="0.3">
      <c r="A4212">
        <v>196425</v>
      </c>
      <c r="B4212" s="1" t="s">
        <v>37</v>
      </c>
      <c r="C4212" s="1" t="s">
        <v>16</v>
      </c>
      <c r="D4212" s="1" t="s">
        <v>17</v>
      </c>
      <c r="E4212" s="1" t="s">
        <v>18</v>
      </c>
      <c r="F4212" s="1" t="s">
        <v>29</v>
      </c>
      <c r="G4212" s="1" t="s">
        <v>20</v>
      </c>
      <c r="H4212" t="s">
        <v>30</v>
      </c>
      <c r="I4212" s="1" t="s">
        <v>26</v>
      </c>
      <c r="J4212" s="2">
        <v>43538.675046296295</v>
      </c>
      <c r="K4212" s="2">
        <v>43545.675046296295</v>
      </c>
      <c r="L4212" s="2">
        <v>43545.675046296295</v>
      </c>
      <c r="M4212" s="1">
        <f>_xlfn.DAYS(Table1[[#This Row],[actual_delivery_date]],Table1[[#This Row],[dispatch_date]])</f>
        <v>7</v>
      </c>
      <c r="N4212">
        <v>38</v>
      </c>
      <c r="O4212">
        <f>Table1[[#This Row],[transit_storage_cost]] * (1-'What -if Analysis'!$D$26)</f>
        <v>38</v>
      </c>
      <c r="P4212">
        <v>111</v>
      </c>
      <c r="Q4212">
        <v>2276.8135746010244</v>
      </c>
    </row>
    <row r="4213" spans="1:17" x14ac:dyDescent="0.3">
      <c r="A4213">
        <v>427137</v>
      </c>
      <c r="B4213" s="1" t="s">
        <v>39</v>
      </c>
      <c r="C4213" s="1" t="s">
        <v>23</v>
      </c>
      <c r="D4213" s="1" t="s">
        <v>17</v>
      </c>
      <c r="E4213" s="1" t="s">
        <v>18</v>
      </c>
      <c r="F4213" s="1" t="s">
        <v>29</v>
      </c>
      <c r="G4213" s="1" t="s">
        <v>20</v>
      </c>
      <c r="H4213" t="s">
        <v>30</v>
      </c>
      <c r="I4213" s="1" t="s">
        <v>26</v>
      </c>
      <c r="J4213" s="2">
        <v>43537.681134259263</v>
      </c>
      <c r="K4213" s="2">
        <v>43545.681134259263</v>
      </c>
      <c r="L4213" s="2">
        <v>43542.681134259263</v>
      </c>
      <c r="M4213" s="1">
        <f>_xlfn.DAYS(Table1[[#This Row],[actual_delivery_date]],Table1[[#This Row],[dispatch_date]])</f>
        <v>8</v>
      </c>
      <c r="N4213">
        <v>39</v>
      </c>
      <c r="O4213">
        <f>Table1[[#This Row],[transit_storage_cost]] * (1-'What -if Analysis'!$D$26)</f>
        <v>39</v>
      </c>
      <c r="P4213">
        <v>108</v>
      </c>
      <c r="Q4213">
        <v>2857.275138172608</v>
      </c>
    </row>
    <row r="4214" spans="1:17" x14ac:dyDescent="0.3">
      <c r="A4214">
        <v>516157</v>
      </c>
      <c r="B4214" s="1" t="s">
        <v>38</v>
      </c>
      <c r="C4214" s="1" t="s">
        <v>23</v>
      </c>
      <c r="D4214" s="1" t="s">
        <v>32</v>
      </c>
      <c r="E4214" s="1" t="s">
        <v>33</v>
      </c>
      <c r="F4214" s="1" t="s">
        <v>29</v>
      </c>
      <c r="G4214" s="1" t="s">
        <v>20</v>
      </c>
      <c r="H4214" t="s">
        <v>30</v>
      </c>
      <c r="I4214" s="1" t="s">
        <v>22</v>
      </c>
      <c r="J4214" s="2">
        <v>43538.68550925926</v>
      </c>
      <c r="K4214" s="2">
        <v>43545.68550925926</v>
      </c>
      <c r="L4214" s="2">
        <v>43542.68550925926</v>
      </c>
      <c r="M4214" s="1">
        <f>_xlfn.DAYS(Table1[[#This Row],[actual_delivery_date]],Table1[[#This Row],[dispatch_date]])</f>
        <v>7</v>
      </c>
      <c r="N4214">
        <v>27</v>
      </c>
      <c r="O4214">
        <f>Table1[[#This Row],[transit_storage_cost]] * (1-'What -if Analysis'!$D$26)</f>
        <v>27</v>
      </c>
      <c r="P4214">
        <v>108</v>
      </c>
      <c r="Q4214">
        <v>1492.7020605327025</v>
      </c>
    </row>
    <row r="4215" spans="1:17" x14ac:dyDescent="0.3">
      <c r="A4215">
        <v>768454</v>
      </c>
      <c r="B4215" s="1" t="s">
        <v>41</v>
      </c>
      <c r="C4215" s="1" t="s">
        <v>16</v>
      </c>
      <c r="D4215" s="1" t="s">
        <v>23</v>
      </c>
      <c r="E4215" s="1" t="s">
        <v>28</v>
      </c>
      <c r="F4215" s="1" t="s">
        <v>31</v>
      </c>
      <c r="G4215" s="1" t="s">
        <v>20</v>
      </c>
      <c r="H4215" t="s">
        <v>21</v>
      </c>
      <c r="I4215" s="1" t="s">
        <v>22</v>
      </c>
      <c r="J4215" s="2">
        <v>43538.695821759262</v>
      </c>
      <c r="K4215" s="2">
        <v>43545.695821759262</v>
      </c>
      <c r="L4215" s="2">
        <v>43543.695821759262</v>
      </c>
      <c r="M4215" s="1">
        <f>_xlfn.DAYS(Table1[[#This Row],[actual_delivery_date]],Table1[[#This Row],[dispatch_date]])</f>
        <v>7</v>
      </c>
      <c r="N4215">
        <v>48</v>
      </c>
      <c r="O4215">
        <f>Table1[[#This Row],[transit_storage_cost]] * (1-'What -if Analysis'!$D$26)</f>
        <v>48</v>
      </c>
      <c r="P4215">
        <v>127</v>
      </c>
      <c r="Q4215">
        <v>3011.3458997552166</v>
      </c>
    </row>
    <row r="4216" spans="1:17" x14ac:dyDescent="0.3">
      <c r="A4216">
        <v>220747</v>
      </c>
      <c r="B4216" s="1" t="s">
        <v>37</v>
      </c>
      <c r="C4216" s="1" t="s">
        <v>16</v>
      </c>
      <c r="D4216" s="1" t="s">
        <v>24</v>
      </c>
      <c r="E4216" s="1" t="s">
        <v>25</v>
      </c>
      <c r="F4216" s="1" t="s">
        <v>19</v>
      </c>
      <c r="G4216" s="1" t="s">
        <v>20</v>
      </c>
      <c r="H4216" t="s">
        <v>30</v>
      </c>
      <c r="I4216" s="1" t="s">
        <v>22</v>
      </c>
      <c r="J4216" s="2">
        <v>43537.705740740741</v>
      </c>
      <c r="K4216" s="2">
        <v>43545.705740740741</v>
      </c>
      <c r="L4216" s="2">
        <v>43544.705740740741</v>
      </c>
      <c r="M4216" s="1">
        <f>_xlfn.DAYS(Table1[[#This Row],[actual_delivery_date]],Table1[[#This Row],[dispatch_date]])</f>
        <v>8</v>
      </c>
      <c r="N4216">
        <v>69</v>
      </c>
      <c r="O4216">
        <f>Table1[[#This Row],[transit_storage_cost]] * (1-'What -if Analysis'!$D$26)</f>
        <v>69</v>
      </c>
      <c r="P4216">
        <v>109</v>
      </c>
      <c r="Q4216">
        <v>980</v>
      </c>
    </row>
    <row r="4217" spans="1:17" x14ac:dyDescent="0.3">
      <c r="A4217">
        <v>451508</v>
      </c>
      <c r="B4217" s="1" t="s">
        <v>37</v>
      </c>
      <c r="C4217" s="1" t="s">
        <v>16</v>
      </c>
      <c r="D4217" s="1" t="s">
        <v>32</v>
      </c>
      <c r="E4217" s="1" t="s">
        <v>33</v>
      </c>
      <c r="F4217" s="1" t="s">
        <v>19</v>
      </c>
      <c r="G4217" s="1" t="s">
        <v>20</v>
      </c>
      <c r="H4217" t="s">
        <v>21</v>
      </c>
      <c r="I4217" s="1" t="s">
        <v>22</v>
      </c>
      <c r="J4217" s="2">
        <v>43536.765729166669</v>
      </c>
      <c r="K4217" s="2">
        <v>43545.765729166669</v>
      </c>
      <c r="L4217" s="2">
        <v>43540.765729166669</v>
      </c>
      <c r="M4217" s="1">
        <f>_xlfn.DAYS(Table1[[#This Row],[actual_delivery_date]],Table1[[#This Row],[dispatch_date]])</f>
        <v>9</v>
      </c>
      <c r="N4217">
        <v>78</v>
      </c>
      <c r="O4217">
        <f>Table1[[#This Row],[transit_storage_cost]] * (1-'What -if Analysis'!$D$26)</f>
        <v>78</v>
      </c>
      <c r="P4217">
        <v>85</v>
      </c>
      <c r="Q4217">
        <v>1459.9455353714131</v>
      </c>
    </row>
    <row r="4218" spans="1:17" x14ac:dyDescent="0.3">
      <c r="A4218">
        <v>217330</v>
      </c>
      <c r="B4218" s="1" t="s">
        <v>41</v>
      </c>
      <c r="C4218" s="1" t="s">
        <v>16</v>
      </c>
      <c r="D4218" s="1" t="s">
        <v>17</v>
      </c>
      <c r="E4218" s="1" t="s">
        <v>18</v>
      </c>
      <c r="F4218" s="1" t="s">
        <v>31</v>
      </c>
      <c r="G4218" s="1" t="s">
        <v>20</v>
      </c>
      <c r="H4218" t="s">
        <v>21</v>
      </c>
      <c r="I4218" s="1" t="s">
        <v>22</v>
      </c>
      <c r="J4218" s="2">
        <v>43536.778356481482</v>
      </c>
      <c r="K4218" s="2">
        <v>43545.778356481482</v>
      </c>
      <c r="L4218" s="2">
        <v>43541.778356481482</v>
      </c>
      <c r="M4218" s="1">
        <f>_xlfn.DAYS(Table1[[#This Row],[actual_delivery_date]],Table1[[#This Row],[dispatch_date]])</f>
        <v>9</v>
      </c>
      <c r="N4218">
        <v>41</v>
      </c>
      <c r="O4218">
        <f>Table1[[#This Row],[transit_storage_cost]] * (1-'What -if Analysis'!$D$26)</f>
        <v>41</v>
      </c>
      <c r="P4218">
        <v>113</v>
      </c>
      <c r="Q4218">
        <v>1437</v>
      </c>
    </row>
    <row r="4219" spans="1:17" x14ac:dyDescent="0.3">
      <c r="A4219">
        <v>110019</v>
      </c>
      <c r="B4219" s="1" t="s">
        <v>41</v>
      </c>
      <c r="C4219" s="1" t="s">
        <v>16</v>
      </c>
      <c r="D4219" s="1" t="s">
        <v>17</v>
      </c>
      <c r="E4219" s="1" t="s">
        <v>18</v>
      </c>
      <c r="F4219" s="1" t="s">
        <v>29</v>
      </c>
      <c r="G4219" s="1" t="s">
        <v>20</v>
      </c>
      <c r="H4219" t="s">
        <v>34</v>
      </c>
      <c r="I4219" s="1" t="s">
        <v>26</v>
      </c>
      <c r="J4219" s="2">
        <v>43538.80878472222</v>
      </c>
      <c r="K4219" s="2">
        <v>43545.80878472222</v>
      </c>
      <c r="L4219" s="2">
        <v>43542.80878472222</v>
      </c>
      <c r="M4219" s="1">
        <f>_xlfn.DAYS(Table1[[#This Row],[actual_delivery_date]],Table1[[#This Row],[dispatch_date]])</f>
        <v>7</v>
      </c>
      <c r="N4219">
        <v>26</v>
      </c>
      <c r="O4219">
        <f>Table1[[#This Row],[transit_storage_cost]] * (1-'What -if Analysis'!$D$26)</f>
        <v>26</v>
      </c>
      <c r="P4219">
        <v>107</v>
      </c>
      <c r="Q4219">
        <v>1346.4353244243589</v>
      </c>
    </row>
    <row r="4220" spans="1:17" x14ac:dyDescent="0.3">
      <c r="A4220">
        <v>818149</v>
      </c>
      <c r="B4220" s="1" t="s">
        <v>37</v>
      </c>
      <c r="C4220" s="1" t="s">
        <v>16</v>
      </c>
      <c r="D4220" s="1" t="s">
        <v>24</v>
      </c>
      <c r="E4220" s="1" t="s">
        <v>25</v>
      </c>
      <c r="F4220" s="1" t="s">
        <v>29</v>
      </c>
      <c r="G4220" s="1" t="s">
        <v>20</v>
      </c>
      <c r="H4220" t="s">
        <v>30</v>
      </c>
      <c r="I4220" s="1" t="s">
        <v>22</v>
      </c>
      <c r="J4220" s="2">
        <v>43538.81417824074</v>
      </c>
      <c r="K4220" s="2">
        <v>43545.81417824074</v>
      </c>
      <c r="L4220" s="2">
        <v>43545.81417824074</v>
      </c>
      <c r="M4220" s="1">
        <f>_xlfn.DAYS(Table1[[#This Row],[actual_delivery_date]],Table1[[#This Row],[dispatch_date]])</f>
        <v>7</v>
      </c>
      <c r="N4220">
        <v>27</v>
      </c>
      <c r="O4220">
        <f>Table1[[#This Row],[transit_storage_cost]] * (1-'What -if Analysis'!$D$26)</f>
        <v>27</v>
      </c>
      <c r="P4220">
        <v>127</v>
      </c>
      <c r="Q4220">
        <v>1576</v>
      </c>
    </row>
    <row r="4221" spans="1:17" x14ac:dyDescent="0.3">
      <c r="A4221">
        <v>71395</v>
      </c>
      <c r="B4221" s="1" t="s">
        <v>37</v>
      </c>
      <c r="C4221" s="1" t="s">
        <v>16</v>
      </c>
      <c r="D4221" s="1" t="s">
        <v>17</v>
      </c>
      <c r="E4221" s="1" t="s">
        <v>18</v>
      </c>
      <c r="F4221" s="1" t="s">
        <v>29</v>
      </c>
      <c r="G4221" s="1" t="s">
        <v>20</v>
      </c>
      <c r="H4221" t="s">
        <v>30</v>
      </c>
      <c r="I4221" s="1" t="s">
        <v>22</v>
      </c>
      <c r="J4221" s="2">
        <v>43537.842673611114</v>
      </c>
      <c r="K4221" s="2">
        <v>43545.842673611114</v>
      </c>
      <c r="L4221" s="2">
        <v>43540.842673611114</v>
      </c>
      <c r="M4221" s="1">
        <f>_xlfn.DAYS(Table1[[#This Row],[actual_delivery_date]],Table1[[#This Row],[dispatch_date]])</f>
        <v>8</v>
      </c>
      <c r="N4221">
        <v>33</v>
      </c>
      <c r="O4221">
        <f>Table1[[#This Row],[transit_storage_cost]] * (1-'What -if Analysis'!$D$26)</f>
        <v>33</v>
      </c>
      <c r="P4221">
        <v>107</v>
      </c>
      <c r="Q4221">
        <v>3301</v>
      </c>
    </row>
    <row r="4222" spans="1:17" x14ac:dyDescent="0.3">
      <c r="A4222">
        <v>180446</v>
      </c>
      <c r="B4222" s="1" t="s">
        <v>15</v>
      </c>
      <c r="C4222" s="1" t="s">
        <v>23</v>
      </c>
      <c r="D4222" s="1" t="s">
        <v>17</v>
      </c>
      <c r="E4222" s="1" t="s">
        <v>18</v>
      </c>
      <c r="F4222" s="1" t="s">
        <v>31</v>
      </c>
      <c r="G4222" s="1" t="s">
        <v>20</v>
      </c>
      <c r="H4222" t="s">
        <v>21</v>
      </c>
      <c r="I4222" s="1" t="s">
        <v>22</v>
      </c>
      <c r="J4222" s="2">
        <v>43537.859456018516</v>
      </c>
      <c r="K4222" s="2">
        <v>43545.859456018516</v>
      </c>
      <c r="L4222" s="2">
        <v>43544.859456018516</v>
      </c>
      <c r="M4222" s="1">
        <f>_xlfn.DAYS(Table1[[#This Row],[actual_delivery_date]],Table1[[#This Row],[dispatch_date]])</f>
        <v>8</v>
      </c>
      <c r="N4222">
        <v>30</v>
      </c>
      <c r="O4222">
        <f>Table1[[#This Row],[transit_storage_cost]] * (1-'What -if Analysis'!$D$26)</f>
        <v>30</v>
      </c>
      <c r="P4222">
        <v>114</v>
      </c>
      <c r="Q4222">
        <v>2696.8432511015758</v>
      </c>
    </row>
    <row r="4223" spans="1:17" x14ac:dyDescent="0.3">
      <c r="A4223">
        <v>484635</v>
      </c>
      <c r="B4223" s="1" t="s">
        <v>38</v>
      </c>
      <c r="C4223" s="1" t="s">
        <v>16</v>
      </c>
      <c r="D4223" s="1" t="s">
        <v>23</v>
      </c>
      <c r="E4223" s="1" t="s">
        <v>28</v>
      </c>
      <c r="F4223" s="1" t="s">
        <v>29</v>
      </c>
      <c r="G4223" s="1" t="s">
        <v>20</v>
      </c>
      <c r="H4223" t="s">
        <v>30</v>
      </c>
      <c r="I4223" s="1" t="s">
        <v>26</v>
      </c>
      <c r="J4223" s="2">
        <v>43535.874409722222</v>
      </c>
      <c r="K4223" s="2">
        <v>43545.874409722222</v>
      </c>
      <c r="L4223" s="2">
        <v>43542.874409722222</v>
      </c>
      <c r="M4223" s="1">
        <f>_xlfn.DAYS(Table1[[#This Row],[actual_delivery_date]],Table1[[#This Row],[dispatch_date]])</f>
        <v>10</v>
      </c>
      <c r="N4223">
        <v>48</v>
      </c>
      <c r="O4223">
        <f>Table1[[#This Row],[transit_storage_cost]] * (1-'What -if Analysis'!$D$26)</f>
        <v>48</v>
      </c>
      <c r="P4223">
        <v>125</v>
      </c>
      <c r="Q4223">
        <v>1928.2791150879025</v>
      </c>
    </row>
    <row r="4224" spans="1:17" x14ac:dyDescent="0.3">
      <c r="A4224">
        <v>120971</v>
      </c>
      <c r="B4224" s="1" t="s">
        <v>15</v>
      </c>
      <c r="C4224" s="1" t="s">
        <v>16</v>
      </c>
      <c r="D4224" s="1" t="s">
        <v>24</v>
      </c>
      <c r="E4224" s="1" t="s">
        <v>25</v>
      </c>
      <c r="F4224" s="1" t="s">
        <v>19</v>
      </c>
      <c r="G4224" s="1" t="s">
        <v>20</v>
      </c>
      <c r="H4224" t="s">
        <v>30</v>
      </c>
      <c r="I4224" s="1" t="s">
        <v>22</v>
      </c>
      <c r="J4224" s="2">
        <v>43535.882638888892</v>
      </c>
      <c r="K4224" s="2">
        <v>43545.882638888892</v>
      </c>
      <c r="L4224" s="2">
        <v>43539.882638888892</v>
      </c>
      <c r="M4224" s="1">
        <f>_xlfn.DAYS(Table1[[#This Row],[actual_delivery_date]],Table1[[#This Row],[dispatch_date]])</f>
        <v>10</v>
      </c>
      <c r="N4224">
        <v>68</v>
      </c>
      <c r="O4224">
        <f>Table1[[#This Row],[transit_storage_cost]] * (1-'What -if Analysis'!$D$26)</f>
        <v>68</v>
      </c>
      <c r="P4224">
        <v>108</v>
      </c>
      <c r="Q4224">
        <v>1533.6678226883355</v>
      </c>
    </row>
    <row r="4225" spans="1:17" x14ac:dyDescent="0.3">
      <c r="A4225">
        <v>557885</v>
      </c>
      <c r="B4225" s="1" t="s">
        <v>37</v>
      </c>
      <c r="C4225" s="1" t="s">
        <v>23</v>
      </c>
      <c r="D4225" s="1" t="s">
        <v>17</v>
      </c>
      <c r="E4225" s="1" t="s">
        <v>18</v>
      </c>
      <c r="F4225" s="1" t="s">
        <v>29</v>
      </c>
      <c r="G4225" s="1" t="s">
        <v>20</v>
      </c>
      <c r="H4225" t="s">
        <v>30</v>
      </c>
      <c r="I4225" s="1" t="s">
        <v>22</v>
      </c>
      <c r="J4225" s="2">
        <v>43536.888437499998</v>
      </c>
      <c r="K4225" s="2">
        <v>43545.888437499998</v>
      </c>
      <c r="L4225" s="2">
        <v>43539.888437499998</v>
      </c>
      <c r="M4225" s="1">
        <f>_xlfn.DAYS(Table1[[#This Row],[actual_delivery_date]],Table1[[#This Row],[dispatch_date]])</f>
        <v>9</v>
      </c>
      <c r="N4225">
        <v>26</v>
      </c>
      <c r="O4225">
        <f>Table1[[#This Row],[transit_storage_cost]] * (1-'What -if Analysis'!$D$26)</f>
        <v>26</v>
      </c>
      <c r="P4225">
        <v>114</v>
      </c>
      <c r="Q4225">
        <v>3132.1493294976963</v>
      </c>
    </row>
    <row r="4226" spans="1:17" x14ac:dyDescent="0.3">
      <c r="A4226">
        <v>366980</v>
      </c>
      <c r="B4226" s="1" t="s">
        <v>40</v>
      </c>
      <c r="C4226" s="1" t="s">
        <v>16</v>
      </c>
      <c r="D4226" s="1" t="s">
        <v>24</v>
      </c>
      <c r="E4226" s="1" t="s">
        <v>25</v>
      </c>
      <c r="F4226" s="1" t="s">
        <v>19</v>
      </c>
      <c r="G4226" s="1" t="s">
        <v>20</v>
      </c>
      <c r="H4226" t="s">
        <v>21</v>
      </c>
      <c r="I4226" s="1" t="s">
        <v>22</v>
      </c>
      <c r="J4226" s="2">
        <v>43535.91578703704</v>
      </c>
      <c r="K4226" s="2">
        <v>43545.91578703704</v>
      </c>
      <c r="L4226" s="2">
        <v>43538.91578703704</v>
      </c>
      <c r="M4226" s="1">
        <f>_xlfn.DAYS(Table1[[#This Row],[actual_delivery_date]],Table1[[#This Row],[dispatch_date]])</f>
        <v>10</v>
      </c>
      <c r="N4226">
        <v>39</v>
      </c>
      <c r="O4226">
        <f>Table1[[#This Row],[transit_storage_cost]] * (1-'What -if Analysis'!$D$26)</f>
        <v>39</v>
      </c>
      <c r="P4226">
        <v>125</v>
      </c>
      <c r="Q4226">
        <v>1113</v>
      </c>
    </row>
    <row r="4227" spans="1:17" x14ac:dyDescent="0.3">
      <c r="A4227">
        <v>564307</v>
      </c>
      <c r="B4227" s="1" t="s">
        <v>37</v>
      </c>
      <c r="C4227" s="1" t="s">
        <v>23</v>
      </c>
      <c r="D4227" s="1" t="s">
        <v>16</v>
      </c>
      <c r="E4227" s="1" t="s">
        <v>27</v>
      </c>
      <c r="F4227" s="1" t="s">
        <v>29</v>
      </c>
      <c r="G4227" s="1" t="s">
        <v>20</v>
      </c>
      <c r="H4227" t="s">
        <v>30</v>
      </c>
      <c r="I4227" s="1" t="s">
        <v>22</v>
      </c>
      <c r="J4227" s="2">
        <v>43537.922905092593</v>
      </c>
      <c r="K4227" s="2">
        <v>43545.922905092593</v>
      </c>
      <c r="L4227" s="2">
        <v>43541.922905092593</v>
      </c>
      <c r="M4227" s="1">
        <f>_xlfn.DAYS(Table1[[#This Row],[actual_delivery_date]],Table1[[#This Row],[dispatch_date]])</f>
        <v>8</v>
      </c>
      <c r="N4227">
        <v>30</v>
      </c>
      <c r="O4227">
        <f>Table1[[#This Row],[transit_storage_cost]] * (1-'What -if Analysis'!$D$26)</f>
        <v>30</v>
      </c>
      <c r="P4227">
        <v>123</v>
      </c>
      <c r="Q4227">
        <v>342.95722289472104</v>
      </c>
    </row>
    <row r="4228" spans="1:17" x14ac:dyDescent="0.3">
      <c r="A4228">
        <v>823738</v>
      </c>
      <c r="B4228" s="1" t="s">
        <v>15</v>
      </c>
      <c r="C4228" s="1" t="s">
        <v>23</v>
      </c>
      <c r="D4228" s="1" t="s">
        <v>24</v>
      </c>
      <c r="E4228" s="1" t="s">
        <v>25</v>
      </c>
      <c r="F4228" s="1" t="s">
        <v>19</v>
      </c>
      <c r="G4228" s="1" t="s">
        <v>20</v>
      </c>
      <c r="H4228" t="s">
        <v>21</v>
      </c>
      <c r="I4228" s="1" t="s">
        <v>22</v>
      </c>
      <c r="J4228" s="2">
        <v>43538.938055555554</v>
      </c>
      <c r="K4228" s="2">
        <v>43545.938055555554</v>
      </c>
      <c r="L4228" s="2">
        <v>43545.938055555554</v>
      </c>
      <c r="M4228" s="1">
        <f>_xlfn.DAYS(Table1[[#This Row],[actual_delivery_date]],Table1[[#This Row],[dispatch_date]])</f>
        <v>7</v>
      </c>
      <c r="N4228">
        <v>77</v>
      </c>
      <c r="O4228">
        <f>Table1[[#This Row],[transit_storage_cost]] * (1-'What -if Analysis'!$D$26)</f>
        <v>77</v>
      </c>
      <c r="P4228">
        <v>104</v>
      </c>
      <c r="Q4228">
        <v>1818</v>
      </c>
    </row>
    <row r="4229" spans="1:17" x14ac:dyDescent="0.3">
      <c r="A4229">
        <v>450047</v>
      </c>
      <c r="B4229" s="1" t="s">
        <v>40</v>
      </c>
      <c r="C4229" s="1" t="s">
        <v>23</v>
      </c>
      <c r="D4229" s="1" t="s">
        <v>32</v>
      </c>
      <c r="E4229" s="1" t="s">
        <v>33</v>
      </c>
      <c r="F4229" s="1" t="s">
        <v>19</v>
      </c>
      <c r="G4229" s="1" t="s">
        <v>20</v>
      </c>
      <c r="H4229" t="s">
        <v>30</v>
      </c>
      <c r="I4229" s="1" t="s">
        <v>22</v>
      </c>
      <c r="J4229" s="2">
        <v>43538.942303240743</v>
      </c>
      <c r="K4229" s="2">
        <v>43545.942303240743</v>
      </c>
      <c r="L4229" s="2">
        <v>43543.942303240743</v>
      </c>
      <c r="M4229" s="1">
        <f>_xlfn.DAYS(Table1[[#This Row],[actual_delivery_date]],Table1[[#This Row],[dispatch_date]])</f>
        <v>7</v>
      </c>
      <c r="N4229">
        <v>71</v>
      </c>
      <c r="O4229">
        <f>Table1[[#This Row],[transit_storage_cost]] * (1-'What -if Analysis'!$D$26)</f>
        <v>71</v>
      </c>
      <c r="P4229">
        <v>87</v>
      </c>
      <c r="Q4229">
        <v>951.86991186623709</v>
      </c>
    </row>
    <row r="4230" spans="1:17" x14ac:dyDescent="0.3">
      <c r="A4230">
        <v>134275</v>
      </c>
      <c r="B4230" s="1" t="s">
        <v>38</v>
      </c>
      <c r="C4230" s="1" t="s">
        <v>23</v>
      </c>
      <c r="D4230" s="1" t="s">
        <v>17</v>
      </c>
      <c r="E4230" s="1" t="s">
        <v>18</v>
      </c>
      <c r="F4230" s="1" t="s">
        <v>29</v>
      </c>
      <c r="G4230" s="1" t="s">
        <v>20</v>
      </c>
      <c r="H4230" t="s">
        <v>30</v>
      </c>
      <c r="I4230" s="1" t="s">
        <v>22</v>
      </c>
      <c r="J4230" s="2">
        <v>43536.94425925926</v>
      </c>
      <c r="K4230" s="2">
        <v>43545.94425925926</v>
      </c>
      <c r="L4230" s="2">
        <v>43539.94425925926</v>
      </c>
      <c r="M4230" s="1">
        <f>_xlfn.DAYS(Table1[[#This Row],[actual_delivery_date]],Table1[[#This Row],[dispatch_date]])</f>
        <v>9</v>
      </c>
      <c r="N4230">
        <v>49</v>
      </c>
      <c r="O4230">
        <f>Table1[[#This Row],[transit_storage_cost]] * (1-'What -if Analysis'!$D$26)</f>
        <v>49</v>
      </c>
      <c r="P4230">
        <v>113</v>
      </c>
      <c r="Q4230">
        <v>893.87342836712594</v>
      </c>
    </row>
    <row r="4231" spans="1:17" x14ac:dyDescent="0.3">
      <c r="A4231">
        <v>923479</v>
      </c>
      <c r="B4231" s="1" t="s">
        <v>38</v>
      </c>
      <c r="C4231" s="1" t="s">
        <v>16</v>
      </c>
      <c r="D4231" s="1" t="s">
        <v>23</v>
      </c>
      <c r="E4231" s="1" t="s">
        <v>28</v>
      </c>
      <c r="F4231" s="1" t="s">
        <v>29</v>
      </c>
      <c r="G4231" s="1" t="s">
        <v>20</v>
      </c>
      <c r="H4231" t="s">
        <v>30</v>
      </c>
      <c r="I4231" s="1" t="s">
        <v>22</v>
      </c>
      <c r="J4231" s="2">
        <v>43538.952511574076</v>
      </c>
      <c r="K4231" s="2">
        <v>43545.952511574076</v>
      </c>
      <c r="L4231" s="2">
        <v>43541.952511574076</v>
      </c>
      <c r="M4231" s="1">
        <f>_xlfn.DAYS(Table1[[#This Row],[actual_delivery_date]],Table1[[#This Row],[dispatch_date]])</f>
        <v>7</v>
      </c>
      <c r="N4231">
        <v>38</v>
      </c>
      <c r="O4231">
        <f>Table1[[#This Row],[transit_storage_cost]] * (1-'What -if Analysis'!$D$26)</f>
        <v>38</v>
      </c>
      <c r="P4231">
        <v>124</v>
      </c>
      <c r="Q4231">
        <v>2679.8610812720317</v>
      </c>
    </row>
    <row r="4232" spans="1:17" x14ac:dyDescent="0.3">
      <c r="A4232">
        <v>396040</v>
      </c>
      <c r="B4232" s="1" t="s">
        <v>39</v>
      </c>
      <c r="C4232" s="1" t="s">
        <v>16</v>
      </c>
      <c r="D4232" s="1" t="s">
        <v>24</v>
      </c>
      <c r="E4232" s="1" t="s">
        <v>25</v>
      </c>
      <c r="F4232" s="1" t="s">
        <v>19</v>
      </c>
      <c r="G4232" s="1" t="s">
        <v>20</v>
      </c>
      <c r="H4232" t="s">
        <v>21</v>
      </c>
      <c r="I4232" s="1" t="s">
        <v>22</v>
      </c>
      <c r="J4232" s="2">
        <v>43534.955567129633</v>
      </c>
      <c r="K4232" s="2">
        <v>43545.955567129633</v>
      </c>
      <c r="L4232" s="2">
        <v>43540.955567129633</v>
      </c>
      <c r="M4232" s="1">
        <f>_xlfn.DAYS(Table1[[#This Row],[actual_delivery_date]],Table1[[#This Row],[dispatch_date]])</f>
        <v>11</v>
      </c>
      <c r="N4232">
        <v>43</v>
      </c>
      <c r="O4232">
        <f>Table1[[#This Row],[transit_storage_cost]] * (1-'What -if Analysis'!$D$26)</f>
        <v>43</v>
      </c>
      <c r="P4232">
        <v>126</v>
      </c>
      <c r="Q4232">
        <v>3041.6172720315203</v>
      </c>
    </row>
    <row r="4233" spans="1:17" x14ac:dyDescent="0.3">
      <c r="A4233">
        <v>856629</v>
      </c>
      <c r="B4233" s="1" t="s">
        <v>39</v>
      </c>
      <c r="C4233" s="1" t="s">
        <v>23</v>
      </c>
      <c r="D4233" s="1" t="s">
        <v>17</v>
      </c>
      <c r="E4233" s="1" t="s">
        <v>18</v>
      </c>
      <c r="F4233" s="1" t="s">
        <v>29</v>
      </c>
      <c r="G4233" s="1" t="s">
        <v>20</v>
      </c>
      <c r="H4233" t="s">
        <v>30</v>
      </c>
      <c r="I4233" s="1" t="s">
        <v>26</v>
      </c>
      <c r="J4233" s="2">
        <v>43538.967407407406</v>
      </c>
      <c r="K4233" s="2">
        <v>43545.967407407406</v>
      </c>
      <c r="L4233" s="2">
        <v>43544.967407407406</v>
      </c>
      <c r="M4233" s="1">
        <f>_xlfn.DAYS(Table1[[#This Row],[actual_delivery_date]],Table1[[#This Row],[dispatch_date]])</f>
        <v>7</v>
      </c>
      <c r="N4233">
        <v>47</v>
      </c>
      <c r="O4233">
        <f>Table1[[#This Row],[transit_storage_cost]] * (1-'What -if Analysis'!$D$26)</f>
        <v>47</v>
      </c>
      <c r="P4233">
        <v>111</v>
      </c>
      <c r="Q4233">
        <v>2742.2993422731015</v>
      </c>
    </row>
    <row r="4234" spans="1:17" x14ac:dyDescent="0.3">
      <c r="A4234">
        <v>714882</v>
      </c>
      <c r="B4234" s="1" t="s">
        <v>39</v>
      </c>
      <c r="C4234" s="1" t="s">
        <v>16</v>
      </c>
      <c r="D4234" s="1" t="s">
        <v>24</v>
      </c>
      <c r="E4234" s="1" t="s">
        <v>25</v>
      </c>
      <c r="F4234" s="1" t="s">
        <v>19</v>
      </c>
      <c r="G4234" s="1" t="s">
        <v>20</v>
      </c>
      <c r="H4234" t="s">
        <v>21</v>
      </c>
      <c r="I4234" s="1" t="s">
        <v>26</v>
      </c>
      <c r="J4234" s="2">
        <v>43536.977488425924</v>
      </c>
      <c r="K4234" s="2">
        <v>43545.977488425924</v>
      </c>
      <c r="L4234" s="2">
        <v>43541.977488425924</v>
      </c>
      <c r="M4234" s="1">
        <f>_xlfn.DAYS(Table1[[#This Row],[actual_delivery_date]],Table1[[#This Row],[dispatch_date]])</f>
        <v>9</v>
      </c>
      <c r="N4234">
        <v>63</v>
      </c>
      <c r="O4234">
        <f>Table1[[#This Row],[transit_storage_cost]] * (1-'What -if Analysis'!$D$26)</f>
        <v>63</v>
      </c>
      <c r="P4234">
        <v>101</v>
      </c>
      <c r="Q4234">
        <v>2601.634033089103</v>
      </c>
    </row>
    <row r="4235" spans="1:17" x14ac:dyDescent="0.3">
      <c r="A4235">
        <v>677549</v>
      </c>
      <c r="B4235" s="1" t="s">
        <v>38</v>
      </c>
      <c r="C4235" s="1" t="s">
        <v>16</v>
      </c>
      <c r="D4235" s="1" t="s">
        <v>17</v>
      </c>
      <c r="E4235" s="1" t="s">
        <v>18</v>
      </c>
      <c r="F4235" s="1" t="s">
        <v>29</v>
      </c>
      <c r="G4235" s="1" t="s">
        <v>20</v>
      </c>
      <c r="H4235" t="s">
        <v>30</v>
      </c>
      <c r="I4235" s="1" t="s">
        <v>22</v>
      </c>
      <c r="J4235" s="2">
        <v>43536.990648148145</v>
      </c>
      <c r="K4235" s="2">
        <v>43545.990648148145</v>
      </c>
      <c r="L4235" s="2">
        <v>43542.990648148145</v>
      </c>
      <c r="M4235" s="1">
        <f>_xlfn.DAYS(Table1[[#This Row],[actual_delivery_date]],Table1[[#This Row],[dispatch_date]])</f>
        <v>9</v>
      </c>
      <c r="N4235">
        <v>29</v>
      </c>
      <c r="O4235">
        <f>Table1[[#This Row],[transit_storage_cost]] * (1-'What -if Analysis'!$D$26)</f>
        <v>29</v>
      </c>
      <c r="P4235">
        <v>114</v>
      </c>
      <c r="Q4235">
        <v>541.5847393030009</v>
      </c>
    </row>
    <row r="4236" spans="1:17" x14ac:dyDescent="0.3">
      <c r="A4236">
        <v>68474</v>
      </c>
      <c r="B4236" s="1" t="s">
        <v>38</v>
      </c>
      <c r="C4236" s="1" t="s">
        <v>16</v>
      </c>
      <c r="D4236" s="1" t="s">
        <v>16</v>
      </c>
      <c r="E4236" s="1" t="s">
        <v>27</v>
      </c>
      <c r="F4236" s="1" t="s">
        <v>31</v>
      </c>
      <c r="G4236" s="1" t="s">
        <v>20</v>
      </c>
      <c r="H4236" t="s">
        <v>21</v>
      </c>
      <c r="I4236" s="1" t="s">
        <v>22</v>
      </c>
      <c r="J4236" s="2">
        <v>43538.990983796299</v>
      </c>
      <c r="K4236" s="2">
        <v>43545.990983796299</v>
      </c>
      <c r="L4236" s="2">
        <v>43541.990983796299</v>
      </c>
      <c r="M4236" s="1">
        <f>_xlfn.DAYS(Table1[[#This Row],[actual_delivery_date]],Table1[[#This Row],[dispatch_date]])</f>
        <v>7</v>
      </c>
      <c r="N4236">
        <v>0</v>
      </c>
      <c r="O4236">
        <f>Table1[[#This Row],[transit_storage_cost]] * (1-'What -if Analysis'!$D$26)</f>
        <v>0</v>
      </c>
      <c r="P4236">
        <v>128</v>
      </c>
      <c r="Q4236">
        <v>3407.6056110539384</v>
      </c>
    </row>
    <row r="4237" spans="1:17" x14ac:dyDescent="0.3">
      <c r="A4237">
        <v>236677</v>
      </c>
      <c r="B4237" s="1" t="s">
        <v>37</v>
      </c>
      <c r="C4237" s="1" t="s">
        <v>16</v>
      </c>
      <c r="D4237" s="1" t="s">
        <v>17</v>
      </c>
      <c r="E4237" s="1" t="s">
        <v>18</v>
      </c>
      <c r="F4237" s="1" t="s">
        <v>29</v>
      </c>
      <c r="G4237" s="1" t="s">
        <v>20</v>
      </c>
      <c r="H4237" t="s">
        <v>34</v>
      </c>
      <c r="I4237" s="1" t="s">
        <v>22</v>
      </c>
      <c r="J4237" s="2">
        <v>43536.991423611114</v>
      </c>
      <c r="K4237" s="2">
        <v>43545.991423611114</v>
      </c>
      <c r="L4237" s="2">
        <v>43541.991423611114</v>
      </c>
      <c r="M4237" s="1">
        <f>_xlfn.DAYS(Table1[[#This Row],[actual_delivery_date]],Table1[[#This Row],[dispatch_date]])</f>
        <v>9</v>
      </c>
      <c r="N4237">
        <v>33</v>
      </c>
      <c r="O4237">
        <f>Table1[[#This Row],[transit_storage_cost]] * (1-'What -if Analysis'!$D$26)</f>
        <v>33</v>
      </c>
      <c r="P4237">
        <v>108</v>
      </c>
      <c r="Q4237">
        <v>2131</v>
      </c>
    </row>
    <row r="4238" spans="1:17" x14ac:dyDescent="0.3">
      <c r="A4238">
        <v>414654</v>
      </c>
      <c r="B4238" s="1" t="s">
        <v>39</v>
      </c>
      <c r="C4238" s="1" t="s">
        <v>16</v>
      </c>
      <c r="D4238" s="1" t="s">
        <v>17</v>
      </c>
      <c r="E4238" s="1" t="s">
        <v>18</v>
      </c>
      <c r="F4238" s="1" t="s">
        <v>31</v>
      </c>
      <c r="G4238" s="1" t="s">
        <v>20</v>
      </c>
      <c r="H4238" t="s">
        <v>21</v>
      </c>
      <c r="I4238" s="1" t="s">
        <v>26</v>
      </c>
      <c r="J4238" s="2">
        <v>43538.027430555558</v>
      </c>
      <c r="K4238" s="2">
        <v>43546.027430555558</v>
      </c>
      <c r="L4238" s="2">
        <v>43541.027430555558</v>
      </c>
      <c r="M4238" s="1">
        <f>_xlfn.DAYS(Table1[[#This Row],[actual_delivery_date]],Table1[[#This Row],[dispatch_date]])</f>
        <v>8</v>
      </c>
      <c r="N4238">
        <v>42</v>
      </c>
      <c r="O4238">
        <f>Table1[[#This Row],[transit_storage_cost]] * (1-'What -if Analysis'!$D$26)</f>
        <v>42</v>
      </c>
      <c r="P4238">
        <v>107</v>
      </c>
      <c r="Q4238">
        <v>2960</v>
      </c>
    </row>
    <row r="4239" spans="1:17" x14ac:dyDescent="0.3">
      <c r="A4239">
        <v>244882</v>
      </c>
      <c r="B4239" s="1" t="s">
        <v>38</v>
      </c>
      <c r="C4239" s="1" t="s">
        <v>23</v>
      </c>
      <c r="D4239" s="1" t="s">
        <v>16</v>
      </c>
      <c r="E4239" s="1" t="s">
        <v>27</v>
      </c>
      <c r="F4239" s="1" t="s">
        <v>31</v>
      </c>
      <c r="G4239" s="1" t="s">
        <v>20</v>
      </c>
      <c r="H4239" t="s">
        <v>21</v>
      </c>
      <c r="I4239" s="1" t="s">
        <v>22</v>
      </c>
      <c r="J4239" s="2">
        <v>43537.086458333331</v>
      </c>
      <c r="K4239" s="2">
        <v>43546.086458333331</v>
      </c>
      <c r="L4239" s="2">
        <v>43541.086458333331</v>
      </c>
      <c r="M4239" s="1">
        <f>_xlfn.DAYS(Table1[[#This Row],[actual_delivery_date]],Table1[[#This Row],[dispatch_date]])</f>
        <v>9</v>
      </c>
      <c r="N4239">
        <v>30</v>
      </c>
      <c r="O4239">
        <f>Table1[[#This Row],[transit_storage_cost]] * (1-'What -if Analysis'!$D$26)</f>
        <v>30</v>
      </c>
      <c r="P4239">
        <v>123</v>
      </c>
      <c r="Q4239">
        <v>2989.5938484259996</v>
      </c>
    </row>
    <row r="4240" spans="1:17" x14ac:dyDescent="0.3">
      <c r="A4240">
        <v>999468</v>
      </c>
      <c r="B4240" s="1" t="s">
        <v>38</v>
      </c>
      <c r="C4240" s="1" t="s">
        <v>16</v>
      </c>
      <c r="D4240" s="1" t="s">
        <v>24</v>
      </c>
      <c r="E4240" s="1" t="s">
        <v>25</v>
      </c>
      <c r="F4240" s="1" t="s">
        <v>19</v>
      </c>
      <c r="G4240" s="1" t="s">
        <v>20</v>
      </c>
      <c r="H4240" t="s">
        <v>21</v>
      </c>
      <c r="I4240" s="1" t="s">
        <v>26</v>
      </c>
      <c r="J4240" s="2">
        <v>43535.118368055555</v>
      </c>
      <c r="K4240" s="2">
        <v>43546.118368055555</v>
      </c>
      <c r="L4240" s="2">
        <v>43540.118368055555</v>
      </c>
      <c r="M4240" s="1">
        <f>_xlfn.DAYS(Table1[[#This Row],[actual_delivery_date]],Table1[[#This Row],[dispatch_date]])</f>
        <v>11</v>
      </c>
      <c r="N4240">
        <v>45</v>
      </c>
      <c r="O4240">
        <f>Table1[[#This Row],[transit_storage_cost]] * (1-'What -if Analysis'!$D$26)</f>
        <v>45</v>
      </c>
      <c r="P4240">
        <v>124</v>
      </c>
      <c r="Q4240">
        <v>2321.1290586759974</v>
      </c>
    </row>
    <row r="4241" spans="1:17" x14ac:dyDescent="0.3">
      <c r="A4241">
        <v>841545</v>
      </c>
      <c r="B4241" s="1" t="s">
        <v>15</v>
      </c>
      <c r="C4241" s="1" t="s">
        <v>16</v>
      </c>
      <c r="D4241" s="1" t="s">
        <v>24</v>
      </c>
      <c r="E4241" s="1" t="s">
        <v>25</v>
      </c>
      <c r="F4241" s="1" t="s">
        <v>19</v>
      </c>
      <c r="G4241" s="1" t="s">
        <v>20</v>
      </c>
      <c r="H4241" t="s">
        <v>30</v>
      </c>
      <c r="I4241" s="1" t="s">
        <v>26</v>
      </c>
      <c r="J4241" s="2">
        <v>43535.126134259262</v>
      </c>
      <c r="K4241" s="2">
        <v>43546.126134259262</v>
      </c>
      <c r="L4241" s="2">
        <v>43539.126134259262</v>
      </c>
      <c r="M4241" s="1">
        <f>_xlfn.DAYS(Table1[[#This Row],[actual_delivery_date]],Table1[[#This Row],[dispatch_date]])</f>
        <v>11</v>
      </c>
      <c r="N4241">
        <v>75</v>
      </c>
      <c r="O4241">
        <f>Table1[[#This Row],[transit_storage_cost]] * (1-'What -if Analysis'!$D$26)</f>
        <v>75</v>
      </c>
      <c r="P4241">
        <v>102</v>
      </c>
      <c r="Q4241">
        <v>3551</v>
      </c>
    </row>
    <row r="4242" spans="1:17" x14ac:dyDescent="0.3">
      <c r="A4242">
        <v>946617</v>
      </c>
      <c r="B4242" s="1" t="s">
        <v>38</v>
      </c>
      <c r="C4242" s="1" t="s">
        <v>16</v>
      </c>
      <c r="D4242" s="1" t="s">
        <v>23</v>
      </c>
      <c r="E4242" s="1" t="s">
        <v>28</v>
      </c>
      <c r="F4242" s="1" t="s">
        <v>29</v>
      </c>
      <c r="G4242" s="1" t="s">
        <v>20</v>
      </c>
      <c r="H4242" t="s">
        <v>34</v>
      </c>
      <c r="I4242" s="1" t="s">
        <v>26</v>
      </c>
      <c r="J4242" s="2">
        <v>43538.16777777778</v>
      </c>
      <c r="K4242" s="2">
        <v>43546.16777777778</v>
      </c>
      <c r="L4242" s="2">
        <v>43541.16777777778</v>
      </c>
      <c r="M4242" s="1">
        <f>_xlfn.DAYS(Table1[[#This Row],[actual_delivery_date]],Table1[[#This Row],[dispatch_date]])</f>
        <v>8</v>
      </c>
      <c r="N4242">
        <v>44</v>
      </c>
      <c r="O4242">
        <f>Table1[[#This Row],[transit_storage_cost]] * (1-'What -if Analysis'!$D$26)</f>
        <v>44</v>
      </c>
      <c r="P4242">
        <v>128</v>
      </c>
      <c r="Q4242">
        <v>2159.3077000101216</v>
      </c>
    </row>
    <row r="4243" spans="1:17" x14ac:dyDescent="0.3">
      <c r="A4243">
        <v>831501</v>
      </c>
      <c r="B4243" s="1" t="s">
        <v>39</v>
      </c>
      <c r="C4243" s="1" t="s">
        <v>23</v>
      </c>
      <c r="D4243" s="1" t="s">
        <v>16</v>
      </c>
      <c r="E4243" s="1" t="s">
        <v>27</v>
      </c>
      <c r="F4243" s="1" t="s">
        <v>29</v>
      </c>
      <c r="G4243" s="1" t="s">
        <v>20</v>
      </c>
      <c r="H4243" t="s">
        <v>30</v>
      </c>
      <c r="I4243" s="1" t="s">
        <v>26</v>
      </c>
      <c r="J4243" s="2">
        <v>43537.196944444448</v>
      </c>
      <c r="K4243" s="2">
        <v>43546.196944444448</v>
      </c>
      <c r="L4243" s="2">
        <v>43542.196944444448</v>
      </c>
      <c r="M4243" s="1">
        <f>_xlfn.DAYS(Table1[[#This Row],[actual_delivery_date]],Table1[[#This Row],[dispatch_date]])</f>
        <v>9</v>
      </c>
      <c r="N4243">
        <v>42</v>
      </c>
      <c r="O4243">
        <f>Table1[[#This Row],[transit_storage_cost]] * (1-'What -if Analysis'!$D$26)</f>
        <v>42</v>
      </c>
      <c r="P4243">
        <v>123</v>
      </c>
      <c r="Q4243">
        <v>2707.7130598434906</v>
      </c>
    </row>
    <row r="4244" spans="1:17" x14ac:dyDescent="0.3">
      <c r="A4244">
        <v>314498</v>
      </c>
      <c r="B4244" s="1" t="s">
        <v>40</v>
      </c>
      <c r="C4244" s="1" t="s">
        <v>16</v>
      </c>
      <c r="D4244" s="1" t="s">
        <v>23</v>
      </c>
      <c r="E4244" s="1" t="s">
        <v>28</v>
      </c>
      <c r="F4244" s="1" t="s">
        <v>31</v>
      </c>
      <c r="G4244" s="1" t="s">
        <v>20</v>
      </c>
      <c r="H4244" t="s">
        <v>21</v>
      </c>
      <c r="I4244" s="1" t="s">
        <v>22</v>
      </c>
      <c r="J4244" s="2">
        <v>43536.21638888889</v>
      </c>
      <c r="K4244" s="2">
        <v>43546.21638888889</v>
      </c>
      <c r="L4244" s="2">
        <v>43542.21638888889</v>
      </c>
      <c r="M4244" s="1">
        <f>_xlfn.DAYS(Table1[[#This Row],[actual_delivery_date]],Table1[[#This Row],[dispatch_date]])</f>
        <v>10</v>
      </c>
      <c r="N4244">
        <v>42</v>
      </c>
      <c r="O4244">
        <f>Table1[[#This Row],[transit_storage_cost]] * (1-'What -if Analysis'!$D$26)</f>
        <v>42</v>
      </c>
      <c r="P4244">
        <v>121</v>
      </c>
      <c r="Q4244">
        <v>3433.5399723126029</v>
      </c>
    </row>
    <row r="4245" spans="1:17" x14ac:dyDescent="0.3">
      <c r="A4245">
        <v>361534</v>
      </c>
      <c r="B4245" s="1" t="s">
        <v>38</v>
      </c>
      <c r="C4245" s="1" t="s">
        <v>16</v>
      </c>
      <c r="D4245" s="1" t="s">
        <v>17</v>
      </c>
      <c r="E4245" s="1" t="s">
        <v>18</v>
      </c>
      <c r="F4245" s="1" t="s">
        <v>31</v>
      </c>
      <c r="G4245" s="1" t="s">
        <v>20</v>
      </c>
      <c r="H4245" t="s">
        <v>21</v>
      </c>
      <c r="I4245" s="1" t="s">
        <v>22</v>
      </c>
      <c r="J4245" s="2">
        <v>43537.248645833337</v>
      </c>
      <c r="K4245" s="2">
        <v>43546.248645833337</v>
      </c>
      <c r="L4245" s="2">
        <v>43543.248645833337</v>
      </c>
      <c r="M4245" s="1">
        <f>_xlfn.DAYS(Table1[[#This Row],[actual_delivery_date]],Table1[[#This Row],[dispatch_date]])</f>
        <v>9</v>
      </c>
      <c r="N4245">
        <v>38</v>
      </c>
      <c r="O4245">
        <f>Table1[[#This Row],[transit_storage_cost]] * (1-'What -if Analysis'!$D$26)</f>
        <v>38</v>
      </c>
      <c r="P4245">
        <v>111</v>
      </c>
      <c r="Q4245">
        <v>392</v>
      </c>
    </row>
    <row r="4246" spans="1:17" x14ac:dyDescent="0.3">
      <c r="A4246">
        <v>12840</v>
      </c>
      <c r="B4246" s="1" t="s">
        <v>38</v>
      </c>
      <c r="C4246" s="1" t="s">
        <v>16</v>
      </c>
      <c r="D4246" s="1" t="s">
        <v>24</v>
      </c>
      <c r="E4246" s="1" t="s">
        <v>25</v>
      </c>
      <c r="F4246" s="1" t="s">
        <v>19</v>
      </c>
      <c r="G4246" s="1" t="s">
        <v>20</v>
      </c>
      <c r="H4246" t="s">
        <v>21</v>
      </c>
      <c r="I4246" s="1" t="s">
        <v>26</v>
      </c>
      <c r="J4246" s="2">
        <v>43538.274004629631</v>
      </c>
      <c r="K4246" s="2">
        <v>43546.274004629631</v>
      </c>
      <c r="L4246" s="2">
        <v>43545.274004629631</v>
      </c>
      <c r="M4246" s="1">
        <f>_xlfn.DAYS(Table1[[#This Row],[actual_delivery_date]],Table1[[#This Row],[dispatch_date]])</f>
        <v>8</v>
      </c>
      <c r="N4246">
        <v>37</v>
      </c>
      <c r="O4246">
        <f>Table1[[#This Row],[transit_storage_cost]] * (1-'What -if Analysis'!$D$26)</f>
        <v>37</v>
      </c>
      <c r="P4246">
        <v>130</v>
      </c>
      <c r="Q4246">
        <v>2445.277675473576</v>
      </c>
    </row>
    <row r="4247" spans="1:17" x14ac:dyDescent="0.3">
      <c r="A4247">
        <v>438346</v>
      </c>
      <c r="B4247" s="1" t="s">
        <v>38</v>
      </c>
      <c r="C4247" s="1" t="s">
        <v>23</v>
      </c>
      <c r="D4247" s="1" t="s">
        <v>16</v>
      </c>
      <c r="E4247" s="1" t="s">
        <v>27</v>
      </c>
      <c r="F4247" s="1" t="s">
        <v>31</v>
      </c>
      <c r="G4247" s="1" t="s">
        <v>20</v>
      </c>
      <c r="H4247" t="s">
        <v>21</v>
      </c>
      <c r="I4247" s="1" t="s">
        <v>22</v>
      </c>
      <c r="J4247" s="2">
        <v>43537.285613425927</v>
      </c>
      <c r="K4247" s="2">
        <v>43546.285613425927</v>
      </c>
      <c r="L4247" s="2">
        <v>43542.285613425927</v>
      </c>
      <c r="M4247" s="1">
        <f>_xlfn.DAYS(Table1[[#This Row],[actual_delivery_date]],Table1[[#This Row],[dispatch_date]])</f>
        <v>9</v>
      </c>
      <c r="N4247">
        <v>34</v>
      </c>
      <c r="O4247">
        <f>Table1[[#This Row],[transit_storage_cost]] * (1-'What -if Analysis'!$D$26)</f>
        <v>34</v>
      </c>
      <c r="P4247">
        <v>124</v>
      </c>
      <c r="Q4247">
        <v>1598</v>
      </c>
    </row>
    <row r="4248" spans="1:17" x14ac:dyDescent="0.3">
      <c r="A4248">
        <v>374667</v>
      </c>
      <c r="B4248" s="1" t="s">
        <v>38</v>
      </c>
      <c r="C4248" s="1" t="s">
        <v>23</v>
      </c>
      <c r="D4248" s="1" t="s">
        <v>17</v>
      </c>
      <c r="E4248" s="1" t="s">
        <v>18</v>
      </c>
      <c r="F4248" s="1" t="s">
        <v>29</v>
      </c>
      <c r="G4248" s="1" t="s">
        <v>20</v>
      </c>
      <c r="H4248" t="s">
        <v>30</v>
      </c>
      <c r="I4248" s="1" t="s">
        <v>26</v>
      </c>
      <c r="J4248" s="2">
        <v>43537.296388888892</v>
      </c>
      <c r="K4248" s="2">
        <v>43546.296388888892</v>
      </c>
      <c r="L4248" s="2">
        <v>43541.296388888892</v>
      </c>
      <c r="M4248" s="1">
        <f>_xlfn.DAYS(Table1[[#This Row],[actual_delivery_date]],Table1[[#This Row],[dispatch_date]])</f>
        <v>9</v>
      </c>
      <c r="N4248">
        <v>32</v>
      </c>
      <c r="O4248">
        <f>Table1[[#This Row],[transit_storage_cost]] * (1-'What -if Analysis'!$D$26)</f>
        <v>32</v>
      </c>
      <c r="P4248">
        <v>112</v>
      </c>
      <c r="Q4248">
        <v>516</v>
      </c>
    </row>
    <row r="4249" spans="1:17" x14ac:dyDescent="0.3">
      <c r="A4249">
        <v>588587</v>
      </c>
      <c r="B4249" s="1" t="s">
        <v>37</v>
      </c>
      <c r="C4249" s="1" t="s">
        <v>23</v>
      </c>
      <c r="D4249" s="1" t="s">
        <v>16</v>
      </c>
      <c r="E4249" s="1" t="s">
        <v>27</v>
      </c>
      <c r="F4249" s="1" t="s">
        <v>29</v>
      </c>
      <c r="G4249" s="1" t="s">
        <v>20</v>
      </c>
      <c r="H4249" t="s">
        <v>30</v>
      </c>
      <c r="I4249" s="1" t="s">
        <v>22</v>
      </c>
      <c r="J4249" s="2">
        <v>43538.312037037038</v>
      </c>
      <c r="K4249" s="2">
        <v>43546.312037037038</v>
      </c>
      <c r="L4249" s="2">
        <v>43544.312037037038</v>
      </c>
      <c r="M4249" s="1">
        <f>_xlfn.DAYS(Table1[[#This Row],[actual_delivery_date]],Table1[[#This Row],[dispatch_date]])</f>
        <v>8</v>
      </c>
      <c r="N4249">
        <v>38</v>
      </c>
      <c r="O4249">
        <f>Table1[[#This Row],[transit_storage_cost]] * (1-'What -if Analysis'!$D$26)</f>
        <v>38</v>
      </c>
      <c r="P4249">
        <v>123</v>
      </c>
      <c r="Q4249">
        <v>2330</v>
      </c>
    </row>
    <row r="4250" spans="1:17" x14ac:dyDescent="0.3">
      <c r="A4250">
        <v>996866</v>
      </c>
      <c r="B4250" s="1" t="s">
        <v>39</v>
      </c>
      <c r="C4250" s="1" t="s">
        <v>16</v>
      </c>
      <c r="D4250" s="1" t="s">
        <v>17</v>
      </c>
      <c r="E4250" s="1" t="s">
        <v>18</v>
      </c>
      <c r="F4250" s="1" t="s">
        <v>31</v>
      </c>
      <c r="G4250" s="1" t="s">
        <v>20</v>
      </c>
      <c r="H4250" t="s">
        <v>21</v>
      </c>
      <c r="I4250" s="1" t="s">
        <v>22</v>
      </c>
      <c r="J4250" s="2">
        <v>43538.369502314818</v>
      </c>
      <c r="K4250" s="2">
        <v>43546.369502314818</v>
      </c>
      <c r="L4250" s="2">
        <v>43545.369502314818</v>
      </c>
      <c r="M4250" s="1">
        <f>_xlfn.DAYS(Table1[[#This Row],[actual_delivery_date]],Table1[[#This Row],[dispatch_date]])</f>
        <v>8</v>
      </c>
      <c r="N4250">
        <v>47</v>
      </c>
      <c r="O4250">
        <f>Table1[[#This Row],[transit_storage_cost]] * (1-'What -if Analysis'!$D$26)</f>
        <v>47</v>
      </c>
      <c r="P4250">
        <v>111</v>
      </c>
      <c r="Q4250">
        <v>1971.7673609931967</v>
      </c>
    </row>
    <row r="4251" spans="1:17" x14ac:dyDescent="0.3">
      <c r="A4251">
        <v>844273</v>
      </c>
      <c r="B4251" s="1" t="s">
        <v>41</v>
      </c>
      <c r="C4251" s="1" t="s">
        <v>23</v>
      </c>
      <c r="D4251" s="1" t="s">
        <v>16</v>
      </c>
      <c r="E4251" s="1" t="s">
        <v>27</v>
      </c>
      <c r="F4251" s="1" t="s">
        <v>29</v>
      </c>
      <c r="G4251" s="1" t="s">
        <v>20</v>
      </c>
      <c r="H4251" t="s">
        <v>30</v>
      </c>
      <c r="I4251" s="1" t="s">
        <v>22</v>
      </c>
      <c r="J4251" s="2">
        <v>43537.385995370372</v>
      </c>
      <c r="K4251" s="2">
        <v>43546.385995370372</v>
      </c>
      <c r="L4251" s="2">
        <v>43541.385995370372</v>
      </c>
      <c r="M4251" s="1">
        <f>_xlfn.DAYS(Table1[[#This Row],[actual_delivery_date]],Table1[[#This Row],[dispatch_date]])</f>
        <v>9</v>
      </c>
      <c r="N4251">
        <v>43</v>
      </c>
      <c r="O4251">
        <f>Table1[[#This Row],[transit_storage_cost]] * (1-'What -if Analysis'!$D$26)</f>
        <v>43</v>
      </c>
      <c r="P4251">
        <v>123</v>
      </c>
      <c r="Q4251">
        <v>3129.0241176846753</v>
      </c>
    </row>
    <row r="4252" spans="1:17" x14ac:dyDescent="0.3">
      <c r="A4252">
        <v>608667</v>
      </c>
      <c r="B4252" s="1" t="s">
        <v>38</v>
      </c>
      <c r="C4252" s="1" t="s">
        <v>16</v>
      </c>
      <c r="D4252" s="1" t="s">
        <v>23</v>
      </c>
      <c r="E4252" s="1" t="s">
        <v>28</v>
      </c>
      <c r="F4252" s="1" t="s">
        <v>29</v>
      </c>
      <c r="G4252" s="1" t="s">
        <v>20</v>
      </c>
      <c r="H4252" t="s">
        <v>30</v>
      </c>
      <c r="I4252" s="1" t="s">
        <v>26</v>
      </c>
      <c r="J4252" s="2">
        <v>43538.446319444447</v>
      </c>
      <c r="K4252" s="2">
        <v>43546.446319444447</v>
      </c>
      <c r="L4252" s="2">
        <v>43541.446319444447</v>
      </c>
      <c r="M4252" s="1">
        <f>_xlfn.DAYS(Table1[[#This Row],[actual_delivery_date]],Table1[[#This Row],[dispatch_date]])</f>
        <v>8</v>
      </c>
      <c r="N4252">
        <v>25</v>
      </c>
      <c r="O4252">
        <f>Table1[[#This Row],[transit_storage_cost]] * (1-'What -if Analysis'!$D$26)</f>
        <v>25</v>
      </c>
      <c r="P4252">
        <v>123</v>
      </c>
      <c r="Q4252">
        <v>3458.0066609724513</v>
      </c>
    </row>
    <row r="4253" spans="1:17" x14ac:dyDescent="0.3">
      <c r="A4253">
        <v>386396</v>
      </c>
      <c r="B4253" s="1" t="s">
        <v>15</v>
      </c>
      <c r="C4253" s="1" t="s">
        <v>16</v>
      </c>
      <c r="D4253" s="1" t="s">
        <v>24</v>
      </c>
      <c r="E4253" s="1" t="s">
        <v>25</v>
      </c>
      <c r="F4253" s="1" t="s">
        <v>19</v>
      </c>
      <c r="G4253" s="1" t="s">
        <v>20</v>
      </c>
      <c r="H4253" t="s">
        <v>21</v>
      </c>
      <c r="I4253" s="1" t="s">
        <v>22</v>
      </c>
      <c r="J4253" s="2">
        <v>43538.512025462966</v>
      </c>
      <c r="K4253" s="2">
        <v>43546.512025462966</v>
      </c>
      <c r="L4253" s="2">
        <v>43541.512025462966</v>
      </c>
      <c r="M4253" s="1">
        <f>_xlfn.DAYS(Table1[[#This Row],[actual_delivery_date]],Table1[[#This Row],[dispatch_date]])</f>
        <v>8</v>
      </c>
      <c r="N4253">
        <v>36</v>
      </c>
      <c r="O4253">
        <f>Table1[[#This Row],[transit_storage_cost]] * (1-'What -if Analysis'!$D$26)</f>
        <v>36</v>
      </c>
      <c r="P4253">
        <v>127</v>
      </c>
      <c r="Q4253">
        <v>823.95152887934478</v>
      </c>
    </row>
    <row r="4254" spans="1:17" x14ac:dyDescent="0.3">
      <c r="A4254">
        <v>602202</v>
      </c>
      <c r="B4254" s="1" t="s">
        <v>37</v>
      </c>
      <c r="C4254" s="1" t="s">
        <v>16</v>
      </c>
      <c r="D4254" s="1" t="s">
        <v>23</v>
      </c>
      <c r="E4254" s="1" t="s">
        <v>28</v>
      </c>
      <c r="F4254" s="1" t="s">
        <v>31</v>
      </c>
      <c r="G4254" s="1" t="s">
        <v>20</v>
      </c>
      <c r="H4254" t="s">
        <v>21</v>
      </c>
      <c r="I4254" s="1" t="s">
        <v>26</v>
      </c>
      <c r="J4254" s="2">
        <v>43536.53334490741</v>
      </c>
      <c r="K4254" s="2">
        <v>43546.53334490741</v>
      </c>
      <c r="L4254" s="2">
        <v>43540.53334490741</v>
      </c>
      <c r="M4254" s="1">
        <f>_xlfn.DAYS(Table1[[#This Row],[actual_delivery_date]],Table1[[#This Row],[dispatch_date]])</f>
        <v>10</v>
      </c>
      <c r="N4254">
        <v>40</v>
      </c>
      <c r="O4254">
        <f>Table1[[#This Row],[transit_storage_cost]] * (1-'What -if Analysis'!$D$26)</f>
        <v>40</v>
      </c>
      <c r="P4254">
        <v>123</v>
      </c>
      <c r="Q4254">
        <v>1684</v>
      </c>
    </row>
    <row r="4255" spans="1:17" x14ac:dyDescent="0.3">
      <c r="A4255">
        <v>968320</v>
      </c>
      <c r="B4255" s="1" t="s">
        <v>37</v>
      </c>
      <c r="C4255" s="1" t="s">
        <v>16</v>
      </c>
      <c r="D4255" s="1" t="s">
        <v>32</v>
      </c>
      <c r="E4255" s="1" t="s">
        <v>33</v>
      </c>
      <c r="F4255" s="1" t="s">
        <v>19</v>
      </c>
      <c r="G4255" s="1" t="s">
        <v>20</v>
      </c>
      <c r="H4255" t="s">
        <v>21</v>
      </c>
      <c r="I4255" s="1" t="s">
        <v>22</v>
      </c>
      <c r="J4255" s="2">
        <v>43538.577615740738</v>
      </c>
      <c r="K4255" s="2">
        <v>43546.577615740738</v>
      </c>
      <c r="L4255" s="2">
        <v>43542.577615740738</v>
      </c>
      <c r="M4255" s="1">
        <f>_xlfn.DAYS(Table1[[#This Row],[actual_delivery_date]],Table1[[#This Row],[dispatch_date]])</f>
        <v>8</v>
      </c>
      <c r="N4255">
        <v>45</v>
      </c>
      <c r="O4255">
        <f>Table1[[#This Row],[transit_storage_cost]] * (1-'What -if Analysis'!$D$26)</f>
        <v>45</v>
      </c>
      <c r="P4255">
        <v>110</v>
      </c>
      <c r="Q4255">
        <v>2718.5722734654064</v>
      </c>
    </row>
    <row r="4256" spans="1:17" x14ac:dyDescent="0.3">
      <c r="A4256">
        <v>92432</v>
      </c>
      <c r="B4256" s="1" t="s">
        <v>37</v>
      </c>
      <c r="C4256" s="1" t="s">
        <v>23</v>
      </c>
      <c r="D4256" s="1" t="s">
        <v>24</v>
      </c>
      <c r="E4256" s="1" t="s">
        <v>25</v>
      </c>
      <c r="F4256" s="1" t="s">
        <v>19</v>
      </c>
      <c r="G4256" s="1" t="s">
        <v>36</v>
      </c>
      <c r="H4256" t="s">
        <v>21</v>
      </c>
      <c r="I4256" s="1" t="s">
        <v>22</v>
      </c>
      <c r="J4256" s="2">
        <v>43538.578472222223</v>
      </c>
      <c r="K4256" s="2">
        <v>43546.578472222223</v>
      </c>
      <c r="L4256" s="2">
        <v>43542.578472222223</v>
      </c>
      <c r="M4256" s="1">
        <f>_xlfn.DAYS(Table1[[#This Row],[actual_delivery_date]],Table1[[#This Row],[dispatch_date]])</f>
        <v>8</v>
      </c>
      <c r="N4256">
        <v>68</v>
      </c>
      <c r="O4256">
        <f>Table1[[#This Row],[transit_storage_cost]] * (1-'What -if Analysis'!$D$26)</f>
        <v>68</v>
      </c>
      <c r="P4256">
        <v>104</v>
      </c>
      <c r="Q4256">
        <v>1483.4357182774816</v>
      </c>
    </row>
    <row r="4257" spans="1:17" x14ac:dyDescent="0.3">
      <c r="A4257">
        <v>558124</v>
      </c>
      <c r="B4257" s="1" t="s">
        <v>38</v>
      </c>
      <c r="C4257" s="1" t="s">
        <v>23</v>
      </c>
      <c r="D4257" s="1" t="s">
        <v>24</v>
      </c>
      <c r="E4257" s="1" t="s">
        <v>25</v>
      </c>
      <c r="F4257" s="1" t="s">
        <v>19</v>
      </c>
      <c r="G4257" s="1" t="s">
        <v>20</v>
      </c>
      <c r="H4257" t="s">
        <v>21</v>
      </c>
      <c r="I4257" s="1" t="s">
        <v>22</v>
      </c>
      <c r="J4257" s="2">
        <v>43537.623206018521</v>
      </c>
      <c r="K4257" s="2">
        <v>43546.623206018521</v>
      </c>
      <c r="L4257" s="2">
        <v>43543.623206018521</v>
      </c>
      <c r="M4257" s="1">
        <f>_xlfn.DAYS(Table1[[#This Row],[actual_delivery_date]],Table1[[#This Row],[dispatch_date]])</f>
        <v>9</v>
      </c>
      <c r="N4257">
        <v>32</v>
      </c>
      <c r="O4257">
        <f>Table1[[#This Row],[transit_storage_cost]] * (1-'What -if Analysis'!$D$26)</f>
        <v>32</v>
      </c>
      <c r="P4257">
        <v>121</v>
      </c>
      <c r="Q4257">
        <v>712.5431055682609</v>
      </c>
    </row>
    <row r="4258" spans="1:17" x14ac:dyDescent="0.3">
      <c r="A4258">
        <v>723823</v>
      </c>
      <c r="B4258" s="1" t="s">
        <v>15</v>
      </c>
      <c r="C4258" s="1" t="s">
        <v>16</v>
      </c>
      <c r="D4258" s="1" t="s">
        <v>17</v>
      </c>
      <c r="E4258" s="1" t="s">
        <v>18</v>
      </c>
      <c r="F4258" s="1" t="s">
        <v>29</v>
      </c>
      <c r="G4258" s="1" t="s">
        <v>20</v>
      </c>
      <c r="H4258" t="s">
        <v>30</v>
      </c>
      <c r="I4258" s="1" t="s">
        <v>22</v>
      </c>
      <c r="J4258" s="2">
        <v>43538.624212962961</v>
      </c>
      <c r="K4258" s="2">
        <v>43546.624212962961</v>
      </c>
      <c r="L4258" s="2">
        <v>43545.624212962961</v>
      </c>
      <c r="M4258" s="1">
        <f>_xlfn.DAYS(Table1[[#This Row],[actual_delivery_date]],Table1[[#This Row],[dispatch_date]])</f>
        <v>8</v>
      </c>
      <c r="N4258">
        <v>35</v>
      </c>
      <c r="O4258">
        <f>Table1[[#This Row],[transit_storage_cost]] * (1-'What -if Analysis'!$D$26)</f>
        <v>35</v>
      </c>
      <c r="P4258">
        <v>105</v>
      </c>
      <c r="Q4258">
        <v>3338</v>
      </c>
    </row>
    <row r="4259" spans="1:17" x14ac:dyDescent="0.3">
      <c r="A4259">
        <v>696293</v>
      </c>
      <c r="B4259" s="1" t="s">
        <v>41</v>
      </c>
      <c r="C4259" s="1" t="s">
        <v>16</v>
      </c>
      <c r="D4259" s="1" t="s">
        <v>17</v>
      </c>
      <c r="E4259" s="1" t="s">
        <v>18</v>
      </c>
      <c r="F4259" s="1" t="s">
        <v>29</v>
      </c>
      <c r="G4259" s="1" t="s">
        <v>20</v>
      </c>
      <c r="H4259" t="s">
        <v>30</v>
      </c>
      <c r="I4259" s="1" t="s">
        <v>22</v>
      </c>
      <c r="J4259" s="2">
        <v>43538.655150462961</v>
      </c>
      <c r="K4259" s="2">
        <v>43546.655150462961</v>
      </c>
      <c r="L4259" s="2">
        <v>43542.655150462961</v>
      </c>
      <c r="M4259" s="1">
        <f>_xlfn.DAYS(Table1[[#This Row],[actual_delivery_date]],Table1[[#This Row],[dispatch_date]])</f>
        <v>8</v>
      </c>
      <c r="N4259">
        <v>35</v>
      </c>
      <c r="O4259">
        <f>Table1[[#This Row],[transit_storage_cost]] * (1-'What -if Analysis'!$D$26)</f>
        <v>35</v>
      </c>
      <c r="P4259">
        <v>107</v>
      </c>
      <c r="Q4259">
        <v>3225.4001437755828</v>
      </c>
    </row>
    <row r="4260" spans="1:17" x14ac:dyDescent="0.3">
      <c r="A4260">
        <v>390801</v>
      </c>
      <c r="B4260" s="1" t="s">
        <v>39</v>
      </c>
      <c r="C4260" s="1" t="s">
        <v>16</v>
      </c>
      <c r="D4260" s="1" t="s">
        <v>17</v>
      </c>
      <c r="E4260" s="1" t="s">
        <v>18</v>
      </c>
      <c r="F4260" s="1" t="s">
        <v>29</v>
      </c>
      <c r="G4260" s="1" t="s">
        <v>20</v>
      </c>
      <c r="H4260" t="s">
        <v>30</v>
      </c>
      <c r="I4260" s="1" t="s">
        <v>26</v>
      </c>
      <c r="J4260" s="2">
        <v>43537.672118055554</v>
      </c>
      <c r="K4260" s="2">
        <v>43546.672118055554</v>
      </c>
      <c r="L4260" s="2">
        <v>43540.672118055554</v>
      </c>
      <c r="M4260" s="1">
        <f>_xlfn.DAYS(Table1[[#This Row],[actual_delivery_date]],Table1[[#This Row],[dispatch_date]])</f>
        <v>9</v>
      </c>
      <c r="N4260">
        <v>29</v>
      </c>
      <c r="O4260">
        <f>Table1[[#This Row],[transit_storage_cost]] * (1-'What -if Analysis'!$D$26)</f>
        <v>29</v>
      </c>
      <c r="P4260">
        <v>112</v>
      </c>
      <c r="Q4260">
        <v>1759.2677262207446</v>
      </c>
    </row>
    <row r="4261" spans="1:17" x14ac:dyDescent="0.3">
      <c r="A4261">
        <v>921686</v>
      </c>
      <c r="B4261" s="1" t="s">
        <v>38</v>
      </c>
      <c r="C4261" s="1" t="s">
        <v>16</v>
      </c>
      <c r="D4261" s="1" t="s">
        <v>17</v>
      </c>
      <c r="E4261" s="1" t="s">
        <v>18</v>
      </c>
      <c r="F4261" s="1" t="s">
        <v>31</v>
      </c>
      <c r="G4261" s="1" t="s">
        <v>20</v>
      </c>
      <c r="H4261" t="s">
        <v>21</v>
      </c>
      <c r="I4261" s="1" t="s">
        <v>22</v>
      </c>
      <c r="J4261" s="2">
        <v>43537.693437499998</v>
      </c>
      <c r="K4261" s="2">
        <v>43546.693437499998</v>
      </c>
      <c r="L4261" s="2">
        <v>43541.693437499998</v>
      </c>
      <c r="M4261" s="1">
        <f>_xlfn.DAYS(Table1[[#This Row],[actual_delivery_date]],Table1[[#This Row],[dispatch_date]])</f>
        <v>9</v>
      </c>
      <c r="N4261">
        <v>25</v>
      </c>
      <c r="O4261">
        <f>Table1[[#This Row],[transit_storage_cost]] * (1-'What -if Analysis'!$D$26)</f>
        <v>25</v>
      </c>
      <c r="P4261">
        <v>111</v>
      </c>
      <c r="Q4261">
        <v>2730.6234513475151</v>
      </c>
    </row>
    <row r="4262" spans="1:17" x14ac:dyDescent="0.3">
      <c r="A4262">
        <v>645308</v>
      </c>
      <c r="B4262" s="1" t="s">
        <v>37</v>
      </c>
      <c r="C4262" s="1" t="s">
        <v>16</v>
      </c>
      <c r="D4262" s="1" t="s">
        <v>32</v>
      </c>
      <c r="E4262" s="1" t="s">
        <v>33</v>
      </c>
      <c r="F4262" s="1" t="s">
        <v>19</v>
      </c>
      <c r="G4262" s="1" t="s">
        <v>20</v>
      </c>
      <c r="H4262" t="s">
        <v>21</v>
      </c>
      <c r="I4262" s="1" t="s">
        <v>22</v>
      </c>
      <c r="J4262" s="2">
        <v>43537.705150462964</v>
      </c>
      <c r="K4262" s="2">
        <v>43546.705150462964</v>
      </c>
      <c r="L4262" s="2">
        <v>43540.705150462964</v>
      </c>
      <c r="M4262" s="1">
        <f>_xlfn.DAYS(Table1[[#This Row],[actual_delivery_date]],Table1[[#This Row],[dispatch_date]])</f>
        <v>9</v>
      </c>
      <c r="N4262">
        <v>49</v>
      </c>
      <c r="O4262">
        <f>Table1[[#This Row],[transit_storage_cost]] * (1-'What -if Analysis'!$D$26)</f>
        <v>49</v>
      </c>
      <c r="P4262">
        <v>109</v>
      </c>
      <c r="Q4262">
        <v>3062.3732491866917</v>
      </c>
    </row>
    <row r="4263" spans="1:17" x14ac:dyDescent="0.3">
      <c r="A4263">
        <v>200130</v>
      </c>
      <c r="B4263" s="1" t="s">
        <v>39</v>
      </c>
      <c r="C4263" s="1" t="s">
        <v>16</v>
      </c>
      <c r="D4263" s="1" t="s">
        <v>23</v>
      </c>
      <c r="E4263" s="1" t="s">
        <v>28</v>
      </c>
      <c r="F4263" s="1" t="s">
        <v>31</v>
      </c>
      <c r="G4263" s="1" t="s">
        <v>20</v>
      </c>
      <c r="H4263" t="s">
        <v>21</v>
      </c>
      <c r="I4263" s="1" t="s">
        <v>26</v>
      </c>
      <c r="J4263" s="2">
        <v>43537.707361111112</v>
      </c>
      <c r="K4263" s="2">
        <v>43546.707361111112</v>
      </c>
      <c r="L4263" s="2">
        <v>43540.707361111112</v>
      </c>
      <c r="M4263" s="1">
        <f>_xlfn.DAYS(Table1[[#This Row],[actual_delivery_date]],Table1[[#This Row],[dispatch_date]])</f>
        <v>9</v>
      </c>
      <c r="N4263">
        <v>38</v>
      </c>
      <c r="O4263">
        <f>Table1[[#This Row],[transit_storage_cost]] * (1-'What -if Analysis'!$D$26)</f>
        <v>38</v>
      </c>
      <c r="P4263">
        <v>129</v>
      </c>
      <c r="Q4263">
        <v>1877.517808206951</v>
      </c>
    </row>
    <row r="4264" spans="1:17" x14ac:dyDescent="0.3">
      <c r="A4264">
        <v>58297</v>
      </c>
      <c r="B4264" s="1" t="s">
        <v>38</v>
      </c>
      <c r="C4264" s="1" t="s">
        <v>16</v>
      </c>
      <c r="D4264" s="1" t="s">
        <v>24</v>
      </c>
      <c r="E4264" s="1" t="s">
        <v>25</v>
      </c>
      <c r="F4264" s="1" t="s">
        <v>19</v>
      </c>
      <c r="G4264" s="1" t="s">
        <v>20</v>
      </c>
      <c r="H4264" t="s">
        <v>30</v>
      </c>
      <c r="I4264" s="1" t="s">
        <v>22</v>
      </c>
      <c r="J4264" s="2">
        <v>43537.731296296297</v>
      </c>
      <c r="K4264" s="2">
        <v>43546.731296296297</v>
      </c>
      <c r="L4264" s="2">
        <v>43541.731296296297</v>
      </c>
      <c r="M4264" s="1">
        <f>_xlfn.DAYS(Table1[[#This Row],[actual_delivery_date]],Table1[[#This Row],[dispatch_date]])</f>
        <v>9</v>
      </c>
      <c r="N4264">
        <v>56</v>
      </c>
      <c r="O4264">
        <f>Table1[[#This Row],[transit_storage_cost]] * (1-'What -if Analysis'!$D$26)</f>
        <v>56</v>
      </c>
      <c r="P4264">
        <v>104</v>
      </c>
      <c r="Q4264">
        <v>2412.4713816910862</v>
      </c>
    </row>
    <row r="4265" spans="1:17" x14ac:dyDescent="0.3">
      <c r="A4265">
        <v>635837</v>
      </c>
      <c r="B4265" s="1" t="s">
        <v>15</v>
      </c>
      <c r="C4265" s="1" t="s">
        <v>23</v>
      </c>
      <c r="D4265" s="1" t="s">
        <v>16</v>
      </c>
      <c r="E4265" s="1" t="s">
        <v>27</v>
      </c>
      <c r="F4265" s="1" t="s">
        <v>29</v>
      </c>
      <c r="G4265" s="1" t="s">
        <v>20</v>
      </c>
      <c r="H4265" t="s">
        <v>30</v>
      </c>
      <c r="I4265" s="1" t="s">
        <v>22</v>
      </c>
      <c r="J4265" s="2">
        <v>43538.756192129629</v>
      </c>
      <c r="K4265" s="2">
        <v>43546.756192129629</v>
      </c>
      <c r="L4265" s="2">
        <v>43541.756192129629</v>
      </c>
      <c r="M4265" s="1">
        <f>_xlfn.DAYS(Table1[[#This Row],[actual_delivery_date]],Table1[[#This Row],[dispatch_date]])</f>
        <v>8</v>
      </c>
      <c r="N4265">
        <v>26</v>
      </c>
      <c r="O4265">
        <f>Table1[[#This Row],[transit_storage_cost]] * (1-'What -if Analysis'!$D$26)</f>
        <v>26</v>
      </c>
      <c r="P4265">
        <v>122</v>
      </c>
      <c r="Q4265">
        <v>1084.196869084378</v>
      </c>
    </row>
    <row r="4266" spans="1:17" x14ac:dyDescent="0.3">
      <c r="A4266">
        <v>785115</v>
      </c>
      <c r="B4266" s="1" t="s">
        <v>38</v>
      </c>
      <c r="C4266" s="1" t="s">
        <v>16</v>
      </c>
      <c r="D4266" s="1" t="s">
        <v>23</v>
      </c>
      <c r="E4266" s="1" t="s">
        <v>28</v>
      </c>
      <c r="F4266" s="1" t="s">
        <v>29</v>
      </c>
      <c r="G4266" s="1" t="s">
        <v>20</v>
      </c>
      <c r="H4266" t="s">
        <v>30</v>
      </c>
      <c r="I4266" s="1" t="s">
        <v>26</v>
      </c>
      <c r="J4266" s="2">
        <v>43538.7734837963</v>
      </c>
      <c r="K4266" s="2">
        <v>43546.7734837963</v>
      </c>
      <c r="L4266" s="2">
        <v>43541.7734837963</v>
      </c>
      <c r="M4266" s="1">
        <f>_xlfn.DAYS(Table1[[#This Row],[actual_delivery_date]],Table1[[#This Row],[dispatch_date]])</f>
        <v>8</v>
      </c>
      <c r="N4266">
        <v>26</v>
      </c>
      <c r="O4266">
        <f>Table1[[#This Row],[transit_storage_cost]] * (1-'What -if Analysis'!$D$26)</f>
        <v>26</v>
      </c>
      <c r="P4266">
        <v>121</v>
      </c>
      <c r="Q4266">
        <v>1575.759355320844</v>
      </c>
    </row>
    <row r="4267" spans="1:17" x14ac:dyDescent="0.3">
      <c r="A4267">
        <v>329691</v>
      </c>
      <c r="B4267" s="1" t="s">
        <v>38</v>
      </c>
      <c r="C4267" s="1" t="s">
        <v>16</v>
      </c>
      <c r="D4267" s="1" t="s">
        <v>17</v>
      </c>
      <c r="E4267" s="1" t="s">
        <v>18</v>
      </c>
      <c r="F4267" s="1" t="s">
        <v>29</v>
      </c>
      <c r="G4267" s="1" t="s">
        <v>20</v>
      </c>
      <c r="H4267" t="s">
        <v>30</v>
      </c>
      <c r="I4267" s="1" t="s">
        <v>26</v>
      </c>
      <c r="J4267" s="2">
        <v>43537.820104166669</v>
      </c>
      <c r="K4267" s="2">
        <v>43546.820104166669</v>
      </c>
      <c r="L4267" s="2">
        <v>43544.820104166669</v>
      </c>
      <c r="M4267" s="1">
        <f>_xlfn.DAYS(Table1[[#This Row],[actual_delivery_date]],Table1[[#This Row],[dispatch_date]])</f>
        <v>9</v>
      </c>
      <c r="N4267">
        <v>30</v>
      </c>
      <c r="O4267">
        <f>Table1[[#This Row],[transit_storage_cost]] * (1-'What -if Analysis'!$D$26)</f>
        <v>30</v>
      </c>
      <c r="P4267">
        <v>107</v>
      </c>
      <c r="Q4267">
        <v>2753.5687186941791</v>
      </c>
    </row>
    <row r="4268" spans="1:17" x14ac:dyDescent="0.3">
      <c r="A4268">
        <v>811306</v>
      </c>
      <c r="B4268" s="1" t="s">
        <v>37</v>
      </c>
      <c r="C4268" s="1" t="s">
        <v>16</v>
      </c>
      <c r="D4268" s="1" t="s">
        <v>32</v>
      </c>
      <c r="E4268" s="1" t="s">
        <v>33</v>
      </c>
      <c r="F4268" s="1" t="s">
        <v>19</v>
      </c>
      <c r="G4268" s="1" t="s">
        <v>20</v>
      </c>
      <c r="H4268" t="s">
        <v>21</v>
      </c>
      <c r="I4268" s="1" t="s">
        <v>22</v>
      </c>
      <c r="J4268" s="2">
        <v>43537.832199074073</v>
      </c>
      <c r="K4268" s="2">
        <v>43546.832199074073</v>
      </c>
      <c r="L4268" s="2">
        <v>43544.832199074073</v>
      </c>
      <c r="M4268" s="1">
        <f>_xlfn.DAYS(Table1[[#This Row],[actual_delivery_date]],Table1[[#This Row],[dispatch_date]])</f>
        <v>9</v>
      </c>
      <c r="N4268">
        <v>67</v>
      </c>
      <c r="O4268">
        <f>Table1[[#This Row],[transit_storage_cost]] * (1-'What -if Analysis'!$D$26)</f>
        <v>67</v>
      </c>
      <c r="P4268">
        <v>90</v>
      </c>
      <c r="Q4268">
        <v>1972.566558519093</v>
      </c>
    </row>
    <row r="4269" spans="1:17" x14ac:dyDescent="0.3">
      <c r="A4269">
        <v>478450</v>
      </c>
      <c r="B4269" s="1" t="s">
        <v>38</v>
      </c>
      <c r="C4269" s="1" t="s">
        <v>16</v>
      </c>
      <c r="D4269" s="1" t="s">
        <v>32</v>
      </c>
      <c r="E4269" s="1" t="s">
        <v>33</v>
      </c>
      <c r="F4269" s="1" t="s">
        <v>19</v>
      </c>
      <c r="G4269" s="1" t="s">
        <v>20</v>
      </c>
      <c r="H4269" t="s">
        <v>21</v>
      </c>
      <c r="I4269" s="1" t="s">
        <v>22</v>
      </c>
      <c r="J4269" s="2">
        <v>43538.902453703704</v>
      </c>
      <c r="K4269" s="2">
        <v>43546.902453703704</v>
      </c>
      <c r="L4269" s="2">
        <v>43543.902453703704</v>
      </c>
      <c r="M4269" s="1">
        <f>_xlfn.DAYS(Table1[[#This Row],[actual_delivery_date]],Table1[[#This Row],[dispatch_date]])</f>
        <v>8</v>
      </c>
      <c r="N4269">
        <v>68</v>
      </c>
      <c r="O4269">
        <f>Table1[[#This Row],[transit_storage_cost]] * (1-'What -if Analysis'!$D$26)</f>
        <v>68</v>
      </c>
      <c r="P4269">
        <v>87</v>
      </c>
      <c r="Q4269">
        <v>825.90659286184962</v>
      </c>
    </row>
    <row r="4270" spans="1:17" x14ac:dyDescent="0.3">
      <c r="A4270">
        <v>415298</v>
      </c>
      <c r="B4270" s="1" t="s">
        <v>39</v>
      </c>
      <c r="C4270" s="1" t="s">
        <v>23</v>
      </c>
      <c r="D4270" s="1" t="s">
        <v>16</v>
      </c>
      <c r="E4270" s="1" t="s">
        <v>27</v>
      </c>
      <c r="F4270" s="1" t="s">
        <v>31</v>
      </c>
      <c r="G4270" s="1" t="s">
        <v>20</v>
      </c>
      <c r="H4270" t="s">
        <v>21</v>
      </c>
      <c r="I4270" s="1" t="s">
        <v>22</v>
      </c>
      <c r="J4270" s="2">
        <v>43538.917928240742</v>
      </c>
      <c r="K4270" s="2">
        <v>43546.917928240742</v>
      </c>
      <c r="L4270" s="2">
        <v>43541.917928240742</v>
      </c>
      <c r="M4270" s="1">
        <f>_xlfn.DAYS(Table1[[#This Row],[actual_delivery_date]],Table1[[#This Row],[dispatch_date]])</f>
        <v>8</v>
      </c>
      <c r="N4270">
        <v>49</v>
      </c>
      <c r="O4270">
        <f>Table1[[#This Row],[transit_storage_cost]] * (1-'What -if Analysis'!$D$26)</f>
        <v>49</v>
      </c>
      <c r="P4270">
        <v>125</v>
      </c>
      <c r="Q4270">
        <v>791.53607510119014</v>
      </c>
    </row>
    <row r="4271" spans="1:17" x14ac:dyDescent="0.3">
      <c r="A4271">
        <v>411911</v>
      </c>
      <c r="B4271" s="1" t="s">
        <v>41</v>
      </c>
      <c r="C4271" s="1" t="s">
        <v>16</v>
      </c>
      <c r="D4271" s="1" t="s">
        <v>17</v>
      </c>
      <c r="E4271" s="1" t="s">
        <v>18</v>
      </c>
      <c r="F4271" s="1" t="s">
        <v>29</v>
      </c>
      <c r="G4271" s="1" t="s">
        <v>20</v>
      </c>
      <c r="H4271" t="s">
        <v>30</v>
      </c>
      <c r="I4271" s="1" t="s">
        <v>22</v>
      </c>
      <c r="J4271" s="2">
        <v>43538.951782407406</v>
      </c>
      <c r="K4271" s="2">
        <v>43546.951782407406</v>
      </c>
      <c r="L4271" s="2">
        <v>43544.951782407406</v>
      </c>
      <c r="M4271" s="1">
        <f>_xlfn.DAYS(Table1[[#This Row],[actual_delivery_date]],Table1[[#This Row],[dispatch_date]])</f>
        <v>8</v>
      </c>
      <c r="N4271">
        <v>37</v>
      </c>
      <c r="O4271">
        <f>Table1[[#This Row],[transit_storage_cost]] * (1-'What -if Analysis'!$D$26)</f>
        <v>37</v>
      </c>
      <c r="P4271">
        <v>115</v>
      </c>
      <c r="Q4271">
        <v>495</v>
      </c>
    </row>
    <row r="4272" spans="1:17" x14ac:dyDescent="0.3">
      <c r="A4272">
        <v>246580</v>
      </c>
      <c r="B4272" s="1" t="s">
        <v>37</v>
      </c>
      <c r="C4272" s="1" t="s">
        <v>23</v>
      </c>
      <c r="D4272" s="1" t="s">
        <v>24</v>
      </c>
      <c r="E4272" s="1" t="s">
        <v>25</v>
      </c>
      <c r="F4272" s="1" t="s">
        <v>19</v>
      </c>
      <c r="G4272" s="1" t="s">
        <v>20</v>
      </c>
      <c r="H4272" t="s">
        <v>21</v>
      </c>
      <c r="I4272" s="1" t="s">
        <v>22</v>
      </c>
      <c r="J4272" s="2">
        <v>43536.952337962961</v>
      </c>
      <c r="K4272" s="2">
        <v>43546.952337962961</v>
      </c>
      <c r="L4272" s="2">
        <v>43543.952337962961</v>
      </c>
      <c r="M4272" s="1">
        <f>_xlfn.DAYS(Table1[[#This Row],[actual_delivery_date]],Table1[[#This Row],[dispatch_date]])</f>
        <v>10</v>
      </c>
      <c r="N4272">
        <v>67</v>
      </c>
      <c r="O4272">
        <f>Table1[[#This Row],[transit_storage_cost]] * (1-'What -if Analysis'!$D$26)</f>
        <v>67</v>
      </c>
      <c r="P4272">
        <v>104</v>
      </c>
      <c r="Q4272">
        <v>1256</v>
      </c>
    </row>
    <row r="4273" spans="1:17" x14ac:dyDescent="0.3">
      <c r="A4273">
        <v>962768</v>
      </c>
      <c r="B4273" s="1" t="s">
        <v>38</v>
      </c>
      <c r="C4273" s="1" t="s">
        <v>16</v>
      </c>
      <c r="D4273" s="1" t="s">
        <v>24</v>
      </c>
      <c r="E4273" s="1" t="s">
        <v>25</v>
      </c>
      <c r="F4273" s="1" t="s">
        <v>19</v>
      </c>
      <c r="G4273" s="1" t="s">
        <v>36</v>
      </c>
      <c r="H4273" t="s">
        <v>21</v>
      </c>
      <c r="I4273" s="1" t="s">
        <v>22</v>
      </c>
      <c r="J4273" s="2">
        <v>43538.990856481483</v>
      </c>
      <c r="K4273" s="2">
        <v>43546.990856481483</v>
      </c>
      <c r="L4273" s="2">
        <v>43544.990856481483</v>
      </c>
      <c r="M4273" s="1">
        <f>_xlfn.DAYS(Table1[[#This Row],[actual_delivery_date]],Table1[[#This Row],[dispatch_date]])</f>
        <v>8</v>
      </c>
      <c r="N4273">
        <v>38</v>
      </c>
      <c r="O4273">
        <f>Table1[[#This Row],[transit_storage_cost]] * (1-'What -if Analysis'!$D$26)</f>
        <v>38</v>
      </c>
      <c r="P4273">
        <v>123</v>
      </c>
      <c r="Q4273">
        <v>3387.8894718688366</v>
      </c>
    </row>
    <row r="4274" spans="1:17" x14ac:dyDescent="0.3">
      <c r="A4274">
        <v>423213</v>
      </c>
      <c r="B4274" s="1" t="s">
        <v>39</v>
      </c>
      <c r="C4274" s="1" t="s">
        <v>23</v>
      </c>
      <c r="D4274" s="1" t="s">
        <v>16</v>
      </c>
      <c r="E4274" s="1" t="s">
        <v>27</v>
      </c>
      <c r="F4274" s="1" t="s">
        <v>29</v>
      </c>
      <c r="G4274" s="1" t="s">
        <v>20</v>
      </c>
      <c r="H4274" t="s">
        <v>34</v>
      </c>
      <c r="I4274" s="1" t="s">
        <v>26</v>
      </c>
      <c r="J4274" s="2">
        <v>43538.997060185182</v>
      </c>
      <c r="K4274" s="2">
        <v>43546.997060185182</v>
      </c>
      <c r="L4274" s="2">
        <v>43545.997060185182</v>
      </c>
      <c r="M4274" s="1">
        <f>_xlfn.DAYS(Table1[[#This Row],[actual_delivery_date]],Table1[[#This Row],[dispatch_date]])</f>
        <v>8</v>
      </c>
      <c r="N4274">
        <v>50</v>
      </c>
      <c r="O4274">
        <f>Table1[[#This Row],[transit_storage_cost]] * (1-'What -if Analysis'!$D$26)</f>
        <v>50</v>
      </c>
      <c r="P4274">
        <v>129</v>
      </c>
      <c r="Q4274">
        <v>3870.9022304072191</v>
      </c>
    </row>
    <row r="4275" spans="1:17" x14ac:dyDescent="0.3">
      <c r="A4275">
        <v>500006</v>
      </c>
      <c r="B4275" s="1" t="s">
        <v>41</v>
      </c>
      <c r="C4275" s="1" t="s">
        <v>16</v>
      </c>
      <c r="D4275" s="1" t="s">
        <v>17</v>
      </c>
      <c r="E4275" s="1" t="s">
        <v>18</v>
      </c>
      <c r="F4275" s="1" t="s">
        <v>31</v>
      </c>
      <c r="G4275" s="1" t="s">
        <v>20</v>
      </c>
      <c r="H4275" t="s">
        <v>21</v>
      </c>
      <c r="I4275" s="1" t="s">
        <v>22</v>
      </c>
      <c r="J4275" s="2">
        <v>43538.076539351852</v>
      </c>
      <c r="K4275" s="2">
        <v>43547.076539351852</v>
      </c>
      <c r="L4275" s="2">
        <v>43543.076539351852</v>
      </c>
      <c r="M4275" s="1">
        <f>_xlfn.DAYS(Table1[[#This Row],[actual_delivery_date]],Table1[[#This Row],[dispatch_date]])</f>
        <v>9</v>
      </c>
      <c r="N4275">
        <v>37</v>
      </c>
      <c r="O4275">
        <f>Table1[[#This Row],[transit_storage_cost]] * (1-'What -if Analysis'!$D$26)</f>
        <v>37</v>
      </c>
      <c r="P4275">
        <v>114</v>
      </c>
      <c r="Q4275">
        <v>886</v>
      </c>
    </row>
    <row r="4276" spans="1:17" x14ac:dyDescent="0.3">
      <c r="A4276">
        <v>544293</v>
      </c>
      <c r="B4276" s="1" t="s">
        <v>37</v>
      </c>
      <c r="C4276" s="1" t="s">
        <v>16</v>
      </c>
      <c r="D4276" s="1" t="s">
        <v>17</v>
      </c>
      <c r="E4276" s="1" t="s">
        <v>18</v>
      </c>
      <c r="F4276" s="1" t="s">
        <v>29</v>
      </c>
      <c r="G4276" s="1" t="s">
        <v>20</v>
      </c>
      <c r="H4276" t="s">
        <v>30</v>
      </c>
      <c r="I4276" s="1" t="s">
        <v>26</v>
      </c>
      <c r="J4276" s="2">
        <v>43538.117164351854</v>
      </c>
      <c r="K4276" s="2">
        <v>43547.117164351854</v>
      </c>
      <c r="L4276" s="2">
        <v>43543.117164351854</v>
      </c>
      <c r="M4276" s="1">
        <f>_xlfn.DAYS(Table1[[#This Row],[actual_delivery_date]],Table1[[#This Row],[dispatch_date]])</f>
        <v>9</v>
      </c>
      <c r="N4276">
        <v>47</v>
      </c>
      <c r="O4276">
        <f>Table1[[#This Row],[transit_storage_cost]] * (1-'What -if Analysis'!$D$26)</f>
        <v>47</v>
      </c>
      <c r="P4276">
        <v>109</v>
      </c>
      <c r="Q4276">
        <v>2073</v>
      </c>
    </row>
    <row r="4277" spans="1:17" x14ac:dyDescent="0.3">
      <c r="A4277">
        <v>259875</v>
      </c>
      <c r="B4277" s="1" t="s">
        <v>37</v>
      </c>
      <c r="C4277" s="1" t="s">
        <v>16</v>
      </c>
      <c r="D4277" s="1" t="s">
        <v>23</v>
      </c>
      <c r="E4277" s="1" t="s">
        <v>28</v>
      </c>
      <c r="F4277" s="1" t="s">
        <v>29</v>
      </c>
      <c r="G4277" s="1" t="s">
        <v>20</v>
      </c>
      <c r="H4277" t="s">
        <v>34</v>
      </c>
      <c r="I4277" s="1" t="s">
        <v>26</v>
      </c>
      <c r="J4277" s="2">
        <v>43537.154699074075</v>
      </c>
      <c r="K4277" s="2">
        <v>43547.154699074075</v>
      </c>
      <c r="L4277" s="2">
        <v>43540.154699074075</v>
      </c>
      <c r="M4277" s="1">
        <f>_xlfn.DAYS(Table1[[#This Row],[actual_delivery_date]],Table1[[#This Row],[dispatch_date]])</f>
        <v>10</v>
      </c>
      <c r="N4277">
        <v>46</v>
      </c>
      <c r="O4277">
        <f>Table1[[#This Row],[transit_storage_cost]] * (1-'What -if Analysis'!$D$26)</f>
        <v>46</v>
      </c>
      <c r="P4277">
        <v>124</v>
      </c>
      <c r="Q4277">
        <v>2547</v>
      </c>
    </row>
    <row r="4278" spans="1:17" x14ac:dyDescent="0.3">
      <c r="A4278">
        <v>706660</v>
      </c>
      <c r="B4278" s="1" t="s">
        <v>37</v>
      </c>
      <c r="C4278" s="1" t="s">
        <v>16</v>
      </c>
      <c r="D4278" s="1" t="s">
        <v>32</v>
      </c>
      <c r="E4278" s="1" t="s">
        <v>33</v>
      </c>
      <c r="F4278" s="1" t="s">
        <v>19</v>
      </c>
      <c r="G4278" s="1" t="s">
        <v>20</v>
      </c>
      <c r="H4278" t="s">
        <v>21</v>
      </c>
      <c r="I4278" s="1" t="s">
        <v>22</v>
      </c>
      <c r="J4278" s="2">
        <v>43538.155092592591</v>
      </c>
      <c r="K4278" s="2">
        <v>43547.155092592591</v>
      </c>
      <c r="L4278" s="2">
        <v>43542.155092592591</v>
      </c>
      <c r="M4278" s="1">
        <f>_xlfn.DAYS(Table1[[#This Row],[actual_delivery_date]],Table1[[#This Row],[dispatch_date]])</f>
        <v>9</v>
      </c>
      <c r="N4278">
        <v>35</v>
      </c>
      <c r="O4278">
        <f>Table1[[#This Row],[transit_storage_cost]] * (1-'What -if Analysis'!$D$26)</f>
        <v>35</v>
      </c>
      <c r="P4278">
        <v>110</v>
      </c>
      <c r="Q4278">
        <v>1492.0448092387339</v>
      </c>
    </row>
    <row r="4279" spans="1:17" x14ac:dyDescent="0.3">
      <c r="A4279">
        <v>901283</v>
      </c>
      <c r="B4279" s="1" t="s">
        <v>38</v>
      </c>
      <c r="C4279" s="1" t="s">
        <v>23</v>
      </c>
      <c r="D4279" s="1" t="s">
        <v>16</v>
      </c>
      <c r="E4279" s="1" t="s">
        <v>27</v>
      </c>
      <c r="F4279" s="1" t="s">
        <v>29</v>
      </c>
      <c r="G4279" s="1" t="s">
        <v>20</v>
      </c>
      <c r="H4279" t="s">
        <v>30</v>
      </c>
      <c r="I4279" s="1" t="s">
        <v>22</v>
      </c>
      <c r="J4279" s="2">
        <v>43538.397037037037</v>
      </c>
      <c r="K4279" s="2">
        <v>43547.397037037037</v>
      </c>
      <c r="L4279" s="2">
        <v>43544.397037037037</v>
      </c>
      <c r="M4279" s="1">
        <f>_xlfn.DAYS(Table1[[#This Row],[actual_delivery_date]],Table1[[#This Row],[dispatch_date]])</f>
        <v>9</v>
      </c>
      <c r="N4279">
        <v>39</v>
      </c>
      <c r="O4279">
        <f>Table1[[#This Row],[transit_storage_cost]] * (1-'What -if Analysis'!$D$26)</f>
        <v>39</v>
      </c>
      <c r="P4279">
        <v>123</v>
      </c>
      <c r="Q4279">
        <v>1416.3673826097956</v>
      </c>
    </row>
    <row r="4280" spans="1:17" x14ac:dyDescent="0.3">
      <c r="A4280">
        <v>26051</v>
      </c>
      <c r="B4280" s="1" t="s">
        <v>37</v>
      </c>
      <c r="C4280" s="1" t="s">
        <v>23</v>
      </c>
      <c r="D4280" s="1" t="s">
        <v>17</v>
      </c>
      <c r="E4280" s="1" t="s">
        <v>18</v>
      </c>
      <c r="F4280" s="1" t="s">
        <v>29</v>
      </c>
      <c r="G4280" s="1" t="s">
        <v>20</v>
      </c>
      <c r="H4280" t="s">
        <v>30</v>
      </c>
      <c r="I4280" s="1" t="s">
        <v>22</v>
      </c>
      <c r="J4280" s="2">
        <v>43538.415833333333</v>
      </c>
      <c r="K4280" s="2">
        <v>43547.415833333333</v>
      </c>
      <c r="L4280" s="2">
        <v>43542.415833333333</v>
      </c>
      <c r="M4280" s="1">
        <f>_xlfn.DAYS(Table1[[#This Row],[actual_delivery_date]],Table1[[#This Row],[dispatch_date]])</f>
        <v>9</v>
      </c>
      <c r="N4280">
        <v>33</v>
      </c>
      <c r="O4280">
        <f>Table1[[#This Row],[transit_storage_cost]] * (1-'What -if Analysis'!$D$26)</f>
        <v>33</v>
      </c>
      <c r="P4280">
        <v>112</v>
      </c>
      <c r="Q4280">
        <v>1370.009544975215</v>
      </c>
    </row>
    <row r="4281" spans="1:17" x14ac:dyDescent="0.3">
      <c r="A4281">
        <v>304735</v>
      </c>
      <c r="B4281" s="1" t="s">
        <v>40</v>
      </c>
      <c r="C4281" s="1" t="s">
        <v>23</v>
      </c>
      <c r="D4281" s="1" t="s">
        <v>16</v>
      </c>
      <c r="E4281" s="1" t="s">
        <v>27</v>
      </c>
      <c r="F4281" s="1" t="s">
        <v>29</v>
      </c>
      <c r="G4281" s="1" t="s">
        <v>20</v>
      </c>
      <c r="H4281" t="s">
        <v>30</v>
      </c>
      <c r="I4281" s="1" t="s">
        <v>22</v>
      </c>
      <c r="J4281" s="2">
        <v>43538.503101851849</v>
      </c>
      <c r="K4281" s="2">
        <v>43547.503101851849</v>
      </c>
      <c r="L4281" s="2">
        <v>43544.503101851849</v>
      </c>
      <c r="M4281" s="1">
        <f>_xlfn.DAYS(Table1[[#This Row],[actual_delivery_date]],Table1[[#This Row],[dispatch_date]])</f>
        <v>9</v>
      </c>
      <c r="N4281">
        <v>37</v>
      </c>
      <c r="O4281">
        <f>Table1[[#This Row],[transit_storage_cost]] * (1-'What -if Analysis'!$D$26)</f>
        <v>37</v>
      </c>
      <c r="P4281">
        <v>121</v>
      </c>
      <c r="Q4281">
        <v>806</v>
      </c>
    </row>
    <row r="4282" spans="1:17" x14ac:dyDescent="0.3">
      <c r="A4282">
        <v>842378</v>
      </c>
      <c r="B4282" s="1" t="s">
        <v>39</v>
      </c>
      <c r="C4282" s="1" t="s">
        <v>16</v>
      </c>
      <c r="D4282" s="1" t="s">
        <v>23</v>
      </c>
      <c r="E4282" s="1" t="s">
        <v>28</v>
      </c>
      <c r="F4282" s="1" t="s">
        <v>31</v>
      </c>
      <c r="G4282" s="1" t="s">
        <v>20</v>
      </c>
      <c r="H4282" t="s">
        <v>21</v>
      </c>
      <c r="I4282" s="1" t="s">
        <v>22</v>
      </c>
      <c r="J4282" s="2">
        <v>43538.636203703703</v>
      </c>
      <c r="K4282" s="2">
        <v>43547.636203703703</v>
      </c>
      <c r="L4282" s="2">
        <v>43544.636203703703</v>
      </c>
      <c r="M4282" s="1">
        <f>_xlfn.DAYS(Table1[[#This Row],[actual_delivery_date]],Table1[[#This Row],[dispatch_date]])</f>
        <v>9</v>
      </c>
      <c r="N4282">
        <v>32</v>
      </c>
      <c r="O4282">
        <f>Table1[[#This Row],[transit_storage_cost]] * (1-'What -if Analysis'!$D$26)</f>
        <v>32</v>
      </c>
      <c r="P4282">
        <v>124</v>
      </c>
      <c r="Q4282">
        <v>1503</v>
      </c>
    </row>
    <row r="4283" spans="1:17" x14ac:dyDescent="0.3">
      <c r="A4283">
        <v>585333</v>
      </c>
      <c r="B4283" s="1" t="s">
        <v>37</v>
      </c>
      <c r="C4283" s="1" t="s">
        <v>16</v>
      </c>
      <c r="D4283" s="1" t="s">
        <v>23</v>
      </c>
      <c r="E4283" s="1" t="s">
        <v>28</v>
      </c>
      <c r="F4283" s="1" t="s">
        <v>29</v>
      </c>
      <c r="G4283" s="1" t="s">
        <v>20</v>
      </c>
      <c r="H4283" t="s">
        <v>34</v>
      </c>
      <c r="I4283" s="1" t="s">
        <v>26</v>
      </c>
      <c r="J4283" s="2">
        <v>43538.674108796295</v>
      </c>
      <c r="K4283" s="2">
        <v>43547.674108796295</v>
      </c>
      <c r="L4283" s="2">
        <v>43541.674108796295</v>
      </c>
      <c r="M4283" s="1">
        <f>_xlfn.DAYS(Table1[[#This Row],[actual_delivery_date]],Table1[[#This Row],[dispatch_date]])</f>
        <v>9</v>
      </c>
      <c r="N4283">
        <v>47</v>
      </c>
      <c r="O4283">
        <f>Table1[[#This Row],[transit_storage_cost]] * (1-'What -if Analysis'!$D$26)</f>
        <v>47</v>
      </c>
      <c r="P4283">
        <v>129</v>
      </c>
      <c r="Q4283">
        <v>1697</v>
      </c>
    </row>
    <row r="4284" spans="1:17" x14ac:dyDescent="0.3">
      <c r="A4284">
        <v>112038</v>
      </c>
      <c r="B4284" s="1" t="s">
        <v>37</v>
      </c>
      <c r="C4284" s="1" t="s">
        <v>23</v>
      </c>
      <c r="D4284" s="1" t="s">
        <v>16</v>
      </c>
      <c r="E4284" s="1" t="s">
        <v>27</v>
      </c>
      <c r="F4284" s="1" t="s">
        <v>31</v>
      </c>
      <c r="G4284" s="1" t="s">
        <v>20</v>
      </c>
      <c r="H4284" t="s">
        <v>21</v>
      </c>
      <c r="I4284" s="1" t="s">
        <v>26</v>
      </c>
      <c r="J4284" s="2">
        <v>43538.714375000003</v>
      </c>
      <c r="K4284" s="2">
        <v>43547.714375000003</v>
      </c>
      <c r="L4284" s="2">
        <v>43541.714375000003</v>
      </c>
      <c r="M4284" s="1">
        <f>_xlfn.DAYS(Table1[[#This Row],[actual_delivery_date]],Table1[[#This Row],[dispatch_date]])</f>
        <v>9</v>
      </c>
      <c r="N4284">
        <v>40</v>
      </c>
      <c r="O4284">
        <f>Table1[[#This Row],[transit_storage_cost]] * (1-'What -if Analysis'!$D$26)</f>
        <v>40</v>
      </c>
      <c r="P4284">
        <v>130</v>
      </c>
      <c r="Q4284">
        <v>3120</v>
      </c>
    </row>
    <row r="4285" spans="1:17" x14ac:dyDescent="0.3">
      <c r="A4285">
        <v>994059</v>
      </c>
      <c r="B4285" s="1" t="s">
        <v>38</v>
      </c>
      <c r="C4285" s="1" t="s">
        <v>16</v>
      </c>
      <c r="D4285" s="1" t="s">
        <v>23</v>
      </c>
      <c r="E4285" s="1" t="s">
        <v>28</v>
      </c>
      <c r="F4285" s="1" t="s">
        <v>29</v>
      </c>
      <c r="G4285" s="1" t="s">
        <v>20</v>
      </c>
      <c r="H4285" t="s">
        <v>30</v>
      </c>
      <c r="I4285" s="1" t="s">
        <v>26</v>
      </c>
      <c r="J4285" s="2">
        <v>43538.796793981484</v>
      </c>
      <c r="K4285" s="2">
        <v>43547.796793981484</v>
      </c>
      <c r="L4285" s="2">
        <v>43545.796793981484</v>
      </c>
      <c r="M4285" s="1">
        <f>_xlfn.DAYS(Table1[[#This Row],[actual_delivery_date]],Table1[[#This Row],[dispatch_date]])</f>
        <v>9</v>
      </c>
      <c r="N4285">
        <v>43</v>
      </c>
      <c r="O4285">
        <f>Table1[[#This Row],[transit_storage_cost]] * (1-'What -if Analysis'!$D$26)</f>
        <v>43</v>
      </c>
      <c r="P4285">
        <v>129</v>
      </c>
      <c r="Q4285">
        <v>3348.2620711443551</v>
      </c>
    </row>
    <row r="4286" spans="1:17" x14ac:dyDescent="0.3">
      <c r="A4286">
        <v>553751</v>
      </c>
      <c r="B4286" s="1" t="s">
        <v>37</v>
      </c>
      <c r="C4286" s="1" t="s">
        <v>23</v>
      </c>
      <c r="D4286" s="1" t="s">
        <v>17</v>
      </c>
      <c r="E4286" s="1" t="s">
        <v>18</v>
      </c>
      <c r="F4286" s="1" t="s">
        <v>29</v>
      </c>
      <c r="G4286" s="1" t="s">
        <v>20</v>
      </c>
      <c r="H4286" t="s">
        <v>30</v>
      </c>
      <c r="I4286" s="1" t="s">
        <v>22</v>
      </c>
      <c r="J4286" s="2">
        <v>43538.831250000003</v>
      </c>
      <c r="K4286" s="2">
        <v>43547.831250000003</v>
      </c>
      <c r="L4286" s="2">
        <v>43542.831250000003</v>
      </c>
      <c r="M4286" s="1">
        <f>_xlfn.DAYS(Table1[[#This Row],[actual_delivery_date]],Table1[[#This Row],[dispatch_date]])</f>
        <v>9</v>
      </c>
      <c r="N4286">
        <v>37</v>
      </c>
      <c r="O4286">
        <f>Table1[[#This Row],[transit_storage_cost]] * (1-'What -if Analysis'!$D$26)</f>
        <v>37</v>
      </c>
      <c r="P4286">
        <v>113</v>
      </c>
      <c r="Q4286">
        <v>1255</v>
      </c>
    </row>
    <row r="4287" spans="1:17" x14ac:dyDescent="0.3">
      <c r="A4287">
        <v>875700</v>
      </c>
      <c r="B4287" s="1" t="s">
        <v>37</v>
      </c>
      <c r="C4287" s="1" t="s">
        <v>23</v>
      </c>
      <c r="D4287" s="1" t="s">
        <v>32</v>
      </c>
      <c r="E4287" s="1" t="s">
        <v>33</v>
      </c>
      <c r="F4287" s="1" t="s">
        <v>19</v>
      </c>
      <c r="G4287" s="1" t="s">
        <v>20</v>
      </c>
      <c r="H4287" t="s">
        <v>21</v>
      </c>
      <c r="I4287" s="1" t="s">
        <v>26</v>
      </c>
      <c r="J4287" s="2">
        <v>43538.868078703701</v>
      </c>
      <c r="K4287" s="2">
        <v>43547.868078703701</v>
      </c>
      <c r="L4287" s="2">
        <v>43545.868078703701</v>
      </c>
      <c r="M4287" s="1">
        <f>_xlfn.DAYS(Table1[[#This Row],[actual_delivery_date]],Table1[[#This Row],[dispatch_date]])</f>
        <v>9</v>
      </c>
      <c r="N4287">
        <v>27</v>
      </c>
      <c r="O4287">
        <f>Table1[[#This Row],[transit_storage_cost]] * (1-'What -if Analysis'!$D$26)</f>
        <v>27</v>
      </c>
      <c r="P4287">
        <v>113</v>
      </c>
      <c r="Q4287">
        <v>511.53216369815561</v>
      </c>
    </row>
    <row r="4288" spans="1:17" x14ac:dyDescent="0.3">
      <c r="A4288">
        <v>633425</v>
      </c>
      <c r="B4288" s="1" t="s">
        <v>38</v>
      </c>
      <c r="C4288" s="1" t="s">
        <v>16</v>
      </c>
      <c r="D4288" s="1" t="s">
        <v>17</v>
      </c>
      <c r="E4288" s="1" t="s">
        <v>18</v>
      </c>
      <c r="F4288" s="1" t="s">
        <v>29</v>
      </c>
      <c r="G4288" s="1" t="s">
        <v>20</v>
      </c>
      <c r="H4288" t="s">
        <v>30</v>
      </c>
      <c r="I4288" s="1" t="s">
        <v>22</v>
      </c>
      <c r="J4288" s="2">
        <v>43538.912962962961</v>
      </c>
      <c r="K4288" s="2">
        <v>43547.912962962961</v>
      </c>
      <c r="L4288" s="2">
        <v>43542.912962962961</v>
      </c>
      <c r="M4288" s="1">
        <f>_xlfn.DAYS(Table1[[#This Row],[actual_delivery_date]],Table1[[#This Row],[dispatch_date]])</f>
        <v>9</v>
      </c>
      <c r="N4288">
        <v>49</v>
      </c>
      <c r="O4288">
        <f>Table1[[#This Row],[transit_storage_cost]] * (1-'What -if Analysis'!$D$26)</f>
        <v>49</v>
      </c>
      <c r="P4288">
        <v>107</v>
      </c>
      <c r="Q4288">
        <v>1927.2982692490368</v>
      </c>
    </row>
    <row r="4289" spans="1:17" x14ac:dyDescent="0.3">
      <c r="A4289">
        <v>686806</v>
      </c>
      <c r="B4289" s="1" t="s">
        <v>39</v>
      </c>
      <c r="C4289" s="1" t="s">
        <v>16</v>
      </c>
      <c r="D4289" s="1" t="s">
        <v>17</v>
      </c>
      <c r="E4289" s="1" t="s">
        <v>18</v>
      </c>
      <c r="F4289" s="1" t="s">
        <v>31</v>
      </c>
      <c r="G4289" s="1" t="s">
        <v>20</v>
      </c>
      <c r="H4289" t="s">
        <v>21</v>
      </c>
      <c r="I4289" s="1" t="s">
        <v>22</v>
      </c>
      <c r="J4289" s="2">
        <v>43538.964814814812</v>
      </c>
      <c r="K4289" s="2">
        <v>43547.964814814812</v>
      </c>
      <c r="L4289" s="2">
        <v>43542.964814814812</v>
      </c>
      <c r="M4289" s="1">
        <f>_xlfn.DAYS(Table1[[#This Row],[actual_delivery_date]],Table1[[#This Row],[dispatch_date]])</f>
        <v>9</v>
      </c>
      <c r="N4289">
        <v>42</v>
      </c>
      <c r="O4289">
        <f>Table1[[#This Row],[transit_storage_cost]] * (1-'What -if Analysis'!$D$26)</f>
        <v>42</v>
      </c>
      <c r="P4289">
        <v>108</v>
      </c>
      <c r="Q4289">
        <v>2672</v>
      </c>
    </row>
    <row r="4290" spans="1:17" x14ac:dyDescent="0.3">
      <c r="A4290">
        <v>678242</v>
      </c>
      <c r="B4290" s="1" t="s">
        <v>39</v>
      </c>
      <c r="C4290" s="1" t="s">
        <v>16</v>
      </c>
      <c r="D4290" s="1" t="s">
        <v>23</v>
      </c>
      <c r="E4290" s="1" t="s">
        <v>28</v>
      </c>
      <c r="F4290" s="1" t="s">
        <v>31</v>
      </c>
      <c r="G4290" s="1" t="s">
        <v>20</v>
      </c>
      <c r="H4290" t="s">
        <v>21</v>
      </c>
      <c r="I4290" s="1" t="s">
        <v>22</v>
      </c>
      <c r="J4290" s="2">
        <v>43537.974039351851</v>
      </c>
      <c r="K4290" s="2">
        <v>43547.974039351851</v>
      </c>
      <c r="L4290" s="2">
        <v>43543.974039351851</v>
      </c>
      <c r="M4290" s="1">
        <f>_xlfn.DAYS(Table1[[#This Row],[actual_delivery_date]],Table1[[#This Row],[dispatch_date]])</f>
        <v>10</v>
      </c>
      <c r="N4290">
        <v>40</v>
      </c>
      <c r="O4290">
        <f>Table1[[#This Row],[transit_storage_cost]] * (1-'What -if Analysis'!$D$26)</f>
        <v>40</v>
      </c>
      <c r="P4290">
        <v>124</v>
      </c>
      <c r="Q4290">
        <v>2784.3637903384292</v>
      </c>
    </row>
    <row r="4291" spans="1:17" x14ac:dyDescent="0.3">
      <c r="A4291">
        <v>354008</v>
      </c>
      <c r="B4291" s="1" t="s">
        <v>38</v>
      </c>
      <c r="C4291" s="1" t="s">
        <v>16</v>
      </c>
      <c r="D4291" s="1" t="s">
        <v>24</v>
      </c>
      <c r="E4291" s="1" t="s">
        <v>25</v>
      </c>
      <c r="F4291" s="1" t="s">
        <v>19</v>
      </c>
      <c r="G4291" s="1" t="s">
        <v>20</v>
      </c>
      <c r="H4291" t="s">
        <v>21</v>
      </c>
      <c r="I4291" s="1" t="s">
        <v>22</v>
      </c>
      <c r="J4291" s="2">
        <v>43538.002118055556</v>
      </c>
      <c r="K4291" s="2">
        <v>43548.002118055556</v>
      </c>
      <c r="L4291" s="2">
        <v>43545.002118055556</v>
      </c>
      <c r="M4291" s="1">
        <f>_xlfn.DAYS(Table1[[#This Row],[actual_delivery_date]],Table1[[#This Row],[dispatch_date]])</f>
        <v>10</v>
      </c>
      <c r="N4291">
        <v>76</v>
      </c>
      <c r="O4291">
        <f>Table1[[#This Row],[transit_storage_cost]] * (1-'What -if Analysis'!$D$26)</f>
        <v>76</v>
      </c>
      <c r="P4291">
        <v>101</v>
      </c>
      <c r="Q4291">
        <v>750</v>
      </c>
    </row>
    <row r="4292" spans="1:17" x14ac:dyDescent="0.3">
      <c r="A4292">
        <v>292668</v>
      </c>
      <c r="B4292" s="1" t="s">
        <v>15</v>
      </c>
      <c r="C4292" s="1" t="s">
        <v>23</v>
      </c>
      <c r="D4292" s="1" t="s">
        <v>24</v>
      </c>
      <c r="E4292" s="1" t="s">
        <v>25</v>
      </c>
      <c r="F4292" s="1" t="s">
        <v>19</v>
      </c>
      <c r="G4292" s="1" t="s">
        <v>20</v>
      </c>
      <c r="H4292" t="s">
        <v>21</v>
      </c>
      <c r="I4292" s="1" t="s">
        <v>26</v>
      </c>
      <c r="J4292" s="2">
        <v>43538.129062499997</v>
      </c>
      <c r="K4292" s="2">
        <v>43548.129062499997</v>
      </c>
      <c r="L4292" s="2">
        <v>43544.129062499997</v>
      </c>
      <c r="M4292" s="1">
        <f>_xlfn.DAYS(Table1[[#This Row],[actual_delivery_date]],Table1[[#This Row],[dispatch_date]])</f>
        <v>10</v>
      </c>
      <c r="N4292">
        <v>31</v>
      </c>
      <c r="O4292">
        <f>Table1[[#This Row],[transit_storage_cost]] * (1-'What -if Analysis'!$D$26)</f>
        <v>31</v>
      </c>
      <c r="P4292">
        <v>120</v>
      </c>
      <c r="Q4292">
        <v>2788.9113494669537</v>
      </c>
    </row>
    <row r="4293" spans="1:17" x14ac:dyDescent="0.3">
      <c r="A4293">
        <v>935116</v>
      </c>
      <c r="B4293" s="1" t="s">
        <v>38</v>
      </c>
      <c r="C4293" s="1" t="s">
        <v>23</v>
      </c>
      <c r="D4293" s="1" t="s">
        <v>24</v>
      </c>
      <c r="E4293" s="1" t="s">
        <v>25</v>
      </c>
      <c r="F4293" s="1" t="s">
        <v>19</v>
      </c>
      <c r="G4293" s="1" t="s">
        <v>20</v>
      </c>
      <c r="H4293" t="s">
        <v>21</v>
      </c>
      <c r="I4293" s="1" t="s">
        <v>22</v>
      </c>
      <c r="J4293" s="2">
        <v>43538.215648148151</v>
      </c>
      <c r="K4293" s="2">
        <v>43548.215648148151</v>
      </c>
      <c r="L4293" s="2">
        <v>43543.215648148151</v>
      </c>
      <c r="M4293" s="1">
        <f>_xlfn.DAYS(Table1[[#This Row],[actual_delivery_date]],Table1[[#This Row],[dispatch_date]])</f>
        <v>10</v>
      </c>
      <c r="N4293">
        <v>40</v>
      </c>
      <c r="O4293">
        <f>Table1[[#This Row],[transit_storage_cost]] * (1-'What -if Analysis'!$D$26)</f>
        <v>40</v>
      </c>
      <c r="P4293">
        <v>129</v>
      </c>
      <c r="Q4293">
        <v>2949.668105658694</v>
      </c>
    </row>
    <row r="4294" spans="1:17" x14ac:dyDescent="0.3">
      <c r="A4294">
        <v>501537</v>
      </c>
      <c r="B4294" s="1" t="s">
        <v>39</v>
      </c>
      <c r="C4294" s="1" t="s">
        <v>16</v>
      </c>
      <c r="D4294" s="1" t="s">
        <v>24</v>
      </c>
      <c r="E4294" s="1" t="s">
        <v>25</v>
      </c>
      <c r="F4294" s="1" t="s">
        <v>19</v>
      </c>
      <c r="G4294" s="1" t="s">
        <v>20</v>
      </c>
      <c r="H4294" t="s">
        <v>30</v>
      </c>
      <c r="I4294" s="1" t="s">
        <v>26</v>
      </c>
      <c r="J4294" s="2">
        <v>43538.318148148152</v>
      </c>
      <c r="K4294" s="2">
        <v>43548.318148148152</v>
      </c>
      <c r="L4294" s="2">
        <v>43541.318148148152</v>
      </c>
      <c r="M4294" s="1">
        <f>_xlfn.DAYS(Table1[[#This Row],[actual_delivery_date]],Table1[[#This Row],[dispatch_date]])</f>
        <v>10</v>
      </c>
      <c r="N4294">
        <v>79</v>
      </c>
      <c r="O4294">
        <f>Table1[[#This Row],[transit_storage_cost]] * (1-'What -if Analysis'!$D$26)</f>
        <v>79</v>
      </c>
      <c r="P4294">
        <v>103</v>
      </c>
      <c r="Q4294">
        <v>3328</v>
      </c>
    </row>
    <row r="4295" spans="1:17" x14ac:dyDescent="0.3">
      <c r="A4295">
        <v>435432</v>
      </c>
      <c r="B4295" s="1" t="s">
        <v>15</v>
      </c>
      <c r="C4295" s="1" t="s">
        <v>16</v>
      </c>
      <c r="D4295" s="1" t="s">
        <v>24</v>
      </c>
      <c r="E4295" s="1" t="s">
        <v>25</v>
      </c>
      <c r="F4295" s="1" t="s">
        <v>19</v>
      </c>
      <c r="G4295" s="1" t="s">
        <v>20</v>
      </c>
      <c r="H4295" t="s">
        <v>21</v>
      </c>
      <c r="I4295" s="1" t="s">
        <v>26</v>
      </c>
      <c r="J4295" s="2">
        <v>43537.45616898148</v>
      </c>
      <c r="K4295" s="2">
        <v>43548.45616898148</v>
      </c>
      <c r="L4295" s="2">
        <v>43540.45616898148</v>
      </c>
      <c r="M4295" s="1">
        <f>_xlfn.DAYS(Table1[[#This Row],[actual_delivery_date]],Table1[[#This Row],[dispatch_date]])</f>
        <v>11</v>
      </c>
      <c r="N4295">
        <v>28</v>
      </c>
      <c r="O4295">
        <f>Table1[[#This Row],[transit_storage_cost]] * (1-'What -if Analysis'!$D$26)</f>
        <v>28</v>
      </c>
      <c r="P4295">
        <v>130</v>
      </c>
      <c r="Q4295">
        <v>3039</v>
      </c>
    </row>
    <row r="4296" spans="1:17" x14ac:dyDescent="0.3">
      <c r="A4296">
        <v>196877</v>
      </c>
      <c r="B4296" s="1" t="s">
        <v>40</v>
      </c>
      <c r="C4296" s="1" t="s">
        <v>16</v>
      </c>
      <c r="D4296" s="1" t="s">
        <v>24</v>
      </c>
      <c r="E4296" s="1" t="s">
        <v>25</v>
      </c>
      <c r="F4296" s="1" t="s">
        <v>19</v>
      </c>
      <c r="G4296" s="1" t="s">
        <v>20</v>
      </c>
      <c r="H4296" t="s">
        <v>30</v>
      </c>
      <c r="I4296" s="1" t="s">
        <v>22</v>
      </c>
      <c r="J4296" s="2">
        <v>43537.730104166665</v>
      </c>
      <c r="K4296" s="2">
        <v>43548.730104166665</v>
      </c>
      <c r="L4296" s="2">
        <v>43543.730104166665</v>
      </c>
      <c r="M4296" s="1">
        <f>_xlfn.DAYS(Table1[[#This Row],[actual_delivery_date]],Table1[[#This Row],[dispatch_date]])</f>
        <v>11</v>
      </c>
      <c r="N4296">
        <v>67</v>
      </c>
      <c r="O4296">
        <f>Table1[[#This Row],[transit_storage_cost]] * (1-'What -if Analysis'!$D$26)</f>
        <v>67</v>
      </c>
      <c r="P4296">
        <v>109</v>
      </c>
      <c r="Q4296">
        <v>1822.9655545273372</v>
      </c>
    </row>
    <row r="4297" spans="1:17" x14ac:dyDescent="0.3">
      <c r="A4297">
        <v>904073</v>
      </c>
      <c r="B4297" s="1" t="s">
        <v>37</v>
      </c>
      <c r="C4297" s="1" t="s">
        <v>16</v>
      </c>
      <c r="D4297" s="1" t="s">
        <v>23</v>
      </c>
      <c r="E4297" s="1" t="s">
        <v>28</v>
      </c>
      <c r="F4297" s="1" t="s">
        <v>29</v>
      </c>
      <c r="G4297" s="1" t="s">
        <v>20</v>
      </c>
      <c r="H4297" t="s">
        <v>30</v>
      </c>
      <c r="I4297" s="1" t="s">
        <v>22</v>
      </c>
      <c r="J4297" s="2">
        <v>43538.885694444441</v>
      </c>
      <c r="K4297" s="2">
        <v>43548.885694444441</v>
      </c>
      <c r="L4297" s="2">
        <v>43544.885694444441</v>
      </c>
      <c r="M4297" s="1">
        <f>_xlfn.DAYS(Table1[[#This Row],[actual_delivery_date]],Table1[[#This Row],[dispatch_date]])</f>
        <v>10</v>
      </c>
      <c r="N4297">
        <v>31</v>
      </c>
      <c r="O4297">
        <f>Table1[[#This Row],[transit_storage_cost]] * (1-'What -if Analysis'!$D$26)</f>
        <v>31</v>
      </c>
      <c r="P4297">
        <v>120</v>
      </c>
      <c r="Q4297">
        <v>3155.8027159462645</v>
      </c>
    </row>
    <row r="4298" spans="1:17" x14ac:dyDescent="0.3">
      <c r="A4298">
        <v>449427</v>
      </c>
      <c r="B4298" s="1" t="s">
        <v>40</v>
      </c>
      <c r="C4298" s="1" t="s">
        <v>16</v>
      </c>
      <c r="D4298" s="1" t="s">
        <v>24</v>
      </c>
      <c r="E4298" s="1" t="s">
        <v>25</v>
      </c>
      <c r="F4298" s="1" t="s">
        <v>19</v>
      </c>
      <c r="G4298" s="1" t="s">
        <v>20</v>
      </c>
      <c r="H4298" t="s">
        <v>30</v>
      </c>
      <c r="I4298" s="1" t="s">
        <v>26</v>
      </c>
      <c r="J4298" s="2">
        <v>43538.333807870367</v>
      </c>
      <c r="K4298" s="2">
        <v>43549.333807870367</v>
      </c>
      <c r="L4298" s="2">
        <v>43544.333807870367</v>
      </c>
      <c r="M4298" s="1">
        <f>_xlfn.DAYS(Table1[[#This Row],[actual_delivery_date]],Table1[[#This Row],[dispatch_date]])</f>
        <v>11</v>
      </c>
      <c r="N4298">
        <v>73</v>
      </c>
      <c r="O4298">
        <f>Table1[[#This Row],[transit_storage_cost]] * (1-'What -if Analysis'!$D$26)</f>
        <v>73</v>
      </c>
      <c r="P4298">
        <v>104</v>
      </c>
      <c r="Q4298">
        <v>803.27731275889857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9B9D-1654-461F-B74A-D394641301C1}">
  <dimension ref="A1"/>
  <sheetViews>
    <sheetView topLeftCell="A7" zoomScaleNormal="100" workbookViewId="0">
      <selection activeCell="H8" sqref="H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EBFF-CAD9-47FC-BF43-16BABD1C51D1}">
  <dimension ref="D10:H18"/>
  <sheetViews>
    <sheetView topLeftCell="A4" workbookViewId="0">
      <selection activeCell="G23" sqref="G23"/>
    </sheetView>
  </sheetViews>
  <sheetFormatPr defaultRowHeight="14.4" x14ac:dyDescent="0.3"/>
  <cols>
    <col min="4" max="4" width="9.6640625" bestFit="1" customWidth="1"/>
    <col min="5" max="6" width="18.21875" bestFit="1" customWidth="1"/>
    <col min="7" max="7" width="12.6640625" bestFit="1" customWidth="1"/>
    <col min="8" max="8" width="13.6640625" bestFit="1" customWidth="1"/>
  </cols>
  <sheetData>
    <row r="10" spans="4:8" x14ac:dyDescent="0.3">
      <c r="D10" s="4" t="s">
        <v>42</v>
      </c>
      <c r="E10" s="4" t="s">
        <v>51</v>
      </c>
      <c r="F10" s="4" t="s">
        <v>12</v>
      </c>
      <c r="G10" s="4" t="s">
        <v>13</v>
      </c>
      <c r="H10" s="4" t="s">
        <v>14</v>
      </c>
    </row>
    <row r="11" spans="4:8" x14ac:dyDescent="0.3">
      <c r="D11" s="4" t="s">
        <v>43</v>
      </c>
      <c r="E11" s="3">
        <f>MEDIAN(Table1[Delivery Days])</f>
        <v>4</v>
      </c>
      <c r="F11" s="3">
        <f>MEDIAN(Table1[transit_storage_cost])</f>
        <v>37</v>
      </c>
      <c r="G11" s="3">
        <f>MEDIAN(Table1[shipping_cost])</f>
        <v>112</v>
      </c>
      <c r="H11" s="3">
        <f>MEDIAN(Table1[Session_length])</f>
        <v>1988.4188450850736</v>
      </c>
    </row>
    <row r="12" spans="4:8" x14ac:dyDescent="0.3">
      <c r="D12" s="4" t="s">
        <v>44</v>
      </c>
      <c r="E12" s="3">
        <f>AVERAGE(Table1[Delivery Days])</f>
        <v>4.5701652315569001</v>
      </c>
      <c r="F12" s="3">
        <f>AVERAGE(Table1[transit_storage_cost])</f>
        <v>87.286711659297183</v>
      </c>
      <c r="G12" s="3">
        <f>AVERAGE(Table1[shipping_cost])</f>
        <v>113.29788224342565</v>
      </c>
      <c r="H12" s="3">
        <f>AVERAGE(Table1[Session_length])</f>
        <v>1990.0856091567043</v>
      </c>
    </row>
    <row r="13" spans="4:8" x14ac:dyDescent="0.3">
      <c r="D13" s="4" t="s">
        <v>45</v>
      </c>
      <c r="E13" s="3">
        <f>MIN(Table1[Delivery Days])</f>
        <v>0</v>
      </c>
      <c r="F13" s="3">
        <f>MIN(Table1[transit_storage_cost])</f>
        <v>0</v>
      </c>
      <c r="G13" s="3">
        <f>MIN(Table1[shipping_cost])</f>
        <v>85</v>
      </c>
      <c r="H13" s="3">
        <f>MIN(Table1[Session_length])</f>
        <v>-1</v>
      </c>
    </row>
    <row r="14" spans="4:8" x14ac:dyDescent="0.3">
      <c r="D14" s="4" t="s">
        <v>46</v>
      </c>
      <c r="E14" s="3">
        <f>MAX(Table1[Delivery Days])</f>
        <v>11</v>
      </c>
      <c r="F14" s="3">
        <f>MAX(Table1[transit_storage_cost])</f>
        <v>9999</v>
      </c>
      <c r="G14" s="3">
        <f>MAX(Table1[shipping_cost])</f>
        <v>130</v>
      </c>
      <c r="H14" s="3">
        <f>MAX(Table1[Session_length])</f>
        <v>3877.98251985761</v>
      </c>
    </row>
    <row r="15" spans="4:8" x14ac:dyDescent="0.3">
      <c r="D15" s="4" t="s">
        <v>47</v>
      </c>
      <c r="E15" s="3">
        <f>_xlfn.STDEV.P(Table1[Delivery Days])</f>
        <v>2.4336240924948198</v>
      </c>
      <c r="F15" s="3">
        <f>_xlfn.STDEV.P(Table1[transit_storage_cost])</f>
        <v>711.48314359448557</v>
      </c>
      <c r="G15" s="3">
        <f>_xlfn.STDEV.P(Table1[shipping_cost])</f>
        <v>11.89652375022367</v>
      </c>
      <c r="H15" s="3">
        <f>_xlfn.STDEV.P(Table1[Session_length])</f>
        <v>1005.8906162139326</v>
      </c>
    </row>
    <row r="16" spans="4:8" x14ac:dyDescent="0.3">
      <c r="D16" s="4" t="s">
        <v>48</v>
      </c>
      <c r="E16" s="3">
        <f>_xlfn.VAR.P(Table1[Delivery Days])</f>
        <v>5.9225262235712348</v>
      </c>
      <c r="F16" s="3">
        <f>_xlfn.VAR.P(Table1[transit_storage_cost])</f>
        <v>506208.26361909142</v>
      </c>
      <c r="G16" s="3">
        <f>_xlfn.VAR.P(Table1[shipping_cost])</f>
        <v>141.52727733963584</v>
      </c>
      <c r="H16" s="3">
        <f>_xlfn.VAR.P(Table1[Session_length])</f>
        <v>1011815.9317872451</v>
      </c>
    </row>
    <row r="17" spans="4:8" x14ac:dyDescent="0.3">
      <c r="D17" s="4" t="s">
        <v>49</v>
      </c>
      <c r="E17" s="3">
        <f>COUNT(Table1[Delivery Days])</f>
        <v>4297</v>
      </c>
      <c r="F17" s="3">
        <f>COUNT(Table1[transit_storage_cost])</f>
        <v>4297</v>
      </c>
      <c r="G17" s="3">
        <f>COUNT(Table1[shipping_cost])</f>
        <v>4297</v>
      </c>
      <c r="H17" s="3">
        <f>COUNT(Table1[Session_length])</f>
        <v>4297</v>
      </c>
    </row>
    <row r="18" spans="4:8" x14ac:dyDescent="0.3">
      <c r="D18" s="4" t="s">
        <v>50</v>
      </c>
      <c r="E18" s="3">
        <f>SKEW(Table1[Delivery Days])</f>
        <v>0.25308484075702881</v>
      </c>
      <c r="F18" s="3">
        <f>SKEW(Table1[transit_storage_cost])</f>
        <v>13.846545184220229</v>
      </c>
      <c r="G18" s="3">
        <f>SKEW(Table1[shipping_cost])</f>
        <v>-0.49002539900823638</v>
      </c>
      <c r="H18" s="3">
        <f>SKEW(Table1[Session_length])</f>
        <v>7.6774036167969037E-3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D780-C2D4-4731-A4F0-BCB61CF19555}">
  <dimension ref="B9:G79"/>
  <sheetViews>
    <sheetView topLeftCell="A46" zoomScaleNormal="100" workbookViewId="0">
      <selection activeCell="G50" sqref="G50"/>
    </sheetView>
  </sheetViews>
  <sheetFormatPr defaultRowHeight="14.4" x14ac:dyDescent="0.3"/>
  <cols>
    <col min="2" max="2" width="21.77734375" bestFit="1" customWidth="1"/>
    <col min="3" max="3" width="22.44140625" bestFit="1" customWidth="1"/>
    <col min="4" max="4" width="28" bestFit="1" customWidth="1"/>
    <col min="5" max="5" width="14.44140625" bestFit="1" customWidth="1"/>
    <col min="6" max="6" width="16.5546875" bestFit="1" customWidth="1"/>
    <col min="7" max="7" width="16" bestFit="1" customWidth="1"/>
    <col min="8" max="8" width="28" bestFit="1" customWidth="1"/>
    <col min="9" max="9" width="22.44140625" bestFit="1" customWidth="1"/>
    <col min="10" max="10" width="28" bestFit="1" customWidth="1"/>
    <col min="11" max="11" width="22.44140625" bestFit="1" customWidth="1"/>
    <col min="12" max="12" width="28" bestFit="1" customWidth="1"/>
    <col min="13" max="13" width="27.21875" bestFit="1" customWidth="1"/>
    <col min="14" max="14" width="32.77734375" bestFit="1" customWidth="1"/>
  </cols>
  <sheetData>
    <row r="9" spans="2:6" x14ac:dyDescent="0.3">
      <c r="B9" s="6" t="s">
        <v>56</v>
      </c>
      <c r="C9" t="s">
        <v>54</v>
      </c>
      <c r="E9" s="6" t="s">
        <v>56</v>
      </c>
      <c r="F9" t="s">
        <v>53</v>
      </c>
    </row>
    <row r="10" spans="2:6" x14ac:dyDescent="0.3">
      <c r="B10" s="7" t="s">
        <v>15</v>
      </c>
      <c r="C10" s="1">
        <v>113.61377245508982</v>
      </c>
      <c r="E10" s="7" t="s">
        <v>15</v>
      </c>
      <c r="F10" s="1">
        <v>334</v>
      </c>
    </row>
    <row r="11" spans="2:6" x14ac:dyDescent="0.3">
      <c r="B11" s="7" t="s">
        <v>37</v>
      </c>
      <c r="C11" s="1">
        <v>113.00874635568513</v>
      </c>
      <c r="E11" s="7" t="s">
        <v>37</v>
      </c>
      <c r="F11" s="1">
        <v>1029</v>
      </c>
    </row>
    <row r="12" spans="2:6" x14ac:dyDescent="0.3">
      <c r="B12" s="7" t="s">
        <v>38</v>
      </c>
      <c r="C12" s="1">
        <v>112.97993579454254</v>
      </c>
      <c r="E12" s="7" t="s">
        <v>38</v>
      </c>
      <c r="F12" s="1">
        <v>1246</v>
      </c>
    </row>
    <row r="13" spans="2:6" x14ac:dyDescent="0.3">
      <c r="B13" s="7" t="s">
        <v>39</v>
      </c>
      <c r="C13" s="1">
        <v>113.8026706231454</v>
      </c>
      <c r="E13" s="7" t="s">
        <v>39</v>
      </c>
      <c r="F13" s="1">
        <v>674</v>
      </c>
    </row>
    <row r="14" spans="2:6" x14ac:dyDescent="0.3">
      <c r="B14" s="7" t="s">
        <v>40</v>
      </c>
      <c r="C14" s="1">
        <v>113.64016736401673</v>
      </c>
      <c r="E14" s="7" t="s">
        <v>40</v>
      </c>
      <c r="F14" s="1">
        <v>478</v>
      </c>
    </row>
    <row r="15" spans="2:6" x14ac:dyDescent="0.3">
      <c r="B15" s="7" t="s">
        <v>41</v>
      </c>
      <c r="C15" s="1">
        <v>113.36105860113422</v>
      </c>
      <c r="E15" s="7" t="s">
        <v>41</v>
      </c>
      <c r="F15" s="1">
        <v>529</v>
      </c>
    </row>
    <row r="16" spans="2:6" x14ac:dyDescent="0.3">
      <c r="B16" s="7" t="s">
        <v>52</v>
      </c>
      <c r="C16" s="1">
        <v>113.28601398601398</v>
      </c>
      <c r="E16" s="7" t="s">
        <v>52</v>
      </c>
      <c r="F16" s="1">
        <v>4290</v>
      </c>
    </row>
    <row r="23" spans="2:6" x14ac:dyDescent="0.3">
      <c r="B23" s="6" t="s">
        <v>6</v>
      </c>
      <c r="C23" t="s">
        <v>20</v>
      </c>
      <c r="E23" s="6" t="s">
        <v>6</v>
      </c>
      <c r="F23" t="s">
        <v>20</v>
      </c>
    </row>
    <row r="25" spans="2:6" x14ac:dyDescent="0.3">
      <c r="B25" s="6" t="s">
        <v>57</v>
      </c>
      <c r="C25" t="s">
        <v>55</v>
      </c>
      <c r="E25" s="6" t="s">
        <v>57</v>
      </c>
      <c r="F25" t="s">
        <v>53</v>
      </c>
    </row>
    <row r="26" spans="2:6" x14ac:dyDescent="0.3">
      <c r="B26" s="7" t="s">
        <v>19</v>
      </c>
      <c r="C26" s="5">
        <v>4.0352880124545925</v>
      </c>
      <c r="E26" s="7" t="s">
        <v>19</v>
      </c>
      <c r="F26" s="1">
        <v>1927</v>
      </c>
    </row>
    <row r="27" spans="2:6" x14ac:dyDescent="0.3">
      <c r="B27" s="7" t="s">
        <v>29</v>
      </c>
      <c r="C27" s="5">
        <v>5.0809555408095557</v>
      </c>
      <c r="E27" s="7" t="s">
        <v>29</v>
      </c>
      <c r="F27" s="1">
        <v>1507</v>
      </c>
    </row>
    <row r="28" spans="2:6" x14ac:dyDescent="0.3">
      <c r="B28" s="7" t="s">
        <v>31</v>
      </c>
      <c r="C28" s="5">
        <v>4.9690026954177897</v>
      </c>
      <c r="E28" s="7" t="s">
        <v>31</v>
      </c>
      <c r="F28" s="1">
        <v>742</v>
      </c>
    </row>
    <row r="29" spans="2:6" x14ac:dyDescent="0.3">
      <c r="B29" s="7" t="s">
        <v>52</v>
      </c>
      <c r="C29" s="5">
        <v>4.578544061302682</v>
      </c>
      <c r="E29" s="7" t="s">
        <v>52</v>
      </c>
      <c r="F29" s="1">
        <v>4176</v>
      </c>
    </row>
    <row r="39" spans="2:6" x14ac:dyDescent="0.3">
      <c r="B39" s="6" t="s">
        <v>53</v>
      </c>
      <c r="C39" s="6" t="s">
        <v>8</v>
      </c>
    </row>
    <row r="40" spans="2:6" x14ac:dyDescent="0.3">
      <c r="B40" s="6" t="s">
        <v>7</v>
      </c>
      <c r="C40" t="s">
        <v>34</v>
      </c>
      <c r="D40" t="s">
        <v>30</v>
      </c>
      <c r="E40" t="s">
        <v>21</v>
      </c>
      <c r="F40" t="s">
        <v>52</v>
      </c>
    </row>
    <row r="41" spans="2:6" x14ac:dyDescent="0.3">
      <c r="B41" s="7" t="s">
        <v>22</v>
      </c>
      <c r="C41" s="1">
        <v>197</v>
      </c>
      <c r="D41" s="1">
        <v>1228</v>
      </c>
      <c r="E41" s="1">
        <v>1441</v>
      </c>
      <c r="F41" s="1">
        <v>2866</v>
      </c>
    </row>
    <row r="42" spans="2:6" x14ac:dyDescent="0.3">
      <c r="B42" s="7" t="s">
        <v>26</v>
      </c>
      <c r="C42" s="1">
        <v>121</v>
      </c>
      <c r="D42" s="1">
        <v>590</v>
      </c>
      <c r="E42" s="1">
        <v>713</v>
      </c>
      <c r="F42" s="1">
        <v>1424</v>
      </c>
    </row>
    <row r="43" spans="2:6" x14ac:dyDescent="0.3">
      <c r="B43" s="7" t="s">
        <v>52</v>
      </c>
      <c r="C43" s="1">
        <v>318</v>
      </c>
      <c r="D43" s="1">
        <v>1818</v>
      </c>
      <c r="E43" s="1">
        <v>2154</v>
      </c>
      <c r="F43" s="1">
        <v>4290</v>
      </c>
    </row>
    <row r="52" spans="2:7" x14ac:dyDescent="0.3">
      <c r="B52" s="6" t="s">
        <v>59</v>
      </c>
      <c r="C52" t="s">
        <v>54</v>
      </c>
      <c r="D52" t="s">
        <v>58</v>
      </c>
      <c r="F52" s="6" t="s">
        <v>59</v>
      </c>
      <c r="G52" t="s">
        <v>53</v>
      </c>
    </row>
    <row r="53" spans="2:7" x14ac:dyDescent="0.3">
      <c r="B53" s="7" t="s">
        <v>23</v>
      </c>
      <c r="C53" s="1">
        <v>119.04357298474946</v>
      </c>
      <c r="D53" s="1">
        <v>82.617647058823536</v>
      </c>
      <c r="F53" s="7" t="s">
        <v>23</v>
      </c>
      <c r="G53" s="1">
        <v>918</v>
      </c>
    </row>
    <row r="54" spans="2:7" x14ac:dyDescent="0.3">
      <c r="B54" s="7" t="s">
        <v>24</v>
      </c>
      <c r="C54" s="1">
        <v>119.73239436619718</v>
      </c>
      <c r="D54" s="1">
        <v>63.74647887323944</v>
      </c>
      <c r="F54" s="7" t="s">
        <v>24</v>
      </c>
      <c r="G54" s="1">
        <v>568</v>
      </c>
    </row>
    <row r="55" spans="2:7" x14ac:dyDescent="0.3">
      <c r="B55" s="7" t="s">
        <v>16</v>
      </c>
      <c r="C55" s="1">
        <v>118.97124304267162</v>
      </c>
      <c r="D55" s="1">
        <v>94.584415584415581</v>
      </c>
      <c r="F55" s="7" t="s">
        <v>16</v>
      </c>
      <c r="G55" s="1">
        <v>1078</v>
      </c>
    </row>
    <row r="56" spans="2:7" x14ac:dyDescent="0.3">
      <c r="B56" s="7" t="s">
        <v>32</v>
      </c>
      <c r="C56" s="1">
        <v>104.58947368421053</v>
      </c>
      <c r="D56" s="1">
        <v>98.982456140350877</v>
      </c>
      <c r="F56" s="7" t="s">
        <v>32</v>
      </c>
      <c r="G56" s="1">
        <v>570</v>
      </c>
    </row>
    <row r="57" spans="2:7" x14ac:dyDescent="0.3">
      <c r="B57" s="7" t="s">
        <v>17</v>
      </c>
      <c r="C57" s="1">
        <v>104.53287197231833</v>
      </c>
      <c r="D57" s="1">
        <v>90.31487889273356</v>
      </c>
      <c r="F57" s="7" t="s">
        <v>17</v>
      </c>
      <c r="G57" s="1">
        <v>1156</v>
      </c>
    </row>
    <row r="58" spans="2:7" x14ac:dyDescent="0.3">
      <c r="B58" s="7" t="s">
        <v>52</v>
      </c>
      <c r="C58" s="1">
        <v>113.28601398601398</v>
      </c>
      <c r="D58" s="1">
        <v>87.374592074592073</v>
      </c>
      <c r="F58" s="7" t="s">
        <v>52</v>
      </c>
      <c r="G58" s="1">
        <v>4290</v>
      </c>
    </row>
    <row r="66" spans="2:4" x14ac:dyDescent="0.3">
      <c r="B66" s="6" t="s">
        <v>51</v>
      </c>
      <c r="C66" t="s">
        <v>53</v>
      </c>
      <c r="D66" t="s">
        <v>60</v>
      </c>
    </row>
    <row r="67" spans="2:4" x14ac:dyDescent="0.3">
      <c r="B67" s="7">
        <v>0</v>
      </c>
      <c r="C67" s="1">
        <v>165</v>
      </c>
      <c r="D67" s="1">
        <v>2076.2795331794091</v>
      </c>
    </row>
    <row r="68" spans="2:4" x14ac:dyDescent="0.3">
      <c r="B68" s="7">
        <v>1</v>
      </c>
      <c r="C68" s="1">
        <v>148</v>
      </c>
      <c r="D68" s="1">
        <v>1828.3905179055782</v>
      </c>
    </row>
    <row r="69" spans="2:4" x14ac:dyDescent="0.3">
      <c r="B69" s="7">
        <v>2</v>
      </c>
      <c r="C69" s="1">
        <v>746</v>
      </c>
      <c r="D69" s="1">
        <v>1958.1725099359076</v>
      </c>
    </row>
    <row r="70" spans="2:4" x14ac:dyDescent="0.3">
      <c r="B70" s="7">
        <v>3</v>
      </c>
      <c r="C70" s="1">
        <v>513</v>
      </c>
      <c r="D70" s="1">
        <v>1970.9795714414167</v>
      </c>
    </row>
    <row r="71" spans="2:4" x14ac:dyDescent="0.3">
      <c r="B71" s="7">
        <v>4</v>
      </c>
      <c r="C71" s="1">
        <v>585</v>
      </c>
      <c r="D71" s="1">
        <v>2017.1097088019026</v>
      </c>
    </row>
    <row r="72" spans="2:4" x14ac:dyDescent="0.3">
      <c r="B72" s="7">
        <v>5</v>
      </c>
      <c r="C72" s="1">
        <v>613</v>
      </c>
      <c r="D72" s="1">
        <v>2040.8703602870416</v>
      </c>
    </row>
    <row r="73" spans="2:4" x14ac:dyDescent="0.3">
      <c r="B73" s="7">
        <v>6</v>
      </c>
      <c r="C73" s="1">
        <v>563</v>
      </c>
      <c r="D73" s="1">
        <v>1981.6907009324502</v>
      </c>
    </row>
    <row r="74" spans="2:4" x14ac:dyDescent="0.3">
      <c r="B74" s="7">
        <v>7</v>
      </c>
      <c r="C74" s="1">
        <v>420</v>
      </c>
      <c r="D74" s="1">
        <v>1996.2255460657761</v>
      </c>
    </row>
    <row r="75" spans="2:4" x14ac:dyDescent="0.3">
      <c r="B75" s="7">
        <v>8</v>
      </c>
      <c r="C75" s="1">
        <v>232</v>
      </c>
      <c r="D75" s="1">
        <v>2018.6250650598713</v>
      </c>
    </row>
    <row r="76" spans="2:4" x14ac:dyDescent="0.3">
      <c r="B76" s="7">
        <v>9</v>
      </c>
      <c r="C76" s="1">
        <v>202</v>
      </c>
      <c r="D76" s="1">
        <v>1962.2606475076618</v>
      </c>
    </row>
    <row r="77" spans="2:4" x14ac:dyDescent="0.3">
      <c r="B77" s="7">
        <v>10</v>
      </c>
      <c r="C77" s="1">
        <v>85</v>
      </c>
      <c r="D77" s="1">
        <v>1893.9335570518206</v>
      </c>
    </row>
    <row r="78" spans="2:4" x14ac:dyDescent="0.3">
      <c r="B78" s="7">
        <v>11</v>
      </c>
      <c r="C78" s="1">
        <v>18</v>
      </c>
      <c r="D78" s="1">
        <v>2173.2960503414652</v>
      </c>
    </row>
    <row r="79" spans="2:4" x14ac:dyDescent="0.3">
      <c r="B79" s="7" t="s">
        <v>52</v>
      </c>
      <c r="C79" s="1">
        <v>4290</v>
      </c>
      <c r="D79" s="1">
        <v>1989.5262899323816</v>
      </c>
    </row>
  </sheetData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AB9A-55D1-4594-84C4-D089DAB8B429}">
  <dimension ref="C13:F36"/>
  <sheetViews>
    <sheetView topLeftCell="A9" workbookViewId="0">
      <selection activeCell="L22" sqref="L22"/>
    </sheetView>
  </sheetViews>
  <sheetFormatPr defaultRowHeight="14.4" x14ac:dyDescent="0.3"/>
  <cols>
    <col min="3" max="3" width="26.77734375" bestFit="1" customWidth="1"/>
    <col min="4" max="4" width="15.33203125" bestFit="1" customWidth="1"/>
  </cols>
  <sheetData>
    <row r="13" spans="3:4" x14ac:dyDescent="0.3">
      <c r="C13" s="4" t="s">
        <v>65</v>
      </c>
      <c r="D13" s="4" t="s">
        <v>66</v>
      </c>
    </row>
    <row r="14" spans="3:4" x14ac:dyDescent="0.3">
      <c r="C14" s="9">
        <v>0</v>
      </c>
      <c r="D14" s="3">
        <f>AVERAGE(Table1[shipping_cost])*(1+C14)</f>
        <v>113.29788224342565</v>
      </c>
    </row>
    <row r="15" spans="3:4" x14ac:dyDescent="0.3">
      <c r="C15" s="9">
        <v>0.05</v>
      </c>
      <c r="D15" s="3">
        <f t="dataTable" ref="D15:D17" dt2D="0" dtr="0" r1="C14"/>
        <v>118.96277635559693</v>
      </c>
    </row>
    <row r="16" spans="3:4" x14ac:dyDescent="0.3">
      <c r="C16" s="9">
        <v>0.1</v>
      </c>
      <c r="D16" s="3">
        <v>124.62767046776823</v>
      </c>
    </row>
    <row r="17" spans="3:6" x14ac:dyDescent="0.3">
      <c r="C17" s="9">
        <v>0.15</v>
      </c>
      <c r="D17" s="3">
        <v>130.29256457993949</v>
      </c>
    </row>
    <row r="20" spans="3:6" x14ac:dyDescent="0.3">
      <c r="F20" s="32"/>
    </row>
    <row r="22" spans="3:6" x14ac:dyDescent="0.3">
      <c r="C22" s="17"/>
      <c r="D22" s="1"/>
    </row>
    <row r="23" spans="3:6" x14ac:dyDescent="0.3">
      <c r="D23" s="1"/>
    </row>
    <row r="24" spans="3:6" x14ac:dyDescent="0.3">
      <c r="C24" s="4" t="s">
        <v>80</v>
      </c>
      <c r="D24" s="3">
        <v>28</v>
      </c>
    </row>
    <row r="25" spans="3:6" x14ac:dyDescent="0.3">
      <c r="C25" s="4" t="s">
        <v>97</v>
      </c>
      <c r="D25" s="3">
        <f>$D$24*(1-D26)</f>
        <v>28</v>
      </c>
    </row>
    <row r="26" spans="3:6" x14ac:dyDescent="0.3">
      <c r="C26" s="4" t="s">
        <v>81</v>
      </c>
      <c r="D26" s="9">
        <v>0</v>
      </c>
    </row>
    <row r="32" spans="3:6" x14ac:dyDescent="0.3">
      <c r="C32" s="4" t="s">
        <v>67</v>
      </c>
      <c r="D32" s="33">
        <f>AVERAGE(Table1[Delivery Days])</f>
        <v>4.5701652315569001</v>
      </c>
    </row>
    <row r="33" spans="3:4" x14ac:dyDescent="0.3">
      <c r="C33" s="4" t="s">
        <v>77</v>
      </c>
      <c r="D33" s="34">
        <f>AVERAGE(Table1[Session_length])</f>
        <v>1990.0856091567043</v>
      </c>
    </row>
    <row r="34" spans="3:4" x14ac:dyDescent="0.3">
      <c r="C34" s="4" t="s">
        <v>96</v>
      </c>
      <c r="D34" s="31">
        <v>-335544.32000000001</v>
      </c>
    </row>
    <row r="35" spans="3:4" x14ac:dyDescent="0.3">
      <c r="C35" s="4" t="s">
        <v>94</v>
      </c>
      <c r="D35" s="33">
        <f>D33*(1+D34)</f>
        <v>-667759932.38066304</v>
      </c>
    </row>
    <row r="36" spans="3:4" x14ac:dyDescent="0.3">
      <c r="C36" s="4" t="s">
        <v>95</v>
      </c>
      <c r="D36" s="33">
        <f>D32-2</f>
        <v>2.5701652315569001</v>
      </c>
    </row>
  </sheetData>
  <scenarios current="0" sqref="D20">
    <scenario name="Optimized" locked="1" count="1" user="Sarthak Somani" comment="Created by Sarthak Somani on 08-01-2026_x000a_Modified by Sarthak Somani on 08-01-2026">
      <inputCells r="D26" val="0.2" numFmtId="9"/>
    </scenario>
  </scenario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8314-F5AF-49D6-B9DB-4766DC8733DC}">
  <sheetPr>
    <outlinePr summaryBelow="0"/>
  </sheetPr>
  <dimension ref="B1:E11"/>
  <sheetViews>
    <sheetView showGridLines="0" workbookViewId="0"/>
  </sheetViews>
  <sheetFormatPr defaultRowHeight="14.4" outlineLevelRow="1" outlineLevelCol="1" x14ac:dyDescent="0.3"/>
  <cols>
    <col min="3" max="3" width="6.21875" bestFit="1" customWidth="1"/>
    <col min="4" max="5" width="13.109375" bestFit="1" customWidth="1" outlineLevel="1"/>
  </cols>
  <sheetData>
    <row r="1" spans="2:5" ht="15" thickBot="1" x14ac:dyDescent="0.35"/>
    <row r="2" spans="2:5" ht="15.6" x14ac:dyDescent="0.3">
      <c r="B2" s="22" t="s">
        <v>86</v>
      </c>
      <c r="C2" s="22"/>
      <c r="D2" s="27"/>
      <c r="E2" s="27"/>
    </row>
    <row r="3" spans="2:5" ht="15.6" collapsed="1" x14ac:dyDescent="0.3">
      <c r="B3" s="21"/>
      <c r="C3" s="21"/>
      <c r="D3" s="28" t="s">
        <v>88</v>
      </c>
      <c r="E3" s="28" t="s">
        <v>85</v>
      </c>
    </row>
    <row r="4" spans="2:5" ht="61.2" hidden="1" outlineLevel="1" x14ac:dyDescent="0.3">
      <c r="B4" s="24"/>
      <c r="C4" s="24"/>
      <c r="D4" s="18"/>
      <c r="E4" s="30" t="s">
        <v>93</v>
      </c>
    </row>
    <row r="5" spans="2:5" x14ac:dyDescent="0.3">
      <c r="B5" s="25" t="s">
        <v>87</v>
      </c>
      <c r="C5" s="25"/>
      <c r="D5" s="23"/>
      <c r="E5" s="23"/>
    </row>
    <row r="6" spans="2:5" outlineLevel="1" x14ac:dyDescent="0.3">
      <c r="B6" s="24"/>
      <c r="C6" s="24" t="s">
        <v>83</v>
      </c>
      <c r="D6" s="19">
        <v>0</v>
      </c>
      <c r="E6" s="29">
        <v>0.2</v>
      </c>
    </row>
    <row r="7" spans="2:5" x14ac:dyDescent="0.3">
      <c r="B7" s="25" t="s">
        <v>89</v>
      </c>
      <c r="C7" s="25"/>
      <c r="D7" s="23"/>
      <c r="E7" s="23"/>
    </row>
    <row r="8" spans="2:5" ht="15" outlineLevel="1" thickBot="1" x14ac:dyDescent="0.35">
      <c r="B8" s="26"/>
      <c r="C8" s="26" t="s">
        <v>84</v>
      </c>
      <c r="D8" s="20">
        <v>28</v>
      </c>
      <c r="E8" s="20">
        <v>22.4</v>
      </c>
    </row>
    <row r="9" spans="2:5" x14ac:dyDescent="0.3">
      <c r="B9" t="s">
        <v>90</v>
      </c>
    </row>
    <row r="10" spans="2:5" x14ac:dyDescent="0.3">
      <c r="B10" t="s">
        <v>91</v>
      </c>
    </row>
    <row r="11" spans="2:5" x14ac:dyDescent="0.3">
      <c r="B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A0AC-64EF-4BEF-824E-A0B4D6240BC0}">
  <dimension ref="A1:Z100"/>
  <sheetViews>
    <sheetView zoomScaleNormal="100" workbookViewId="0">
      <selection activeCell="A46" sqref="A46"/>
    </sheetView>
  </sheetViews>
  <sheetFormatPr defaultRowHeight="14.4" x14ac:dyDescent="0.3"/>
  <sheetData>
    <row r="1" spans="1:26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A2B9-9700-43E1-A8E3-668ECF1ECDF4}">
  <dimension ref="A1:E19"/>
  <sheetViews>
    <sheetView topLeftCell="A2" workbookViewId="0"/>
  </sheetViews>
  <sheetFormatPr defaultRowHeight="14.4" x14ac:dyDescent="0.3"/>
  <cols>
    <col min="1" max="1" width="14.109375" customWidth="1"/>
    <col min="2" max="2" width="14.44140625" customWidth="1"/>
    <col min="3" max="3" width="22.77734375" customWidth="1"/>
    <col min="4" max="4" width="36.88671875" customWidth="1"/>
    <col min="5" max="5" width="37" customWidth="1"/>
  </cols>
  <sheetData>
    <row r="1" spans="1:5" x14ac:dyDescent="0.3">
      <c r="A1" t="s">
        <v>51</v>
      </c>
      <c r="B1" t="s">
        <v>13</v>
      </c>
      <c r="C1" t="s">
        <v>62</v>
      </c>
      <c r="D1" t="s">
        <v>63</v>
      </c>
      <c r="E1" t="s">
        <v>64</v>
      </c>
    </row>
    <row r="2" spans="1:5" x14ac:dyDescent="0.3">
      <c r="A2">
        <v>0</v>
      </c>
      <c r="B2">
        <v>114.16969696969697</v>
      </c>
    </row>
    <row r="3" spans="1:5" x14ac:dyDescent="0.3">
      <c r="A3">
        <v>1</v>
      </c>
      <c r="B3">
        <v>118.70945945945945</v>
      </c>
    </row>
    <row r="4" spans="1:5" x14ac:dyDescent="0.3">
      <c r="A4">
        <v>2</v>
      </c>
      <c r="B4">
        <v>110.45551128818062</v>
      </c>
    </row>
    <row r="5" spans="1:5" x14ac:dyDescent="0.3">
      <c r="A5">
        <v>3</v>
      </c>
      <c r="B5">
        <v>113.02144249512671</v>
      </c>
    </row>
    <row r="6" spans="1:5" x14ac:dyDescent="0.3">
      <c r="A6">
        <v>4</v>
      </c>
      <c r="B6">
        <v>113.05128205128206</v>
      </c>
    </row>
    <row r="7" spans="1:5" x14ac:dyDescent="0.3">
      <c r="A7">
        <v>5</v>
      </c>
      <c r="B7">
        <v>113.12561174551387</v>
      </c>
    </row>
    <row r="8" spans="1:5" x14ac:dyDescent="0.3">
      <c r="A8">
        <v>6</v>
      </c>
      <c r="B8">
        <v>113.80639431616341</v>
      </c>
    </row>
    <row r="9" spans="1:5" x14ac:dyDescent="0.3">
      <c r="A9">
        <v>7</v>
      </c>
      <c r="B9">
        <v>114.38095238095238</v>
      </c>
    </row>
    <row r="10" spans="1:5" x14ac:dyDescent="0.3">
      <c r="A10">
        <v>8</v>
      </c>
      <c r="B10">
        <v>113.81034482758621</v>
      </c>
    </row>
    <row r="11" spans="1:5" x14ac:dyDescent="0.3">
      <c r="A11">
        <v>9</v>
      </c>
      <c r="B11">
        <v>114.53465346534654</v>
      </c>
    </row>
    <row r="12" spans="1:5" x14ac:dyDescent="0.3">
      <c r="A12">
        <v>10</v>
      </c>
      <c r="B12">
        <v>118.7764705882353</v>
      </c>
    </row>
    <row r="13" spans="1:5" x14ac:dyDescent="0.3">
      <c r="A13">
        <v>11</v>
      </c>
      <c r="B13">
        <v>113.94444444444444</v>
      </c>
      <c r="C13">
        <v>113.94444444444444</v>
      </c>
      <c r="D13" s="5">
        <v>113.94444444444444</v>
      </c>
      <c r="E13" s="5">
        <v>113.94444444444444</v>
      </c>
    </row>
    <row r="14" spans="1:5" x14ac:dyDescent="0.3">
      <c r="A14">
        <v>12</v>
      </c>
      <c r="C14">
        <f t="shared" ref="C14:C19" si="0">_xlfn.FORECAST.ETS(A14,$B$2:$B$13,$A$2:$A$13,1,1)</f>
        <v>115.63368961507173</v>
      </c>
      <c r="D14" s="5">
        <f t="shared" ref="D14:D19" si="1">C14-_xlfn.FORECAST.ETS.CONFINT(A14,$B$2:$B$13,$A$2:$A$13,0.95,1,1)</f>
        <v>112.07778551897309</v>
      </c>
      <c r="E14" s="5">
        <f t="shared" ref="E14:E19" si="2">C14+_xlfn.FORECAST.ETS.CONFINT(A14,$B$2:$B$13,$A$2:$A$13,0.95,1,1)</f>
        <v>119.18959371117037</v>
      </c>
    </row>
    <row r="15" spans="1:5" x14ac:dyDescent="0.3">
      <c r="A15">
        <v>13</v>
      </c>
      <c r="C15">
        <f t="shared" si="0"/>
        <v>117.99768190235959</v>
      </c>
      <c r="D15" s="5">
        <f t="shared" si="1"/>
        <v>114.41321592564006</v>
      </c>
      <c r="E15" s="5">
        <f t="shared" si="2"/>
        <v>121.58214787907912</v>
      </c>
    </row>
    <row r="16" spans="1:5" x14ac:dyDescent="0.3">
      <c r="A16">
        <v>14</v>
      </c>
      <c r="C16">
        <f t="shared" si="0"/>
        <v>113.96907999171465</v>
      </c>
      <c r="D16" s="5">
        <f t="shared" si="1"/>
        <v>110.35583172019724</v>
      </c>
      <c r="E16" s="5">
        <f t="shared" si="2"/>
        <v>117.58232826323206</v>
      </c>
    </row>
    <row r="17" spans="1:5" x14ac:dyDescent="0.3">
      <c r="A17">
        <v>15</v>
      </c>
      <c r="C17">
        <f t="shared" si="0"/>
        <v>116.15789150227852</v>
      </c>
      <c r="D17" s="5">
        <f t="shared" si="1"/>
        <v>112.51519273032105</v>
      </c>
      <c r="E17" s="5">
        <f t="shared" si="2"/>
        <v>119.80059027423599</v>
      </c>
    </row>
    <row r="18" spans="1:5" x14ac:dyDescent="0.3">
      <c r="A18">
        <v>16</v>
      </c>
      <c r="C18">
        <f t="shared" si="0"/>
        <v>118.52188378956639</v>
      </c>
      <c r="D18" s="5">
        <f t="shared" si="1"/>
        <v>114.84997071668224</v>
      </c>
      <c r="E18" s="5">
        <f t="shared" si="2"/>
        <v>122.19379686245054</v>
      </c>
    </row>
    <row r="19" spans="1:5" x14ac:dyDescent="0.3">
      <c r="A19">
        <v>17</v>
      </c>
      <c r="C19">
        <f t="shared" si="0"/>
        <v>114.49328187892144</v>
      </c>
      <c r="D19" s="5">
        <f t="shared" si="1"/>
        <v>110.79193927266448</v>
      </c>
      <c r="E19" s="5">
        <f t="shared" si="2"/>
        <v>118.19462448517839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1C03-FFF9-4B2C-95C0-AFC1111C2C19}">
  <dimension ref="A1:T44"/>
  <sheetViews>
    <sheetView workbookViewId="0">
      <selection activeCell="B10" sqref="B10:D10"/>
    </sheetView>
  </sheetViews>
  <sheetFormatPr defaultRowHeight="14.4" x14ac:dyDescent="0.3"/>
  <cols>
    <col min="6" max="6" width="20.109375" bestFit="1" customWidth="1"/>
    <col min="7" max="7" width="12" bestFit="1" customWidth="1"/>
  </cols>
  <sheetData>
    <row r="1" spans="1:20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5" thickBot="1" x14ac:dyDescent="0.3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5" thickBot="1" x14ac:dyDescent="0.35">
      <c r="A9" s="8"/>
      <c r="B9" s="8"/>
      <c r="C9" s="8"/>
      <c r="D9" s="8"/>
      <c r="E9" s="8"/>
      <c r="F9" s="10" t="s">
        <v>69</v>
      </c>
      <c r="G9" s="11" t="s">
        <v>70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5" thickBot="1" x14ac:dyDescent="0.35">
      <c r="A10" s="8"/>
      <c r="B10" s="35" t="s">
        <v>67</v>
      </c>
      <c r="C10" s="36"/>
      <c r="D10" s="37"/>
      <c r="E10" s="8"/>
      <c r="F10" s="12" t="s">
        <v>67</v>
      </c>
      <c r="G10" s="13">
        <f>AVERAGE(Table1[Delivery Days])</f>
        <v>4.5701652315569001</v>
      </c>
      <c r="H10" s="8"/>
      <c r="I10" s="35" t="s">
        <v>71</v>
      </c>
      <c r="J10" s="36"/>
      <c r="K10" s="37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8"/>
      <c r="B11" s="8"/>
      <c r="C11" s="8"/>
      <c r="D11" s="8"/>
      <c r="E11" s="8"/>
      <c r="F11" s="12" t="s">
        <v>71</v>
      </c>
      <c r="G11" s="13">
        <f>AVERAGE(Table1[shipping_cost])</f>
        <v>113.29788224342565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8"/>
      <c r="B12" s="8"/>
      <c r="C12" s="8"/>
      <c r="D12" s="8"/>
      <c r="E12" s="8"/>
      <c r="F12" s="12" t="s">
        <v>72</v>
      </c>
      <c r="G12" s="13">
        <f>AVERAGE(Table1[transit_storage_cost])</f>
        <v>87.286711659297183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8"/>
      <c r="B13" s="8"/>
      <c r="C13" s="8"/>
      <c r="D13" s="8"/>
      <c r="E13" s="8"/>
      <c r="F13" s="12" t="s">
        <v>68</v>
      </c>
      <c r="G13" s="13">
        <f>AVERAGE(Table1[Session_length])</f>
        <v>1990.0856091567043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8"/>
      <c r="B14" s="8"/>
      <c r="C14" s="8"/>
      <c r="D14" s="8"/>
      <c r="E14" s="8"/>
      <c r="F14" s="12" t="s">
        <v>75</v>
      </c>
      <c r="G14" s="14">
        <f>MAX(Table1[transit_storage_cost])</f>
        <v>9999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8"/>
      <c r="B15" s="8"/>
      <c r="C15" s="8"/>
      <c r="D15" s="8"/>
      <c r="E15" s="8"/>
      <c r="F15" s="12" t="s">
        <v>74</v>
      </c>
      <c r="G15" s="14">
        <f>MAX(Table1[Delivery Days])</f>
        <v>11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5" thickBot="1" x14ac:dyDescent="0.35">
      <c r="A16" s="8"/>
      <c r="B16" s="8"/>
      <c r="C16" s="8"/>
      <c r="D16" s="8"/>
      <c r="E16" s="8"/>
      <c r="F16" s="15" t="s">
        <v>73</v>
      </c>
      <c r="G16" s="16">
        <f>MAX(Table1[shipping_cost])</f>
        <v>130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5" thickBot="1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5" thickBot="1" x14ac:dyDescent="0.35">
      <c r="A18" s="8"/>
      <c r="B18" s="35" t="s">
        <v>76</v>
      </c>
      <c r="C18" s="36"/>
      <c r="D18" s="37"/>
      <c r="E18" s="8"/>
      <c r="F18" s="8"/>
      <c r="G18" s="8"/>
      <c r="H18" s="8"/>
      <c r="I18" s="35" t="s">
        <v>77</v>
      </c>
      <c r="J18" s="36"/>
      <c r="K18" s="37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5" thickBot="1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5" thickBot="1" x14ac:dyDescent="0.35">
      <c r="A23" s="8"/>
      <c r="B23" s="8"/>
      <c r="C23" s="8"/>
      <c r="D23" s="8"/>
      <c r="E23" s="8"/>
      <c r="F23" s="38" t="s">
        <v>79</v>
      </c>
      <c r="G23" s="4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5" thickBo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ht="15" thickBot="1" x14ac:dyDescent="0.35">
      <c r="A25" s="8"/>
      <c r="B25" s="38" t="s">
        <v>78</v>
      </c>
      <c r="C25" s="39"/>
      <c r="D25" s="40"/>
      <c r="E25" s="8"/>
      <c r="F25" s="8"/>
      <c r="G25" s="8"/>
      <c r="H25" s="8"/>
      <c r="I25" s="35" t="s">
        <v>74</v>
      </c>
      <c r="J25" s="36"/>
      <c r="K25" s="37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</sheetData>
  <mergeCells count="7">
    <mergeCell ref="B10:D10"/>
    <mergeCell ref="I10:K10"/>
    <mergeCell ref="B18:D18"/>
    <mergeCell ref="I18:K18"/>
    <mergeCell ref="B25:D25"/>
    <mergeCell ref="I25:K25"/>
    <mergeCell ref="F23:G2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6B73-154F-4CE9-96FC-2274C2AAC521}">
  <dimension ref="A1"/>
  <sheetViews>
    <sheetView tabSelected="1" topLeftCell="A88" workbookViewId="0">
      <selection activeCell="I2" sqref="I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08533B-0F9C-4AEB-A74C-D396F21198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Cleaned Data</vt:lpstr>
      <vt:lpstr>Data Understanding</vt:lpstr>
      <vt:lpstr>Descriptive Statistics</vt:lpstr>
      <vt:lpstr>Pivot Table Analysis</vt:lpstr>
      <vt:lpstr>What -if Analysis</vt:lpstr>
      <vt:lpstr>Scenario Summary</vt:lpstr>
      <vt:lpstr>Data Visualization </vt:lpstr>
      <vt:lpstr>Forecast</vt:lpstr>
      <vt:lpstr>Dashboard 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Somani</dc:creator>
  <cp:lastModifiedBy>Sarthak Somani</cp:lastModifiedBy>
  <dcterms:created xsi:type="dcterms:W3CDTF">2026-01-02T04:49:38Z</dcterms:created>
  <dcterms:modified xsi:type="dcterms:W3CDTF">2026-01-10T14:45:58Z</dcterms:modified>
</cp:coreProperties>
</file>